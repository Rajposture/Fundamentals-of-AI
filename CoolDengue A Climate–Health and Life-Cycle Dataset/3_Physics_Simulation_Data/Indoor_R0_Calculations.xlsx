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UP3WO\Desktop\Nature Sustainability Paper Documents\"/>
    </mc:Choice>
  </mc:AlternateContent>
  <xr:revisionPtr revIDLastSave="0" documentId="8_{4BC4091A-1C0C-44A5-9955-DB55F5F12D4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utdoor R0 Final" sheetId="23" r:id="rId1"/>
    <sheet name="Indoor R0 Final AC Space" sheetId="24" r:id="rId2"/>
    <sheet name="Indoor R0 Non AC Space" sheetId="28" r:id="rId3"/>
    <sheet name="Indoor Temperatures" sheetId="2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0" i="28" l="1"/>
  <c r="S21" i="28"/>
  <c r="S22" i="28"/>
  <c r="S23" i="28"/>
  <c r="S24" i="28"/>
  <c r="S25" i="28"/>
  <c r="S26" i="28"/>
  <c r="S27" i="28"/>
  <c r="S28" i="28"/>
  <c r="S29" i="28"/>
  <c r="S19" i="28"/>
  <c r="R20" i="28"/>
  <c r="R21" i="28"/>
  <c r="R22" i="28"/>
  <c r="R23" i="28"/>
  <c r="R24" i="28"/>
  <c r="R25" i="28"/>
  <c r="R26" i="28"/>
  <c r="R27" i="28"/>
  <c r="R28" i="28"/>
  <c r="R29" i="28"/>
  <c r="R19" i="28"/>
  <c r="Q20" i="28"/>
  <c r="Q21" i="28"/>
  <c r="Q22" i="28"/>
  <c r="Q23" i="28"/>
  <c r="Q24" i="28"/>
  <c r="Q25" i="28"/>
  <c r="Q26" i="28"/>
  <c r="Q27" i="28"/>
  <c r="Q28" i="28"/>
  <c r="Q29" i="28"/>
  <c r="Q19" i="28"/>
  <c r="P20" i="28"/>
  <c r="P21" i="28"/>
  <c r="P22" i="28"/>
  <c r="P23" i="28"/>
  <c r="P24" i="28"/>
  <c r="P25" i="28"/>
  <c r="P26" i="28"/>
  <c r="P27" i="28"/>
  <c r="P28" i="28"/>
  <c r="P29" i="28"/>
  <c r="P19" i="28"/>
  <c r="O20" i="28"/>
  <c r="O21" i="28"/>
  <c r="O22" i="28"/>
  <c r="O23" i="28"/>
  <c r="O24" i="28"/>
  <c r="O25" i="28"/>
  <c r="O26" i="28"/>
  <c r="O27" i="28"/>
  <c r="O28" i="28"/>
  <c r="O29" i="28"/>
  <c r="O19" i="28"/>
  <c r="N20" i="28"/>
  <c r="N21" i="28"/>
  <c r="N22" i="28"/>
  <c r="N23" i="28"/>
  <c r="N24" i="28"/>
  <c r="N25" i="28"/>
  <c r="N26" i="28"/>
  <c r="N27" i="28"/>
  <c r="N28" i="28"/>
  <c r="N29" i="28"/>
  <c r="N19" i="28"/>
  <c r="D20" i="28"/>
  <c r="D21" i="28"/>
  <c r="D22" i="28"/>
  <c r="D23" i="28"/>
  <c r="D24" i="28"/>
  <c r="D25" i="28"/>
  <c r="M25" i="28" s="1"/>
  <c r="D26" i="28"/>
  <c r="I26" i="28" s="1"/>
  <c r="D27" i="28"/>
  <c r="M27" i="28" s="1"/>
  <c r="D28" i="28"/>
  <c r="D29" i="28"/>
  <c r="D19" i="28"/>
  <c r="I19" i="28" s="1"/>
  <c r="I29" i="28"/>
  <c r="E29" i="28"/>
  <c r="E20" i="28"/>
  <c r="E21" i="28"/>
  <c r="E22" i="28"/>
  <c r="E23" i="28"/>
  <c r="E24" i="28"/>
  <c r="E25" i="28"/>
  <c r="E26" i="28"/>
  <c r="E27" i="28"/>
  <c r="E28" i="28"/>
  <c r="E19" i="28"/>
  <c r="M20" i="28"/>
  <c r="M21" i="28"/>
  <c r="M22" i="28"/>
  <c r="M23" i="28"/>
  <c r="M24" i="28"/>
  <c r="M28" i="28"/>
  <c r="M19" i="28"/>
  <c r="L20" i="28"/>
  <c r="L21" i="28"/>
  <c r="L22" i="28"/>
  <c r="L23" i="28"/>
  <c r="L24" i="28"/>
  <c r="L25" i="28"/>
  <c r="L26" i="28"/>
  <c r="L27" i="28"/>
  <c r="L28" i="28"/>
  <c r="L29" i="28"/>
  <c r="L19" i="28"/>
  <c r="K20" i="28"/>
  <c r="K21" i="28"/>
  <c r="K22" i="28"/>
  <c r="K23" i="28"/>
  <c r="K24" i="28"/>
  <c r="K25" i="28"/>
  <c r="K26" i="28"/>
  <c r="K27" i="28"/>
  <c r="K28" i="28"/>
  <c r="K29" i="28"/>
  <c r="K19" i="28"/>
  <c r="J20" i="28"/>
  <c r="J21" i="28"/>
  <c r="J22" i="28"/>
  <c r="J23" i="28"/>
  <c r="J24" i="28"/>
  <c r="J25" i="28"/>
  <c r="J26" i="28"/>
  <c r="J27" i="28"/>
  <c r="J28" i="28"/>
  <c r="J29" i="28"/>
  <c r="J19" i="28"/>
  <c r="I20" i="28"/>
  <c r="I21" i="28"/>
  <c r="I22" i="28"/>
  <c r="I23" i="28"/>
  <c r="I24" i="28"/>
  <c r="I25" i="28"/>
  <c r="I28" i="28"/>
  <c r="G20" i="28"/>
  <c r="G21" i="28"/>
  <c r="G22" i="28"/>
  <c r="G23" i="28"/>
  <c r="G24" i="28"/>
  <c r="G25" i="28"/>
  <c r="G26" i="28"/>
  <c r="G27" i="28"/>
  <c r="G28" i="28"/>
  <c r="G29" i="28"/>
  <c r="G19" i="28"/>
  <c r="F20" i="28"/>
  <c r="F21" i="28"/>
  <c r="F22" i="28"/>
  <c r="F23" i="28"/>
  <c r="F24" i="28"/>
  <c r="F25" i="28"/>
  <c r="F26" i="28"/>
  <c r="F27" i="28"/>
  <c r="F28" i="28"/>
  <c r="F29" i="28"/>
  <c r="F19" i="28"/>
  <c r="C20" i="28"/>
  <c r="C21" i="28"/>
  <c r="C22" i="28"/>
  <c r="C23" i="28"/>
  <c r="C24" i="28"/>
  <c r="C25" i="28"/>
  <c r="C26" i="28"/>
  <c r="C27" i="28"/>
  <c r="C28" i="28"/>
  <c r="C29" i="28"/>
  <c r="C19" i="28"/>
  <c r="AR5" i="28"/>
  <c r="AR6" i="28"/>
  <c r="AR7" i="28"/>
  <c r="AR4" i="28"/>
  <c r="AQ5" i="28"/>
  <c r="AQ6" i="28"/>
  <c r="AQ4" i="28"/>
  <c r="AP5" i="28"/>
  <c r="AP6" i="28"/>
  <c r="AP7" i="28"/>
  <c r="AP4" i="28"/>
  <c r="AO5" i="28"/>
  <c r="AO6" i="28"/>
  <c r="AS6" i="28" s="1"/>
  <c r="AO7" i="28"/>
  <c r="AO4" i="28"/>
  <c r="AK5" i="28"/>
  <c r="AK6" i="28"/>
  <c r="AK7" i="28"/>
  <c r="AK4" i="28"/>
  <c r="AH5" i="28"/>
  <c r="AG5" i="28"/>
  <c r="AG6" i="28"/>
  <c r="AH6" i="28" s="1"/>
  <c r="AG7" i="28"/>
  <c r="AH7" i="28" s="1"/>
  <c r="AG8" i="28"/>
  <c r="AG4" i="28"/>
  <c r="AH4" i="28" s="1"/>
  <c r="AB5" i="28"/>
  <c r="AC5" i="28" s="1"/>
  <c r="AD5" i="28" s="1"/>
  <c r="AB6" i="28"/>
  <c r="AC6" i="28" s="1"/>
  <c r="AB7" i="28"/>
  <c r="AC7" i="28" s="1"/>
  <c r="AB8" i="28"/>
  <c r="AB9" i="28"/>
  <c r="AC9" i="28" s="1"/>
  <c r="AB10" i="28"/>
  <c r="AC10" i="28" s="1"/>
  <c r="AB11" i="28"/>
  <c r="AB12" i="28"/>
  <c r="AC12" i="28" s="1"/>
  <c r="AB13" i="28"/>
  <c r="AC13" i="28" s="1"/>
  <c r="AB14" i="28"/>
  <c r="AC14" i="28" s="1"/>
  <c r="AB4" i="28"/>
  <c r="AC4" i="28" s="1"/>
  <c r="AA5" i="28"/>
  <c r="AA6" i="28"/>
  <c r="AA7" i="28"/>
  <c r="AA8" i="28"/>
  <c r="AA9" i="28"/>
  <c r="AA10" i="28"/>
  <c r="AA11" i="28"/>
  <c r="AA12" i="28"/>
  <c r="AA13" i="28"/>
  <c r="AA14" i="28"/>
  <c r="AA4" i="28"/>
  <c r="Z5" i="28"/>
  <c r="Z6" i="28"/>
  <c r="Z7" i="28"/>
  <c r="Z8" i="28"/>
  <c r="Z9" i="28"/>
  <c r="Z10" i="28"/>
  <c r="Z11" i="28"/>
  <c r="Z12" i="28"/>
  <c r="Z13" i="28"/>
  <c r="Z14" i="28"/>
  <c r="Z4" i="28"/>
  <c r="U4" i="28"/>
  <c r="W4" i="28" s="1"/>
  <c r="R5" i="28"/>
  <c r="R6" i="28"/>
  <c r="R7" i="28"/>
  <c r="R4" i="28"/>
  <c r="M5" i="28"/>
  <c r="M6" i="28"/>
  <c r="M7" i="28"/>
  <c r="M4" i="28"/>
  <c r="K9" i="28"/>
  <c r="L9" i="28" s="1"/>
  <c r="N9" i="28" s="1"/>
  <c r="O9" i="28" s="1"/>
  <c r="K10" i="28"/>
  <c r="J5" i="28"/>
  <c r="K5" i="28" s="1"/>
  <c r="L5" i="28" s="1"/>
  <c r="N5" i="28" s="1"/>
  <c r="O5" i="28" s="1"/>
  <c r="J6" i="28"/>
  <c r="K6" i="28" s="1"/>
  <c r="L6" i="28" s="1"/>
  <c r="N6" i="28" s="1"/>
  <c r="O6" i="28" s="1"/>
  <c r="J7" i="28"/>
  <c r="K7" i="28" s="1"/>
  <c r="L7" i="28" s="1"/>
  <c r="N7" i="28" s="1"/>
  <c r="O7" i="28" s="1"/>
  <c r="J8" i="28"/>
  <c r="K8" i="28" s="1"/>
  <c r="L8" i="28" s="1"/>
  <c r="N8" i="28" s="1"/>
  <c r="O8" i="28" s="1"/>
  <c r="J9" i="28"/>
  <c r="J10" i="28"/>
  <c r="J11" i="28"/>
  <c r="K11" i="28" s="1"/>
  <c r="J12" i="28"/>
  <c r="K12" i="28" s="1"/>
  <c r="J13" i="28"/>
  <c r="K13" i="28" s="1"/>
  <c r="L13" i="28" s="1"/>
  <c r="J14" i="28"/>
  <c r="K14" i="28" s="1"/>
  <c r="L14" i="28" s="1"/>
  <c r="J4" i="28"/>
  <c r="K4" i="28" s="1"/>
  <c r="L4" i="28" s="1"/>
  <c r="N4" i="28" s="1"/>
  <c r="O4" i="28" s="1"/>
  <c r="E6" i="28"/>
  <c r="E4" i="28"/>
  <c r="E5" i="28"/>
  <c r="S30" i="24"/>
  <c r="S31" i="24"/>
  <c r="S32" i="24"/>
  <c r="S33" i="24"/>
  <c r="S34" i="24"/>
  <c r="S35" i="24"/>
  <c r="S36" i="24"/>
  <c r="S29" i="24"/>
  <c r="R30" i="24"/>
  <c r="R31" i="24"/>
  <c r="R32" i="24"/>
  <c r="R33" i="24"/>
  <c r="R34" i="24"/>
  <c r="R35" i="24"/>
  <c r="R36" i="24"/>
  <c r="R29" i="24"/>
  <c r="Q30" i="24"/>
  <c r="Q31" i="24"/>
  <c r="Q32" i="24"/>
  <c r="Q33" i="24"/>
  <c r="Q34" i="24"/>
  <c r="Q35" i="24"/>
  <c r="Q36" i="24"/>
  <c r="Q29" i="24"/>
  <c r="P30" i="24"/>
  <c r="P31" i="24"/>
  <c r="P32" i="24"/>
  <c r="P33" i="24"/>
  <c r="P34" i="24"/>
  <c r="P35" i="24"/>
  <c r="P36" i="24"/>
  <c r="P29" i="24"/>
  <c r="O30" i="24"/>
  <c r="O31" i="24"/>
  <c r="O32" i="24"/>
  <c r="O33" i="24"/>
  <c r="O34" i="24"/>
  <c r="O35" i="24"/>
  <c r="O36" i="24"/>
  <c r="O29" i="24"/>
  <c r="N30" i="24"/>
  <c r="N31" i="24"/>
  <c r="N32" i="24"/>
  <c r="N33" i="24"/>
  <c r="N34" i="24"/>
  <c r="N35" i="24"/>
  <c r="N36" i="24"/>
  <c r="N29" i="24"/>
  <c r="M30" i="24"/>
  <c r="M31" i="24"/>
  <c r="M32" i="24"/>
  <c r="M33" i="24"/>
  <c r="M34" i="24"/>
  <c r="M35" i="24"/>
  <c r="M36" i="24"/>
  <c r="M29" i="24"/>
  <c r="L30" i="24"/>
  <c r="L31" i="24"/>
  <c r="L32" i="24"/>
  <c r="L33" i="24"/>
  <c r="L34" i="24"/>
  <c r="L35" i="24"/>
  <c r="L36" i="24"/>
  <c r="AS5" i="24"/>
  <c r="AS6" i="24"/>
  <c r="AS7" i="24"/>
  <c r="AS8" i="24"/>
  <c r="AS9" i="24"/>
  <c r="AS10" i="24"/>
  <c r="AS11" i="24"/>
  <c r="AS4" i="24"/>
  <c r="AR5" i="24"/>
  <c r="AR6" i="24"/>
  <c r="AR7" i="24"/>
  <c r="AR8" i="24"/>
  <c r="AR9" i="24"/>
  <c r="AR10" i="24"/>
  <c r="AR11" i="24"/>
  <c r="AR4" i="24"/>
  <c r="AQ5" i="24"/>
  <c r="AQ6" i="24"/>
  <c r="AQ7" i="24"/>
  <c r="AQ8" i="24"/>
  <c r="AQ9" i="24"/>
  <c r="AQ10" i="24"/>
  <c r="AQ11" i="24"/>
  <c r="AQ4" i="24"/>
  <c r="AP5" i="24"/>
  <c r="AP6" i="24"/>
  <c r="AP7" i="24"/>
  <c r="AP8" i="24"/>
  <c r="AP9" i="24"/>
  <c r="AP10" i="24"/>
  <c r="AP11" i="24"/>
  <c r="AP4" i="24"/>
  <c r="AO5" i="24"/>
  <c r="AO6" i="24"/>
  <c r="AO7" i="24"/>
  <c r="AO8" i="24"/>
  <c r="AO9" i="24"/>
  <c r="AO10" i="24"/>
  <c r="AO11" i="24"/>
  <c r="AO4" i="24"/>
  <c r="L29" i="24"/>
  <c r="K30" i="24"/>
  <c r="K31" i="24"/>
  <c r="K32" i="24"/>
  <c r="K33" i="24"/>
  <c r="K34" i="24"/>
  <c r="K35" i="24"/>
  <c r="K36" i="24"/>
  <c r="K29" i="24"/>
  <c r="J30" i="24"/>
  <c r="J31" i="24"/>
  <c r="J32" i="24"/>
  <c r="J33" i="24"/>
  <c r="J34" i="24"/>
  <c r="J35" i="24"/>
  <c r="J36" i="24"/>
  <c r="J37" i="24"/>
  <c r="J29" i="24"/>
  <c r="I30" i="24"/>
  <c r="I31" i="24"/>
  <c r="I32" i="24"/>
  <c r="I33" i="24"/>
  <c r="I34" i="24"/>
  <c r="I35" i="24"/>
  <c r="I36" i="24"/>
  <c r="I29" i="24"/>
  <c r="G30" i="24"/>
  <c r="G31" i="24"/>
  <c r="G32" i="24"/>
  <c r="G33" i="24"/>
  <c r="G34" i="24"/>
  <c r="G35" i="24"/>
  <c r="G36" i="24"/>
  <c r="G29" i="24"/>
  <c r="F30" i="24"/>
  <c r="F31" i="24"/>
  <c r="F32" i="24"/>
  <c r="F33" i="24"/>
  <c r="F34" i="24"/>
  <c r="F35" i="24"/>
  <c r="F36" i="24"/>
  <c r="F29" i="24"/>
  <c r="E30" i="24"/>
  <c r="E31" i="24"/>
  <c r="E32" i="24"/>
  <c r="E33" i="24"/>
  <c r="E34" i="24"/>
  <c r="E35" i="24"/>
  <c r="E36" i="24"/>
  <c r="E29" i="24"/>
  <c r="E37" i="24"/>
  <c r="D30" i="24"/>
  <c r="D31" i="24"/>
  <c r="D32" i="24"/>
  <c r="D33" i="24"/>
  <c r="D34" i="24"/>
  <c r="D35" i="24"/>
  <c r="D36" i="24"/>
  <c r="D29" i="24"/>
  <c r="C30" i="24"/>
  <c r="C31" i="24"/>
  <c r="C32" i="24"/>
  <c r="C33" i="24"/>
  <c r="C34" i="24"/>
  <c r="C35" i="24"/>
  <c r="C36" i="24"/>
  <c r="C29" i="24"/>
  <c r="AK5" i="24"/>
  <c r="AK6" i="24"/>
  <c r="AK7" i="24"/>
  <c r="AK8" i="24"/>
  <c r="AK9" i="24"/>
  <c r="AK10" i="24"/>
  <c r="AK11" i="24"/>
  <c r="AK4" i="24"/>
  <c r="AG5" i="24"/>
  <c r="AH5" i="24" s="1"/>
  <c r="AG6" i="24"/>
  <c r="AH6" i="24" s="1"/>
  <c r="AG7" i="24"/>
  <c r="AH7" i="24" s="1"/>
  <c r="AG8" i="24"/>
  <c r="AH8" i="24" s="1"/>
  <c r="AG9" i="24"/>
  <c r="AH9" i="24" s="1"/>
  <c r="AG10" i="24"/>
  <c r="AH10" i="24" s="1"/>
  <c r="AG11" i="24"/>
  <c r="AH11" i="24" s="1"/>
  <c r="AG4" i="24"/>
  <c r="AH4" i="24" s="1"/>
  <c r="AB5" i="24"/>
  <c r="AC5" i="24" s="1"/>
  <c r="AB6" i="24"/>
  <c r="AC6" i="24" s="1"/>
  <c r="AB7" i="24"/>
  <c r="AC7" i="24" s="1"/>
  <c r="AB8" i="24"/>
  <c r="AC8" i="24" s="1"/>
  <c r="AB9" i="24"/>
  <c r="AC9" i="24" s="1"/>
  <c r="AB10" i="24"/>
  <c r="AC10" i="24" s="1"/>
  <c r="AB11" i="24"/>
  <c r="AC11" i="24" s="1"/>
  <c r="AB4" i="24"/>
  <c r="AC4" i="24" s="1"/>
  <c r="AA5" i="24"/>
  <c r="AA6" i="24"/>
  <c r="AA7" i="24"/>
  <c r="AA8" i="24"/>
  <c r="AA9" i="24"/>
  <c r="AA10" i="24"/>
  <c r="AA11" i="24"/>
  <c r="AA4" i="24"/>
  <c r="Z5" i="24"/>
  <c r="Z6" i="24"/>
  <c r="Z7" i="24"/>
  <c r="AD7" i="24" s="1"/>
  <c r="Z8" i="24"/>
  <c r="AD8" i="24" s="1"/>
  <c r="Z9" i="24"/>
  <c r="Z10" i="24"/>
  <c r="Z11" i="24"/>
  <c r="Z4" i="24"/>
  <c r="AD4" i="24" s="1"/>
  <c r="U5" i="24"/>
  <c r="W5" i="24" s="1"/>
  <c r="U6" i="24"/>
  <c r="W6" i="24" s="1"/>
  <c r="U7" i="24"/>
  <c r="W7" i="24" s="1"/>
  <c r="U8" i="24"/>
  <c r="W8" i="24" s="1"/>
  <c r="U9" i="24"/>
  <c r="W9" i="24" s="1"/>
  <c r="U10" i="24"/>
  <c r="W10" i="24" s="1"/>
  <c r="U11" i="24"/>
  <c r="W11" i="24" s="1"/>
  <c r="U4" i="24"/>
  <c r="W4" i="24" s="1"/>
  <c r="R5" i="24"/>
  <c r="R6" i="24"/>
  <c r="R7" i="24"/>
  <c r="R8" i="24"/>
  <c r="R9" i="24"/>
  <c r="R10" i="24"/>
  <c r="R11" i="24"/>
  <c r="R4" i="24"/>
  <c r="M5" i="24"/>
  <c r="M6" i="24"/>
  <c r="M7" i="24"/>
  <c r="M8" i="24"/>
  <c r="M9" i="24"/>
  <c r="M10" i="24"/>
  <c r="M11" i="24"/>
  <c r="M4" i="24"/>
  <c r="J5" i="24"/>
  <c r="K5" i="24" s="1"/>
  <c r="L5" i="24" s="1"/>
  <c r="N5" i="24" s="1"/>
  <c r="O5" i="24" s="1"/>
  <c r="J6" i="24"/>
  <c r="K6" i="24" s="1"/>
  <c r="L6" i="24" s="1"/>
  <c r="N6" i="24" s="1"/>
  <c r="O6" i="24" s="1"/>
  <c r="J7" i="24"/>
  <c r="K7" i="24" s="1"/>
  <c r="L7" i="24" s="1"/>
  <c r="N7" i="24" s="1"/>
  <c r="O7" i="24" s="1"/>
  <c r="J8" i="24"/>
  <c r="K8" i="24" s="1"/>
  <c r="L8" i="24" s="1"/>
  <c r="N8" i="24" s="1"/>
  <c r="O8" i="24" s="1"/>
  <c r="J9" i="24"/>
  <c r="K9" i="24" s="1"/>
  <c r="L9" i="24" s="1"/>
  <c r="J10" i="24"/>
  <c r="K10" i="24" s="1"/>
  <c r="L10" i="24" s="1"/>
  <c r="N10" i="24" s="1"/>
  <c r="O10" i="24" s="1"/>
  <c r="J11" i="24"/>
  <c r="K11" i="24" s="1"/>
  <c r="L11" i="24" s="1"/>
  <c r="N11" i="24" s="1"/>
  <c r="O11" i="24" s="1"/>
  <c r="J4" i="24"/>
  <c r="K4" i="24" s="1"/>
  <c r="L4" i="24" s="1"/>
  <c r="N4" i="24" s="1"/>
  <c r="O4" i="24" s="1"/>
  <c r="J12" i="24"/>
  <c r="K12" i="24" s="1"/>
  <c r="L12" i="24" s="1"/>
  <c r="E5" i="24"/>
  <c r="E6" i="24"/>
  <c r="E7" i="24"/>
  <c r="E8" i="24"/>
  <c r="E9" i="24"/>
  <c r="E10" i="24"/>
  <c r="E11" i="24"/>
  <c r="E4" i="24"/>
  <c r="S38" i="23"/>
  <c r="S39" i="23"/>
  <c r="S40" i="23"/>
  <c r="S41" i="23"/>
  <c r="S42" i="23"/>
  <c r="S43" i="23"/>
  <c r="S44" i="23"/>
  <c r="S37" i="23"/>
  <c r="S45" i="23"/>
  <c r="R38" i="23"/>
  <c r="R39" i="23"/>
  <c r="R40" i="23"/>
  <c r="R41" i="23"/>
  <c r="R42" i="23"/>
  <c r="R43" i="23"/>
  <c r="R44" i="23"/>
  <c r="R37" i="23"/>
  <c r="Q38" i="23"/>
  <c r="Q39" i="23"/>
  <c r="Q40" i="23"/>
  <c r="Q41" i="23"/>
  <c r="Q42" i="23"/>
  <c r="Q43" i="23"/>
  <c r="Q44" i="23"/>
  <c r="Q37" i="23"/>
  <c r="P38" i="23"/>
  <c r="P39" i="23"/>
  <c r="P40" i="23"/>
  <c r="P41" i="23"/>
  <c r="P42" i="23"/>
  <c r="P43" i="23"/>
  <c r="P44" i="23"/>
  <c r="P37" i="23"/>
  <c r="P45" i="23"/>
  <c r="O38" i="23"/>
  <c r="O39" i="23"/>
  <c r="O40" i="23"/>
  <c r="O41" i="23"/>
  <c r="O42" i="23"/>
  <c r="O43" i="23"/>
  <c r="O44" i="23"/>
  <c r="O37" i="23"/>
  <c r="N38" i="23"/>
  <c r="N39" i="23"/>
  <c r="N40" i="23"/>
  <c r="N41" i="23"/>
  <c r="N42" i="23"/>
  <c r="N43" i="23"/>
  <c r="N44" i="23"/>
  <c r="N37" i="23"/>
  <c r="M38" i="23"/>
  <c r="M39" i="23"/>
  <c r="M40" i="23"/>
  <c r="M41" i="23"/>
  <c r="M42" i="23"/>
  <c r="M43" i="23"/>
  <c r="M44" i="23"/>
  <c r="M37" i="23"/>
  <c r="L38" i="23"/>
  <c r="L39" i="23"/>
  <c r="L40" i="23"/>
  <c r="L41" i="23"/>
  <c r="L42" i="23"/>
  <c r="L43" i="23"/>
  <c r="L44" i="23"/>
  <c r="L37" i="23"/>
  <c r="K38" i="23"/>
  <c r="K39" i="23"/>
  <c r="K40" i="23"/>
  <c r="K41" i="23"/>
  <c r="K42" i="23"/>
  <c r="K43" i="23"/>
  <c r="K44" i="23"/>
  <c r="K37" i="23"/>
  <c r="J38" i="23"/>
  <c r="J39" i="23"/>
  <c r="J40" i="23"/>
  <c r="J41" i="23"/>
  <c r="J42" i="23"/>
  <c r="J43" i="23"/>
  <c r="J44" i="23"/>
  <c r="J37" i="23"/>
  <c r="I38" i="23"/>
  <c r="I39" i="23"/>
  <c r="I40" i="23"/>
  <c r="I41" i="23"/>
  <c r="I42" i="23"/>
  <c r="I43" i="23"/>
  <c r="I44" i="23"/>
  <c r="I37" i="23"/>
  <c r="G38" i="23"/>
  <c r="G39" i="23"/>
  <c r="G40" i="23"/>
  <c r="G41" i="23"/>
  <c r="G42" i="23"/>
  <c r="G43" i="23"/>
  <c r="G44" i="23"/>
  <c r="G37" i="23"/>
  <c r="F38" i="23"/>
  <c r="F39" i="23"/>
  <c r="F40" i="23"/>
  <c r="F41" i="23"/>
  <c r="F42" i="23"/>
  <c r="F43" i="23"/>
  <c r="F44" i="23"/>
  <c r="F37" i="23"/>
  <c r="E38" i="23"/>
  <c r="E39" i="23"/>
  <c r="E40" i="23"/>
  <c r="E41" i="23"/>
  <c r="E42" i="23"/>
  <c r="E43" i="23"/>
  <c r="E44" i="23"/>
  <c r="E37" i="23"/>
  <c r="D38" i="23"/>
  <c r="D39" i="23"/>
  <c r="D40" i="23"/>
  <c r="D41" i="23"/>
  <c r="D42" i="23"/>
  <c r="D43" i="23"/>
  <c r="D44" i="23"/>
  <c r="D37" i="23"/>
  <c r="C38" i="23"/>
  <c r="C39" i="23"/>
  <c r="C40" i="23"/>
  <c r="C41" i="23"/>
  <c r="C42" i="23"/>
  <c r="C43" i="23"/>
  <c r="C44" i="23"/>
  <c r="C37" i="23"/>
  <c r="C48" i="23"/>
  <c r="AQ5" i="23"/>
  <c r="AQ6" i="23"/>
  <c r="AQ7" i="23"/>
  <c r="AQ8" i="23"/>
  <c r="AQ9" i="23"/>
  <c r="AQ10" i="23"/>
  <c r="AQ11" i="23"/>
  <c r="AQ4" i="23"/>
  <c r="AP5" i="23"/>
  <c r="AP6" i="23"/>
  <c r="AP7" i="23"/>
  <c r="AP8" i="23"/>
  <c r="AP9" i="23"/>
  <c r="AP10" i="23"/>
  <c r="AP11" i="23"/>
  <c r="AP4" i="23"/>
  <c r="AO5" i="23"/>
  <c r="AO6" i="23"/>
  <c r="AO7" i="23"/>
  <c r="AO8" i="23"/>
  <c r="AO9" i="23"/>
  <c r="AO10" i="23"/>
  <c r="AO11" i="23"/>
  <c r="AO4" i="23"/>
  <c r="AN5" i="23"/>
  <c r="AR5" i="23" s="1"/>
  <c r="AN6" i="23"/>
  <c r="AN7" i="23"/>
  <c r="AR7" i="23" s="1"/>
  <c r="AN8" i="23"/>
  <c r="AN9" i="23"/>
  <c r="AR9" i="23" s="1"/>
  <c r="AN10" i="23"/>
  <c r="AN11" i="23"/>
  <c r="AN4" i="23"/>
  <c r="AJ5" i="23"/>
  <c r="AJ6" i="23"/>
  <c r="AJ7" i="23"/>
  <c r="AJ8" i="23"/>
  <c r="AJ9" i="23"/>
  <c r="AJ10" i="23"/>
  <c r="AJ11" i="23"/>
  <c r="AJ4" i="23"/>
  <c r="AF5" i="23"/>
  <c r="AG5" i="23" s="1"/>
  <c r="AF6" i="23"/>
  <c r="AG6" i="23" s="1"/>
  <c r="AF7" i="23"/>
  <c r="AG7" i="23" s="1"/>
  <c r="AF8" i="23"/>
  <c r="AG8" i="23" s="1"/>
  <c r="AF9" i="23"/>
  <c r="AG9" i="23" s="1"/>
  <c r="AF10" i="23"/>
  <c r="AG10" i="23" s="1"/>
  <c r="AF11" i="23"/>
  <c r="AG11" i="23" s="1"/>
  <c r="AF4" i="23"/>
  <c r="AG4" i="23" s="1"/>
  <c r="AA5" i="23"/>
  <c r="AB5" i="23" s="1"/>
  <c r="AA6" i="23"/>
  <c r="AB6" i="23" s="1"/>
  <c r="AA7" i="23"/>
  <c r="AB7" i="23" s="1"/>
  <c r="AA8" i="23"/>
  <c r="AB8" i="23" s="1"/>
  <c r="AA9" i="23"/>
  <c r="AB9" i="23" s="1"/>
  <c r="AA10" i="23"/>
  <c r="AB10" i="23" s="1"/>
  <c r="AA11" i="23"/>
  <c r="AB11" i="23" s="1"/>
  <c r="AA4" i="23"/>
  <c r="AB4" i="23" s="1"/>
  <c r="AA13" i="23"/>
  <c r="AB13" i="23" s="1"/>
  <c r="AA12" i="23"/>
  <c r="AB12" i="23" s="1"/>
  <c r="Z5" i="23"/>
  <c r="Z6" i="23"/>
  <c r="Z7" i="23"/>
  <c r="Z8" i="23"/>
  <c r="Z9" i="23"/>
  <c r="Z10" i="23"/>
  <c r="Z11" i="23"/>
  <c r="Z4" i="23"/>
  <c r="Z12" i="23"/>
  <c r="Y5" i="23"/>
  <c r="Y6" i="23"/>
  <c r="Y7" i="23"/>
  <c r="Y8" i="23"/>
  <c r="Y9" i="23"/>
  <c r="Y10" i="23"/>
  <c r="Y11" i="23"/>
  <c r="Y4" i="23"/>
  <c r="T5" i="23"/>
  <c r="V5" i="23" s="1"/>
  <c r="T6" i="23"/>
  <c r="V6" i="23" s="1"/>
  <c r="T7" i="23"/>
  <c r="V7" i="23" s="1"/>
  <c r="T8" i="23"/>
  <c r="V8" i="23" s="1"/>
  <c r="T9" i="23"/>
  <c r="V9" i="23" s="1"/>
  <c r="T10" i="23"/>
  <c r="V10" i="23" s="1"/>
  <c r="T11" i="23"/>
  <c r="V11" i="23" s="1"/>
  <c r="T4" i="23"/>
  <c r="V4" i="23" s="1"/>
  <c r="T12" i="23"/>
  <c r="V12" i="23" s="1"/>
  <c r="F45" i="23" s="1"/>
  <c r="O5" i="23"/>
  <c r="O6" i="23"/>
  <c r="O7" i="23"/>
  <c r="O8" i="23"/>
  <c r="O9" i="23"/>
  <c r="O10" i="23"/>
  <c r="O11" i="23"/>
  <c r="O4" i="23"/>
  <c r="H5" i="23"/>
  <c r="I5" i="23" s="1"/>
  <c r="J5" i="23" s="1"/>
  <c r="K5" i="23" s="1"/>
  <c r="L5" i="23" s="1"/>
  <c r="H6" i="23"/>
  <c r="I6" i="23" s="1"/>
  <c r="J6" i="23" s="1"/>
  <c r="K6" i="23" s="1"/>
  <c r="L6" i="23" s="1"/>
  <c r="H7" i="23"/>
  <c r="I7" i="23" s="1"/>
  <c r="J7" i="23" s="1"/>
  <c r="K7" i="23" s="1"/>
  <c r="L7" i="23" s="1"/>
  <c r="H8" i="23"/>
  <c r="I8" i="23" s="1"/>
  <c r="J8" i="23" s="1"/>
  <c r="K8" i="23" s="1"/>
  <c r="L8" i="23" s="1"/>
  <c r="H9" i="23"/>
  <c r="I9" i="23" s="1"/>
  <c r="J9" i="23" s="1"/>
  <c r="K9" i="23" s="1"/>
  <c r="L9" i="23" s="1"/>
  <c r="H10" i="23"/>
  <c r="I10" i="23" s="1"/>
  <c r="J10" i="23" s="1"/>
  <c r="K10" i="23" s="1"/>
  <c r="L10" i="23" s="1"/>
  <c r="H11" i="23"/>
  <c r="I11" i="23" s="1"/>
  <c r="J11" i="23" s="1"/>
  <c r="K11" i="23" s="1"/>
  <c r="L11" i="23" s="1"/>
  <c r="H4" i="23"/>
  <c r="I4" i="23" s="1"/>
  <c r="J4" i="23" s="1"/>
  <c r="K4" i="23" s="1"/>
  <c r="L4" i="23" s="1"/>
  <c r="E7" i="28"/>
  <c r="E8" i="28"/>
  <c r="E9" i="28"/>
  <c r="E10" i="28"/>
  <c r="E11" i="28"/>
  <c r="E12" i="28"/>
  <c r="E13" i="28"/>
  <c r="E14" i="28"/>
  <c r="AR8" i="28"/>
  <c r="AR9" i="28"/>
  <c r="AR10" i="28"/>
  <c r="AR11" i="28"/>
  <c r="AR12" i="28"/>
  <c r="AR13" i="28"/>
  <c r="AQ8" i="28"/>
  <c r="AQ9" i="28"/>
  <c r="AQ10" i="28"/>
  <c r="AQ11" i="28"/>
  <c r="AQ12" i="28"/>
  <c r="AQ13" i="28"/>
  <c r="AQ14" i="28"/>
  <c r="AP8" i="28"/>
  <c r="AP9" i="28"/>
  <c r="AP10" i="28"/>
  <c r="AP11" i="28"/>
  <c r="AP12" i="28"/>
  <c r="AP13" i="28"/>
  <c r="AP14" i="28"/>
  <c r="AO8" i="28"/>
  <c r="AO9" i="28"/>
  <c r="AO10" i="28"/>
  <c r="AO11" i="28"/>
  <c r="AO12" i="28"/>
  <c r="AO13" i="28"/>
  <c r="AO14" i="28"/>
  <c r="AK8" i="28"/>
  <c r="AK9" i="28"/>
  <c r="AK10" i="28"/>
  <c r="AK11" i="28"/>
  <c r="AK12" i="28"/>
  <c r="AK13" i="28"/>
  <c r="AH8" i="28"/>
  <c r="AG9" i="28"/>
  <c r="AH9" i="28" s="1"/>
  <c r="AG10" i="28"/>
  <c r="AH10" i="28" s="1"/>
  <c r="AG11" i="28"/>
  <c r="AH11" i="28" s="1"/>
  <c r="AG12" i="28"/>
  <c r="AH12" i="28" s="1"/>
  <c r="AG13" i="28"/>
  <c r="AH13" i="28" s="1"/>
  <c r="AG14" i="28"/>
  <c r="AH14" i="28" s="1"/>
  <c r="AC8" i="28"/>
  <c r="AC11" i="28"/>
  <c r="R8" i="28"/>
  <c r="R9" i="28"/>
  <c r="R10" i="28"/>
  <c r="R11" i="28"/>
  <c r="R12" i="28"/>
  <c r="R13" i="28"/>
  <c r="R14" i="28"/>
  <c r="M8" i="28"/>
  <c r="M9" i="28"/>
  <c r="M10" i="28"/>
  <c r="M11" i="28"/>
  <c r="M12" i="28"/>
  <c r="M13" i="28"/>
  <c r="M14" i="28"/>
  <c r="AR14" i="28"/>
  <c r="AK14" i="28"/>
  <c r="AQ7" i="28"/>
  <c r="E12" i="24"/>
  <c r="F49" i="24"/>
  <c r="E22" i="24"/>
  <c r="E47" i="24" s="1"/>
  <c r="E23" i="24"/>
  <c r="E48" i="24" s="1"/>
  <c r="E20" i="24"/>
  <c r="E45" i="24" s="1"/>
  <c r="E19" i="24"/>
  <c r="E44" i="24" s="1"/>
  <c r="E18" i="24"/>
  <c r="E43" i="24" s="1"/>
  <c r="E16" i="24"/>
  <c r="E41" i="24" s="1"/>
  <c r="E15" i="24"/>
  <c r="E40" i="24" s="1"/>
  <c r="E46" i="23"/>
  <c r="E47" i="23"/>
  <c r="E48" i="23"/>
  <c r="E49" i="23"/>
  <c r="E50" i="23"/>
  <c r="E51" i="23"/>
  <c r="E52" i="23"/>
  <c r="E53" i="23"/>
  <c r="E54" i="23"/>
  <c r="E55" i="23"/>
  <c r="E56" i="23"/>
  <c r="E57" i="23"/>
  <c r="E58" i="23"/>
  <c r="E59" i="23"/>
  <c r="E60" i="23"/>
  <c r="E61" i="23"/>
  <c r="E62" i="23"/>
  <c r="E63" i="23"/>
  <c r="E64" i="23"/>
  <c r="E65" i="23"/>
  <c r="E45" i="23"/>
  <c r="M13" i="24"/>
  <c r="M14" i="24"/>
  <c r="M15" i="24"/>
  <c r="M16" i="24"/>
  <c r="M17" i="24"/>
  <c r="M18" i="24"/>
  <c r="M19" i="24"/>
  <c r="M20" i="24"/>
  <c r="M21" i="24"/>
  <c r="M22" i="24"/>
  <c r="M23" i="24"/>
  <c r="M24" i="24"/>
  <c r="M12" i="24"/>
  <c r="J13" i="24"/>
  <c r="K13" i="24" s="1"/>
  <c r="L13" i="24" s="1"/>
  <c r="J14" i="24"/>
  <c r="K14" i="24" s="1"/>
  <c r="L14" i="24" s="1"/>
  <c r="J15" i="24"/>
  <c r="K15" i="24" s="1"/>
  <c r="L15" i="24" s="1"/>
  <c r="J16" i="24"/>
  <c r="K16" i="24" s="1"/>
  <c r="L16" i="24" s="1"/>
  <c r="J17" i="24"/>
  <c r="K17" i="24" s="1"/>
  <c r="L17" i="24" s="1"/>
  <c r="J18" i="24"/>
  <c r="K18" i="24" s="1"/>
  <c r="L18" i="24" s="1"/>
  <c r="J19" i="24"/>
  <c r="K19" i="24" s="1"/>
  <c r="L19" i="24" s="1"/>
  <c r="J20" i="24"/>
  <c r="K20" i="24" s="1"/>
  <c r="L20" i="24" s="1"/>
  <c r="J21" i="24"/>
  <c r="K21" i="24" s="1"/>
  <c r="L21" i="24" s="1"/>
  <c r="J22" i="24"/>
  <c r="K22" i="24" s="1"/>
  <c r="L22" i="24" s="1"/>
  <c r="J23" i="24"/>
  <c r="K23" i="24" s="1"/>
  <c r="L23" i="24" s="1"/>
  <c r="J24" i="24"/>
  <c r="K24" i="24" s="1"/>
  <c r="L24" i="24" s="1"/>
  <c r="E13" i="24"/>
  <c r="E38" i="24" s="1"/>
  <c r="E14" i="24"/>
  <c r="E39" i="24" s="1"/>
  <c r="E17" i="24"/>
  <c r="E42" i="24" s="1"/>
  <c r="E24" i="24"/>
  <c r="E49" i="24" s="1"/>
  <c r="F48" i="24"/>
  <c r="F47" i="24"/>
  <c r="F46" i="24"/>
  <c r="AR24" i="24"/>
  <c r="AQ24" i="24"/>
  <c r="AP24" i="24"/>
  <c r="AO24" i="24"/>
  <c r="AK24" i="24"/>
  <c r="AG24" i="24"/>
  <c r="AH24" i="24" s="1"/>
  <c r="AB24" i="24"/>
  <c r="AC24" i="24" s="1"/>
  <c r="AA24" i="24"/>
  <c r="Z24" i="24"/>
  <c r="R24" i="24"/>
  <c r="D49" i="24" s="1"/>
  <c r="AR23" i="24"/>
  <c r="AQ23" i="24"/>
  <c r="AP23" i="24"/>
  <c r="AO23" i="24"/>
  <c r="AK23" i="24"/>
  <c r="AG23" i="24"/>
  <c r="AH23" i="24" s="1"/>
  <c r="AB23" i="24"/>
  <c r="AC23" i="24" s="1"/>
  <c r="AA23" i="24"/>
  <c r="Z23" i="24"/>
  <c r="R23" i="24"/>
  <c r="AR22" i="24"/>
  <c r="AQ22" i="24"/>
  <c r="AP22" i="24"/>
  <c r="AO22" i="24"/>
  <c r="AK22" i="24"/>
  <c r="AG22" i="24"/>
  <c r="AH22" i="24" s="1"/>
  <c r="AB22" i="24"/>
  <c r="AC22" i="24" s="1"/>
  <c r="AA22" i="24"/>
  <c r="Z22" i="24"/>
  <c r="R22" i="24"/>
  <c r="D47" i="24" s="1"/>
  <c r="AR21" i="24"/>
  <c r="AQ21" i="24"/>
  <c r="AP21" i="24"/>
  <c r="AO21" i="24"/>
  <c r="AK21" i="24"/>
  <c r="AG21" i="24"/>
  <c r="AH21" i="24" s="1"/>
  <c r="AB21" i="24"/>
  <c r="AC21" i="24" s="1"/>
  <c r="AA21" i="24"/>
  <c r="Z21" i="24"/>
  <c r="R21" i="24"/>
  <c r="AR20" i="24"/>
  <c r="AQ20" i="24"/>
  <c r="AP20" i="24"/>
  <c r="AO20" i="24"/>
  <c r="AK20" i="24"/>
  <c r="AG20" i="24"/>
  <c r="AH20" i="24" s="1"/>
  <c r="AB20" i="24"/>
  <c r="AC20" i="24" s="1"/>
  <c r="AA20" i="24"/>
  <c r="Z20" i="24"/>
  <c r="U20" i="24"/>
  <c r="W20" i="24" s="1"/>
  <c r="R20" i="24"/>
  <c r="AR19" i="24"/>
  <c r="AQ19" i="24"/>
  <c r="AP19" i="24"/>
  <c r="AO19" i="24"/>
  <c r="AK19" i="24"/>
  <c r="AG19" i="24"/>
  <c r="AH19" i="24" s="1"/>
  <c r="J44" i="24" s="1"/>
  <c r="AB19" i="24"/>
  <c r="AC19" i="24" s="1"/>
  <c r="AA19" i="24"/>
  <c r="Z19" i="24"/>
  <c r="U19" i="24"/>
  <c r="W19" i="24" s="1"/>
  <c r="R19" i="24"/>
  <c r="AR18" i="24"/>
  <c r="AQ18" i="24"/>
  <c r="AP18" i="24"/>
  <c r="AO18" i="24"/>
  <c r="AK18" i="24"/>
  <c r="K43" i="24" s="1"/>
  <c r="AG18" i="24"/>
  <c r="AH18" i="24" s="1"/>
  <c r="AB18" i="24"/>
  <c r="AC18" i="24" s="1"/>
  <c r="AA18" i="24"/>
  <c r="Z18" i="24"/>
  <c r="U18" i="24"/>
  <c r="W18" i="24" s="1"/>
  <c r="R18" i="24"/>
  <c r="D43" i="24" s="1"/>
  <c r="AR17" i="24"/>
  <c r="AQ17" i="24"/>
  <c r="AP17" i="24"/>
  <c r="AO17" i="24"/>
  <c r="AK17" i="24"/>
  <c r="K42" i="24" s="1"/>
  <c r="AG17" i="24"/>
  <c r="AH17" i="24" s="1"/>
  <c r="AB17" i="24"/>
  <c r="AC17" i="24" s="1"/>
  <c r="AA17" i="24"/>
  <c r="Z17" i="24"/>
  <c r="U17" i="24"/>
  <c r="W17" i="24" s="1"/>
  <c r="F42" i="24" s="1"/>
  <c r="R17" i="24"/>
  <c r="AR16" i="24"/>
  <c r="AQ16" i="24"/>
  <c r="AP16" i="24"/>
  <c r="AO16" i="24"/>
  <c r="AK16" i="24"/>
  <c r="AG16" i="24"/>
  <c r="AH16" i="24" s="1"/>
  <c r="AB16" i="24"/>
  <c r="AC16" i="24" s="1"/>
  <c r="AA16" i="24"/>
  <c r="Z16" i="24"/>
  <c r="U16" i="24"/>
  <c r="W16" i="24" s="1"/>
  <c r="F41" i="24" s="1"/>
  <c r="R16" i="24"/>
  <c r="AR15" i="24"/>
  <c r="AQ15" i="24"/>
  <c r="AP15" i="24"/>
  <c r="AO15" i="24"/>
  <c r="AK15" i="24"/>
  <c r="AG15" i="24"/>
  <c r="AH15" i="24" s="1"/>
  <c r="AB15" i="24"/>
  <c r="AC15" i="24" s="1"/>
  <c r="AA15" i="24"/>
  <c r="Z15" i="24"/>
  <c r="U15" i="24"/>
  <c r="W15" i="24" s="1"/>
  <c r="R15" i="24"/>
  <c r="AR14" i="24"/>
  <c r="AQ14" i="24"/>
  <c r="AP14" i="24"/>
  <c r="AO14" i="24"/>
  <c r="AK14" i="24"/>
  <c r="AG14" i="24"/>
  <c r="AH14" i="24" s="1"/>
  <c r="AB14" i="24"/>
  <c r="AC14" i="24" s="1"/>
  <c r="AA14" i="24"/>
  <c r="Z14" i="24"/>
  <c r="U14" i="24"/>
  <c r="W14" i="24" s="1"/>
  <c r="R14" i="24"/>
  <c r="AR13" i="24"/>
  <c r="AQ13" i="24"/>
  <c r="AP13" i="24"/>
  <c r="AO13" i="24"/>
  <c r="AK13" i="24"/>
  <c r="AG13" i="24"/>
  <c r="AH13" i="24" s="1"/>
  <c r="AB13" i="24"/>
  <c r="AC13" i="24" s="1"/>
  <c r="AA13" i="24"/>
  <c r="Z13" i="24"/>
  <c r="U13" i="24"/>
  <c r="W13" i="24" s="1"/>
  <c r="F38" i="24" s="1"/>
  <c r="R13" i="24"/>
  <c r="AR12" i="24"/>
  <c r="AQ12" i="24"/>
  <c r="AP12" i="24"/>
  <c r="AO12" i="24"/>
  <c r="AK12" i="24"/>
  <c r="AG12" i="24"/>
  <c r="AH12" i="24" s="1"/>
  <c r="AB12" i="24"/>
  <c r="AC12" i="24" s="1"/>
  <c r="AA12" i="24"/>
  <c r="Z12" i="24"/>
  <c r="U12" i="24"/>
  <c r="W12" i="24" s="1"/>
  <c r="F37" i="24" s="1"/>
  <c r="R12" i="24"/>
  <c r="AJ13" i="23"/>
  <c r="AJ14" i="23"/>
  <c r="AJ15" i="23"/>
  <c r="AJ16" i="23"/>
  <c r="AJ17" i="23"/>
  <c r="AJ18" i="23"/>
  <c r="AJ19" i="23"/>
  <c r="AJ20" i="23"/>
  <c r="AJ21" i="23"/>
  <c r="AJ22" i="23"/>
  <c r="AJ23" i="23"/>
  <c r="AJ24" i="23"/>
  <c r="AJ25" i="23"/>
  <c r="AJ26" i="23"/>
  <c r="AJ27" i="23"/>
  <c r="AJ28" i="23"/>
  <c r="AJ29" i="23"/>
  <c r="AJ30" i="23"/>
  <c r="AJ31" i="23"/>
  <c r="AJ32" i="23"/>
  <c r="AF13" i="23"/>
  <c r="AG13" i="23" s="1"/>
  <c r="J46" i="23" s="1"/>
  <c r="AF14" i="23"/>
  <c r="AG14" i="23" s="1"/>
  <c r="AF15" i="23"/>
  <c r="AG15" i="23" s="1"/>
  <c r="J48" i="23" s="1"/>
  <c r="AF16" i="23"/>
  <c r="AG16" i="23" s="1"/>
  <c r="J49" i="23" s="1"/>
  <c r="AF17" i="23"/>
  <c r="AG17" i="23" s="1"/>
  <c r="J50" i="23" s="1"/>
  <c r="AF18" i="23"/>
  <c r="AG18" i="23" s="1"/>
  <c r="AF19" i="23"/>
  <c r="AG19" i="23" s="1"/>
  <c r="AF20" i="23"/>
  <c r="AG20" i="23" s="1"/>
  <c r="AF21" i="23"/>
  <c r="AG21" i="23" s="1"/>
  <c r="J54" i="23" s="1"/>
  <c r="AF22" i="23"/>
  <c r="AG22" i="23" s="1"/>
  <c r="AF23" i="23"/>
  <c r="AG23" i="23" s="1"/>
  <c r="J56" i="23" s="1"/>
  <c r="AF24" i="23"/>
  <c r="AG24" i="23" s="1"/>
  <c r="J57" i="23" s="1"/>
  <c r="AF25" i="23"/>
  <c r="AG25" i="23" s="1"/>
  <c r="J58" i="23" s="1"/>
  <c r="AF26" i="23"/>
  <c r="AG26" i="23" s="1"/>
  <c r="AF27" i="23"/>
  <c r="AG27" i="23" s="1"/>
  <c r="AF28" i="23"/>
  <c r="AG28" i="23" s="1"/>
  <c r="J61" i="23" s="1"/>
  <c r="AF29" i="23"/>
  <c r="AG29" i="23" s="1"/>
  <c r="J62" i="23" s="1"/>
  <c r="AF30" i="23"/>
  <c r="AG30" i="23" s="1"/>
  <c r="AF31" i="23"/>
  <c r="AG31" i="23" s="1"/>
  <c r="J64" i="23" s="1"/>
  <c r="AF32" i="23"/>
  <c r="AG32" i="23" s="1"/>
  <c r="J65" i="23" s="1"/>
  <c r="F54" i="23"/>
  <c r="F55" i="23"/>
  <c r="F56" i="23"/>
  <c r="F57" i="23"/>
  <c r="F58" i="23"/>
  <c r="F59" i="23"/>
  <c r="F60" i="23"/>
  <c r="F61" i="23"/>
  <c r="F62" i="23"/>
  <c r="F63" i="23"/>
  <c r="F64" i="23"/>
  <c r="F65" i="23"/>
  <c r="O13" i="23"/>
  <c r="O14" i="23"/>
  <c r="D47" i="23" s="1"/>
  <c r="O15" i="23"/>
  <c r="O16" i="23"/>
  <c r="D49" i="23" s="1"/>
  <c r="M49" i="23" s="1"/>
  <c r="O17" i="23"/>
  <c r="D50" i="23" s="1"/>
  <c r="M50" i="23" s="1"/>
  <c r="O18" i="23"/>
  <c r="O19" i="23"/>
  <c r="D52" i="23" s="1"/>
  <c r="O20" i="23"/>
  <c r="D53" i="23" s="1"/>
  <c r="O21" i="23"/>
  <c r="O22" i="23"/>
  <c r="O23" i="23"/>
  <c r="O24" i="23"/>
  <c r="O25" i="23"/>
  <c r="O26" i="23"/>
  <c r="D59" i="23" s="1"/>
  <c r="O27" i="23"/>
  <c r="D60" i="23" s="1"/>
  <c r="O28" i="23"/>
  <c r="D61" i="23" s="1"/>
  <c r="O29" i="23"/>
  <c r="O30" i="23"/>
  <c r="D63" i="23" s="1"/>
  <c r="O31" i="23"/>
  <c r="D64" i="23" s="1"/>
  <c r="M64" i="23" s="1"/>
  <c r="O32" i="23"/>
  <c r="D65" i="23" s="1"/>
  <c r="M65" i="23" s="1"/>
  <c r="AQ13" i="23"/>
  <c r="AQ14" i="23"/>
  <c r="AQ15" i="23"/>
  <c r="AQ16" i="23"/>
  <c r="AQ17" i="23"/>
  <c r="AQ18" i="23"/>
  <c r="AQ19" i="23"/>
  <c r="AQ20" i="23"/>
  <c r="AQ21" i="23"/>
  <c r="AQ22" i="23"/>
  <c r="AQ23" i="23"/>
  <c r="AQ24" i="23"/>
  <c r="AQ25" i="23"/>
  <c r="AQ26" i="23"/>
  <c r="AQ27" i="23"/>
  <c r="AQ28" i="23"/>
  <c r="AQ29" i="23"/>
  <c r="AQ30" i="23"/>
  <c r="AQ31" i="23"/>
  <c r="AQ32" i="23"/>
  <c r="AQ12" i="23"/>
  <c r="AP13" i="23"/>
  <c r="AP14" i="23"/>
  <c r="AP15" i="23"/>
  <c r="AP16" i="23"/>
  <c r="AP17" i="23"/>
  <c r="AP18" i="23"/>
  <c r="AP19" i="23"/>
  <c r="AP20" i="23"/>
  <c r="AP21" i="23"/>
  <c r="AP22" i="23"/>
  <c r="AP23" i="23"/>
  <c r="AP24" i="23"/>
  <c r="AP25" i="23"/>
  <c r="AP26" i="23"/>
  <c r="AP27" i="23"/>
  <c r="AP28" i="23"/>
  <c r="AP29" i="23"/>
  <c r="AP30" i="23"/>
  <c r="AP31" i="23"/>
  <c r="AP32" i="23"/>
  <c r="AP12" i="23"/>
  <c r="AO13" i="23"/>
  <c r="AO14" i="23"/>
  <c r="AO15" i="23"/>
  <c r="AO16" i="23"/>
  <c r="AO17" i="23"/>
  <c r="AO18" i="23"/>
  <c r="AO19" i="23"/>
  <c r="AO20" i="23"/>
  <c r="AO21" i="23"/>
  <c r="AO22" i="23"/>
  <c r="AO23" i="23"/>
  <c r="AO24" i="23"/>
  <c r="AO25" i="23"/>
  <c r="AO26" i="23"/>
  <c r="AO27" i="23"/>
  <c r="AO28" i="23"/>
  <c r="AO29" i="23"/>
  <c r="AO30" i="23"/>
  <c r="AO31" i="23"/>
  <c r="AO32" i="23"/>
  <c r="AO12" i="23"/>
  <c r="AN13" i="23"/>
  <c r="AN14" i="23"/>
  <c r="AN15" i="23"/>
  <c r="AN16" i="23"/>
  <c r="AN17" i="23"/>
  <c r="AN18" i="23"/>
  <c r="AN19" i="23"/>
  <c r="AN20" i="23"/>
  <c r="AN21" i="23"/>
  <c r="AN22" i="23"/>
  <c r="AN23" i="23"/>
  <c r="AN24" i="23"/>
  <c r="AN25" i="23"/>
  <c r="AN26" i="23"/>
  <c r="AN27" i="23"/>
  <c r="AN28" i="23"/>
  <c r="AN29" i="23"/>
  <c r="AN30" i="23"/>
  <c r="AN31" i="23"/>
  <c r="AN32" i="23"/>
  <c r="AN12" i="23"/>
  <c r="AJ12" i="23"/>
  <c r="AF12" i="23"/>
  <c r="AG12" i="23" s="1"/>
  <c r="AA14" i="23"/>
  <c r="AB14" i="23" s="1"/>
  <c r="AA15" i="23"/>
  <c r="AB15" i="23" s="1"/>
  <c r="AA16" i="23"/>
  <c r="AB16" i="23" s="1"/>
  <c r="AA17" i="23"/>
  <c r="AB17" i="23" s="1"/>
  <c r="AA18" i="23"/>
  <c r="AB18" i="23" s="1"/>
  <c r="AA19" i="23"/>
  <c r="AB19" i="23" s="1"/>
  <c r="AA20" i="23"/>
  <c r="AB20" i="23" s="1"/>
  <c r="AA21" i="23"/>
  <c r="AB21" i="23" s="1"/>
  <c r="AA22" i="23"/>
  <c r="AB22" i="23" s="1"/>
  <c r="AA23" i="23"/>
  <c r="AB23" i="23" s="1"/>
  <c r="AA24" i="23"/>
  <c r="AB24" i="23" s="1"/>
  <c r="AA25" i="23"/>
  <c r="AB25" i="23" s="1"/>
  <c r="AA26" i="23"/>
  <c r="AB26" i="23" s="1"/>
  <c r="AA27" i="23"/>
  <c r="AB27" i="23" s="1"/>
  <c r="AA28" i="23"/>
  <c r="AB28" i="23" s="1"/>
  <c r="AA29" i="23"/>
  <c r="AB29" i="23" s="1"/>
  <c r="AA30" i="23"/>
  <c r="AB30" i="23" s="1"/>
  <c r="AA31" i="23"/>
  <c r="AB31" i="23" s="1"/>
  <c r="AA32" i="23"/>
  <c r="AB32" i="23" s="1"/>
  <c r="Z14" i="23"/>
  <c r="Z13" i="23"/>
  <c r="Z15" i="23"/>
  <c r="Z16" i="23"/>
  <c r="Z17" i="23"/>
  <c r="Z18" i="23"/>
  <c r="Z19" i="23"/>
  <c r="Z20" i="23"/>
  <c r="Z21" i="23"/>
  <c r="Z22" i="23"/>
  <c r="Z23" i="23"/>
  <c r="Z24" i="23"/>
  <c r="Z25" i="23"/>
  <c r="Z26" i="23"/>
  <c r="Z27" i="23"/>
  <c r="Z28" i="23"/>
  <c r="Z29" i="23"/>
  <c r="Z30" i="23"/>
  <c r="Z31" i="23"/>
  <c r="Z32" i="23"/>
  <c r="Y13" i="23"/>
  <c r="Y14" i="23"/>
  <c r="Y15" i="23"/>
  <c r="Y16" i="23"/>
  <c r="Y17" i="23"/>
  <c r="Y18" i="23"/>
  <c r="Y19" i="23"/>
  <c r="Y20" i="23"/>
  <c r="Y21" i="23"/>
  <c r="Y22" i="23"/>
  <c r="Y23" i="23"/>
  <c r="Y24" i="23"/>
  <c r="Y25" i="23"/>
  <c r="Y26" i="23"/>
  <c r="Y27" i="23"/>
  <c r="Y28" i="23"/>
  <c r="Y29" i="23"/>
  <c r="Y30" i="23"/>
  <c r="Y31" i="23"/>
  <c r="Y32" i="23"/>
  <c r="Y12" i="23"/>
  <c r="T13" i="23"/>
  <c r="V13" i="23" s="1"/>
  <c r="F46" i="23" s="1"/>
  <c r="T14" i="23"/>
  <c r="V14" i="23" s="1"/>
  <c r="F47" i="23" s="1"/>
  <c r="T15" i="23"/>
  <c r="V15" i="23" s="1"/>
  <c r="F48" i="23" s="1"/>
  <c r="T16" i="23"/>
  <c r="V16" i="23" s="1"/>
  <c r="F49" i="23" s="1"/>
  <c r="T17" i="23"/>
  <c r="V17" i="23" s="1"/>
  <c r="F50" i="23" s="1"/>
  <c r="T18" i="23"/>
  <c r="V18" i="23" s="1"/>
  <c r="F51" i="23" s="1"/>
  <c r="T19" i="23"/>
  <c r="V19" i="23" s="1"/>
  <c r="T20" i="23"/>
  <c r="V20" i="23" s="1"/>
  <c r="F53" i="23" s="1"/>
  <c r="H32" i="23"/>
  <c r="I32" i="23" s="1"/>
  <c r="J32" i="23" s="1"/>
  <c r="K32" i="23" s="1"/>
  <c r="H31" i="23"/>
  <c r="I31" i="23" s="1"/>
  <c r="J31" i="23" s="1"/>
  <c r="K31" i="23" s="1"/>
  <c r="H30" i="23"/>
  <c r="I30" i="23" s="1"/>
  <c r="J30" i="23" s="1"/>
  <c r="K30" i="23" s="1"/>
  <c r="H29" i="23"/>
  <c r="I29" i="23" s="1"/>
  <c r="J29" i="23" s="1"/>
  <c r="K29" i="23" s="1"/>
  <c r="H28" i="23"/>
  <c r="I28" i="23" s="1"/>
  <c r="J28" i="23" s="1"/>
  <c r="K28" i="23" s="1"/>
  <c r="H27" i="23"/>
  <c r="I27" i="23" s="1"/>
  <c r="J27" i="23" s="1"/>
  <c r="K27" i="23" s="1"/>
  <c r="H26" i="23"/>
  <c r="I26" i="23" s="1"/>
  <c r="J26" i="23" s="1"/>
  <c r="K26" i="23" s="1"/>
  <c r="H25" i="23"/>
  <c r="I25" i="23" s="1"/>
  <c r="J25" i="23" s="1"/>
  <c r="K25" i="23" s="1"/>
  <c r="H24" i="23"/>
  <c r="I24" i="23" s="1"/>
  <c r="J24" i="23" s="1"/>
  <c r="K24" i="23" s="1"/>
  <c r="H23" i="23"/>
  <c r="I23" i="23" s="1"/>
  <c r="J23" i="23" s="1"/>
  <c r="K23" i="23" s="1"/>
  <c r="H22" i="23"/>
  <c r="I22" i="23" s="1"/>
  <c r="J22" i="23" s="1"/>
  <c r="K22" i="23" s="1"/>
  <c r="H21" i="23"/>
  <c r="I21" i="23" s="1"/>
  <c r="J21" i="23" s="1"/>
  <c r="K21" i="23" s="1"/>
  <c r="H20" i="23"/>
  <c r="I20" i="23" s="1"/>
  <c r="J20" i="23" s="1"/>
  <c r="K20" i="23" s="1"/>
  <c r="H19" i="23"/>
  <c r="I19" i="23" s="1"/>
  <c r="J19" i="23" s="1"/>
  <c r="K19" i="23" s="1"/>
  <c r="H18" i="23"/>
  <c r="I18" i="23" s="1"/>
  <c r="J18" i="23" s="1"/>
  <c r="K18" i="23" s="1"/>
  <c r="H17" i="23"/>
  <c r="I17" i="23" s="1"/>
  <c r="J17" i="23" s="1"/>
  <c r="K17" i="23" s="1"/>
  <c r="H16" i="23"/>
  <c r="I16" i="23" s="1"/>
  <c r="J16" i="23" s="1"/>
  <c r="K16" i="23" s="1"/>
  <c r="H15" i="23"/>
  <c r="I15" i="23" s="1"/>
  <c r="J15" i="23" s="1"/>
  <c r="K15" i="23" s="1"/>
  <c r="H14" i="23"/>
  <c r="I14" i="23" s="1"/>
  <c r="J14" i="23" s="1"/>
  <c r="K14" i="23" s="1"/>
  <c r="H13" i="23"/>
  <c r="O12" i="23"/>
  <c r="D45" i="23" s="1"/>
  <c r="H12" i="23"/>
  <c r="I12" i="23" s="1"/>
  <c r="J12" i="23" s="1"/>
  <c r="K12" i="23" s="1"/>
  <c r="L12" i="23" s="1"/>
  <c r="K23" i="20"/>
  <c r="K22" i="20"/>
  <c r="K21" i="20"/>
  <c r="L21" i="20" s="1"/>
  <c r="K20" i="20"/>
  <c r="L20" i="20" s="1"/>
  <c r="I20" i="20"/>
  <c r="G20" i="20"/>
  <c r="E23" i="20"/>
  <c r="E22" i="20"/>
  <c r="G23" i="20" s="1"/>
  <c r="H23" i="20" s="1"/>
  <c r="E21" i="20"/>
  <c r="E20" i="20"/>
  <c r="U23" i="20"/>
  <c r="T23" i="20"/>
  <c r="S23" i="20"/>
  <c r="R23" i="20"/>
  <c r="Q15" i="20"/>
  <c r="Q23" i="20"/>
  <c r="P23" i="20"/>
  <c r="O23" i="20"/>
  <c r="U22" i="20"/>
  <c r="T22" i="20"/>
  <c r="S22" i="20"/>
  <c r="R22" i="20"/>
  <c r="Q22" i="20"/>
  <c r="O22" i="20"/>
  <c r="U21" i="20"/>
  <c r="T21" i="20"/>
  <c r="S21" i="20"/>
  <c r="R21" i="20"/>
  <c r="Q21" i="20"/>
  <c r="P21" i="20"/>
  <c r="O21" i="20"/>
  <c r="U20" i="20"/>
  <c r="T20" i="20"/>
  <c r="R20" i="20"/>
  <c r="Q20" i="20"/>
  <c r="P20" i="20"/>
  <c r="O20" i="20"/>
  <c r="P22" i="20"/>
  <c r="S20" i="20"/>
  <c r="V20" i="20"/>
  <c r="W20" i="20" s="1"/>
  <c r="J20" i="20" s="1"/>
  <c r="L23" i="20"/>
  <c r="L22" i="20"/>
  <c r="F21" i="20"/>
  <c r="F20" i="20"/>
  <c r="K15" i="20"/>
  <c r="K14" i="20"/>
  <c r="K13" i="20"/>
  <c r="L13" i="20" s="1"/>
  <c r="K12" i="20"/>
  <c r="I12" i="20"/>
  <c r="G15" i="20"/>
  <c r="H15" i="20" s="1"/>
  <c r="G14" i="20"/>
  <c r="H14" i="20" s="1"/>
  <c r="G13" i="20"/>
  <c r="H13" i="20" s="1"/>
  <c r="G12" i="20"/>
  <c r="H12" i="20" s="1"/>
  <c r="E15" i="20"/>
  <c r="F15" i="20" s="1"/>
  <c r="E14" i="20"/>
  <c r="F14" i="20" s="1"/>
  <c r="E13" i="20"/>
  <c r="E12" i="20"/>
  <c r="U15" i="20"/>
  <c r="T15" i="20"/>
  <c r="S15" i="20"/>
  <c r="R15" i="20"/>
  <c r="P15" i="20"/>
  <c r="O15" i="20"/>
  <c r="U14" i="20"/>
  <c r="T14" i="20"/>
  <c r="S14" i="20"/>
  <c r="S13" i="20"/>
  <c r="R14" i="20"/>
  <c r="R13" i="20"/>
  <c r="Q14" i="20"/>
  <c r="P14" i="20"/>
  <c r="O14" i="20"/>
  <c r="U13" i="20"/>
  <c r="T13" i="20"/>
  <c r="Q13" i="20"/>
  <c r="P13" i="20"/>
  <c r="O12" i="20"/>
  <c r="V12" i="20" s="1"/>
  <c r="O13" i="20"/>
  <c r="U12" i="20"/>
  <c r="T12" i="20"/>
  <c r="S12" i="20"/>
  <c r="R12" i="20"/>
  <c r="Q12" i="20"/>
  <c r="P12" i="20"/>
  <c r="L15" i="20"/>
  <c r="L14" i="20"/>
  <c r="F13" i="20"/>
  <c r="L12" i="20"/>
  <c r="F12" i="20"/>
  <c r="M6" i="20"/>
  <c r="M7" i="20"/>
  <c r="L6" i="20"/>
  <c r="L7" i="20"/>
  <c r="J7" i="20"/>
  <c r="J6" i="20"/>
  <c r="I7" i="20"/>
  <c r="I6" i="20"/>
  <c r="W7" i="20"/>
  <c r="V7" i="20"/>
  <c r="U7" i="20"/>
  <c r="T7" i="20"/>
  <c r="S7" i="20"/>
  <c r="R7" i="20"/>
  <c r="Q7" i="20"/>
  <c r="P7" i="20"/>
  <c r="P6" i="20"/>
  <c r="V6" i="20"/>
  <c r="W6" i="20" s="1"/>
  <c r="U6" i="20"/>
  <c r="T6" i="20"/>
  <c r="S6" i="20"/>
  <c r="R6" i="20"/>
  <c r="Q6" i="20"/>
  <c r="M5" i="20"/>
  <c r="L5" i="20"/>
  <c r="L4" i="20"/>
  <c r="J5" i="20"/>
  <c r="I5" i="20"/>
  <c r="W5" i="20"/>
  <c r="V5" i="20"/>
  <c r="U5" i="20"/>
  <c r="T5" i="20"/>
  <c r="S5" i="20"/>
  <c r="R5" i="20"/>
  <c r="Q5" i="20"/>
  <c r="Q4" i="20"/>
  <c r="P5" i="20"/>
  <c r="H5" i="20"/>
  <c r="H6" i="20"/>
  <c r="H7" i="20"/>
  <c r="H4" i="20"/>
  <c r="F5" i="20"/>
  <c r="F6" i="20"/>
  <c r="F7" i="20"/>
  <c r="F4" i="20"/>
  <c r="V4" i="20"/>
  <c r="W4" i="20" s="1"/>
  <c r="I4" i="20" s="1"/>
  <c r="J4" i="20" s="1"/>
  <c r="U4" i="20"/>
  <c r="T4" i="20"/>
  <c r="S4" i="20"/>
  <c r="R4" i="20"/>
  <c r="P4" i="20"/>
  <c r="I27" i="28" l="1"/>
  <c r="M26" i="28"/>
  <c r="M29" i="28"/>
  <c r="AS4" i="28"/>
  <c r="AD6" i="28"/>
  <c r="AS5" i="28"/>
  <c r="N13" i="28"/>
  <c r="O13" i="28" s="1"/>
  <c r="AD4" i="28"/>
  <c r="AD7" i="28"/>
  <c r="N14" i="28"/>
  <c r="O14" i="28" s="1"/>
  <c r="L12" i="28"/>
  <c r="N12" i="28" s="1"/>
  <c r="O12" i="28" s="1"/>
  <c r="AS11" i="28"/>
  <c r="AS9" i="28"/>
  <c r="AS10" i="28"/>
  <c r="AD11" i="28"/>
  <c r="L11" i="28"/>
  <c r="L10" i="28"/>
  <c r="N10" i="28" s="1"/>
  <c r="O10" i="28" s="1"/>
  <c r="AD13" i="28"/>
  <c r="AS8" i="28"/>
  <c r="AS14" i="28"/>
  <c r="AD12" i="28"/>
  <c r="AD10" i="28"/>
  <c r="AS13" i="28"/>
  <c r="AS12" i="28"/>
  <c r="AD14" i="28"/>
  <c r="AD9" i="28"/>
  <c r="AD8" i="28"/>
  <c r="AD10" i="24"/>
  <c r="AD11" i="24"/>
  <c r="AD9" i="24"/>
  <c r="N12" i="24"/>
  <c r="O12" i="24" s="1"/>
  <c r="C37" i="24" s="1"/>
  <c r="AD6" i="24"/>
  <c r="AD5" i="24"/>
  <c r="N9" i="24"/>
  <c r="O9" i="24" s="1"/>
  <c r="AR6" i="23"/>
  <c r="AR8" i="23"/>
  <c r="AR4" i="23"/>
  <c r="AR10" i="23"/>
  <c r="AR11" i="23"/>
  <c r="AR12" i="23"/>
  <c r="AC10" i="23"/>
  <c r="AC9" i="23"/>
  <c r="AC12" i="23"/>
  <c r="G45" i="23" s="1"/>
  <c r="AC8" i="23"/>
  <c r="AC11" i="23"/>
  <c r="AC7" i="23"/>
  <c r="AC6" i="23"/>
  <c r="AC5" i="23"/>
  <c r="AC4" i="23"/>
  <c r="I13" i="23"/>
  <c r="J13" i="23" s="1"/>
  <c r="K13" i="23" s="1"/>
  <c r="L13" i="23" s="1"/>
  <c r="AC17" i="23"/>
  <c r="G50" i="23" s="1"/>
  <c r="D57" i="23"/>
  <c r="M57" i="23" s="1"/>
  <c r="D55" i="23"/>
  <c r="AR19" i="23"/>
  <c r="AR25" i="23"/>
  <c r="L58" i="23" s="1"/>
  <c r="K62" i="23"/>
  <c r="N62" i="23" s="1"/>
  <c r="AR27" i="23"/>
  <c r="K65" i="23"/>
  <c r="N65" i="23" s="1"/>
  <c r="D58" i="23"/>
  <c r="M58" i="23" s="1"/>
  <c r="K54" i="23"/>
  <c r="N54" i="23" s="1"/>
  <c r="AS7" i="28"/>
  <c r="E21" i="24"/>
  <c r="E46" i="24" s="1"/>
  <c r="K49" i="24"/>
  <c r="J49" i="24"/>
  <c r="M49" i="24" s="1"/>
  <c r="N23" i="24"/>
  <c r="O23" i="24" s="1"/>
  <c r="N15" i="24"/>
  <c r="O15" i="24" s="1"/>
  <c r="N22" i="24"/>
  <c r="O22" i="24" s="1"/>
  <c r="N14" i="24"/>
  <c r="O14" i="24" s="1"/>
  <c r="N21" i="24"/>
  <c r="O21" i="24" s="1"/>
  <c r="C46" i="24" s="1"/>
  <c r="N13" i="24"/>
  <c r="O13" i="24" s="1"/>
  <c r="C38" i="24" s="1"/>
  <c r="AR28" i="23"/>
  <c r="L61" i="23" s="1"/>
  <c r="AR20" i="23"/>
  <c r="L53" i="23" s="1"/>
  <c r="M61" i="23"/>
  <c r="AC32" i="23"/>
  <c r="AC24" i="23"/>
  <c r="AC16" i="23"/>
  <c r="AR17" i="23"/>
  <c r="L50" i="23" s="1"/>
  <c r="D51" i="23"/>
  <c r="K57" i="23"/>
  <c r="N57" i="23" s="1"/>
  <c r="AC30" i="23"/>
  <c r="G63" i="23" s="1"/>
  <c r="AC22" i="23"/>
  <c r="G55" i="23" s="1"/>
  <c r="AR31" i="23"/>
  <c r="AR23" i="23"/>
  <c r="AR15" i="23"/>
  <c r="L48" i="23" s="1"/>
  <c r="K49" i="23"/>
  <c r="N49" i="23" s="1"/>
  <c r="AC31" i="23"/>
  <c r="K46" i="23"/>
  <c r="N46" i="23" s="1"/>
  <c r="J59" i="23"/>
  <c r="M59" i="23" s="1"/>
  <c r="J51" i="23"/>
  <c r="K60" i="23"/>
  <c r="K52" i="23"/>
  <c r="J52" i="23"/>
  <c r="M52" i="23" s="1"/>
  <c r="F52" i="23"/>
  <c r="J63" i="23"/>
  <c r="M63" i="23" s="1"/>
  <c r="J55" i="23"/>
  <c r="J47" i="23"/>
  <c r="M47" i="23" s="1"/>
  <c r="D62" i="23"/>
  <c r="M62" i="23" s="1"/>
  <c r="D54" i="23"/>
  <c r="M54" i="23" s="1"/>
  <c r="D46" i="23"/>
  <c r="M46" i="23" s="1"/>
  <c r="J45" i="23"/>
  <c r="M45" i="23" s="1"/>
  <c r="J60" i="23"/>
  <c r="M60" i="23" s="1"/>
  <c r="J53" i="23"/>
  <c r="M53" i="23" s="1"/>
  <c r="AC25" i="23"/>
  <c r="K45" i="23"/>
  <c r="K58" i="23"/>
  <c r="N58" i="23" s="1"/>
  <c r="K50" i="23"/>
  <c r="N50" i="23" s="1"/>
  <c r="D56" i="23"/>
  <c r="M56" i="23" s="1"/>
  <c r="K64" i="23"/>
  <c r="N64" i="23" s="1"/>
  <c r="K56" i="23"/>
  <c r="N56" i="23" s="1"/>
  <c r="K48" i="23"/>
  <c r="N48" i="23" s="1"/>
  <c r="AC14" i="23"/>
  <c r="K63" i="23"/>
  <c r="K55" i="23"/>
  <c r="K47" i="23"/>
  <c r="AC29" i="23"/>
  <c r="AC21" i="23"/>
  <c r="AC23" i="23"/>
  <c r="AC15" i="23"/>
  <c r="AR32" i="23"/>
  <c r="AR24" i="23"/>
  <c r="AR16" i="23"/>
  <c r="D48" i="23"/>
  <c r="M48" i="23" s="1"/>
  <c r="K61" i="23"/>
  <c r="N61" i="23" s="1"/>
  <c r="K53" i="23"/>
  <c r="AC19" i="23"/>
  <c r="AR30" i="23"/>
  <c r="AR22" i="23"/>
  <c r="AR14" i="23"/>
  <c r="AC26" i="23"/>
  <c r="AC18" i="23"/>
  <c r="AC28" i="23"/>
  <c r="AC20" i="23"/>
  <c r="AR29" i="23"/>
  <c r="AR21" i="23"/>
  <c r="AR13" i="23"/>
  <c r="AR26" i="23"/>
  <c r="AR18" i="23"/>
  <c r="K59" i="23"/>
  <c r="K51" i="23"/>
  <c r="N20" i="24"/>
  <c r="O20" i="24" s="1"/>
  <c r="N17" i="24"/>
  <c r="O17" i="24" s="1"/>
  <c r="N24" i="24"/>
  <c r="O24" i="24" s="1"/>
  <c r="C49" i="24" s="1"/>
  <c r="N16" i="24"/>
  <c r="O16" i="24" s="1"/>
  <c r="N18" i="24"/>
  <c r="O18" i="24" s="1"/>
  <c r="N19" i="24"/>
  <c r="O19" i="24" s="1"/>
  <c r="AD17" i="24"/>
  <c r="G42" i="24" s="1"/>
  <c r="AS12" i="24"/>
  <c r="AD14" i="24"/>
  <c r="G39" i="24" s="1"/>
  <c r="AD18" i="24"/>
  <c r="AS17" i="24"/>
  <c r="AS20" i="24"/>
  <c r="AD13" i="24"/>
  <c r="AD20" i="24"/>
  <c r="AD12" i="24"/>
  <c r="G37" i="24" s="1"/>
  <c r="AS21" i="24"/>
  <c r="AS24" i="24"/>
  <c r="L49" i="24" s="1"/>
  <c r="AS23" i="24"/>
  <c r="AD24" i="24"/>
  <c r="AS16" i="24"/>
  <c r="AS18" i="24"/>
  <c r="AS19" i="24"/>
  <c r="AS13" i="24"/>
  <c r="L38" i="24" s="1"/>
  <c r="AS14" i="24"/>
  <c r="AS15" i="24"/>
  <c r="AD16" i="24"/>
  <c r="G41" i="24" s="1"/>
  <c r="AD19" i="24"/>
  <c r="G44" i="24" s="1"/>
  <c r="AS22" i="24"/>
  <c r="AD23" i="24"/>
  <c r="J46" i="24"/>
  <c r="AD15" i="24"/>
  <c r="AD22" i="24"/>
  <c r="J48" i="24"/>
  <c r="J43" i="24"/>
  <c r="N43" i="24" s="1"/>
  <c r="J38" i="24"/>
  <c r="J40" i="24"/>
  <c r="J47" i="24"/>
  <c r="M47" i="24" s="1"/>
  <c r="J42" i="24"/>
  <c r="N42" i="24" s="1"/>
  <c r="F44" i="24"/>
  <c r="F39" i="24"/>
  <c r="AD21" i="24"/>
  <c r="F43" i="24"/>
  <c r="D46" i="24"/>
  <c r="F40" i="24"/>
  <c r="D45" i="24"/>
  <c r="K46" i="24"/>
  <c r="D48" i="24"/>
  <c r="J45" i="24"/>
  <c r="J39" i="24"/>
  <c r="J41" i="24"/>
  <c r="K45" i="24"/>
  <c r="K48" i="24"/>
  <c r="K37" i="24"/>
  <c r="K38" i="24"/>
  <c r="K39" i="24"/>
  <c r="K40" i="24"/>
  <c r="K41" i="24"/>
  <c r="K44" i="24"/>
  <c r="N44" i="24" s="1"/>
  <c r="D37" i="24"/>
  <c r="D38" i="24"/>
  <c r="D39" i="24"/>
  <c r="D40" i="24"/>
  <c r="D41" i="24"/>
  <c r="D42" i="24"/>
  <c r="D44" i="24"/>
  <c r="M44" i="24" s="1"/>
  <c r="K47" i="24"/>
  <c r="F45" i="24"/>
  <c r="AC13" i="23"/>
  <c r="AC27" i="23"/>
  <c r="L27" i="23"/>
  <c r="L18" i="23"/>
  <c r="L21" i="23"/>
  <c r="L30" i="23"/>
  <c r="L15" i="23"/>
  <c r="L14" i="23"/>
  <c r="L16" i="23"/>
  <c r="L25" i="23"/>
  <c r="L31" i="23"/>
  <c r="L23" i="23"/>
  <c r="L19" i="23"/>
  <c r="L26" i="23"/>
  <c r="L32" i="23"/>
  <c r="L17" i="23"/>
  <c r="L22" i="23"/>
  <c r="L29" i="23"/>
  <c r="L20" i="23"/>
  <c r="L24" i="23"/>
  <c r="L28" i="23"/>
  <c r="F22" i="20"/>
  <c r="H20" i="20"/>
  <c r="M20" i="20" s="1"/>
  <c r="V23" i="20"/>
  <c r="W23" i="20" s="1"/>
  <c r="I23" i="20" s="1"/>
  <c r="J23" i="20" s="1"/>
  <c r="V22" i="20"/>
  <c r="W22" i="20" s="1"/>
  <c r="I22" i="20" s="1"/>
  <c r="J22" i="20" s="1"/>
  <c r="V21" i="20"/>
  <c r="W21" i="20" s="1"/>
  <c r="I21" i="20" s="1"/>
  <c r="J21" i="20" s="1"/>
  <c r="F23" i="20"/>
  <c r="G22" i="20"/>
  <c r="H22" i="20" s="1"/>
  <c r="G21" i="20"/>
  <c r="H21" i="20" s="1"/>
  <c r="V15" i="20"/>
  <c r="W15" i="20" s="1"/>
  <c r="I15" i="20" s="1"/>
  <c r="J15" i="20" s="1"/>
  <c r="M15" i="20" s="1"/>
  <c r="V14" i="20"/>
  <c r="W14" i="20" s="1"/>
  <c r="I14" i="20" s="1"/>
  <c r="J14" i="20" s="1"/>
  <c r="M14" i="20" s="1"/>
  <c r="V13" i="20"/>
  <c r="W13" i="20" s="1"/>
  <c r="I13" i="20" s="1"/>
  <c r="J13" i="20" s="1"/>
  <c r="M13" i="20" s="1"/>
  <c r="W12" i="20"/>
  <c r="J12" i="20" s="1"/>
  <c r="M12" i="20" s="1"/>
  <c r="M4" i="20"/>
  <c r="N11" i="28" l="1"/>
  <c r="O11" i="28" s="1"/>
  <c r="M55" i="23"/>
  <c r="L64" i="23"/>
  <c r="M51" i="23"/>
  <c r="N59" i="23"/>
  <c r="G49" i="23"/>
  <c r="L60" i="23"/>
  <c r="L45" i="23"/>
  <c r="N55" i="23"/>
  <c r="G57" i="23"/>
  <c r="G65" i="23"/>
  <c r="L52" i="23"/>
  <c r="N63" i="23"/>
  <c r="O49" i="24"/>
  <c r="G49" i="24"/>
  <c r="I49" i="24" s="1"/>
  <c r="N49" i="24"/>
  <c r="L56" i="23"/>
  <c r="G64" i="23"/>
  <c r="N53" i="23"/>
  <c r="L45" i="24"/>
  <c r="C53" i="23"/>
  <c r="O53" i="23" s="1"/>
  <c r="C62" i="23"/>
  <c r="C45" i="23"/>
  <c r="I45" i="23" s="1"/>
  <c r="C60" i="23"/>
  <c r="G53" i="23"/>
  <c r="N52" i="23"/>
  <c r="C51" i="23"/>
  <c r="L62" i="23"/>
  <c r="C55" i="23"/>
  <c r="I55" i="23" s="1"/>
  <c r="C58" i="23"/>
  <c r="O58" i="23" s="1"/>
  <c r="P58" i="23" s="1"/>
  <c r="C46" i="23"/>
  <c r="N51" i="23"/>
  <c r="G61" i="23"/>
  <c r="L47" i="23"/>
  <c r="L49" i="23"/>
  <c r="G47" i="23"/>
  <c r="C50" i="23"/>
  <c r="I50" i="23" s="1"/>
  <c r="C49" i="23"/>
  <c r="G60" i="23"/>
  <c r="G51" i="23"/>
  <c r="L55" i="23"/>
  <c r="L57" i="23"/>
  <c r="C65" i="23"/>
  <c r="C47" i="23"/>
  <c r="G46" i="23"/>
  <c r="L51" i="23"/>
  <c r="G59" i="23"/>
  <c r="L63" i="23"/>
  <c r="L65" i="23"/>
  <c r="N60" i="23"/>
  <c r="C59" i="23"/>
  <c r="L59" i="23"/>
  <c r="G52" i="23"/>
  <c r="G48" i="23"/>
  <c r="N45" i="23"/>
  <c r="C64" i="23"/>
  <c r="G62" i="23"/>
  <c r="C61" i="23"/>
  <c r="O61" i="23" s="1"/>
  <c r="P61" i="23" s="1"/>
  <c r="C52" i="23"/>
  <c r="C63" i="23"/>
  <c r="I63" i="23" s="1"/>
  <c r="L46" i="23"/>
  <c r="G56" i="23"/>
  <c r="G58" i="23"/>
  <c r="C57" i="23"/>
  <c r="I57" i="23" s="1"/>
  <c r="C56" i="23"/>
  <c r="C54" i="23"/>
  <c r="L54" i="23"/>
  <c r="G54" i="23"/>
  <c r="N47" i="23"/>
  <c r="C42" i="24"/>
  <c r="I42" i="24" s="1"/>
  <c r="G48" i="24"/>
  <c r="N41" i="24"/>
  <c r="L40" i="24"/>
  <c r="C44" i="24"/>
  <c r="I44" i="24" s="1"/>
  <c r="L41" i="24"/>
  <c r="L37" i="24"/>
  <c r="C43" i="24"/>
  <c r="C45" i="24"/>
  <c r="L39" i="24"/>
  <c r="L42" i="24"/>
  <c r="G43" i="24"/>
  <c r="M41" i="24"/>
  <c r="N39" i="24"/>
  <c r="M39" i="24"/>
  <c r="N38" i="24"/>
  <c r="M38" i="24"/>
  <c r="L47" i="24"/>
  <c r="O38" i="24"/>
  <c r="G45" i="24"/>
  <c r="L43" i="24"/>
  <c r="L48" i="24"/>
  <c r="L44" i="24"/>
  <c r="M43" i="24"/>
  <c r="L46" i="24"/>
  <c r="O46" i="24" s="1"/>
  <c r="M42" i="24"/>
  <c r="N45" i="24"/>
  <c r="N46" i="24"/>
  <c r="G38" i="24"/>
  <c r="I38" i="24" s="1"/>
  <c r="N40" i="24"/>
  <c r="M48" i="24"/>
  <c r="N47" i="24"/>
  <c r="M37" i="24"/>
  <c r="N37" i="24"/>
  <c r="G46" i="24"/>
  <c r="I46" i="24" s="1"/>
  <c r="M46" i="24"/>
  <c r="N48" i="24"/>
  <c r="M45" i="24"/>
  <c r="G40" i="24"/>
  <c r="G47" i="24"/>
  <c r="M40" i="24"/>
  <c r="M23" i="20"/>
  <c r="M22" i="20"/>
  <c r="M21" i="20"/>
  <c r="I65" i="23" l="1"/>
  <c r="I64" i="23"/>
  <c r="I56" i="23"/>
  <c r="O46" i="23"/>
  <c r="P46" i="23" s="1"/>
  <c r="O60" i="23"/>
  <c r="P60" i="23" s="1"/>
  <c r="I52" i="23"/>
  <c r="I49" i="23"/>
  <c r="I59" i="23"/>
  <c r="O50" i="23"/>
  <c r="P50" i="23" s="1"/>
  <c r="Q50" i="23" s="1"/>
  <c r="R50" i="23" s="1"/>
  <c r="S50" i="23" s="1"/>
  <c r="I60" i="23"/>
  <c r="I48" i="23"/>
  <c r="O62" i="23"/>
  <c r="P62" i="23" s="1"/>
  <c r="O54" i="23"/>
  <c r="P54" i="23" s="1"/>
  <c r="P49" i="24"/>
  <c r="Q49" i="24" s="1"/>
  <c r="R49" i="24" s="1"/>
  <c r="S49" i="24" s="1"/>
  <c r="O42" i="24"/>
  <c r="P42" i="24" s="1"/>
  <c r="Q42" i="24" s="1"/>
  <c r="R42" i="24" s="1"/>
  <c r="S42" i="24" s="1"/>
  <c r="O45" i="24"/>
  <c r="P45" i="24" s="1"/>
  <c r="I53" i="23"/>
  <c r="P53" i="23"/>
  <c r="O45" i="23"/>
  <c r="Q45" i="23" s="1"/>
  <c r="R45" i="23" s="1"/>
  <c r="I47" i="23"/>
  <c r="O57" i="23"/>
  <c r="P57" i="23" s="1"/>
  <c r="Q57" i="23" s="1"/>
  <c r="R57" i="23" s="1"/>
  <c r="S57" i="23" s="1"/>
  <c r="O49" i="23"/>
  <c r="P49" i="23" s="1"/>
  <c r="I51" i="23"/>
  <c r="O47" i="23"/>
  <c r="P47" i="23" s="1"/>
  <c r="O64" i="23"/>
  <c r="P64" i="23" s="1"/>
  <c r="Q64" i="23" s="1"/>
  <c r="R64" i="23" s="1"/>
  <c r="S64" i="23" s="1"/>
  <c r="I61" i="23"/>
  <c r="Q61" i="23" s="1"/>
  <c r="R61" i="23" s="1"/>
  <c r="S61" i="23" s="1"/>
  <c r="O59" i="23"/>
  <c r="P59" i="23" s="1"/>
  <c r="I46" i="23"/>
  <c r="O52" i="23"/>
  <c r="P52" i="23" s="1"/>
  <c r="O65" i="23"/>
  <c r="P65" i="23" s="1"/>
  <c r="O55" i="23"/>
  <c r="P55" i="23" s="1"/>
  <c r="Q55" i="23" s="1"/>
  <c r="R55" i="23" s="1"/>
  <c r="S55" i="23" s="1"/>
  <c r="O51" i="23"/>
  <c r="P51" i="23" s="1"/>
  <c r="O48" i="23"/>
  <c r="P48" i="23" s="1"/>
  <c r="I54" i="23"/>
  <c r="O56" i="23"/>
  <c r="P56" i="23" s="1"/>
  <c r="O63" i="23"/>
  <c r="P63" i="23" s="1"/>
  <c r="Q63" i="23" s="1"/>
  <c r="R63" i="23" s="1"/>
  <c r="S63" i="23" s="1"/>
  <c r="I58" i="23"/>
  <c r="Q58" i="23" s="1"/>
  <c r="R58" i="23" s="1"/>
  <c r="S58" i="23" s="1"/>
  <c r="I62" i="23"/>
  <c r="O44" i="24"/>
  <c r="P44" i="24" s="1"/>
  <c r="Q44" i="24" s="1"/>
  <c r="R44" i="24" s="1"/>
  <c r="S44" i="24" s="1"/>
  <c r="O37" i="24"/>
  <c r="P37" i="24" s="1"/>
  <c r="C41" i="24"/>
  <c r="O41" i="24" s="1"/>
  <c r="P41" i="24" s="1"/>
  <c r="O43" i="24"/>
  <c r="P43" i="24" s="1"/>
  <c r="I43" i="24"/>
  <c r="C40" i="24"/>
  <c r="O40" i="24" s="1"/>
  <c r="P40" i="24" s="1"/>
  <c r="C39" i="24"/>
  <c r="I39" i="24" s="1"/>
  <c r="C48" i="24"/>
  <c r="I48" i="24" s="1"/>
  <c r="C47" i="24"/>
  <c r="O47" i="24" s="1"/>
  <c r="P47" i="24" s="1"/>
  <c r="I37" i="24"/>
  <c r="I45" i="24"/>
  <c r="P38" i="24"/>
  <c r="Q38" i="24" s="1"/>
  <c r="R38" i="24" s="1"/>
  <c r="S38" i="24" s="1"/>
  <c r="P46" i="24"/>
  <c r="Q46" i="24" s="1"/>
  <c r="R46" i="24" s="1"/>
  <c r="S46" i="24" s="1"/>
  <c r="Q65" i="23" l="1"/>
  <c r="R65" i="23" s="1"/>
  <c r="S65" i="23" s="1"/>
  <c r="Q56" i="23"/>
  <c r="R56" i="23" s="1"/>
  <c r="S56" i="23" s="1"/>
  <c r="Q52" i="23"/>
  <c r="R52" i="23" s="1"/>
  <c r="S52" i="23" s="1"/>
  <c r="Q48" i="23"/>
  <c r="R48" i="23" s="1"/>
  <c r="S48" i="23" s="1"/>
  <c r="Q49" i="23"/>
  <c r="R49" i="23" s="1"/>
  <c r="S49" i="23" s="1"/>
  <c r="Q47" i="23"/>
  <c r="R47" i="23" s="1"/>
  <c r="S47" i="23" s="1"/>
  <c r="Q53" i="23"/>
  <c r="R53" i="23" s="1"/>
  <c r="S53" i="23" s="1"/>
  <c r="Q60" i="23"/>
  <c r="R60" i="23" s="1"/>
  <c r="S60" i="23" s="1"/>
  <c r="Q59" i="23"/>
  <c r="R59" i="23" s="1"/>
  <c r="S59" i="23" s="1"/>
  <c r="Q62" i="23"/>
  <c r="R62" i="23" s="1"/>
  <c r="S62" i="23" s="1"/>
  <c r="Q54" i="23"/>
  <c r="R54" i="23" s="1"/>
  <c r="S54" i="23" s="1"/>
  <c r="Q46" i="23"/>
  <c r="R46" i="23" s="1"/>
  <c r="S46" i="23" s="1"/>
  <c r="Q51" i="23"/>
  <c r="R51" i="23" s="1"/>
  <c r="S51" i="23" s="1"/>
  <c r="Q43" i="24"/>
  <c r="R43" i="24" s="1"/>
  <c r="S43" i="24" s="1"/>
  <c r="I40" i="24"/>
  <c r="Q40" i="24" s="1"/>
  <c r="R40" i="24" s="1"/>
  <c r="S40" i="24" s="1"/>
  <c r="I47" i="24"/>
  <c r="Q47" i="24" s="1"/>
  <c r="R47" i="24" s="1"/>
  <c r="S47" i="24" s="1"/>
  <c r="O48" i="24"/>
  <c r="P48" i="24" s="1"/>
  <c r="Q48" i="24" s="1"/>
  <c r="R48" i="24" s="1"/>
  <c r="S48" i="24" s="1"/>
  <c r="I41" i="24"/>
  <c r="Q41" i="24" s="1"/>
  <c r="R41" i="24" s="1"/>
  <c r="S41" i="24" s="1"/>
  <c r="Q37" i="24"/>
  <c r="R37" i="24" s="1"/>
  <c r="S37" i="24" s="1"/>
  <c r="O39" i="24"/>
  <c r="P39" i="24" s="1"/>
  <c r="Q39" i="24" s="1"/>
  <c r="R39" i="24" s="1"/>
  <c r="S39" i="24" s="1"/>
  <c r="Q45" i="24"/>
  <c r="R45" i="24" s="1"/>
  <c r="S45" i="24" s="1"/>
</calcChain>
</file>

<file path=xl/sharedStrings.xml><?xml version="1.0" encoding="utf-8"?>
<sst xmlns="http://schemas.openxmlformats.org/spreadsheetml/2006/main" count="268" uniqueCount="104">
  <si>
    <t>Temp</t>
  </si>
  <si>
    <t>0.01116T2</t>
  </si>
  <si>
    <t>3.809*10-6*T4</t>
  </si>
  <si>
    <t xml:space="preserve"> 0.123 T</t>
  </si>
  <si>
    <t>EIP (d-1)</t>
  </si>
  <si>
    <t>32.461-T</t>
  </si>
  <si>
    <t>Life Years</t>
  </si>
  <si>
    <t>Life Days</t>
  </si>
  <si>
    <t>1/Life Days</t>
  </si>
  <si>
    <t>Days</t>
  </si>
  <si>
    <t>1/Days</t>
  </si>
  <si>
    <t>µh</t>
  </si>
  <si>
    <t>m</t>
  </si>
  <si>
    <t>Const</t>
  </si>
  <si>
    <t>Tvg</t>
  </si>
  <si>
    <t>GTAvg</t>
  </si>
  <si>
    <t>Rnavg</t>
  </si>
  <si>
    <t>Swg</t>
  </si>
  <si>
    <t>Month</t>
  </si>
  <si>
    <t>July</t>
  </si>
  <si>
    <t>August</t>
  </si>
  <si>
    <t>September</t>
  </si>
  <si>
    <t>October</t>
  </si>
  <si>
    <t>Tod-1</t>
  </si>
  <si>
    <t>0.8*Tod-2</t>
  </si>
  <si>
    <t>0.6*Tod-3</t>
  </si>
  <si>
    <t>0.5*Tod-4</t>
  </si>
  <si>
    <t>0.4*Tod-5</t>
  </si>
  <si>
    <t>0.3Tod-6</t>
  </si>
  <si>
    <t>0.2Tod-7</t>
  </si>
  <si>
    <t>Jul 8th -15th 2023</t>
  </si>
  <si>
    <t>Sum</t>
  </si>
  <si>
    <t>Trm</t>
  </si>
  <si>
    <t>Chennai Indoor Temperature in Brickwall Building</t>
  </si>
  <si>
    <t>0.41*Tavg</t>
  </si>
  <si>
    <t>Minus 0.043 *GTAvg</t>
  </si>
  <si>
    <t>0.44* Rnavg</t>
  </si>
  <si>
    <t>0.12*Swg</t>
  </si>
  <si>
    <t>Avg Tin</t>
  </si>
  <si>
    <t>Ahmedabad Indoor Temperature in Brickwall Building</t>
  </si>
  <si>
    <t>Running Mean Temperature-Chennai</t>
  </si>
  <si>
    <t>Running Mean Temperature-Ahmedabad</t>
  </si>
  <si>
    <t>Delhi Indoor Temperature in Brickwall Building</t>
  </si>
  <si>
    <t>Running Mean Temperature-Delhi</t>
  </si>
  <si>
    <r>
      <t>Instrinsic Incubation Period (IIP)-v</t>
    </r>
    <r>
      <rPr>
        <b/>
        <vertAlign val="subscript"/>
        <sz val="11"/>
        <color rgb="FF000000"/>
        <rFont val="Arial"/>
        <family val="2"/>
        <scheme val="minor"/>
      </rPr>
      <t>h</t>
    </r>
  </si>
  <si>
    <t>0.0729*T</t>
  </si>
  <si>
    <t>βhm</t>
  </si>
  <si>
    <t>Transmission Human to Vector-βhm</t>
  </si>
  <si>
    <t>0.001044*T</t>
  </si>
  <si>
    <t>T-12-286</t>
  </si>
  <si>
    <t>βmh</t>
  </si>
  <si>
    <t>Transmission Vector to Human- βmh</t>
  </si>
  <si>
    <r>
      <t>Human Mortality Rate -</t>
    </r>
    <r>
      <rPr>
        <b/>
        <sz val="11"/>
        <color rgb="FF000000"/>
        <rFont val="Arial"/>
        <family val="2"/>
      </rPr>
      <t>µh</t>
    </r>
  </si>
  <si>
    <r>
      <t>Mean Viremic Period-</t>
    </r>
    <r>
      <rPr>
        <b/>
        <sz val="11"/>
        <color rgb="FF000000"/>
        <rFont val="Arial"/>
        <family val="2"/>
      </rPr>
      <t>ᵑh</t>
    </r>
  </si>
  <si>
    <t>Minus (0.1590*T)</t>
  </si>
  <si>
    <t>µm</t>
  </si>
  <si>
    <t>Mosquito Mortality Rate -µm</t>
  </si>
  <si>
    <t>Female Mosquitoes/Human (m)</t>
  </si>
  <si>
    <t>vmo</t>
  </si>
  <si>
    <t>vh</t>
  </si>
  <si>
    <t>B2</t>
  </si>
  <si>
    <t>B</t>
  </si>
  <si>
    <t>ᵑh</t>
  </si>
  <si>
    <t>vh+µh</t>
  </si>
  <si>
    <t>ᵑh +µh</t>
  </si>
  <si>
    <t>µm+vmo</t>
  </si>
  <si>
    <t>Denominator (D)</t>
  </si>
  <si>
    <t>Numerator (N)</t>
  </si>
  <si>
    <t>N/D</t>
  </si>
  <si>
    <t>Sqrt(N/D)</t>
  </si>
  <si>
    <t>R0-Outdoor</t>
  </si>
  <si>
    <t>R0-Outdoor for m = 1</t>
  </si>
  <si>
    <t>Badj</t>
  </si>
  <si>
    <t>Biting Rate Adjusted Indoor</t>
  </si>
  <si>
    <t>vmi</t>
  </si>
  <si>
    <t>R0 Outdoor (m=1)</t>
  </si>
  <si>
    <t>Vector Survival Rate (p)</t>
  </si>
  <si>
    <t>minus(ln(p))</t>
  </si>
  <si>
    <t>R0 Outdoor minis ln (p)</t>
  </si>
  <si>
    <t>Ln (R0Outdoor*Minus lnP)</t>
  </si>
  <si>
    <t>lnP</t>
  </si>
  <si>
    <r>
      <t>Extrinsic Incubation Period (EIP)- v</t>
    </r>
    <r>
      <rPr>
        <b/>
        <vertAlign val="subscript"/>
        <sz val="11"/>
        <color rgb="FF000000"/>
        <rFont val="Arial"/>
        <family val="2"/>
        <scheme val="minor"/>
      </rPr>
      <t>mi</t>
    </r>
    <r>
      <rPr>
        <b/>
        <sz val="11"/>
        <color rgb="FF000000"/>
        <rFont val="Arial"/>
        <family val="2"/>
        <scheme val="minor"/>
      </rPr>
      <t xml:space="preserve"> (for m=1)</t>
    </r>
  </si>
  <si>
    <t>Instrinsic Incubation Period (IIP)-vh</t>
  </si>
  <si>
    <t>1/Days (vh)</t>
  </si>
  <si>
    <r>
      <t>β</t>
    </r>
    <r>
      <rPr>
        <b/>
        <vertAlign val="subscript"/>
        <sz val="11"/>
        <color rgb="FF000000"/>
        <rFont val="Arial"/>
        <family val="2"/>
      </rPr>
      <t>hm</t>
    </r>
  </si>
  <si>
    <r>
      <t>β</t>
    </r>
    <r>
      <rPr>
        <b/>
        <vertAlign val="subscript"/>
        <sz val="11"/>
        <color rgb="FF000000"/>
        <rFont val="Arial"/>
        <family val="2"/>
      </rPr>
      <t>mh</t>
    </r>
  </si>
  <si>
    <t>P(Inf.)</t>
  </si>
  <si>
    <t>R0-Indoor</t>
  </si>
  <si>
    <t>5.15-(0.123*T)</t>
  </si>
  <si>
    <t>exp (5.15-(0.123*T)</t>
  </si>
  <si>
    <t>4+ exp (5.15-(0.123T)) days</t>
  </si>
  <si>
    <r>
      <t>Outdoor Extrinsic Incubation Period (EIP)- v</t>
    </r>
    <r>
      <rPr>
        <b/>
        <vertAlign val="subscript"/>
        <sz val="11"/>
        <color rgb="FF000000"/>
        <rFont val="Arial"/>
        <family val="2"/>
        <scheme val="minor"/>
      </rPr>
      <t>mo</t>
    </r>
  </si>
  <si>
    <t>Temp (C)</t>
  </si>
  <si>
    <t>Biting Rate (BR)</t>
  </si>
  <si>
    <t xml:space="preserve">Biting Rate for Aedes aegypti taken as 
0.35 bites/day from literature </t>
  </si>
  <si>
    <t>Sqrt (32.461-T)</t>
  </si>
  <si>
    <t>T-12.286</t>
  </si>
  <si>
    <t>m = 1 for this study</t>
  </si>
  <si>
    <r>
      <t>Minus(3.408*10</t>
    </r>
    <r>
      <rPr>
        <b/>
        <vertAlign val="superscript"/>
        <sz val="11"/>
        <color rgb="FF000000"/>
        <rFont val="Arial"/>
        <family val="2"/>
        <scheme val="minor"/>
      </rPr>
      <t>-4</t>
    </r>
    <r>
      <rPr>
        <b/>
        <sz val="11"/>
        <color rgb="FF000000"/>
        <rFont val="Arial"/>
        <family val="2"/>
        <scheme val="minor"/>
      </rPr>
      <t>T3)</t>
    </r>
  </si>
  <si>
    <t>R0 Outdoor minus ln (p)</t>
  </si>
  <si>
    <t>CellL/Cell M</t>
  </si>
  <si>
    <t>Ln (R0Outdoor*Minus lnp)</t>
  </si>
  <si>
    <t>R0 for Indoor for m = 1 for Non AC Living Space with Biting Rate Adjusted for Vector Intervention Products and EIP Considered for Indoor Conditions</t>
  </si>
  <si>
    <t>R0-Indoor for female mosquito to human ration m = 1 for AC Living Space with Adjusted Biting Rate Without Use of Vector Intervention Products and EIP Adjusted for Indoor 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</si>
</sst>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\ &quot;kr&quot;_-;\-* #,##0\ &quot;kr&quot;_-;_-* &quot;-&quot;\ &quot;kr&quot;_-;_-@_-"/>
    <numFmt numFmtId="165" formatCode="_-* #,##0\ _k_r_-;\-* #,##0\ _k_r_-;_-* &quot;-&quot;\ _k_r_-;_-@_-"/>
    <numFmt numFmtId="166" formatCode="_-* #,##0.00\ &quot;kr&quot;_-;\-* #,##0.00\ &quot;kr&quot;_-;_-* &quot;-&quot;??\ &quot;kr&quot;_-;_-@_-"/>
    <numFmt numFmtId="167" formatCode="_-* #,##0.00\ _k_r_-;\-* #,##0.00\ _k_r_-;_-* &quot;-&quot;??\ _k_r_-;_-@_-"/>
    <numFmt numFmtId="168" formatCode="0.000"/>
  </numFmts>
  <fonts count="20" x14ac:knownFonts="1">
    <font>
      <sz val="11"/>
      <color rgb="FF000000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0"/>
      <name val="Georgia"/>
      <family val="1"/>
    </font>
    <font>
      <b/>
      <sz val="10"/>
      <color indexed="9"/>
      <name val="Arial"/>
      <family val="2"/>
    </font>
    <font>
      <b/>
      <sz val="11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1"/>
      <color rgb="FF000000"/>
      <name val="Arial"/>
      <family val="2"/>
    </font>
    <font>
      <b/>
      <vertAlign val="subscript"/>
      <sz val="11"/>
      <color rgb="FF000000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color theme="1" tint="4.9989318521683403E-2"/>
      <name val="Arial"/>
      <family val="2"/>
      <scheme val="minor"/>
    </font>
    <font>
      <sz val="11"/>
      <color rgb="FF0070C0"/>
      <name val="Arial"/>
      <family val="2"/>
      <scheme val="minor"/>
    </font>
    <font>
      <b/>
      <sz val="11"/>
      <color rgb="FFCC00CC"/>
      <name val="Arial"/>
      <family val="2"/>
      <scheme val="minor"/>
    </font>
    <font>
      <sz val="11"/>
      <color rgb="FF000000"/>
      <name val="Arial"/>
      <family val="2"/>
    </font>
    <font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1"/>
      <color rgb="FF0070C0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vertAlign val="subscript"/>
      <sz val="11"/>
      <color rgb="FF000000"/>
      <name val="Arial"/>
      <family val="2"/>
    </font>
    <font>
      <b/>
      <vertAlign val="superscript"/>
      <sz val="11"/>
      <color rgb="FF000000"/>
      <name val="Arial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8"/>
      </patternFill>
    </fill>
    <fill>
      <patternFill patternType="solid">
        <fgColor indexed="58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89999084444715716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21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14" borderId="1"/>
    <xf numFmtId="0" fontId="4" fillId="14" borderId="0"/>
    <xf numFmtId="0" fontId="2" fillId="15" borderId="0"/>
  </cellStyleXfs>
  <cellXfs count="19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2" fontId="0" fillId="0" borderId="0" xfId="0" applyNumberFormat="1" applyAlignment="1">
      <alignment horizontal="left"/>
    </xf>
    <xf numFmtId="2" fontId="0" fillId="0" borderId="0" xfId="0" applyNumberFormat="1" applyAlignment="1">
      <alignment horizontal="left" vertical="top"/>
    </xf>
    <xf numFmtId="0" fontId="9" fillId="0" borderId="0" xfId="0" applyFont="1"/>
    <xf numFmtId="0" fontId="9" fillId="0" borderId="0" xfId="0" applyFont="1" applyAlignment="1">
      <alignment horizontal="left"/>
    </xf>
    <xf numFmtId="2" fontId="9" fillId="0" borderId="0" xfId="0" applyNumberFormat="1" applyFont="1" applyAlignment="1">
      <alignment horizontal="left" vertical="top"/>
    </xf>
    <xf numFmtId="2" fontId="11" fillId="0" borderId="0" xfId="0" applyNumberFormat="1" applyFont="1" applyAlignment="1">
      <alignment horizontal="left"/>
    </xf>
    <xf numFmtId="0" fontId="9" fillId="0" borderId="0" xfId="0" applyFont="1" applyAlignment="1">
      <alignment horizontal="left" vertical="top"/>
    </xf>
    <xf numFmtId="168" fontId="9" fillId="0" borderId="0" xfId="0" applyNumberFormat="1" applyFont="1" applyAlignment="1">
      <alignment horizontal="left" vertical="top"/>
    </xf>
    <xf numFmtId="0" fontId="12" fillId="0" borderId="0" xfId="0" applyFont="1"/>
    <xf numFmtId="2" fontId="12" fillId="0" borderId="0" xfId="0" applyNumberFormat="1" applyFont="1" applyAlignment="1">
      <alignment horizontal="left"/>
    </xf>
    <xf numFmtId="2" fontId="0" fillId="0" borderId="6" xfId="0" applyNumberFormat="1" applyBorder="1" applyAlignment="1">
      <alignment horizontal="left"/>
    </xf>
    <xf numFmtId="2" fontId="0" fillId="0" borderId="9" xfId="0" applyNumberFormat="1" applyBorder="1" applyAlignment="1">
      <alignment horizontal="left"/>
    </xf>
    <xf numFmtId="2" fontId="0" fillId="0" borderId="5" xfId="0" applyNumberFormat="1" applyBorder="1" applyAlignment="1">
      <alignment horizontal="left" vertical="top"/>
    </xf>
    <xf numFmtId="2" fontId="0" fillId="0" borderId="8" xfId="0" applyNumberFormat="1" applyBorder="1" applyAlignment="1">
      <alignment horizontal="left" vertical="top"/>
    </xf>
    <xf numFmtId="2" fontId="14" fillId="0" borderId="6" xfId="0" applyNumberFormat="1" applyFont="1" applyBorder="1" applyAlignment="1">
      <alignment horizontal="left"/>
    </xf>
    <xf numFmtId="2" fontId="9" fillId="0" borderId="6" xfId="0" applyNumberFormat="1" applyFont="1" applyBorder="1" applyAlignment="1">
      <alignment horizontal="left"/>
    </xf>
    <xf numFmtId="2" fontId="9" fillId="0" borderId="6" xfId="0" applyNumberFormat="1" applyFont="1" applyBorder="1" applyAlignment="1">
      <alignment horizontal="left" vertical="top"/>
    </xf>
    <xf numFmtId="2" fontId="14" fillId="0" borderId="9" xfId="0" applyNumberFormat="1" applyFont="1" applyBorder="1" applyAlignment="1">
      <alignment horizontal="left"/>
    </xf>
    <xf numFmtId="2" fontId="9" fillId="0" borderId="9" xfId="0" applyNumberFormat="1" applyFont="1" applyBorder="1" applyAlignment="1">
      <alignment horizontal="left"/>
    </xf>
    <xf numFmtId="2" fontId="9" fillId="0" borderId="9" xfId="0" applyNumberFormat="1" applyFont="1" applyBorder="1" applyAlignment="1">
      <alignment horizontal="left" vertical="top"/>
    </xf>
    <xf numFmtId="2" fontId="14" fillId="17" borderId="6" xfId="0" applyNumberFormat="1" applyFont="1" applyFill="1" applyBorder="1" applyAlignment="1">
      <alignment horizontal="left"/>
    </xf>
    <xf numFmtId="2" fontId="9" fillId="17" borderId="6" xfId="0" applyNumberFormat="1" applyFont="1" applyFill="1" applyBorder="1" applyAlignment="1">
      <alignment horizontal="left"/>
    </xf>
    <xf numFmtId="2" fontId="9" fillId="17" borderId="6" xfId="0" applyNumberFormat="1" applyFont="1" applyFill="1" applyBorder="1" applyAlignment="1">
      <alignment horizontal="left" vertical="top"/>
    </xf>
    <xf numFmtId="2" fontId="0" fillId="17" borderId="0" xfId="0" applyNumberFormat="1" applyFill="1" applyAlignment="1">
      <alignment horizontal="left"/>
    </xf>
    <xf numFmtId="2" fontId="11" fillId="17" borderId="0" xfId="0" applyNumberFormat="1" applyFont="1" applyFill="1" applyAlignment="1">
      <alignment horizontal="left"/>
    </xf>
    <xf numFmtId="2" fontId="0" fillId="0" borderId="5" xfId="0" applyNumberFormat="1" applyBorder="1" applyAlignment="1">
      <alignment horizontal="left"/>
    </xf>
    <xf numFmtId="2" fontId="5" fillId="19" borderId="0" xfId="0" applyNumberFormat="1" applyFont="1" applyFill="1"/>
    <xf numFmtId="2" fontId="5" fillId="18" borderId="5" xfId="0" applyNumberFormat="1" applyFont="1" applyFill="1" applyBorder="1"/>
    <xf numFmtId="2" fontId="5" fillId="18" borderId="7" xfId="0" applyNumberFormat="1" applyFont="1" applyFill="1" applyBorder="1"/>
    <xf numFmtId="2" fontId="0" fillId="0" borderId="7" xfId="0" applyNumberFormat="1" applyBorder="1" applyAlignment="1">
      <alignment horizontal="left"/>
    </xf>
    <xf numFmtId="2" fontId="0" fillId="0" borderId="10" xfId="0" applyNumberFormat="1" applyBorder="1" applyAlignment="1">
      <alignment horizontal="left"/>
    </xf>
    <xf numFmtId="2" fontId="5" fillId="0" borderId="14" xfId="0" applyNumberFormat="1" applyFont="1" applyBorder="1"/>
    <xf numFmtId="2" fontId="5" fillId="0" borderId="0" xfId="0" applyNumberFormat="1" applyFont="1"/>
    <xf numFmtId="2" fontId="5" fillId="19" borderId="0" xfId="0" applyNumberFormat="1" applyFont="1" applyFill="1" applyAlignment="1">
      <alignment horizontal="center"/>
    </xf>
    <xf numFmtId="2" fontId="15" fillId="18" borderId="6" xfId="0" applyNumberFormat="1" applyFont="1" applyFill="1" applyBorder="1" applyAlignment="1">
      <alignment horizontal="left"/>
    </xf>
    <xf numFmtId="2" fontId="5" fillId="18" borderId="6" xfId="0" applyNumberFormat="1" applyFont="1" applyFill="1" applyBorder="1"/>
    <xf numFmtId="2" fontId="0" fillId="0" borderId="6" xfId="0" applyNumberFormat="1" applyBorder="1" applyAlignment="1">
      <alignment horizontal="left" vertical="top"/>
    </xf>
    <xf numFmtId="2" fontId="0" fillId="0" borderId="7" xfId="0" applyNumberFormat="1" applyBorder="1" applyAlignment="1">
      <alignment horizontal="left" vertical="top"/>
    </xf>
    <xf numFmtId="2" fontId="0" fillId="0" borderId="9" xfId="0" applyNumberFormat="1" applyBorder="1" applyAlignment="1">
      <alignment horizontal="left" vertical="top"/>
    </xf>
    <xf numFmtId="2" fontId="0" fillId="0" borderId="10" xfId="0" applyNumberFormat="1" applyBorder="1" applyAlignment="1">
      <alignment horizontal="left" vertical="top"/>
    </xf>
    <xf numFmtId="2" fontId="0" fillId="0" borderId="0" xfId="0" applyNumberFormat="1"/>
    <xf numFmtId="2" fontId="5" fillId="0" borderId="0" xfId="0" applyNumberFormat="1" applyFont="1" applyAlignment="1">
      <alignment horizontal="center"/>
    </xf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5" fillId="16" borderId="2" xfId="0" applyNumberFormat="1" applyFont="1" applyFill="1" applyBorder="1"/>
    <xf numFmtId="2" fontId="5" fillId="0" borderId="4" xfId="0" applyNumberFormat="1" applyFont="1" applyBorder="1"/>
    <xf numFmtId="2" fontId="7" fillId="18" borderId="7" xfId="0" applyNumberFormat="1" applyFont="1" applyFill="1" applyBorder="1"/>
    <xf numFmtId="2" fontId="13" fillId="0" borderId="0" xfId="0" applyNumberFormat="1" applyFont="1"/>
    <xf numFmtId="2" fontId="13" fillId="0" borderId="7" xfId="0" applyNumberFormat="1" applyFont="1" applyBorder="1" applyAlignment="1">
      <alignment horizontal="left"/>
    </xf>
    <xf numFmtId="2" fontId="0" fillId="0" borderId="7" xfId="0" applyNumberFormat="1" applyBorder="1"/>
    <xf numFmtId="2" fontId="0" fillId="0" borderId="0" xfId="0" applyNumberFormat="1" applyAlignment="1">
      <alignment vertical="top"/>
    </xf>
    <xf numFmtId="2" fontId="0" fillId="0" borderId="8" xfId="0" applyNumberFormat="1" applyBorder="1" applyAlignment="1">
      <alignment horizontal="left"/>
    </xf>
    <xf numFmtId="2" fontId="15" fillId="18" borderId="6" xfId="0" applyNumberFormat="1" applyFont="1" applyFill="1" applyBorder="1"/>
    <xf numFmtId="2" fontId="17" fillId="18" borderId="6" xfId="0" applyNumberFormat="1" applyFont="1" applyFill="1" applyBorder="1"/>
    <xf numFmtId="2" fontId="16" fillId="18" borderId="7" xfId="0" applyNumberFormat="1" applyFont="1" applyFill="1" applyBorder="1"/>
    <xf numFmtId="2" fontId="9" fillId="0" borderId="0" xfId="0" applyNumberFormat="1" applyFont="1"/>
    <xf numFmtId="2" fontId="10" fillId="0" borderId="0" xfId="0" applyNumberFormat="1" applyFont="1"/>
    <xf numFmtId="2" fontId="1" fillId="0" borderId="0" xfId="0" applyNumberFormat="1" applyFont="1"/>
    <xf numFmtId="2" fontId="11" fillId="0" borderId="0" xfId="0" applyNumberFormat="1" applyFont="1"/>
    <xf numFmtId="2" fontId="16" fillId="0" borderId="7" xfId="0" applyNumberFormat="1" applyFont="1" applyBorder="1" applyAlignment="1">
      <alignment horizontal="left"/>
    </xf>
    <xf numFmtId="2" fontId="9" fillId="0" borderId="0" xfId="0" applyNumberFormat="1" applyFont="1" applyAlignment="1">
      <alignment horizontal="left"/>
    </xf>
    <xf numFmtId="2" fontId="0" fillId="17" borderId="5" xfId="0" applyNumberFormat="1" applyFill="1" applyBorder="1" applyAlignment="1">
      <alignment horizontal="left" vertical="top"/>
    </xf>
    <xf numFmtId="2" fontId="0" fillId="17" borderId="6" xfId="0" applyNumberFormat="1" applyFill="1" applyBorder="1" applyAlignment="1">
      <alignment horizontal="left" vertical="top"/>
    </xf>
    <xf numFmtId="2" fontId="16" fillId="17" borderId="7" xfId="0" applyNumberFormat="1" applyFont="1" applyFill="1" applyBorder="1" applyAlignment="1">
      <alignment horizontal="left"/>
    </xf>
    <xf numFmtId="2" fontId="9" fillId="17" borderId="0" xfId="0" applyNumberFormat="1" applyFont="1" applyFill="1" applyAlignment="1">
      <alignment horizontal="left"/>
    </xf>
    <xf numFmtId="2" fontId="0" fillId="17" borderId="0" xfId="0" applyNumberFormat="1" applyFill="1" applyAlignment="1">
      <alignment horizontal="left" vertical="top"/>
    </xf>
    <xf numFmtId="2" fontId="0" fillId="17" borderId="0" xfId="0" applyNumberFormat="1" applyFill="1"/>
    <xf numFmtId="2" fontId="16" fillId="0" borderId="10" xfId="0" applyNumberFormat="1" applyFont="1" applyBorder="1" applyAlignment="1">
      <alignment horizontal="left"/>
    </xf>
    <xf numFmtId="168" fontId="5" fillId="0" borderId="0" xfId="0" applyNumberFormat="1" applyFont="1" applyAlignment="1">
      <alignment horizontal="center"/>
    </xf>
    <xf numFmtId="168" fontId="6" fillId="0" borderId="0" xfId="0" applyNumberFormat="1" applyFont="1" applyAlignment="1">
      <alignment horizontal="center"/>
    </xf>
    <xf numFmtId="168" fontId="0" fillId="0" borderId="0" xfId="0" applyNumberFormat="1" applyAlignment="1">
      <alignment horizontal="center" vertical="top"/>
    </xf>
    <xf numFmtId="168" fontId="0" fillId="0" borderId="0" xfId="0" applyNumberFormat="1" applyAlignment="1">
      <alignment horizontal="center"/>
    </xf>
    <xf numFmtId="168" fontId="5" fillId="0" borderId="1" xfId="0" applyNumberFormat="1" applyFont="1" applyBorder="1" applyAlignment="1">
      <alignment horizontal="center"/>
    </xf>
    <xf numFmtId="168" fontId="5" fillId="0" borderId="14" xfId="0" applyNumberFormat="1" applyFont="1" applyBorder="1" applyAlignment="1">
      <alignment horizontal="center"/>
    </xf>
    <xf numFmtId="168" fontId="5" fillId="18" borderId="5" xfId="0" applyNumberFormat="1" applyFont="1" applyFill="1" applyBorder="1" applyAlignment="1">
      <alignment horizontal="center"/>
    </xf>
    <xf numFmtId="168" fontId="5" fillId="18" borderId="6" xfId="0" applyNumberFormat="1" applyFont="1" applyFill="1" applyBorder="1" applyAlignment="1">
      <alignment horizontal="center"/>
    </xf>
    <xf numFmtId="168" fontId="5" fillId="18" borderId="7" xfId="0" applyNumberFormat="1" applyFont="1" applyFill="1" applyBorder="1" applyAlignment="1">
      <alignment horizontal="center"/>
    </xf>
    <xf numFmtId="168" fontId="0" fillId="18" borderId="5" xfId="0" applyNumberFormat="1" applyFill="1" applyBorder="1" applyAlignment="1">
      <alignment horizontal="center"/>
    </xf>
    <xf numFmtId="168" fontId="7" fillId="18" borderId="7" xfId="0" applyNumberFormat="1" applyFont="1" applyFill="1" applyBorder="1" applyAlignment="1">
      <alignment horizontal="center"/>
    </xf>
    <xf numFmtId="168" fontId="13" fillId="0" borderId="0" xfId="0" applyNumberFormat="1" applyFont="1" applyAlignment="1">
      <alignment horizontal="center"/>
    </xf>
    <xf numFmtId="168" fontId="0" fillId="18" borderId="6" xfId="0" applyNumberFormat="1" applyFill="1" applyBorder="1" applyAlignment="1">
      <alignment horizontal="center"/>
    </xf>
    <xf numFmtId="168" fontId="0" fillId="0" borderId="5" xfId="0" applyNumberFormat="1" applyBorder="1" applyAlignment="1">
      <alignment horizontal="center"/>
    </xf>
    <xf numFmtId="168" fontId="0" fillId="17" borderId="6" xfId="0" applyNumberFormat="1" applyFill="1" applyBorder="1" applyAlignment="1">
      <alignment horizontal="center"/>
    </xf>
    <xf numFmtId="168" fontId="5" fillId="17" borderId="7" xfId="0" applyNumberFormat="1" applyFont="1" applyFill="1" applyBorder="1" applyAlignment="1">
      <alignment horizontal="center"/>
    </xf>
    <xf numFmtId="168" fontId="0" fillId="0" borderId="6" xfId="0" applyNumberFormat="1" applyBorder="1" applyAlignment="1">
      <alignment horizontal="center" vertical="top"/>
    </xf>
    <xf numFmtId="168" fontId="0" fillId="0" borderId="6" xfId="0" applyNumberFormat="1" applyBorder="1" applyAlignment="1">
      <alignment horizontal="center"/>
    </xf>
    <xf numFmtId="168" fontId="0" fillId="16" borderId="7" xfId="0" applyNumberFormat="1" applyFill="1" applyBorder="1" applyAlignment="1">
      <alignment horizontal="center" vertical="top"/>
    </xf>
    <xf numFmtId="168" fontId="0" fillId="0" borderId="5" xfId="0" applyNumberFormat="1" applyBorder="1" applyAlignment="1">
      <alignment horizontal="center" vertical="top"/>
    </xf>
    <xf numFmtId="168" fontId="0" fillId="16" borderId="7" xfId="0" applyNumberFormat="1" applyFill="1" applyBorder="1" applyAlignment="1">
      <alignment horizontal="center"/>
    </xf>
    <xf numFmtId="168" fontId="0" fillId="19" borderId="5" xfId="0" applyNumberFormat="1" applyFill="1" applyBorder="1" applyAlignment="1">
      <alignment horizontal="center" vertical="top"/>
    </xf>
    <xf numFmtId="168" fontId="0" fillId="0" borderId="30" xfId="0" applyNumberFormat="1" applyBorder="1" applyAlignment="1">
      <alignment horizontal="center" vertical="top"/>
    </xf>
    <xf numFmtId="168" fontId="0" fillId="0" borderId="8" xfId="0" applyNumberFormat="1" applyBorder="1" applyAlignment="1">
      <alignment horizontal="center" vertical="top"/>
    </xf>
    <xf numFmtId="168" fontId="0" fillId="17" borderId="9" xfId="0" applyNumberFormat="1" applyFill="1" applyBorder="1" applyAlignment="1">
      <alignment horizontal="center"/>
    </xf>
    <xf numFmtId="168" fontId="5" fillId="17" borderId="10" xfId="0" applyNumberFormat="1" applyFont="1" applyFill="1" applyBorder="1" applyAlignment="1">
      <alignment horizontal="center"/>
    </xf>
    <xf numFmtId="168" fontId="0" fillId="0" borderId="9" xfId="0" applyNumberFormat="1" applyBorder="1" applyAlignment="1">
      <alignment horizontal="center"/>
    </xf>
    <xf numFmtId="168" fontId="0" fillId="0" borderId="9" xfId="0" applyNumberFormat="1" applyBorder="1" applyAlignment="1">
      <alignment horizontal="center" vertical="top"/>
    </xf>
    <xf numFmtId="168" fontId="0" fillId="16" borderId="10" xfId="0" applyNumberFormat="1" applyFill="1" applyBorder="1" applyAlignment="1">
      <alignment horizontal="center" vertical="top"/>
    </xf>
    <xf numFmtId="168" fontId="0" fillId="0" borderId="8" xfId="0" applyNumberFormat="1" applyBorder="1" applyAlignment="1">
      <alignment horizontal="center"/>
    </xf>
    <xf numFmtId="168" fontId="0" fillId="16" borderId="10" xfId="0" applyNumberFormat="1" applyFill="1" applyBorder="1" applyAlignment="1">
      <alignment horizontal="center"/>
    </xf>
    <xf numFmtId="168" fontId="15" fillId="18" borderId="6" xfId="0" applyNumberFormat="1" applyFont="1" applyFill="1" applyBorder="1" applyAlignment="1">
      <alignment horizontal="center"/>
    </xf>
    <xf numFmtId="168" fontId="17" fillId="18" borderId="6" xfId="0" applyNumberFormat="1" applyFont="1" applyFill="1" applyBorder="1" applyAlignment="1">
      <alignment horizontal="center"/>
    </xf>
    <xf numFmtId="168" fontId="16" fillId="18" borderId="7" xfId="0" applyNumberFormat="1" applyFont="1" applyFill="1" applyBorder="1" applyAlignment="1">
      <alignment horizontal="center"/>
    </xf>
    <xf numFmtId="168" fontId="9" fillId="0" borderId="0" xfId="0" applyNumberFormat="1" applyFont="1" applyAlignment="1">
      <alignment horizontal="center"/>
    </xf>
    <xf numFmtId="168" fontId="10" fillId="0" borderId="0" xfId="0" applyNumberFormat="1" applyFont="1" applyAlignment="1">
      <alignment horizontal="center"/>
    </xf>
    <xf numFmtId="168" fontId="1" fillId="0" borderId="0" xfId="0" applyNumberFormat="1" applyFont="1" applyAlignment="1">
      <alignment horizontal="center"/>
    </xf>
    <xf numFmtId="168" fontId="14" fillId="0" borderId="6" xfId="0" applyNumberFormat="1" applyFont="1" applyBorder="1" applyAlignment="1">
      <alignment horizontal="center"/>
    </xf>
    <xf numFmtId="168" fontId="17" fillId="0" borderId="6" xfId="0" applyNumberFormat="1" applyFont="1" applyBorder="1" applyAlignment="1">
      <alignment horizontal="center"/>
    </xf>
    <xf numFmtId="168" fontId="17" fillId="0" borderId="6" xfId="0" applyNumberFormat="1" applyFont="1" applyBorder="1" applyAlignment="1">
      <alignment horizontal="center" vertical="top"/>
    </xf>
    <xf numFmtId="168" fontId="16" fillId="0" borderId="7" xfId="0" applyNumberFormat="1" applyFont="1" applyBorder="1" applyAlignment="1">
      <alignment horizontal="center"/>
    </xf>
    <xf numFmtId="168" fontId="0" fillId="0" borderId="14" xfId="0" applyNumberFormat="1" applyBorder="1" applyAlignment="1">
      <alignment horizontal="center" vertical="top"/>
    </xf>
    <xf numFmtId="168" fontId="17" fillId="0" borderId="0" xfId="0" applyNumberFormat="1" applyFont="1" applyAlignment="1">
      <alignment horizontal="center"/>
    </xf>
    <xf numFmtId="168" fontId="5" fillId="0" borderId="0" xfId="0" applyNumberFormat="1" applyFont="1" applyAlignment="1">
      <alignment horizontal="center" vertical="top"/>
    </xf>
    <xf numFmtId="168" fontId="5" fillId="18" borderId="19" xfId="0" applyNumberFormat="1" applyFont="1" applyFill="1" applyBorder="1" applyAlignment="1">
      <alignment horizontal="center"/>
    </xf>
    <xf numFmtId="168" fontId="7" fillId="16" borderId="7" xfId="0" applyNumberFormat="1" applyFont="1" applyFill="1" applyBorder="1" applyAlignment="1">
      <alignment horizontal="center"/>
    </xf>
    <xf numFmtId="168" fontId="5" fillId="16" borderId="7" xfId="0" applyNumberFormat="1" applyFont="1" applyFill="1" applyBorder="1" applyAlignment="1">
      <alignment horizontal="center"/>
    </xf>
    <xf numFmtId="168" fontId="0" fillId="0" borderId="19" xfId="0" applyNumberFormat="1" applyBorder="1" applyAlignment="1">
      <alignment horizontal="center"/>
    </xf>
    <xf numFmtId="168" fontId="5" fillId="16" borderId="7" xfId="0" applyNumberFormat="1" applyFont="1" applyFill="1" applyBorder="1" applyAlignment="1">
      <alignment horizontal="center" vertical="top"/>
    </xf>
    <xf numFmtId="168" fontId="0" fillId="0" borderId="24" xfId="0" applyNumberFormat="1" applyBorder="1" applyAlignment="1">
      <alignment horizontal="center"/>
    </xf>
    <xf numFmtId="168" fontId="5" fillId="16" borderId="10" xfId="0" applyNumberFormat="1" applyFont="1" applyFill="1" applyBorder="1" applyAlignment="1">
      <alignment horizontal="center" vertical="top"/>
    </xf>
    <xf numFmtId="168" fontId="5" fillId="16" borderId="10" xfId="0" applyNumberFormat="1" applyFont="1" applyFill="1" applyBorder="1" applyAlignment="1">
      <alignment horizontal="center"/>
    </xf>
    <xf numFmtId="11" fontId="9" fillId="0" borderId="6" xfId="0" applyNumberFormat="1" applyFont="1" applyBorder="1" applyAlignment="1">
      <alignment horizontal="center"/>
    </xf>
    <xf numFmtId="168" fontId="9" fillId="0" borderId="6" xfId="0" applyNumberFormat="1" applyFont="1" applyBorder="1" applyAlignment="1">
      <alignment horizontal="center"/>
    </xf>
    <xf numFmtId="168" fontId="9" fillId="0" borderId="6" xfId="0" applyNumberFormat="1" applyFont="1" applyBorder="1" applyAlignment="1">
      <alignment horizontal="center" vertical="top"/>
    </xf>
    <xf numFmtId="168" fontId="0" fillId="16" borderId="5" xfId="0" applyNumberFormat="1" applyFill="1" applyBorder="1" applyAlignment="1">
      <alignment horizontal="center" vertical="top"/>
    </xf>
    <xf numFmtId="168" fontId="0" fillId="16" borderId="6" xfId="0" applyNumberFormat="1" applyFill="1" applyBorder="1" applyAlignment="1">
      <alignment horizontal="center" vertical="top"/>
    </xf>
    <xf numFmtId="168" fontId="14" fillId="16" borderId="6" xfId="0" applyNumberFormat="1" applyFont="1" applyFill="1" applyBorder="1" applyAlignment="1">
      <alignment horizontal="center"/>
    </xf>
    <xf numFmtId="11" fontId="9" fillId="16" borderId="6" xfId="0" applyNumberFormat="1" applyFont="1" applyFill="1" applyBorder="1" applyAlignment="1">
      <alignment horizontal="center"/>
    </xf>
    <xf numFmtId="168" fontId="9" fillId="16" borderId="6" xfId="0" applyNumberFormat="1" applyFont="1" applyFill="1" applyBorder="1" applyAlignment="1">
      <alignment horizontal="center"/>
    </xf>
    <xf numFmtId="168" fontId="9" fillId="16" borderId="6" xfId="0" applyNumberFormat="1" applyFont="1" applyFill="1" applyBorder="1" applyAlignment="1">
      <alignment horizontal="center" vertical="top"/>
    </xf>
    <xf numFmtId="168" fontId="16" fillId="16" borderId="7" xfId="0" applyNumberFormat="1" applyFont="1" applyFill="1" applyBorder="1" applyAlignment="1">
      <alignment horizontal="center"/>
    </xf>
    <xf numFmtId="168" fontId="5" fillId="16" borderId="5" xfId="0" applyNumberFormat="1" applyFont="1" applyFill="1" applyBorder="1" applyAlignment="1">
      <alignment horizontal="center" vertical="top"/>
    </xf>
    <xf numFmtId="168" fontId="5" fillId="16" borderId="6" xfId="0" applyNumberFormat="1" applyFont="1" applyFill="1" applyBorder="1" applyAlignment="1">
      <alignment horizontal="center" vertical="top"/>
    </xf>
    <xf numFmtId="168" fontId="15" fillId="16" borderId="6" xfId="0" applyNumberFormat="1" applyFont="1" applyFill="1" applyBorder="1" applyAlignment="1">
      <alignment horizontal="center"/>
    </xf>
    <xf numFmtId="11" fontId="17" fillId="16" borderId="6" xfId="0" applyNumberFormat="1" applyFont="1" applyFill="1" applyBorder="1" applyAlignment="1">
      <alignment horizontal="center"/>
    </xf>
    <xf numFmtId="168" fontId="17" fillId="16" borderId="6" xfId="0" applyNumberFormat="1" applyFont="1" applyFill="1" applyBorder="1" applyAlignment="1">
      <alignment horizontal="center"/>
    </xf>
    <xf numFmtId="168" fontId="17" fillId="16" borderId="6" xfId="0" applyNumberFormat="1" applyFont="1" applyFill="1" applyBorder="1" applyAlignment="1">
      <alignment horizontal="center" vertical="top"/>
    </xf>
    <xf numFmtId="168" fontId="5" fillId="0" borderId="14" xfId="0" applyNumberFormat="1" applyFont="1" applyBorder="1" applyAlignment="1">
      <alignment horizontal="center" vertical="top"/>
    </xf>
    <xf numFmtId="168" fontId="5" fillId="0" borderId="5" xfId="0" applyNumberFormat="1" applyFont="1" applyBorder="1" applyAlignment="1">
      <alignment horizontal="center" vertical="top"/>
    </xf>
    <xf numFmtId="168" fontId="5" fillId="0" borderId="6" xfId="0" applyNumberFormat="1" applyFont="1" applyBorder="1" applyAlignment="1">
      <alignment horizontal="center" vertical="top"/>
    </xf>
    <xf numFmtId="168" fontId="15" fillId="0" borderId="6" xfId="0" applyNumberFormat="1" applyFont="1" applyBorder="1" applyAlignment="1">
      <alignment horizontal="center"/>
    </xf>
    <xf numFmtId="11" fontId="17" fillId="0" borderId="6" xfId="0" applyNumberFormat="1" applyFont="1" applyBorder="1" applyAlignment="1">
      <alignment horizontal="center"/>
    </xf>
    <xf numFmtId="168" fontId="5" fillId="19" borderId="0" xfId="0" applyNumberFormat="1" applyFont="1" applyFill="1" applyAlignment="1">
      <alignment horizontal="center"/>
    </xf>
    <xf numFmtId="168" fontId="5" fillId="19" borderId="5" xfId="0" applyNumberFormat="1" applyFont="1" applyFill="1" applyBorder="1" applyAlignment="1">
      <alignment horizontal="center" vertical="top"/>
    </xf>
    <xf numFmtId="168" fontId="5" fillId="19" borderId="6" xfId="0" applyNumberFormat="1" applyFont="1" applyFill="1" applyBorder="1" applyAlignment="1">
      <alignment horizontal="center" vertical="top"/>
    </xf>
    <xf numFmtId="168" fontId="15" fillId="19" borderId="6" xfId="0" applyNumberFormat="1" applyFont="1" applyFill="1" applyBorder="1" applyAlignment="1">
      <alignment horizontal="center"/>
    </xf>
    <xf numFmtId="168" fontId="14" fillId="19" borderId="6" xfId="0" applyNumberFormat="1" applyFont="1" applyFill="1" applyBorder="1" applyAlignment="1">
      <alignment horizontal="center"/>
    </xf>
    <xf numFmtId="11" fontId="17" fillId="19" borderId="6" xfId="0" applyNumberFormat="1" applyFont="1" applyFill="1" applyBorder="1" applyAlignment="1">
      <alignment horizontal="center"/>
    </xf>
    <xf numFmtId="168" fontId="17" fillId="19" borderId="6" xfId="0" applyNumberFormat="1" applyFont="1" applyFill="1" applyBorder="1" applyAlignment="1">
      <alignment horizontal="center"/>
    </xf>
    <xf numFmtId="168" fontId="17" fillId="19" borderId="6" xfId="0" applyNumberFormat="1" applyFont="1" applyFill="1" applyBorder="1" applyAlignment="1">
      <alignment horizontal="center" vertical="top"/>
    </xf>
    <xf numFmtId="168" fontId="16" fillId="19" borderId="7" xfId="0" applyNumberFormat="1" applyFont="1" applyFill="1" applyBorder="1" applyAlignment="1">
      <alignment horizontal="center"/>
    </xf>
    <xf numFmtId="168" fontId="5" fillId="19" borderId="14" xfId="0" applyNumberFormat="1" applyFont="1" applyFill="1" applyBorder="1" applyAlignment="1">
      <alignment horizontal="center" vertical="top"/>
    </xf>
    <xf numFmtId="2" fontId="5" fillId="16" borderId="2" xfId="0" applyNumberFormat="1" applyFont="1" applyFill="1" applyBorder="1" applyAlignment="1">
      <alignment horizontal="center"/>
    </xf>
    <xf numFmtId="2" fontId="5" fillId="16" borderId="3" xfId="0" applyNumberFormat="1" applyFont="1" applyFill="1" applyBorder="1" applyAlignment="1">
      <alignment horizontal="center"/>
    </xf>
    <xf numFmtId="2" fontId="5" fillId="16" borderId="4" xfId="0" applyNumberFormat="1" applyFont="1" applyFill="1" applyBorder="1" applyAlignment="1">
      <alignment horizontal="center"/>
    </xf>
    <xf numFmtId="2" fontId="6" fillId="16" borderId="21" xfId="0" applyNumberFormat="1" applyFont="1" applyFill="1" applyBorder="1" applyAlignment="1">
      <alignment horizontal="center"/>
    </xf>
    <xf numFmtId="2" fontId="6" fillId="16" borderId="22" xfId="0" applyNumberFormat="1" applyFont="1" applyFill="1" applyBorder="1" applyAlignment="1">
      <alignment horizontal="center"/>
    </xf>
    <xf numFmtId="2" fontId="6" fillId="16" borderId="23" xfId="0" applyNumberFormat="1" applyFont="1" applyFill="1" applyBorder="1" applyAlignment="1">
      <alignment horizontal="center"/>
    </xf>
    <xf numFmtId="2" fontId="6" fillId="16" borderId="2" xfId="0" applyNumberFormat="1" applyFont="1" applyFill="1" applyBorder="1" applyAlignment="1">
      <alignment horizontal="center"/>
    </xf>
    <xf numFmtId="2" fontId="6" fillId="16" borderId="3" xfId="0" applyNumberFormat="1" applyFont="1" applyFill="1" applyBorder="1" applyAlignment="1">
      <alignment horizontal="center"/>
    </xf>
    <xf numFmtId="2" fontId="6" fillId="16" borderId="4" xfId="0" applyNumberFormat="1" applyFont="1" applyFill="1" applyBorder="1" applyAlignment="1">
      <alignment horizontal="center"/>
    </xf>
    <xf numFmtId="2" fontId="0" fillId="0" borderId="11" xfId="0" applyNumberFormat="1" applyBorder="1" applyAlignment="1">
      <alignment horizontal="left" vertical="top" wrapText="1"/>
    </xf>
    <xf numFmtId="2" fontId="0" fillId="0" borderId="12" xfId="0" applyNumberFormat="1" applyBorder="1" applyAlignment="1">
      <alignment horizontal="left" vertical="top"/>
    </xf>
    <xf numFmtId="2" fontId="0" fillId="0" borderId="13" xfId="0" applyNumberFormat="1" applyBorder="1" applyAlignment="1">
      <alignment horizontal="left" vertical="top"/>
    </xf>
    <xf numFmtId="2" fontId="0" fillId="0" borderId="14" xfId="0" applyNumberFormat="1" applyBorder="1" applyAlignment="1">
      <alignment horizontal="left" vertical="top"/>
    </xf>
    <xf numFmtId="2" fontId="0" fillId="0" borderId="0" xfId="0" applyNumberFormat="1" applyAlignment="1">
      <alignment horizontal="left" vertical="top"/>
    </xf>
    <xf numFmtId="2" fontId="0" fillId="0" borderId="15" xfId="0" applyNumberFormat="1" applyBorder="1" applyAlignment="1">
      <alignment horizontal="left" vertical="top"/>
    </xf>
    <xf numFmtId="2" fontId="0" fillId="0" borderId="16" xfId="0" applyNumberFormat="1" applyBorder="1" applyAlignment="1">
      <alignment horizontal="left" vertical="top"/>
    </xf>
    <xf numFmtId="2" fontId="0" fillId="0" borderId="17" xfId="0" applyNumberFormat="1" applyBorder="1" applyAlignment="1">
      <alignment horizontal="left" vertical="top"/>
    </xf>
    <xf numFmtId="2" fontId="0" fillId="0" borderId="18" xfId="0" applyNumberFormat="1" applyBorder="1" applyAlignment="1">
      <alignment horizontal="left" vertical="top"/>
    </xf>
    <xf numFmtId="2" fontId="0" fillId="0" borderId="0" xfId="0" applyNumberFormat="1" applyAlignment="1">
      <alignment horizontal="center"/>
    </xf>
    <xf numFmtId="2" fontId="5" fillId="0" borderId="0" xfId="0" applyNumberFormat="1" applyFont="1" applyAlignment="1">
      <alignment horizontal="center"/>
    </xf>
    <xf numFmtId="2" fontId="5" fillId="0" borderId="25" xfId="0" applyNumberFormat="1" applyFont="1" applyBorder="1" applyAlignment="1">
      <alignment horizontal="center" vertical="top"/>
    </xf>
    <xf numFmtId="2" fontId="5" fillId="0" borderId="20" xfId="0" applyNumberFormat="1" applyFont="1" applyBorder="1" applyAlignment="1">
      <alignment horizontal="center" vertical="top"/>
    </xf>
    <xf numFmtId="2" fontId="5" fillId="0" borderId="26" xfId="0" applyNumberFormat="1" applyFont="1" applyBorder="1" applyAlignment="1">
      <alignment horizontal="center" vertical="top"/>
    </xf>
    <xf numFmtId="2" fontId="5" fillId="0" borderId="27" xfId="0" applyNumberFormat="1" applyFont="1" applyBorder="1" applyAlignment="1">
      <alignment horizontal="center" vertical="top"/>
    </xf>
    <xf numFmtId="2" fontId="5" fillId="0" borderId="28" xfId="0" applyNumberFormat="1" applyFont="1" applyBorder="1" applyAlignment="1">
      <alignment horizontal="center" vertical="top"/>
    </xf>
    <xf numFmtId="2" fontId="5" fillId="0" borderId="29" xfId="0" applyNumberFormat="1" applyFont="1" applyBorder="1" applyAlignment="1">
      <alignment horizontal="center" vertical="top"/>
    </xf>
    <xf numFmtId="168" fontId="5" fillId="16" borderId="2" xfId="0" applyNumberFormat="1" applyFont="1" applyFill="1" applyBorder="1" applyAlignment="1">
      <alignment horizontal="center"/>
    </xf>
    <xf numFmtId="168" fontId="5" fillId="16" borderId="3" xfId="0" applyNumberFormat="1" applyFont="1" applyFill="1" applyBorder="1" applyAlignment="1">
      <alignment horizontal="center"/>
    </xf>
    <xf numFmtId="168" fontId="5" fillId="16" borderId="4" xfId="0" applyNumberFormat="1" applyFont="1" applyFill="1" applyBorder="1" applyAlignment="1">
      <alignment horizontal="center"/>
    </xf>
    <xf numFmtId="168" fontId="6" fillId="16" borderId="2" xfId="0" applyNumberFormat="1" applyFont="1" applyFill="1" applyBorder="1" applyAlignment="1">
      <alignment horizontal="center"/>
    </xf>
    <xf numFmtId="168" fontId="6" fillId="16" borderId="3" xfId="0" applyNumberFormat="1" applyFont="1" applyFill="1" applyBorder="1" applyAlignment="1">
      <alignment horizontal="center"/>
    </xf>
    <xf numFmtId="168" fontId="6" fillId="16" borderId="4" xfId="0" applyNumberFormat="1" applyFont="1" applyFill="1" applyBorder="1" applyAlignment="1">
      <alignment horizontal="center"/>
    </xf>
    <xf numFmtId="168" fontId="5" fillId="16" borderId="21" xfId="0" applyNumberFormat="1" applyFont="1" applyFill="1" applyBorder="1" applyAlignment="1">
      <alignment horizontal="center"/>
    </xf>
    <xf numFmtId="168" fontId="5" fillId="16" borderId="22" xfId="0" applyNumberFormat="1" applyFont="1" applyFill="1" applyBorder="1" applyAlignment="1">
      <alignment horizontal="center"/>
    </xf>
    <xf numFmtId="168" fontId="5" fillId="16" borderId="23" xfId="0" applyNumberFormat="1" applyFont="1" applyFill="1" applyBorder="1" applyAlignment="1">
      <alignment horizontal="center"/>
    </xf>
    <xf numFmtId="168" fontId="0" fillId="0" borderId="0" xfId="0" applyNumberFormat="1" applyAlignment="1">
      <alignment horizontal="center" vertical="top"/>
    </xf>
    <xf numFmtId="168" fontId="0" fillId="0" borderId="25" xfId="0" applyNumberFormat="1" applyBorder="1" applyAlignment="1">
      <alignment horizontal="center" vertical="top"/>
    </xf>
    <xf numFmtId="168" fontId="0" fillId="0" borderId="20" xfId="0" applyNumberFormat="1" applyBorder="1" applyAlignment="1">
      <alignment horizontal="center" vertical="top"/>
    </xf>
    <xf numFmtId="168" fontId="0" fillId="0" borderId="26" xfId="0" applyNumberFormat="1" applyBorder="1" applyAlignment="1">
      <alignment horizontal="center" vertical="top"/>
    </xf>
    <xf numFmtId="168" fontId="0" fillId="0" borderId="27" xfId="0" applyNumberFormat="1" applyBorder="1" applyAlignment="1">
      <alignment horizontal="center" vertical="top"/>
    </xf>
    <xf numFmtId="168" fontId="0" fillId="0" borderId="28" xfId="0" applyNumberFormat="1" applyBorder="1" applyAlignment="1">
      <alignment horizontal="center" vertical="top"/>
    </xf>
    <xf numFmtId="168" fontId="0" fillId="0" borderId="29" xfId="0" applyNumberFormat="1" applyBorder="1" applyAlignment="1">
      <alignment horizontal="center" vertical="top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1">
    <cellStyle name="20% - Accent1" xfId="1" builtinId="30" customBuiltin="1"/>
    <cellStyle name="20% - Accent2" xfId="3" builtinId="34" customBuiltin="1"/>
    <cellStyle name="20% - Accent3" xfId="5" builtinId="38" customBuiltin="1"/>
    <cellStyle name="20% - Accent4" xfId="7" builtinId="42" customBuiltin="1"/>
    <cellStyle name="20% - Accent5" xfId="9" builtinId="46" customBuiltin="1"/>
    <cellStyle name="20% - Accent6" xfId="11" builtinId="50" customBuiltin="1"/>
    <cellStyle name="40% - Accent1" xfId="2" builtinId="31" customBuiltin="1"/>
    <cellStyle name="40% - Accent2" xfId="4" builtinId="35" customBuiltin="1"/>
    <cellStyle name="40% - Accent3" xfId="6" builtinId="39" customBuiltin="1"/>
    <cellStyle name="40% - Accent4" xfId="8" builtinId="43" customBuiltin="1"/>
    <cellStyle name="40% - Accent5" xfId="10" builtinId="47" customBuiltin="1"/>
    <cellStyle name="40% - Accent6" xfId="12" builtinId="51" customBuiltin="1"/>
    <cellStyle name="ColumnHeader" xfId="18" xr:uid="{00000000-0005-0000-0000-00000C000000}"/>
    <cellStyle name="ColumnHeaderBlue" xfId="19" xr:uid="{00000000-0005-0000-0000-00000D000000}"/>
    <cellStyle name="Comma" xfId="13" builtinId="3" customBuiltin="1"/>
    <cellStyle name="Comma [0]" xfId="14" builtinId="6" customBuiltin="1"/>
    <cellStyle name="Currency" xfId="15" builtinId="4" customBuiltin="1"/>
    <cellStyle name="Currency [0]" xfId="16" builtinId="7" customBuiltin="1"/>
    <cellStyle name="Highlight" xfId="20" xr:uid="{00000000-0005-0000-0000-000012000000}"/>
    <cellStyle name="Normal" xfId="0" builtinId="0" customBuiltin="1"/>
    <cellStyle name="Percent" xfId="17" builtinId="5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78695F"/>
      <rgbColor rgb="00FFFFFF"/>
      <rgbColor rgb="00FF0000"/>
      <rgbColor rgb="0000FF00"/>
      <rgbColor rgb="00000000"/>
      <rgbColor rgb="00FFFF00"/>
      <rgbColor rgb="00FF00FF"/>
      <rgbColor rgb="0000FFFF"/>
      <rgbColor rgb="00000000"/>
      <rgbColor rgb="00000000"/>
      <rgbColor rgb="00D5D3D0"/>
      <rgbColor rgb="00000000"/>
      <rgbColor rgb="00800080"/>
      <rgbColor rgb="00000000"/>
      <rgbColor rgb="00C0C0C0"/>
      <rgbColor rgb="00000000"/>
      <rgbColor rgb="0078695F"/>
      <rgbColor rgb="00E6E1D7"/>
      <rgbColor rgb="00928E86"/>
      <rgbColor rgb="00E2E1DF"/>
      <rgbColor rgb="0076665D"/>
      <rgbColor rgb="00D5D3D0"/>
      <rgbColor rgb="00AEABA2"/>
      <rgbColor rgb="00432E20"/>
      <rgbColor rgb="0078695F"/>
      <rgbColor rgb="00E6E1D7"/>
      <rgbColor rgb="00928E86"/>
      <rgbColor rgb="00E2E1DF"/>
      <rgbColor rgb="0076665D"/>
      <rgbColor rgb="00D5D3D0"/>
      <rgbColor rgb="00AEABA2"/>
      <rgbColor rgb="00432E2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000000"/>
      <rgbColor rgb="00000000"/>
      <rgbColor rgb="00969696"/>
      <rgbColor rgb="0076665D"/>
      <rgbColor rgb="00339966"/>
      <rgbColor rgb="00E2E1DF"/>
      <rgbColor rgb="00928E86"/>
      <rgbColor rgb="00E6E1D7"/>
      <rgbColor rgb="00993366"/>
      <rgbColor rgb="00AEABA2"/>
      <rgbColor rgb="00432E20"/>
    </indexedColors>
    <mruColors>
      <color rgb="FFCC00CC"/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ema">
  <a:themeElements>
    <a:clrScheme name="Scania">
      <a:dk1>
        <a:sysClr val="windowText" lastClr="000000"/>
      </a:dk1>
      <a:lt1>
        <a:sysClr val="window" lastClr="FFFFFF"/>
      </a:lt1>
      <a:dk2>
        <a:srgbClr val="D6001C"/>
      </a:dk2>
      <a:lt2>
        <a:srgbClr val="CEB888"/>
      </a:lt2>
      <a:accent1>
        <a:srgbClr val="041E42"/>
      </a:accent1>
      <a:accent2>
        <a:srgbClr val="97999B"/>
      </a:accent2>
      <a:accent3>
        <a:srgbClr val="C8C9C7"/>
      </a:accent3>
      <a:accent4>
        <a:srgbClr val="E35205"/>
      </a:accent4>
      <a:accent5>
        <a:srgbClr val="94A596"/>
      </a:accent5>
      <a:accent6>
        <a:srgbClr val="2C5234"/>
      </a:accent6>
      <a:hlink>
        <a:srgbClr val="281E42"/>
      </a:hlink>
      <a:folHlink>
        <a:srgbClr val="281E42"/>
      </a:folHlink>
    </a:clrScheme>
    <a:fontScheme name="Gränges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FA12A-2D76-4FAC-B4B1-BD26EE695CF7}">
  <dimension ref="B1:BN65"/>
  <sheetViews>
    <sheetView tabSelected="1" workbookViewId="0">
      <selection activeCell="C12" sqref="C12"/>
    </sheetView>
  </sheetViews>
  <sheetFormatPr defaultRowHeight="14" x14ac:dyDescent="0.3"/>
  <cols>
    <col min="1" max="8" width="8.6640625" style="43"/>
    <col min="9" max="9" width="15.08203125" style="43" customWidth="1"/>
    <col min="10" max="10" width="17" style="43" customWidth="1"/>
    <col min="11" max="11" width="23.25" style="43" customWidth="1"/>
    <col min="12" max="12" width="11.08203125" style="43" bestFit="1" customWidth="1"/>
    <col min="13" max="14" width="8.6640625" style="43"/>
    <col min="15" max="15" width="22.1640625" style="43" customWidth="1"/>
    <col min="16" max="16" width="14.6640625" style="43" customWidth="1"/>
    <col min="17" max="18" width="8.6640625" style="43"/>
    <col min="19" max="19" width="11" style="43" customWidth="1"/>
    <col min="20" max="24" width="8.6640625" style="43"/>
    <col min="25" max="25" width="11.1640625" style="43" customWidth="1"/>
    <col min="26" max="27" width="8.6640625" style="43"/>
    <col min="28" max="28" width="13.83203125" style="43" customWidth="1"/>
    <col min="29" max="29" width="12.9140625" style="43" customWidth="1"/>
    <col min="30" max="30" width="8.6640625" style="43"/>
    <col min="31" max="31" width="15.4140625" style="43" customWidth="1"/>
    <col min="32" max="35" width="10.08203125" style="43" customWidth="1"/>
    <col min="36" max="37" width="11.5" style="43" customWidth="1"/>
    <col min="38" max="38" width="13.4140625" style="43" customWidth="1"/>
    <col min="39" max="39" width="9.75" style="43" customWidth="1"/>
    <col min="40" max="40" width="15" style="43" customWidth="1"/>
    <col min="41" max="41" width="13.1640625" style="43" customWidth="1"/>
    <col min="42" max="42" width="17.83203125" style="43" customWidth="1"/>
    <col min="43" max="43" width="14.9140625" style="43" customWidth="1"/>
    <col min="44" max="44" width="10.33203125" style="43" customWidth="1"/>
    <col min="45" max="45" width="10.4140625" style="43" customWidth="1"/>
    <col min="46" max="46" width="8.75" style="43" customWidth="1"/>
    <col min="47" max="47" width="12.25" style="43" customWidth="1"/>
    <col min="48" max="48" width="10.1640625" style="43" customWidth="1"/>
    <col min="49" max="49" width="9" style="43" customWidth="1"/>
    <col min="50" max="50" width="10.6640625" style="43" customWidth="1"/>
    <col min="51" max="51" width="13.33203125" style="43" customWidth="1"/>
    <col min="52" max="52" width="10.4140625" style="43" customWidth="1"/>
    <col min="53" max="53" width="12.4140625" style="43" customWidth="1"/>
    <col min="54" max="54" width="13.5" style="43" customWidth="1"/>
    <col min="55" max="55" width="15.1640625" style="43" customWidth="1"/>
    <col min="56" max="56" width="14.33203125" style="43" customWidth="1"/>
    <col min="57" max="59" width="8.6640625" style="43"/>
    <col min="60" max="60" width="12.08203125" style="43" customWidth="1"/>
    <col min="61" max="61" width="13.25" style="43" customWidth="1"/>
    <col min="62" max="63" width="8.6640625" style="43"/>
    <col min="64" max="64" width="10.6640625" style="43" customWidth="1"/>
    <col min="65" max="65" width="10" style="43" customWidth="1"/>
    <col min="66" max="16384" width="8.6640625" style="43"/>
  </cols>
  <sheetData>
    <row r="1" spans="2:66" ht="14.5" thickBot="1" x14ac:dyDescent="0.35"/>
    <row r="2" spans="2:66" ht="17" x14ac:dyDescent="0.45">
      <c r="B2" s="154" t="s">
        <v>93</v>
      </c>
      <c r="C2" s="155"/>
      <c r="D2" s="155"/>
      <c r="E2" s="156"/>
      <c r="F2" s="44"/>
      <c r="G2" s="154" t="s">
        <v>91</v>
      </c>
      <c r="H2" s="155"/>
      <c r="I2" s="155"/>
      <c r="J2" s="155"/>
      <c r="K2" s="155"/>
      <c r="L2" s="156"/>
      <c r="M2" s="44"/>
      <c r="N2" s="154" t="s">
        <v>44</v>
      </c>
      <c r="O2" s="156"/>
      <c r="P2" s="29"/>
      <c r="Q2" s="36"/>
      <c r="R2" s="45"/>
      <c r="S2" s="157" t="s">
        <v>47</v>
      </c>
      <c r="T2" s="158"/>
      <c r="U2" s="158"/>
      <c r="V2" s="159"/>
      <c r="W2" s="46"/>
      <c r="X2" s="160" t="s">
        <v>51</v>
      </c>
      <c r="Y2" s="161"/>
      <c r="Z2" s="161"/>
      <c r="AA2" s="161"/>
      <c r="AB2" s="161"/>
      <c r="AC2" s="162"/>
      <c r="AD2" s="45"/>
      <c r="AE2" s="154" t="s">
        <v>52</v>
      </c>
      <c r="AF2" s="155"/>
      <c r="AG2" s="156"/>
      <c r="AH2" s="35"/>
      <c r="AI2" s="47" t="s">
        <v>53</v>
      </c>
      <c r="AJ2" s="48"/>
      <c r="AK2" s="35"/>
      <c r="AL2" s="154" t="s">
        <v>56</v>
      </c>
      <c r="AM2" s="155"/>
      <c r="AN2" s="155"/>
      <c r="AO2" s="155"/>
      <c r="AP2" s="155"/>
      <c r="AQ2" s="155"/>
      <c r="AR2" s="156"/>
      <c r="AS2" s="35"/>
      <c r="AT2" s="154" t="s">
        <v>57</v>
      </c>
      <c r="AU2" s="155"/>
      <c r="AV2" s="156"/>
      <c r="AW2" s="35"/>
      <c r="AX2" s="35"/>
      <c r="AY2" s="173"/>
      <c r="AZ2" s="173"/>
      <c r="BA2" s="173"/>
      <c r="BB2" s="173"/>
      <c r="BC2" s="173"/>
      <c r="BD2" s="173"/>
      <c r="BE2" s="35"/>
      <c r="BF2" s="173"/>
      <c r="BG2" s="173"/>
      <c r="BH2" s="173"/>
      <c r="BI2" s="173"/>
      <c r="BJ2" s="35"/>
      <c r="BK2" s="173"/>
      <c r="BL2" s="173"/>
      <c r="BM2" s="173"/>
      <c r="BN2" s="173"/>
    </row>
    <row r="3" spans="2:66" ht="17.5" x14ac:dyDescent="0.45">
      <c r="B3" s="163" t="s">
        <v>94</v>
      </c>
      <c r="C3" s="164"/>
      <c r="D3" s="164"/>
      <c r="E3" s="165"/>
      <c r="F3" s="35"/>
      <c r="G3" s="30" t="s">
        <v>92</v>
      </c>
      <c r="H3" s="38" t="s">
        <v>3</v>
      </c>
      <c r="I3" s="38" t="s">
        <v>88</v>
      </c>
      <c r="J3" s="38" t="s">
        <v>89</v>
      </c>
      <c r="K3" s="38" t="s">
        <v>90</v>
      </c>
      <c r="L3" s="31" t="s">
        <v>4</v>
      </c>
      <c r="N3" s="30" t="s">
        <v>9</v>
      </c>
      <c r="O3" s="31" t="s">
        <v>10</v>
      </c>
      <c r="P3" s="34"/>
      <c r="Q3" s="35"/>
      <c r="S3" s="30" t="s">
        <v>0</v>
      </c>
      <c r="T3" s="38" t="s">
        <v>45</v>
      </c>
      <c r="U3" s="38" t="s">
        <v>13</v>
      </c>
      <c r="V3" s="49" t="s">
        <v>84</v>
      </c>
      <c r="W3" s="50"/>
      <c r="X3" s="30" t="s">
        <v>0</v>
      </c>
      <c r="Y3" s="38" t="s">
        <v>48</v>
      </c>
      <c r="Z3" s="38" t="s">
        <v>96</v>
      </c>
      <c r="AA3" s="38" t="s">
        <v>5</v>
      </c>
      <c r="AB3" s="38" t="s">
        <v>95</v>
      </c>
      <c r="AC3" s="49" t="s">
        <v>85</v>
      </c>
      <c r="AD3" s="50"/>
      <c r="AE3" s="30" t="s">
        <v>6</v>
      </c>
      <c r="AF3" s="38" t="s">
        <v>7</v>
      </c>
      <c r="AG3" s="31" t="s">
        <v>8</v>
      </c>
      <c r="AI3" s="30" t="s">
        <v>9</v>
      </c>
      <c r="AJ3" s="31" t="s">
        <v>10</v>
      </c>
      <c r="AL3" s="30" t="s">
        <v>0</v>
      </c>
      <c r="AM3" s="38" t="s">
        <v>13</v>
      </c>
      <c r="AN3" s="38" t="s">
        <v>54</v>
      </c>
      <c r="AO3" s="38" t="s">
        <v>1</v>
      </c>
      <c r="AP3" s="38" t="s">
        <v>98</v>
      </c>
      <c r="AQ3" s="38" t="s">
        <v>2</v>
      </c>
      <c r="AR3" s="31" t="s">
        <v>55</v>
      </c>
      <c r="AT3" s="174" t="s">
        <v>97</v>
      </c>
      <c r="AU3" s="175"/>
      <c r="AV3" s="176"/>
      <c r="AX3" s="35"/>
    </row>
    <row r="4" spans="2:66" ht="14.5" thickBot="1" x14ac:dyDescent="0.35">
      <c r="B4" s="166"/>
      <c r="C4" s="167"/>
      <c r="D4" s="167"/>
      <c r="E4" s="168"/>
      <c r="F4" s="35"/>
      <c r="G4" s="28">
        <v>18</v>
      </c>
      <c r="H4" s="13">
        <f>0.123*G4</f>
        <v>2.214</v>
      </c>
      <c r="I4" s="13">
        <f>5.15-H4</f>
        <v>2.9360000000000004</v>
      </c>
      <c r="J4" s="13">
        <f>EXP(I4)</f>
        <v>18.840334052209105</v>
      </c>
      <c r="K4" s="13">
        <f>4+J4</f>
        <v>22.840334052209105</v>
      </c>
      <c r="L4" s="32">
        <f>1/K4</f>
        <v>4.3782196780229689E-2</v>
      </c>
      <c r="N4" s="28">
        <v>6</v>
      </c>
      <c r="O4" s="32">
        <f>1/N4</f>
        <v>0.16666666666666666</v>
      </c>
      <c r="P4" s="34"/>
      <c r="Q4" s="35"/>
      <c r="S4" s="28">
        <v>18</v>
      </c>
      <c r="T4" s="13">
        <f>0.0729*S4</f>
        <v>1.3122</v>
      </c>
      <c r="U4" s="39">
        <v>0.90369999999999995</v>
      </c>
      <c r="V4" s="51">
        <f>T4-U4</f>
        <v>0.40850000000000009</v>
      </c>
      <c r="W4" s="50"/>
      <c r="X4" s="28">
        <v>18</v>
      </c>
      <c r="Y4" s="39">
        <f>0.001044*X4</f>
        <v>1.8792E-2</v>
      </c>
      <c r="Z4" s="39">
        <f>X4-12.286</f>
        <v>5.7140000000000004</v>
      </c>
      <c r="AA4" s="39">
        <f>32.461-X4</f>
        <v>14.460999999999999</v>
      </c>
      <c r="AB4" s="39">
        <f>SQRT(AA4)</f>
        <v>3.8027621540138425</v>
      </c>
      <c r="AC4" s="40">
        <f>Y4*Z4*AB4</f>
        <v>0.40833104755947558</v>
      </c>
      <c r="AD4" s="50"/>
      <c r="AE4" s="28">
        <v>75</v>
      </c>
      <c r="AF4" s="39">
        <f>75*365</f>
        <v>27375</v>
      </c>
      <c r="AG4" s="52">
        <f>1/AF4</f>
        <v>3.6529680365296805E-5</v>
      </c>
      <c r="AI4" s="28">
        <v>5</v>
      </c>
      <c r="AJ4" s="32">
        <f>1/5</f>
        <v>0.2</v>
      </c>
      <c r="AL4" s="28">
        <v>18</v>
      </c>
      <c r="AM4" s="13">
        <v>0.86919999999999997</v>
      </c>
      <c r="AN4" s="13">
        <f>-0.159*AL4</f>
        <v>-2.8620000000000001</v>
      </c>
      <c r="AO4" s="13">
        <f>0.01116*AL4*AL4</f>
        <v>3.6158399999999999</v>
      </c>
      <c r="AP4" s="13">
        <f>-(3.408/10000)*AL4*AL4*AL4</f>
        <v>-1.9875455999999998</v>
      </c>
      <c r="AQ4" s="13">
        <f>(3.809/1000000)*AL4*AL4*AL4*AL4</f>
        <v>0.39985358400000004</v>
      </c>
      <c r="AR4" s="40">
        <f>AM4+AN4+AO4+AP4+AQ4</f>
        <v>3.5347984000000054E-2</v>
      </c>
      <c r="AT4" s="177"/>
      <c r="AU4" s="178"/>
      <c r="AV4" s="179"/>
      <c r="AX4" s="35"/>
    </row>
    <row r="5" spans="2:66" ht="14.5" thickBot="1" x14ac:dyDescent="0.35">
      <c r="B5" s="169"/>
      <c r="C5" s="170"/>
      <c r="D5" s="170"/>
      <c r="E5" s="171"/>
      <c r="F5" s="35"/>
      <c r="G5" s="28">
        <v>18.5</v>
      </c>
      <c r="H5" s="13">
        <f t="shared" ref="H5:H11" si="0">0.123*G5</f>
        <v>2.2755000000000001</v>
      </c>
      <c r="I5" s="13">
        <f t="shared" ref="I5:I11" si="1">5.15-H5</f>
        <v>2.8745000000000003</v>
      </c>
      <c r="J5" s="13">
        <f t="shared" ref="J5:J11" si="2">EXP(I5)</f>
        <v>17.716563624709696</v>
      </c>
      <c r="K5" s="13">
        <f t="shared" ref="K5:K11" si="3">4+J5</f>
        <v>21.716563624709696</v>
      </c>
      <c r="L5" s="32">
        <f t="shared" ref="L5:L11" si="4">1/K5</f>
        <v>4.6047800991045051E-2</v>
      </c>
      <c r="N5" s="28">
        <v>6</v>
      </c>
      <c r="O5" s="32">
        <f t="shared" ref="O5:O11" si="5">1/N5</f>
        <v>0.16666666666666666</v>
      </c>
      <c r="P5" s="34"/>
      <c r="Q5" s="35"/>
      <c r="S5" s="28">
        <v>18.5</v>
      </c>
      <c r="T5" s="13">
        <f t="shared" ref="T5:T11" si="6">0.0729*S5</f>
        <v>1.3486500000000001</v>
      </c>
      <c r="U5" s="39">
        <v>0.90369999999999995</v>
      </c>
      <c r="V5" s="51">
        <f t="shared" ref="V5:V11" si="7">T5-U5</f>
        <v>0.44495000000000018</v>
      </c>
      <c r="W5" s="50"/>
      <c r="X5" s="28">
        <v>18.5</v>
      </c>
      <c r="Y5" s="39">
        <f t="shared" ref="Y5:Y11" si="8">0.001044*X5</f>
        <v>1.9314000000000001E-2</v>
      </c>
      <c r="Z5" s="39">
        <f t="shared" ref="Z5:Z11" si="9">X5-12.286</f>
        <v>6.2140000000000004</v>
      </c>
      <c r="AA5" s="39">
        <f t="shared" ref="AA5:AA11" si="10">32.461-X5</f>
        <v>13.960999999999999</v>
      </c>
      <c r="AB5" s="39">
        <f t="shared" ref="AB5:AB11" si="11">SQRT(AA5)</f>
        <v>3.7364421579893348</v>
      </c>
      <c r="AC5" s="40">
        <f t="shared" ref="AC5:AC11" si="12">Y5*Z5*AB5</f>
        <v>0.44843731081806903</v>
      </c>
      <c r="AD5" s="50"/>
      <c r="AE5" s="28">
        <v>75</v>
      </c>
      <c r="AF5" s="39">
        <f t="shared" ref="AF5:AF11" si="13">75*365</f>
        <v>27375</v>
      </c>
      <c r="AG5" s="52">
        <f t="shared" ref="AG5:AG11" si="14">1/AF5</f>
        <v>3.6529680365296805E-5</v>
      </c>
      <c r="AI5" s="28">
        <v>5</v>
      </c>
      <c r="AJ5" s="32">
        <f t="shared" ref="AJ5:AJ11" si="15">1/5</f>
        <v>0.2</v>
      </c>
      <c r="AL5" s="28">
        <v>18.5</v>
      </c>
      <c r="AM5" s="13">
        <v>0.86919999999999997</v>
      </c>
      <c r="AN5" s="13">
        <f t="shared" ref="AN5:AN11" si="16">-0.159*AL5</f>
        <v>-2.9415</v>
      </c>
      <c r="AO5" s="13">
        <f t="shared" ref="AO5:AO11" si="17">0.01116*AL5*AL5</f>
        <v>3.8195100000000002</v>
      </c>
      <c r="AP5" s="13">
        <f t="shared" ref="AP5:AP11" si="18">-(3.408/10000)*AL5*AL5*AL5</f>
        <v>-2.1578178000000001</v>
      </c>
      <c r="AQ5" s="13">
        <f t="shared" ref="AQ5:AQ11" si="19">(3.809/1000000)*AL5*AL5*AL5*AL5</f>
        <v>0.44616745306250005</v>
      </c>
      <c r="AR5" s="40">
        <f t="shared" ref="AR5:AR11" si="20">AM5+AN5+AO5+AP5+AQ5</f>
        <v>3.5559653062499863E-2</v>
      </c>
      <c r="AT5" s="53"/>
      <c r="AU5" s="53"/>
      <c r="AV5" s="53"/>
      <c r="AX5" s="35"/>
    </row>
    <row r="6" spans="2:66" x14ac:dyDescent="0.3">
      <c r="B6" s="3"/>
      <c r="C6" s="3"/>
      <c r="D6" s="3"/>
      <c r="E6" s="3"/>
      <c r="F6" s="35"/>
      <c r="G6" s="28">
        <v>19</v>
      </c>
      <c r="H6" s="13">
        <f t="shared" si="0"/>
        <v>2.3369999999999997</v>
      </c>
      <c r="I6" s="13">
        <f t="shared" si="1"/>
        <v>2.8130000000000006</v>
      </c>
      <c r="J6" s="13">
        <f t="shared" si="2"/>
        <v>16.659822792875779</v>
      </c>
      <c r="K6" s="13">
        <f t="shared" si="3"/>
        <v>20.659822792875779</v>
      </c>
      <c r="L6" s="32">
        <f t="shared" si="4"/>
        <v>4.8403125720169998E-2</v>
      </c>
      <c r="N6" s="28">
        <v>6</v>
      </c>
      <c r="O6" s="32">
        <f t="shared" si="5"/>
        <v>0.16666666666666666</v>
      </c>
      <c r="P6" s="34"/>
      <c r="Q6" s="35"/>
      <c r="S6" s="28">
        <v>19</v>
      </c>
      <c r="T6" s="13">
        <f t="shared" si="6"/>
        <v>1.3851000000000002</v>
      </c>
      <c r="U6" s="39">
        <v>0.90369999999999995</v>
      </c>
      <c r="V6" s="51">
        <f t="shared" si="7"/>
        <v>0.48140000000000027</v>
      </c>
      <c r="W6" s="50"/>
      <c r="X6" s="28">
        <v>19</v>
      </c>
      <c r="Y6" s="39">
        <f t="shared" si="8"/>
        <v>1.9835999999999999E-2</v>
      </c>
      <c r="Z6" s="39">
        <f t="shared" si="9"/>
        <v>6.7140000000000004</v>
      </c>
      <c r="AA6" s="39">
        <f t="shared" si="10"/>
        <v>13.460999999999999</v>
      </c>
      <c r="AB6" s="39">
        <f t="shared" si="11"/>
        <v>3.6689235478543294</v>
      </c>
      <c r="AC6" s="40">
        <f t="shared" si="12"/>
        <v>0.48862321696303118</v>
      </c>
      <c r="AD6" s="50"/>
      <c r="AE6" s="28">
        <v>75</v>
      </c>
      <c r="AF6" s="39">
        <f t="shared" si="13"/>
        <v>27375</v>
      </c>
      <c r="AG6" s="52">
        <f t="shared" si="14"/>
        <v>3.6529680365296805E-5</v>
      </c>
      <c r="AI6" s="28">
        <v>5</v>
      </c>
      <c r="AJ6" s="32">
        <f t="shared" si="15"/>
        <v>0.2</v>
      </c>
      <c r="AL6" s="28">
        <v>19</v>
      </c>
      <c r="AM6" s="13">
        <v>0.86919999999999997</v>
      </c>
      <c r="AN6" s="13">
        <f t="shared" si="16"/>
        <v>-3.0209999999999999</v>
      </c>
      <c r="AO6" s="13">
        <f t="shared" si="17"/>
        <v>4.0287600000000001</v>
      </c>
      <c r="AP6" s="13">
        <f t="shared" si="18"/>
        <v>-2.3375471999999999</v>
      </c>
      <c r="AQ6" s="13">
        <f t="shared" si="19"/>
        <v>0.49639268900000005</v>
      </c>
      <c r="AR6" s="40">
        <f t="shared" si="20"/>
        <v>3.5805489000000523E-2</v>
      </c>
      <c r="AT6" s="53"/>
      <c r="AU6" s="53"/>
      <c r="AV6" s="53"/>
      <c r="AX6" s="35"/>
    </row>
    <row r="7" spans="2:66" x14ac:dyDescent="0.3">
      <c r="B7" s="3"/>
      <c r="C7" s="3"/>
      <c r="D7" s="3"/>
      <c r="E7" s="3"/>
      <c r="F7" s="35"/>
      <c r="G7" s="28">
        <v>19.5</v>
      </c>
      <c r="H7" s="13">
        <f t="shared" si="0"/>
        <v>2.3984999999999999</v>
      </c>
      <c r="I7" s="13">
        <f t="shared" si="1"/>
        <v>2.7515000000000005</v>
      </c>
      <c r="J7" s="13">
        <f t="shared" si="2"/>
        <v>15.666113438777613</v>
      </c>
      <c r="K7" s="13">
        <f t="shared" si="3"/>
        <v>19.666113438777614</v>
      </c>
      <c r="L7" s="32">
        <f t="shared" si="4"/>
        <v>5.0848888018117572E-2</v>
      </c>
      <c r="N7" s="28">
        <v>6</v>
      </c>
      <c r="O7" s="32">
        <f t="shared" si="5"/>
        <v>0.16666666666666666</v>
      </c>
      <c r="P7" s="34"/>
      <c r="Q7" s="35"/>
      <c r="S7" s="28">
        <v>19.5</v>
      </c>
      <c r="T7" s="13">
        <f t="shared" si="6"/>
        <v>1.4215500000000001</v>
      </c>
      <c r="U7" s="39">
        <v>0.90369999999999995</v>
      </c>
      <c r="V7" s="51">
        <f t="shared" si="7"/>
        <v>0.51785000000000014</v>
      </c>
      <c r="W7" s="50"/>
      <c r="X7" s="28">
        <v>19.5</v>
      </c>
      <c r="Y7" s="39">
        <f t="shared" si="8"/>
        <v>2.0358000000000001E-2</v>
      </c>
      <c r="Z7" s="39">
        <f t="shared" si="9"/>
        <v>7.2140000000000004</v>
      </c>
      <c r="AA7" s="39">
        <f t="shared" si="10"/>
        <v>12.960999999999999</v>
      </c>
      <c r="AB7" s="39">
        <f t="shared" si="11"/>
        <v>3.600138886209808</v>
      </c>
      <c r="AC7" s="40">
        <f t="shared" si="12"/>
        <v>0.52872580039154315</v>
      </c>
      <c r="AD7" s="50"/>
      <c r="AE7" s="28">
        <v>75</v>
      </c>
      <c r="AF7" s="39">
        <f t="shared" si="13"/>
        <v>27375</v>
      </c>
      <c r="AG7" s="52">
        <f t="shared" si="14"/>
        <v>3.6529680365296805E-5</v>
      </c>
      <c r="AI7" s="28">
        <v>5</v>
      </c>
      <c r="AJ7" s="32">
        <f t="shared" si="15"/>
        <v>0.2</v>
      </c>
      <c r="AL7" s="28">
        <v>19.5</v>
      </c>
      <c r="AM7" s="13">
        <v>0.86919999999999997</v>
      </c>
      <c r="AN7" s="13">
        <f t="shared" si="16"/>
        <v>-3.1005000000000003</v>
      </c>
      <c r="AO7" s="13">
        <f t="shared" si="17"/>
        <v>4.2435900000000002</v>
      </c>
      <c r="AP7" s="13">
        <f t="shared" si="18"/>
        <v>-2.5269893999999997</v>
      </c>
      <c r="AQ7" s="13">
        <f t="shared" si="19"/>
        <v>0.55074354806250003</v>
      </c>
      <c r="AR7" s="40">
        <f t="shared" si="20"/>
        <v>3.6044148062500447E-2</v>
      </c>
      <c r="AT7" s="53"/>
      <c r="AU7" s="53"/>
      <c r="AV7" s="53"/>
      <c r="AX7" s="35"/>
    </row>
    <row r="8" spans="2:66" x14ac:dyDescent="0.3">
      <c r="B8" s="3"/>
      <c r="C8" s="3"/>
      <c r="D8" s="3"/>
      <c r="E8" s="3"/>
      <c r="F8" s="35"/>
      <c r="G8" s="28">
        <v>20</v>
      </c>
      <c r="H8" s="13">
        <f t="shared" si="0"/>
        <v>2.46</v>
      </c>
      <c r="I8" s="13">
        <f t="shared" si="1"/>
        <v>2.6900000000000004</v>
      </c>
      <c r="J8" s="13">
        <f t="shared" si="2"/>
        <v>14.731675920442576</v>
      </c>
      <c r="K8" s="13">
        <f t="shared" si="3"/>
        <v>18.731675920442576</v>
      </c>
      <c r="L8" s="32">
        <f t="shared" si="4"/>
        <v>5.3385506147299013E-2</v>
      </c>
      <c r="N8" s="28">
        <v>6</v>
      </c>
      <c r="O8" s="32">
        <f t="shared" si="5"/>
        <v>0.16666666666666666</v>
      </c>
      <c r="P8" s="34"/>
      <c r="Q8" s="35"/>
      <c r="S8" s="28">
        <v>20</v>
      </c>
      <c r="T8" s="13">
        <f t="shared" si="6"/>
        <v>1.4580000000000002</v>
      </c>
      <c r="U8" s="39">
        <v>0.90369999999999995</v>
      </c>
      <c r="V8" s="51">
        <f t="shared" si="7"/>
        <v>0.55430000000000024</v>
      </c>
      <c r="W8" s="50"/>
      <c r="X8" s="28">
        <v>20</v>
      </c>
      <c r="Y8" s="39">
        <f t="shared" si="8"/>
        <v>2.0879999999999999E-2</v>
      </c>
      <c r="Z8" s="39">
        <f t="shared" si="9"/>
        <v>7.7140000000000004</v>
      </c>
      <c r="AA8" s="39">
        <f t="shared" si="10"/>
        <v>12.460999999999999</v>
      </c>
      <c r="AB8" s="39">
        <f t="shared" si="11"/>
        <v>3.5300141642775316</v>
      </c>
      <c r="AC8" s="40">
        <f t="shared" si="12"/>
        <v>0.56857345101638612</v>
      </c>
      <c r="AD8" s="50"/>
      <c r="AE8" s="28">
        <v>75</v>
      </c>
      <c r="AF8" s="39">
        <f t="shared" si="13"/>
        <v>27375</v>
      </c>
      <c r="AG8" s="52">
        <f t="shared" si="14"/>
        <v>3.6529680365296805E-5</v>
      </c>
      <c r="AI8" s="28">
        <v>5</v>
      </c>
      <c r="AJ8" s="32">
        <f t="shared" si="15"/>
        <v>0.2</v>
      </c>
      <c r="AL8" s="28">
        <v>20</v>
      </c>
      <c r="AM8" s="13">
        <v>0.86919999999999997</v>
      </c>
      <c r="AN8" s="13">
        <f t="shared" si="16"/>
        <v>-3.18</v>
      </c>
      <c r="AO8" s="13">
        <f t="shared" si="17"/>
        <v>4.4640000000000004</v>
      </c>
      <c r="AP8" s="13">
        <f t="shared" si="18"/>
        <v>-2.7263999999999999</v>
      </c>
      <c r="AQ8" s="13">
        <f t="shared" si="19"/>
        <v>0.60944000000000009</v>
      </c>
      <c r="AR8" s="40">
        <f t="shared" si="20"/>
        <v>3.6240000000000161E-2</v>
      </c>
      <c r="AT8" s="53"/>
      <c r="AU8" s="53"/>
      <c r="AV8" s="53"/>
      <c r="AX8" s="35"/>
    </row>
    <row r="9" spans="2:66" x14ac:dyDescent="0.3">
      <c r="B9" s="3"/>
      <c r="C9" s="3"/>
      <c r="D9" s="3"/>
      <c r="E9" s="3"/>
      <c r="F9" s="35"/>
      <c r="G9" s="28">
        <v>20.5</v>
      </c>
      <c r="H9" s="13">
        <f t="shared" si="0"/>
        <v>2.5215000000000001</v>
      </c>
      <c r="I9" s="13">
        <f t="shared" si="1"/>
        <v>2.6285000000000003</v>
      </c>
      <c r="J9" s="13">
        <f t="shared" si="2"/>
        <v>13.852974847466784</v>
      </c>
      <c r="K9" s="13">
        <f t="shared" si="3"/>
        <v>17.852974847466783</v>
      </c>
      <c r="L9" s="32">
        <f t="shared" si="4"/>
        <v>5.6013073929911089E-2</v>
      </c>
      <c r="N9" s="28">
        <v>6</v>
      </c>
      <c r="O9" s="32">
        <f t="shared" si="5"/>
        <v>0.16666666666666666</v>
      </c>
      <c r="P9" s="34"/>
      <c r="Q9" s="35"/>
      <c r="S9" s="28">
        <v>20.5</v>
      </c>
      <c r="T9" s="13">
        <f t="shared" si="6"/>
        <v>1.4944500000000001</v>
      </c>
      <c r="U9" s="39">
        <v>0.90369999999999995</v>
      </c>
      <c r="V9" s="51">
        <f t="shared" si="7"/>
        <v>0.59075000000000011</v>
      </c>
      <c r="W9" s="50"/>
      <c r="X9" s="28">
        <v>20.5</v>
      </c>
      <c r="Y9" s="39">
        <f t="shared" si="8"/>
        <v>2.1402000000000001E-2</v>
      </c>
      <c r="Z9" s="39">
        <f t="shared" si="9"/>
        <v>8.2140000000000004</v>
      </c>
      <c r="AA9" s="39">
        <f t="shared" si="10"/>
        <v>11.960999999999999</v>
      </c>
      <c r="AB9" s="39">
        <f t="shared" si="11"/>
        <v>3.4584678688691035</v>
      </c>
      <c r="AC9" s="40">
        <f t="shared" si="12"/>
        <v>0.60798491431281332</v>
      </c>
      <c r="AD9" s="50"/>
      <c r="AE9" s="28">
        <v>75</v>
      </c>
      <c r="AF9" s="39">
        <f t="shared" si="13"/>
        <v>27375</v>
      </c>
      <c r="AG9" s="52">
        <f t="shared" si="14"/>
        <v>3.6529680365296805E-5</v>
      </c>
      <c r="AI9" s="28">
        <v>5</v>
      </c>
      <c r="AJ9" s="32">
        <f t="shared" si="15"/>
        <v>0.2</v>
      </c>
      <c r="AL9" s="28">
        <v>20.5</v>
      </c>
      <c r="AM9" s="13">
        <v>0.86919999999999997</v>
      </c>
      <c r="AN9" s="13">
        <f t="shared" si="16"/>
        <v>-3.2595000000000001</v>
      </c>
      <c r="AO9" s="13">
        <f t="shared" si="17"/>
        <v>4.6899899999999999</v>
      </c>
      <c r="AP9" s="13">
        <f t="shared" si="18"/>
        <v>-2.9360345999999997</v>
      </c>
      <c r="AQ9" s="13">
        <f t="shared" si="19"/>
        <v>0.67270772806250001</v>
      </c>
      <c r="AR9" s="40">
        <f t="shared" si="20"/>
        <v>3.6363128062500305E-2</v>
      </c>
      <c r="AT9" s="53"/>
      <c r="AU9" s="53"/>
      <c r="AV9" s="53"/>
      <c r="AX9" s="35"/>
    </row>
    <row r="10" spans="2:66" x14ac:dyDescent="0.3">
      <c r="B10" s="3"/>
      <c r="C10" s="3"/>
      <c r="D10" s="3"/>
      <c r="E10" s="3"/>
      <c r="F10" s="35"/>
      <c r="G10" s="28">
        <v>21</v>
      </c>
      <c r="H10" s="13">
        <f t="shared" si="0"/>
        <v>2.5830000000000002</v>
      </c>
      <c r="I10" s="13">
        <f t="shared" si="1"/>
        <v>2.5670000000000002</v>
      </c>
      <c r="J10" s="13">
        <f t="shared" si="2"/>
        <v>13.026685705069601</v>
      </c>
      <c r="K10" s="13">
        <f t="shared" si="3"/>
        <v>17.026685705069603</v>
      </c>
      <c r="L10" s="32">
        <f t="shared" si="4"/>
        <v>5.8731336052221569E-2</v>
      </c>
      <c r="N10" s="28">
        <v>6</v>
      </c>
      <c r="O10" s="32">
        <f t="shared" si="5"/>
        <v>0.16666666666666666</v>
      </c>
      <c r="P10" s="34"/>
      <c r="Q10" s="35"/>
      <c r="S10" s="28">
        <v>21</v>
      </c>
      <c r="T10" s="13">
        <f t="shared" si="6"/>
        <v>1.5309000000000001</v>
      </c>
      <c r="U10" s="39">
        <v>0.90369999999999995</v>
      </c>
      <c r="V10" s="51">
        <f t="shared" si="7"/>
        <v>0.6272000000000002</v>
      </c>
      <c r="W10" s="50"/>
      <c r="X10" s="28">
        <v>21</v>
      </c>
      <c r="Y10" s="39">
        <f t="shared" si="8"/>
        <v>2.1923999999999999E-2</v>
      </c>
      <c r="Z10" s="39">
        <f t="shared" si="9"/>
        <v>8.7140000000000004</v>
      </c>
      <c r="AA10" s="39">
        <f t="shared" si="10"/>
        <v>11.460999999999999</v>
      </c>
      <c r="AB10" s="39">
        <f t="shared" si="11"/>
        <v>3.3854098717880525</v>
      </c>
      <c r="AC10" s="40">
        <f t="shared" si="12"/>
        <v>0.64676812061741407</v>
      </c>
      <c r="AD10" s="50"/>
      <c r="AE10" s="28">
        <v>75</v>
      </c>
      <c r="AF10" s="39">
        <f t="shared" si="13"/>
        <v>27375</v>
      </c>
      <c r="AG10" s="52">
        <f t="shared" si="14"/>
        <v>3.6529680365296805E-5</v>
      </c>
      <c r="AI10" s="28">
        <v>5</v>
      </c>
      <c r="AJ10" s="32">
        <f t="shared" si="15"/>
        <v>0.2</v>
      </c>
      <c r="AL10" s="28">
        <v>21</v>
      </c>
      <c r="AM10" s="13">
        <v>0.86919999999999997</v>
      </c>
      <c r="AN10" s="13">
        <f t="shared" si="16"/>
        <v>-3.339</v>
      </c>
      <c r="AO10" s="13">
        <f t="shared" si="17"/>
        <v>4.9215599999999995</v>
      </c>
      <c r="AP10" s="13">
        <f t="shared" si="18"/>
        <v>-3.1561488</v>
      </c>
      <c r="AQ10" s="13">
        <f t="shared" si="19"/>
        <v>0.74077812900000017</v>
      </c>
      <c r="AR10" s="40">
        <f t="shared" si="20"/>
        <v>3.6389328999999471E-2</v>
      </c>
      <c r="AT10" s="53"/>
      <c r="AU10" s="53"/>
      <c r="AV10" s="53"/>
      <c r="AX10" s="35"/>
    </row>
    <row r="11" spans="2:66" x14ac:dyDescent="0.3">
      <c r="B11" s="3"/>
      <c r="C11" s="3"/>
      <c r="D11" s="3"/>
      <c r="E11" s="3"/>
      <c r="F11" s="35"/>
      <c r="G11" s="28">
        <v>21.5</v>
      </c>
      <c r="H11" s="13">
        <f t="shared" si="0"/>
        <v>2.6444999999999999</v>
      </c>
      <c r="I11" s="13">
        <f t="shared" si="1"/>
        <v>2.5055000000000005</v>
      </c>
      <c r="J11" s="13">
        <f t="shared" si="2"/>
        <v>12.249682275983911</v>
      </c>
      <c r="K11" s="13">
        <f t="shared" si="3"/>
        <v>16.249682275983911</v>
      </c>
      <c r="L11" s="32">
        <f t="shared" si="4"/>
        <v>6.1539664777196419E-2</v>
      </c>
      <c r="N11" s="28">
        <v>6</v>
      </c>
      <c r="O11" s="32">
        <f t="shared" si="5"/>
        <v>0.16666666666666666</v>
      </c>
      <c r="P11" s="34"/>
      <c r="Q11" s="35"/>
      <c r="S11" s="28">
        <v>21.5</v>
      </c>
      <c r="T11" s="13">
        <f t="shared" si="6"/>
        <v>1.5673500000000002</v>
      </c>
      <c r="U11" s="39">
        <v>0.90369999999999995</v>
      </c>
      <c r="V11" s="51">
        <f t="shared" si="7"/>
        <v>0.6636500000000003</v>
      </c>
      <c r="W11" s="50"/>
      <c r="X11" s="28">
        <v>21.5</v>
      </c>
      <c r="Y11" s="39">
        <f t="shared" si="8"/>
        <v>2.2446000000000001E-2</v>
      </c>
      <c r="Z11" s="39">
        <f t="shared" si="9"/>
        <v>9.2140000000000004</v>
      </c>
      <c r="AA11" s="39">
        <f t="shared" si="10"/>
        <v>10.960999999999999</v>
      </c>
      <c r="AB11" s="39">
        <f t="shared" si="11"/>
        <v>3.3107400985278197</v>
      </c>
      <c r="AC11" s="40">
        <f t="shared" si="12"/>
        <v>0.68471880492583193</v>
      </c>
      <c r="AD11" s="50"/>
      <c r="AE11" s="28">
        <v>75</v>
      </c>
      <c r="AF11" s="39">
        <f t="shared" si="13"/>
        <v>27375</v>
      </c>
      <c r="AG11" s="52">
        <f t="shared" si="14"/>
        <v>3.6529680365296805E-5</v>
      </c>
      <c r="AI11" s="28">
        <v>5</v>
      </c>
      <c r="AJ11" s="32">
        <f t="shared" si="15"/>
        <v>0.2</v>
      </c>
      <c r="AL11" s="28">
        <v>21.5</v>
      </c>
      <c r="AM11" s="13">
        <v>0.86919999999999997</v>
      </c>
      <c r="AN11" s="13">
        <f t="shared" si="16"/>
        <v>-3.4184999999999999</v>
      </c>
      <c r="AO11" s="13">
        <f t="shared" si="17"/>
        <v>5.1587100000000001</v>
      </c>
      <c r="AP11" s="13">
        <f t="shared" si="18"/>
        <v>-3.3869981999999998</v>
      </c>
      <c r="AQ11" s="13">
        <f t="shared" si="19"/>
        <v>0.81388831306249998</v>
      </c>
      <c r="AR11" s="40">
        <f t="shared" si="20"/>
        <v>3.6300113062500583E-2</v>
      </c>
      <c r="AT11" s="53"/>
      <c r="AU11" s="53"/>
      <c r="AV11" s="53"/>
      <c r="AX11" s="35"/>
    </row>
    <row r="12" spans="2:66" x14ac:dyDescent="0.3">
      <c r="B12" s="4"/>
      <c r="C12" s="3"/>
      <c r="D12" s="3"/>
      <c r="E12" s="3"/>
      <c r="F12" s="3"/>
      <c r="G12" s="15">
        <v>22</v>
      </c>
      <c r="H12" s="13">
        <f>0.123*G12</f>
        <v>2.706</v>
      </c>
      <c r="I12" s="39">
        <f>5.15-H12</f>
        <v>2.4440000000000004</v>
      </c>
      <c r="J12" s="13">
        <f>EXP(I12)</f>
        <v>11.519024812593537</v>
      </c>
      <c r="K12" s="13">
        <f>4+J12</f>
        <v>15.519024812593537</v>
      </c>
      <c r="L12" s="40">
        <f>1/K12</f>
        <v>6.4437038543073255E-2</v>
      </c>
      <c r="M12" s="4"/>
      <c r="N12" s="15">
        <v>6</v>
      </c>
      <c r="O12" s="32">
        <f>1/N12</f>
        <v>0.16666666666666666</v>
      </c>
      <c r="P12" s="34"/>
      <c r="Q12" s="35"/>
      <c r="S12" s="15">
        <v>22</v>
      </c>
      <c r="T12" s="39">
        <f t="shared" ref="T12:T20" si="21">0.0729*S12</f>
        <v>1.6038000000000001</v>
      </c>
      <c r="U12" s="39">
        <v>0.90369999999999995</v>
      </c>
      <c r="V12" s="40">
        <f t="shared" ref="V12:V20" si="22">T12-U12</f>
        <v>0.70010000000000017</v>
      </c>
      <c r="W12" s="4"/>
      <c r="X12" s="15">
        <v>22</v>
      </c>
      <c r="Y12" s="39">
        <f>0.001044*X12</f>
        <v>2.2967999999999999E-2</v>
      </c>
      <c r="Z12" s="39">
        <f>X12-12.286</f>
        <v>9.7140000000000004</v>
      </c>
      <c r="AA12" s="39">
        <f>32.461-X12</f>
        <v>10.460999999999999</v>
      </c>
      <c r="AB12" s="39">
        <f>SQRT(AA12)</f>
        <v>3.2343469201679649</v>
      </c>
      <c r="AC12" s="40">
        <f>Y12*Z12*AB12</f>
        <v>0.72161886732632674</v>
      </c>
      <c r="AD12" s="4"/>
      <c r="AE12" s="28">
        <v>75</v>
      </c>
      <c r="AF12" s="39">
        <f>75*365</f>
        <v>27375</v>
      </c>
      <c r="AG12" s="52">
        <f>1/AF12</f>
        <v>3.6529680365296805E-5</v>
      </c>
      <c r="AH12" s="4"/>
      <c r="AI12" s="28">
        <v>5</v>
      </c>
      <c r="AJ12" s="32">
        <f>1/5</f>
        <v>0.2</v>
      </c>
      <c r="AK12" s="4"/>
      <c r="AL12" s="15">
        <v>22</v>
      </c>
      <c r="AM12" s="13">
        <v>0.86919999999999997</v>
      </c>
      <c r="AN12" s="13">
        <f>-0.159*AL12</f>
        <v>-3.4980000000000002</v>
      </c>
      <c r="AO12" s="13">
        <f>0.01116*AL12*AL12</f>
        <v>5.40144</v>
      </c>
      <c r="AP12" s="13">
        <f>-(3.408/10000)*AL12*AL12*AL12</f>
        <v>-3.6288384000000002</v>
      </c>
      <c r="AQ12" s="13">
        <f>(3.809/1000000)*AL12*AL12*AL12*AL12</f>
        <v>0.89228110400000005</v>
      </c>
      <c r="AR12" s="40">
        <f>AM12+AN12+AO12+AP12+AQ12</f>
        <v>3.6082703999999799E-2</v>
      </c>
      <c r="AT12" s="4"/>
      <c r="AU12" s="3"/>
      <c r="AV12" s="3"/>
      <c r="AY12" s="4"/>
      <c r="AZ12" s="3"/>
      <c r="BA12" s="3"/>
      <c r="BB12" s="3"/>
      <c r="BC12" s="4"/>
      <c r="BD12" s="3"/>
      <c r="BF12" s="4"/>
      <c r="BG12" s="4"/>
      <c r="BH12" s="3"/>
      <c r="BI12" s="4"/>
    </row>
    <row r="13" spans="2:66" x14ac:dyDescent="0.3">
      <c r="B13" s="4"/>
      <c r="C13" s="3"/>
      <c r="D13" s="3"/>
      <c r="E13" s="3"/>
      <c r="F13" s="3"/>
      <c r="G13" s="15">
        <v>22.5</v>
      </c>
      <c r="H13" s="13">
        <f t="shared" ref="H13:H32" si="23">0.123*G13</f>
        <v>2.7675000000000001</v>
      </c>
      <c r="I13" s="39">
        <f>5.15-H13</f>
        <v>2.3825000000000003</v>
      </c>
      <c r="J13" s="13">
        <f t="shared" ref="J13:J32" si="24">EXP(I13)</f>
        <v>10.831948914567903</v>
      </c>
      <c r="K13" s="13">
        <f t="shared" ref="K13:K32" si="25">4+J13</f>
        <v>14.831948914567903</v>
      </c>
      <c r="L13" s="40">
        <f t="shared" ref="L13:L32" si="26">1/K13</f>
        <v>6.7422022942501006E-2</v>
      </c>
      <c r="M13" s="4"/>
      <c r="N13" s="15">
        <v>6</v>
      </c>
      <c r="O13" s="32">
        <f t="shared" ref="O13:O32" si="27">1/N13</f>
        <v>0.16666666666666666</v>
      </c>
      <c r="P13" s="34"/>
      <c r="Q13" s="35"/>
      <c r="S13" s="15">
        <v>22.5</v>
      </c>
      <c r="T13" s="39">
        <f t="shared" si="21"/>
        <v>1.6402500000000002</v>
      </c>
      <c r="U13" s="39">
        <v>0.90369999999999995</v>
      </c>
      <c r="V13" s="40">
        <f t="shared" si="22"/>
        <v>0.73655000000000026</v>
      </c>
      <c r="W13" s="4"/>
      <c r="X13" s="15">
        <v>22.5</v>
      </c>
      <c r="Y13" s="39">
        <f t="shared" ref="Y13:Y32" si="28">0.001044*X13</f>
        <v>2.349E-2</v>
      </c>
      <c r="Z13" s="39">
        <f t="shared" ref="Z13:Z32" si="29">X13-12.286</f>
        <v>10.214</v>
      </c>
      <c r="AA13" s="39">
        <f>32.461-X13</f>
        <v>9.9609999999999985</v>
      </c>
      <c r="AB13" s="39">
        <f>SQRT(AA13)</f>
        <v>3.1561051946980472</v>
      </c>
      <c r="AC13" s="40">
        <f t="shared" ref="AC13:AC32" si="30">Y13*Z13*AB13</f>
        <v>0.7572344091935912</v>
      </c>
      <c r="AD13" s="4"/>
      <c r="AE13" s="28">
        <v>75</v>
      </c>
      <c r="AF13" s="39">
        <f t="shared" ref="AF13:AF32" si="31">75*365</f>
        <v>27375</v>
      </c>
      <c r="AG13" s="52">
        <f t="shared" ref="AG13:AG32" si="32">1/AF13</f>
        <v>3.6529680365296805E-5</v>
      </c>
      <c r="AH13" s="4"/>
      <c r="AI13" s="28">
        <v>5</v>
      </c>
      <c r="AJ13" s="32">
        <f t="shared" ref="AJ13:AJ32" si="33">1/5</f>
        <v>0.2</v>
      </c>
      <c r="AK13" s="4"/>
      <c r="AL13" s="15">
        <v>22.5</v>
      </c>
      <c r="AM13" s="13">
        <v>0.86919999999999997</v>
      </c>
      <c r="AN13" s="13">
        <f t="shared" ref="AN13:AN32" si="34">-0.159*AL13</f>
        <v>-3.5775000000000001</v>
      </c>
      <c r="AO13" s="13">
        <f t="shared" ref="AO13:AO32" si="35">0.01116*AL13*AL13</f>
        <v>5.64975</v>
      </c>
      <c r="AP13" s="13">
        <f t="shared" ref="AP13:AP32" si="36">-(3.408/10000)*AL13*AL13*AL13</f>
        <v>-3.8819249999999998</v>
      </c>
      <c r="AQ13" s="13">
        <f t="shared" ref="AQ13:AQ32" si="37">(3.809/1000000)*AL13*AL13*AL13*AL13</f>
        <v>0.9762050390625</v>
      </c>
      <c r="AR13" s="40">
        <f t="shared" ref="AR13:AR32" si="38">AM13+AN13+AO13+AP13+AQ13</f>
        <v>3.573003906249983E-2</v>
      </c>
      <c r="AY13" s="4"/>
      <c r="AZ13" s="3"/>
      <c r="BA13" s="3"/>
      <c r="BB13" s="3"/>
      <c r="BC13" s="4"/>
      <c r="BD13" s="3"/>
      <c r="BF13" s="4"/>
      <c r="BG13" s="4"/>
      <c r="BH13" s="3"/>
      <c r="BI13" s="4"/>
      <c r="BK13" s="173"/>
      <c r="BL13" s="173"/>
      <c r="BM13" s="173"/>
      <c r="BN13" s="173"/>
    </row>
    <row r="14" spans="2:66" x14ac:dyDescent="0.3">
      <c r="B14" s="4"/>
      <c r="C14" s="3"/>
      <c r="D14" s="3"/>
      <c r="E14" s="3"/>
      <c r="F14" s="3"/>
      <c r="G14" s="15">
        <v>23</v>
      </c>
      <c r="H14" s="13">
        <f t="shared" si="23"/>
        <v>2.8289999999999997</v>
      </c>
      <c r="I14" s="39">
        <f t="shared" ref="I14:I32" si="39">5.15-H14</f>
        <v>2.3210000000000006</v>
      </c>
      <c r="J14" s="13">
        <f t="shared" si="24"/>
        <v>10.185855069912938</v>
      </c>
      <c r="K14" s="13">
        <f t="shared" si="25"/>
        <v>14.185855069912938</v>
      </c>
      <c r="L14" s="40">
        <f t="shared" si="26"/>
        <v>7.0492754583466724E-2</v>
      </c>
      <c r="M14" s="4"/>
      <c r="N14" s="15">
        <v>6</v>
      </c>
      <c r="O14" s="32">
        <f t="shared" si="27"/>
        <v>0.16666666666666666</v>
      </c>
      <c r="P14" s="34"/>
      <c r="Q14" s="35"/>
      <c r="S14" s="15">
        <v>23</v>
      </c>
      <c r="T14" s="39">
        <f t="shared" si="21"/>
        <v>1.6767000000000001</v>
      </c>
      <c r="U14" s="39">
        <v>0.90369999999999995</v>
      </c>
      <c r="V14" s="40">
        <f t="shared" si="22"/>
        <v>0.77300000000000013</v>
      </c>
      <c r="W14" s="4"/>
      <c r="X14" s="15">
        <v>23</v>
      </c>
      <c r="Y14" s="39">
        <f t="shared" si="28"/>
        <v>2.4011999999999999E-2</v>
      </c>
      <c r="Z14" s="39">
        <f>X14-12.286</f>
        <v>10.714</v>
      </c>
      <c r="AA14" s="39">
        <f t="shared" ref="AA14:AA32" si="40">32.461-X14</f>
        <v>9.4609999999999985</v>
      </c>
      <c r="AB14" s="39">
        <f t="shared" ref="AB14:AB32" si="41">SQRT(AA14)</f>
        <v>3.0758738595722677</v>
      </c>
      <c r="AC14" s="40">
        <f t="shared" si="30"/>
        <v>0.79131335970535199</v>
      </c>
      <c r="AD14" s="4"/>
      <c r="AE14" s="28">
        <v>75</v>
      </c>
      <c r="AF14" s="39">
        <f t="shared" si="31"/>
        <v>27375</v>
      </c>
      <c r="AG14" s="52">
        <f t="shared" si="32"/>
        <v>3.6529680365296805E-5</v>
      </c>
      <c r="AH14" s="4"/>
      <c r="AI14" s="28">
        <v>5</v>
      </c>
      <c r="AJ14" s="32">
        <f t="shared" si="33"/>
        <v>0.2</v>
      </c>
      <c r="AK14" s="4"/>
      <c r="AL14" s="15">
        <v>23</v>
      </c>
      <c r="AM14" s="13">
        <v>0.86919999999999997</v>
      </c>
      <c r="AN14" s="13">
        <f t="shared" si="34"/>
        <v>-3.657</v>
      </c>
      <c r="AO14" s="13">
        <f t="shared" si="35"/>
        <v>5.9036400000000002</v>
      </c>
      <c r="AP14" s="13">
        <f t="shared" si="36"/>
        <v>-4.1465136000000005</v>
      </c>
      <c r="AQ14" s="13">
        <f t="shared" si="37"/>
        <v>1.0659143689999999</v>
      </c>
      <c r="AR14" s="40">
        <f t="shared" si="38"/>
        <v>3.5240768999999839E-2</v>
      </c>
      <c r="AY14" s="4"/>
      <c r="AZ14" s="3"/>
      <c r="BA14" s="3"/>
      <c r="BB14" s="3"/>
      <c r="BC14" s="4"/>
      <c r="BD14" s="3"/>
      <c r="BF14" s="4"/>
      <c r="BG14" s="4"/>
      <c r="BH14" s="3"/>
      <c r="BI14" s="4"/>
    </row>
    <row r="15" spans="2:66" x14ac:dyDescent="0.3">
      <c r="B15" s="4"/>
      <c r="C15" s="3"/>
      <c r="D15" s="3"/>
      <c r="E15" s="3"/>
      <c r="F15" s="3"/>
      <c r="G15" s="15">
        <v>23.5</v>
      </c>
      <c r="H15" s="13">
        <f t="shared" si="23"/>
        <v>2.8904999999999998</v>
      </c>
      <c r="I15" s="39">
        <f t="shared" si="39"/>
        <v>2.2595000000000005</v>
      </c>
      <c r="J15" s="13">
        <f t="shared" si="24"/>
        <v>9.5782988198675234</v>
      </c>
      <c r="K15" s="13">
        <f t="shared" si="25"/>
        <v>13.578298819867523</v>
      </c>
      <c r="L15" s="40">
        <f t="shared" si="26"/>
        <v>7.3646928327782704E-2</v>
      </c>
      <c r="M15" s="4"/>
      <c r="N15" s="15">
        <v>6</v>
      </c>
      <c r="O15" s="32">
        <f t="shared" si="27"/>
        <v>0.16666666666666666</v>
      </c>
      <c r="P15" s="34"/>
      <c r="Q15" s="35"/>
      <c r="S15" s="15">
        <v>23.5</v>
      </c>
      <c r="T15" s="39">
        <f t="shared" si="21"/>
        <v>1.7131500000000002</v>
      </c>
      <c r="U15" s="39">
        <v>0.90369999999999995</v>
      </c>
      <c r="V15" s="40">
        <f t="shared" si="22"/>
        <v>0.80945000000000022</v>
      </c>
      <c r="W15" s="4"/>
      <c r="X15" s="15">
        <v>23.5</v>
      </c>
      <c r="Y15" s="39">
        <f t="shared" si="28"/>
        <v>2.4534E-2</v>
      </c>
      <c r="Z15" s="39">
        <f t="shared" si="29"/>
        <v>11.214</v>
      </c>
      <c r="AA15" s="39">
        <f t="shared" si="40"/>
        <v>8.9609999999999985</v>
      </c>
      <c r="AB15" s="39">
        <f t="shared" si="41"/>
        <v>2.993492943034942</v>
      </c>
      <c r="AC15" s="40">
        <f t="shared" si="30"/>
        <v>0.82358257866359763</v>
      </c>
      <c r="AD15" s="4"/>
      <c r="AE15" s="28">
        <v>75</v>
      </c>
      <c r="AF15" s="39">
        <f t="shared" si="31"/>
        <v>27375</v>
      </c>
      <c r="AG15" s="52">
        <f t="shared" si="32"/>
        <v>3.6529680365296805E-5</v>
      </c>
      <c r="AH15" s="4"/>
      <c r="AI15" s="28">
        <v>5</v>
      </c>
      <c r="AJ15" s="32">
        <f t="shared" si="33"/>
        <v>0.2</v>
      </c>
      <c r="AK15" s="4"/>
      <c r="AL15" s="15">
        <v>23.5</v>
      </c>
      <c r="AM15" s="13">
        <v>0.86919999999999997</v>
      </c>
      <c r="AN15" s="13">
        <f t="shared" si="34"/>
        <v>-3.7364999999999999</v>
      </c>
      <c r="AO15" s="13">
        <f t="shared" si="35"/>
        <v>6.1631099999999996</v>
      </c>
      <c r="AP15" s="13">
        <f t="shared" si="36"/>
        <v>-4.4228598000000003</v>
      </c>
      <c r="AQ15" s="13">
        <f t="shared" si="37"/>
        <v>1.1616690580625</v>
      </c>
      <c r="AR15" s="40">
        <f t="shared" si="38"/>
        <v>3.4619258062499103E-2</v>
      </c>
      <c r="AY15" s="4"/>
      <c r="AZ15" s="3"/>
      <c r="BA15" s="3"/>
      <c r="BB15" s="3"/>
      <c r="BC15" s="4"/>
      <c r="BD15" s="3"/>
      <c r="BF15" s="4"/>
      <c r="BG15" s="4"/>
      <c r="BH15" s="3"/>
      <c r="BI15" s="4"/>
    </row>
    <row r="16" spans="2:66" x14ac:dyDescent="0.3">
      <c r="B16" s="4"/>
      <c r="C16" s="3"/>
      <c r="D16" s="3"/>
      <c r="E16" s="3"/>
      <c r="F16" s="3"/>
      <c r="G16" s="15">
        <v>24</v>
      </c>
      <c r="H16" s="13">
        <f t="shared" si="23"/>
        <v>2.952</v>
      </c>
      <c r="I16" s="39">
        <f t="shared" si="39"/>
        <v>2.1980000000000004</v>
      </c>
      <c r="J16" s="13">
        <f t="shared" si="24"/>
        <v>9.0069815104349189</v>
      </c>
      <c r="K16" s="13">
        <f t="shared" si="25"/>
        <v>13.006981510434919</v>
      </c>
      <c r="L16" s="40">
        <f t="shared" si="26"/>
        <v>7.6881788384010913E-2</v>
      </c>
      <c r="M16" s="4"/>
      <c r="N16" s="15">
        <v>6</v>
      </c>
      <c r="O16" s="32">
        <f t="shared" si="27"/>
        <v>0.16666666666666666</v>
      </c>
      <c r="P16" s="34"/>
      <c r="Q16" s="35"/>
      <c r="S16" s="15">
        <v>24</v>
      </c>
      <c r="T16" s="39">
        <f t="shared" si="21"/>
        <v>1.7496</v>
      </c>
      <c r="U16" s="39">
        <v>0.90369999999999995</v>
      </c>
      <c r="V16" s="40">
        <f t="shared" si="22"/>
        <v>0.8459000000000001</v>
      </c>
      <c r="W16" s="4"/>
      <c r="X16" s="15">
        <v>24</v>
      </c>
      <c r="Y16" s="39">
        <f t="shared" si="28"/>
        <v>2.5056000000000002E-2</v>
      </c>
      <c r="Z16" s="39">
        <f t="shared" si="29"/>
        <v>11.714</v>
      </c>
      <c r="AA16" s="39">
        <f t="shared" si="40"/>
        <v>8.4609999999999985</v>
      </c>
      <c r="AB16" s="39">
        <f t="shared" si="41"/>
        <v>2.9087798129112485</v>
      </c>
      <c r="AC16" s="40">
        <f t="shared" si="30"/>
        <v>0.85374428122785206</v>
      </c>
      <c r="AD16" s="4"/>
      <c r="AE16" s="28">
        <v>75</v>
      </c>
      <c r="AF16" s="39">
        <f t="shared" si="31"/>
        <v>27375</v>
      </c>
      <c r="AG16" s="52">
        <f t="shared" si="32"/>
        <v>3.6529680365296805E-5</v>
      </c>
      <c r="AH16" s="4"/>
      <c r="AI16" s="28">
        <v>5</v>
      </c>
      <c r="AJ16" s="32">
        <f t="shared" si="33"/>
        <v>0.2</v>
      </c>
      <c r="AK16" s="4"/>
      <c r="AL16" s="15">
        <v>24</v>
      </c>
      <c r="AM16" s="13">
        <v>0.86919999999999997</v>
      </c>
      <c r="AN16" s="13">
        <f t="shared" si="34"/>
        <v>-3.8159999999999998</v>
      </c>
      <c r="AO16" s="13">
        <f t="shared" si="35"/>
        <v>6.4281599999999992</v>
      </c>
      <c r="AP16" s="13">
        <f t="shared" si="36"/>
        <v>-4.7112192000000004</v>
      </c>
      <c r="AQ16" s="13">
        <f t="shared" si="37"/>
        <v>1.2637347840000002</v>
      </c>
      <c r="AR16" s="40">
        <f t="shared" si="38"/>
        <v>3.3875583999999348E-2</v>
      </c>
      <c r="AY16" s="4"/>
      <c r="AZ16" s="3"/>
      <c r="BA16" s="3"/>
      <c r="BB16" s="3"/>
      <c r="BC16" s="4"/>
      <c r="BD16" s="3"/>
      <c r="BF16" s="4"/>
      <c r="BG16" s="4"/>
      <c r="BH16" s="3"/>
      <c r="BI16" s="4"/>
    </row>
    <row r="17" spans="2:66" x14ac:dyDescent="0.3">
      <c r="B17" s="4"/>
      <c r="C17" s="3"/>
      <c r="D17" s="3"/>
      <c r="E17" s="3"/>
      <c r="F17" s="3"/>
      <c r="G17" s="15">
        <v>24.5</v>
      </c>
      <c r="H17" s="13">
        <f t="shared" si="23"/>
        <v>3.0135000000000001</v>
      </c>
      <c r="I17" s="39">
        <f t="shared" si="39"/>
        <v>2.1365000000000003</v>
      </c>
      <c r="J17" s="13">
        <f t="shared" si="24"/>
        <v>8.4697415955580428</v>
      </c>
      <c r="K17" s="13">
        <f t="shared" si="25"/>
        <v>12.469741595558043</v>
      </c>
      <c r="L17" s="40">
        <f t="shared" si="26"/>
        <v>8.0194123698298522E-2</v>
      </c>
      <c r="M17" s="4"/>
      <c r="N17" s="15">
        <v>6</v>
      </c>
      <c r="O17" s="32">
        <f t="shared" si="27"/>
        <v>0.16666666666666666</v>
      </c>
      <c r="P17" s="34"/>
      <c r="Q17" s="35"/>
      <c r="S17" s="15">
        <v>24.5</v>
      </c>
      <c r="T17" s="39">
        <f t="shared" si="21"/>
        <v>1.7860500000000001</v>
      </c>
      <c r="U17" s="39">
        <v>0.90369999999999995</v>
      </c>
      <c r="V17" s="40">
        <f t="shared" si="22"/>
        <v>0.88235000000000019</v>
      </c>
      <c r="W17" s="4"/>
      <c r="X17" s="15">
        <v>24.5</v>
      </c>
      <c r="Y17" s="39">
        <f t="shared" si="28"/>
        <v>2.5578E-2</v>
      </c>
      <c r="Z17" s="39">
        <f t="shared" si="29"/>
        <v>12.214</v>
      </c>
      <c r="AA17" s="39">
        <f t="shared" si="40"/>
        <v>7.9609999999999985</v>
      </c>
      <c r="AB17" s="39">
        <f t="shared" si="41"/>
        <v>2.8215244106688142</v>
      </c>
      <c r="AC17" s="40">
        <f t="shared" si="30"/>
        <v>0.8814715721075258</v>
      </c>
      <c r="AD17" s="4"/>
      <c r="AE17" s="28">
        <v>75</v>
      </c>
      <c r="AF17" s="39">
        <f t="shared" si="31"/>
        <v>27375</v>
      </c>
      <c r="AG17" s="52">
        <f t="shared" si="32"/>
        <v>3.6529680365296805E-5</v>
      </c>
      <c r="AH17" s="4"/>
      <c r="AI17" s="28">
        <v>5</v>
      </c>
      <c r="AJ17" s="32">
        <f t="shared" si="33"/>
        <v>0.2</v>
      </c>
      <c r="AK17" s="4"/>
      <c r="AL17" s="15">
        <v>24.5</v>
      </c>
      <c r="AM17" s="13">
        <v>0.86919999999999997</v>
      </c>
      <c r="AN17" s="13">
        <f t="shared" si="34"/>
        <v>-3.8955000000000002</v>
      </c>
      <c r="AO17" s="13">
        <f t="shared" si="35"/>
        <v>6.6987899999999998</v>
      </c>
      <c r="AP17" s="13">
        <f t="shared" si="36"/>
        <v>-5.0118473999999997</v>
      </c>
      <c r="AQ17" s="13">
        <f t="shared" si="37"/>
        <v>1.3723829380625001</v>
      </c>
      <c r="AR17" s="40">
        <f t="shared" si="38"/>
        <v>3.3025538062500193E-2</v>
      </c>
      <c r="AY17" s="4"/>
      <c r="AZ17" s="3"/>
      <c r="BA17" s="3"/>
      <c r="BB17" s="3"/>
      <c r="BC17" s="4"/>
      <c r="BD17" s="3"/>
      <c r="BF17" s="4"/>
      <c r="BG17" s="4"/>
      <c r="BH17" s="3"/>
      <c r="BI17" s="4"/>
      <c r="BK17" s="173"/>
      <c r="BL17" s="173"/>
      <c r="BM17" s="173"/>
      <c r="BN17" s="173"/>
    </row>
    <row r="18" spans="2:66" x14ac:dyDescent="0.3">
      <c r="B18" s="4"/>
      <c r="C18" s="3"/>
      <c r="D18" s="3"/>
      <c r="E18" s="3"/>
      <c r="F18" s="3"/>
      <c r="G18" s="15">
        <v>25</v>
      </c>
      <c r="H18" s="13">
        <f t="shared" si="23"/>
        <v>3.0750000000000002</v>
      </c>
      <c r="I18" s="39">
        <f t="shared" si="39"/>
        <v>2.0750000000000002</v>
      </c>
      <c r="J18" s="13">
        <f t="shared" si="24"/>
        <v>7.9645464590347732</v>
      </c>
      <c r="K18" s="13">
        <f t="shared" si="25"/>
        <v>11.964546459034773</v>
      </c>
      <c r="L18" s="40">
        <f t="shared" si="26"/>
        <v>8.3580268038064343E-2</v>
      </c>
      <c r="M18" s="4"/>
      <c r="N18" s="15">
        <v>6</v>
      </c>
      <c r="O18" s="32">
        <f t="shared" si="27"/>
        <v>0.16666666666666666</v>
      </c>
      <c r="P18" s="34"/>
      <c r="Q18" s="35"/>
      <c r="S18" s="15">
        <v>25</v>
      </c>
      <c r="T18" s="39">
        <f t="shared" si="21"/>
        <v>1.8225000000000002</v>
      </c>
      <c r="U18" s="39">
        <v>0.90369999999999995</v>
      </c>
      <c r="V18" s="40">
        <f t="shared" si="22"/>
        <v>0.91880000000000028</v>
      </c>
      <c r="W18" s="4"/>
      <c r="X18" s="15">
        <v>25</v>
      </c>
      <c r="Y18" s="39">
        <f t="shared" si="28"/>
        <v>2.6100000000000002E-2</v>
      </c>
      <c r="Z18" s="39">
        <f t="shared" si="29"/>
        <v>12.714</v>
      </c>
      <c r="AA18" s="39">
        <f t="shared" si="40"/>
        <v>7.4609999999999985</v>
      </c>
      <c r="AB18" s="39">
        <f t="shared" si="41"/>
        <v>2.7314831136216089</v>
      </c>
      <c r="AC18" s="40">
        <f t="shared" si="30"/>
        <v>0.9064027916018722</v>
      </c>
      <c r="AD18" s="4"/>
      <c r="AE18" s="28">
        <v>75</v>
      </c>
      <c r="AF18" s="39">
        <f t="shared" si="31"/>
        <v>27375</v>
      </c>
      <c r="AG18" s="52">
        <f t="shared" si="32"/>
        <v>3.6529680365296805E-5</v>
      </c>
      <c r="AH18" s="4"/>
      <c r="AI18" s="28">
        <v>5</v>
      </c>
      <c r="AJ18" s="32">
        <f t="shared" si="33"/>
        <v>0.2</v>
      </c>
      <c r="AK18" s="4"/>
      <c r="AL18" s="15">
        <v>25</v>
      </c>
      <c r="AM18" s="13">
        <v>0.86919999999999997</v>
      </c>
      <c r="AN18" s="13">
        <f t="shared" si="34"/>
        <v>-3.9750000000000001</v>
      </c>
      <c r="AO18" s="13">
        <f t="shared" si="35"/>
        <v>6.9749999999999996</v>
      </c>
      <c r="AP18" s="13">
        <f t="shared" si="36"/>
        <v>-5.3250000000000002</v>
      </c>
      <c r="AQ18" s="13">
        <f t="shared" si="37"/>
        <v>1.4878906250000001</v>
      </c>
      <c r="AR18" s="40">
        <f t="shared" si="38"/>
        <v>3.2090624999999262E-2</v>
      </c>
      <c r="AY18" s="4"/>
      <c r="AZ18" s="3"/>
      <c r="BA18" s="3"/>
      <c r="BB18" s="3"/>
      <c r="BC18" s="4"/>
      <c r="BD18" s="3"/>
      <c r="BF18" s="4"/>
      <c r="BG18" s="4"/>
      <c r="BH18" s="3"/>
      <c r="BI18" s="4"/>
    </row>
    <row r="19" spans="2:66" x14ac:dyDescent="0.3">
      <c r="B19" s="4"/>
      <c r="C19" s="3"/>
      <c r="D19" s="3"/>
      <c r="E19" s="3"/>
      <c r="F19" s="3"/>
      <c r="G19" s="15">
        <v>25.5</v>
      </c>
      <c r="H19" s="13">
        <f t="shared" si="23"/>
        <v>3.1364999999999998</v>
      </c>
      <c r="I19" s="39">
        <f t="shared" si="39"/>
        <v>2.0135000000000005</v>
      </c>
      <c r="J19" s="13">
        <f t="shared" si="24"/>
        <v>7.4894847242318869</v>
      </c>
      <c r="K19" s="13">
        <f t="shared" si="25"/>
        <v>11.489484724231886</v>
      </c>
      <c r="L19" s="40">
        <f t="shared" si="26"/>
        <v>8.7036105099730976E-2</v>
      </c>
      <c r="M19" s="4"/>
      <c r="N19" s="15">
        <v>6</v>
      </c>
      <c r="O19" s="32">
        <f t="shared" si="27"/>
        <v>0.16666666666666666</v>
      </c>
      <c r="P19" s="34"/>
      <c r="Q19" s="35"/>
      <c r="S19" s="15">
        <v>25.5</v>
      </c>
      <c r="T19" s="39">
        <f t="shared" si="21"/>
        <v>1.8589500000000001</v>
      </c>
      <c r="U19" s="39">
        <v>0.90369999999999995</v>
      </c>
      <c r="V19" s="40">
        <f t="shared" si="22"/>
        <v>0.95525000000000015</v>
      </c>
      <c r="W19" s="4"/>
      <c r="X19" s="15">
        <v>25.5</v>
      </c>
      <c r="Y19" s="39">
        <f t="shared" si="28"/>
        <v>2.6622E-2</v>
      </c>
      <c r="Z19" s="39">
        <f t="shared" si="29"/>
        <v>13.214</v>
      </c>
      <c r="AA19" s="39">
        <f t="shared" si="40"/>
        <v>6.9609999999999985</v>
      </c>
      <c r="AB19" s="39">
        <f t="shared" si="41"/>
        <v>2.638370709358334</v>
      </c>
      <c r="AC19" s="40">
        <f t="shared" si="30"/>
        <v>0.9281342481942394</v>
      </c>
      <c r="AD19" s="4"/>
      <c r="AE19" s="28">
        <v>75</v>
      </c>
      <c r="AF19" s="39">
        <f t="shared" si="31"/>
        <v>27375</v>
      </c>
      <c r="AG19" s="52">
        <f t="shared" si="32"/>
        <v>3.6529680365296805E-5</v>
      </c>
      <c r="AH19" s="4"/>
      <c r="AI19" s="28">
        <v>5</v>
      </c>
      <c r="AJ19" s="32">
        <f t="shared" si="33"/>
        <v>0.2</v>
      </c>
      <c r="AK19" s="4"/>
      <c r="AL19" s="15">
        <v>25.5</v>
      </c>
      <c r="AM19" s="13">
        <v>0.86919999999999997</v>
      </c>
      <c r="AN19" s="13">
        <f t="shared" si="34"/>
        <v>-4.0545</v>
      </c>
      <c r="AO19" s="13">
        <f t="shared" si="35"/>
        <v>7.2567899999999996</v>
      </c>
      <c r="AP19" s="13">
        <f t="shared" si="36"/>
        <v>-5.6509325999999991</v>
      </c>
      <c r="AQ19" s="13">
        <f t="shared" si="37"/>
        <v>1.6105406630625001</v>
      </c>
      <c r="AR19" s="40">
        <f t="shared" si="38"/>
        <v>3.1098063062500847E-2</v>
      </c>
      <c r="AY19" s="4"/>
      <c r="AZ19" s="3"/>
      <c r="BA19" s="3"/>
      <c r="BB19" s="3"/>
      <c r="BC19" s="4"/>
      <c r="BD19" s="3"/>
      <c r="BF19" s="4"/>
      <c r="BG19" s="4"/>
      <c r="BH19" s="3"/>
      <c r="BI19" s="4"/>
      <c r="BK19" s="4"/>
      <c r="BL19" s="3"/>
    </row>
    <row r="20" spans="2:66" x14ac:dyDescent="0.3">
      <c r="B20" s="4"/>
      <c r="C20" s="3"/>
      <c r="D20" s="3"/>
      <c r="E20" s="3"/>
      <c r="F20" s="3"/>
      <c r="G20" s="15">
        <v>26</v>
      </c>
      <c r="H20" s="13">
        <f t="shared" si="23"/>
        <v>3.198</v>
      </c>
      <c r="I20" s="39">
        <f t="shared" si="39"/>
        <v>1.9520000000000004</v>
      </c>
      <c r="J20" s="13">
        <f t="shared" si="24"/>
        <v>7.0427590225019072</v>
      </c>
      <c r="K20" s="13">
        <f t="shared" si="25"/>
        <v>11.042759022501908</v>
      </c>
      <c r="L20" s="40">
        <f t="shared" si="26"/>
        <v>9.0557078893263268E-2</v>
      </c>
      <c r="M20" s="4"/>
      <c r="N20" s="15">
        <v>6</v>
      </c>
      <c r="O20" s="32">
        <f t="shared" si="27"/>
        <v>0.16666666666666666</v>
      </c>
      <c r="P20" s="34"/>
      <c r="Q20" s="35"/>
      <c r="S20" s="15">
        <v>26</v>
      </c>
      <c r="T20" s="39">
        <f t="shared" si="21"/>
        <v>1.8954000000000002</v>
      </c>
      <c r="U20" s="39">
        <v>0.90369999999999995</v>
      </c>
      <c r="V20" s="40">
        <f t="shared" si="22"/>
        <v>0.99170000000000025</v>
      </c>
      <c r="W20" s="4"/>
      <c r="X20" s="15">
        <v>26</v>
      </c>
      <c r="Y20" s="39">
        <f t="shared" si="28"/>
        <v>2.7144000000000001E-2</v>
      </c>
      <c r="Z20" s="39">
        <f t="shared" si="29"/>
        <v>13.714</v>
      </c>
      <c r="AA20" s="39">
        <f t="shared" si="40"/>
        <v>6.4609999999999985</v>
      </c>
      <c r="AB20" s="39">
        <f t="shared" si="41"/>
        <v>2.5418497201841022</v>
      </c>
      <c r="AC20" s="40">
        <f t="shared" si="30"/>
        <v>0.9462107161873442</v>
      </c>
      <c r="AD20" s="4"/>
      <c r="AE20" s="28">
        <v>75</v>
      </c>
      <c r="AF20" s="39">
        <f t="shared" si="31"/>
        <v>27375</v>
      </c>
      <c r="AG20" s="52">
        <f t="shared" si="32"/>
        <v>3.6529680365296805E-5</v>
      </c>
      <c r="AH20" s="4"/>
      <c r="AI20" s="28">
        <v>5</v>
      </c>
      <c r="AJ20" s="32">
        <f t="shared" si="33"/>
        <v>0.2</v>
      </c>
      <c r="AK20" s="4"/>
      <c r="AL20" s="15">
        <v>26</v>
      </c>
      <c r="AM20" s="13">
        <v>0.86919999999999997</v>
      </c>
      <c r="AN20" s="13">
        <f t="shared" si="34"/>
        <v>-4.1340000000000003</v>
      </c>
      <c r="AO20" s="13">
        <f t="shared" si="35"/>
        <v>7.5441599999999998</v>
      </c>
      <c r="AP20" s="13">
        <f t="shared" si="36"/>
        <v>-5.9899008</v>
      </c>
      <c r="AQ20" s="13">
        <f t="shared" si="37"/>
        <v>1.7406215840000003</v>
      </c>
      <c r="AR20" s="40">
        <f t="shared" si="38"/>
        <v>3.0080783999999916E-2</v>
      </c>
      <c r="AY20" s="4"/>
      <c r="AZ20" s="3"/>
      <c r="BA20" s="3"/>
      <c r="BB20" s="3"/>
      <c r="BC20" s="4"/>
      <c r="BD20" s="3"/>
      <c r="BF20" s="4"/>
      <c r="BG20" s="4"/>
      <c r="BH20" s="3"/>
      <c r="BI20" s="4"/>
    </row>
    <row r="21" spans="2:66" x14ac:dyDescent="0.3">
      <c r="B21" s="4"/>
      <c r="C21" s="3"/>
      <c r="D21" s="3"/>
      <c r="E21" s="3"/>
      <c r="F21" s="3"/>
      <c r="G21" s="15">
        <v>26.5</v>
      </c>
      <c r="H21" s="13">
        <f t="shared" si="23"/>
        <v>3.2595000000000001</v>
      </c>
      <c r="I21" s="39">
        <f t="shared" si="39"/>
        <v>1.8905000000000003</v>
      </c>
      <c r="J21" s="13">
        <f t="shared" si="24"/>
        <v>6.6226791929426065</v>
      </c>
      <c r="K21" s="13">
        <f t="shared" si="25"/>
        <v>10.622679192942606</v>
      </c>
      <c r="L21" s="40">
        <f t="shared" si="26"/>
        <v>9.4138209564341407E-2</v>
      </c>
      <c r="M21" s="4"/>
      <c r="N21" s="15">
        <v>6</v>
      </c>
      <c r="O21" s="32">
        <f t="shared" si="27"/>
        <v>0.16666666666666666</v>
      </c>
      <c r="P21" s="34"/>
      <c r="Q21" s="35"/>
      <c r="S21" s="15">
        <v>26.5</v>
      </c>
      <c r="T21" s="39"/>
      <c r="U21" s="39"/>
      <c r="V21" s="40">
        <v>1</v>
      </c>
      <c r="W21" s="4"/>
      <c r="X21" s="15">
        <v>26.5</v>
      </c>
      <c r="Y21" s="39">
        <f t="shared" si="28"/>
        <v>2.7666E-2</v>
      </c>
      <c r="Z21" s="39">
        <f t="shared" si="29"/>
        <v>14.214</v>
      </c>
      <c r="AA21" s="39">
        <f t="shared" si="40"/>
        <v>5.9609999999999985</v>
      </c>
      <c r="AB21" s="39">
        <f t="shared" si="41"/>
        <v>2.4415159225366518</v>
      </c>
      <c r="AC21" s="40">
        <f t="shared" si="30"/>
        <v>0.9601127667963465</v>
      </c>
      <c r="AD21" s="4"/>
      <c r="AE21" s="28">
        <v>75</v>
      </c>
      <c r="AF21" s="39">
        <f t="shared" si="31"/>
        <v>27375</v>
      </c>
      <c r="AG21" s="52">
        <f t="shared" si="32"/>
        <v>3.6529680365296805E-5</v>
      </c>
      <c r="AH21" s="4"/>
      <c r="AI21" s="28">
        <v>5</v>
      </c>
      <c r="AJ21" s="32">
        <f t="shared" si="33"/>
        <v>0.2</v>
      </c>
      <c r="AK21" s="4"/>
      <c r="AL21" s="15">
        <v>26.5</v>
      </c>
      <c r="AM21" s="13">
        <v>0.86919999999999997</v>
      </c>
      <c r="AN21" s="13">
        <f t="shared" si="34"/>
        <v>-4.2134999999999998</v>
      </c>
      <c r="AO21" s="13">
        <f t="shared" si="35"/>
        <v>7.83711</v>
      </c>
      <c r="AP21" s="13">
        <f t="shared" si="36"/>
        <v>-6.3421601999999995</v>
      </c>
      <c r="AQ21" s="13">
        <f t="shared" si="37"/>
        <v>1.8784276330625003</v>
      </c>
      <c r="AR21" s="40">
        <f t="shared" si="38"/>
        <v>2.9077433062501212E-2</v>
      </c>
      <c r="AY21" s="4"/>
      <c r="AZ21" s="3"/>
      <c r="BA21" s="3"/>
      <c r="BB21" s="3"/>
      <c r="BC21" s="4"/>
      <c r="BD21" s="3"/>
      <c r="BF21" s="4"/>
      <c r="BI21" s="3"/>
      <c r="BK21" s="172"/>
      <c r="BL21" s="172"/>
      <c r="BM21" s="172"/>
    </row>
    <row r="22" spans="2:66" x14ac:dyDescent="0.3">
      <c r="B22" s="4"/>
      <c r="C22" s="3"/>
      <c r="D22" s="3"/>
      <c r="E22" s="3"/>
      <c r="F22" s="3"/>
      <c r="G22" s="15">
        <v>27</v>
      </c>
      <c r="H22" s="13">
        <f t="shared" si="23"/>
        <v>3.3209999999999997</v>
      </c>
      <c r="I22" s="39">
        <f t="shared" si="39"/>
        <v>1.8290000000000006</v>
      </c>
      <c r="J22" s="13">
        <f t="shared" si="24"/>
        <v>6.2276558877708039</v>
      </c>
      <c r="K22" s="13">
        <f t="shared" si="25"/>
        <v>10.227655887770805</v>
      </c>
      <c r="L22" s="40">
        <f t="shared" si="26"/>
        <v>9.777411471143635E-2</v>
      </c>
      <c r="M22" s="4"/>
      <c r="N22" s="15">
        <v>6</v>
      </c>
      <c r="O22" s="32">
        <f t="shared" si="27"/>
        <v>0.16666666666666666</v>
      </c>
      <c r="P22" s="34"/>
      <c r="Q22" s="35"/>
      <c r="S22" s="15">
        <v>27</v>
      </c>
      <c r="T22" s="39"/>
      <c r="U22" s="39"/>
      <c r="V22" s="40">
        <v>1</v>
      </c>
      <c r="W22" s="4"/>
      <c r="X22" s="15">
        <v>27</v>
      </c>
      <c r="Y22" s="39">
        <f t="shared" si="28"/>
        <v>2.8188000000000001E-2</v>
      </c>
      <c r="Z22" s="39">
        <f t="shared" si="29"/>
        <v>14.714</v>
      </c>
      <c r="AA22" s="39">
        <f t="shared" si="40"/>
        <v>5.4609999999999985</v>
      </c>
      <c r="AB22" s="39">
        <f t="shared" si="41"/>
        <v>2.3368782595591067</v>
      </c>
      <c r="AC22" s="40">
        <f t="shared" si="30"/>
        <v>0.96923949533397213</v>
      </c>
      <c r="AD22" s="4"/>
      <c r="AE22" s="28">
        <v>75</v>
      </c>
      <c r="AF22" s="39">
        <f t="shared" si="31"/>
        <v>27375</v>
      </c>
      <c r="AG22" s="52">
        <f t="shared" si="32"/>
        <v>3.6529680365296805E-5</v>
      </c>
      <c r="AH22" s="4"/>
      <c r="AI22" s="28">
        <v>5</v>
      </c>
      <c r="AJ22" s="32">
        <f t="shared" si="33"/>
        <v>0.2</v>
      </c>
      <c r="AK22" s="4"/>
      <c r="AL22" s="15">
        <v>27</v>
      </c>
      <c r="AM22" s="13">
        <v>0.86919999999999997</v>
      </c>
      <c r="AN22" s="13">
        <f t="shared" si="34"/>
        <v>-4.2930000000000001</v>
      </c>
      <c r="AO22" s="13">
        <f t="shared" si="35"/>
        <v>8.1356399999999987</v>
      </c>
      <c r="AP22" s="13">
        <f t="shared" si="36"/>
        <v>-6.7079663999999992</v>
      </c>
      <c r="AQ22" s="13">
        <f t="shared" si="37"/>
        <v>2.0242587690000002</v>
      </c>
      <c r="AR22" s="40">
        <f t="shared" si="38"/>
        <v>2.8132368999999713E-2</v>
      </c>
      <c r="AY22" s="4"/>
      <c r="AZ22" s="3"/>
      <c r="BA22" s="3"/>
      <c r="BB22" s="3"/>
      <c r="BC22" s="4"/>
      <c r="BD22" s="3"/>
      <c r="BF22" s="4"/>
      <c r="BI22" s="3"/>
      <c r="BK22" s="4"/>
    </row>
    <row r="23" spans="2:66" x14ac:dyDescent="0.3">
      <c r="B23" s="4"/>
      <c r="C23" s="3"/>
      <c r="D23" s="3"/>
      <c r="E23" s="3"/>
      <c r="F23" s="3"/>
      <c r="G23" s="15">
        <v>27.5</v>
      </c>
      <c r="H23" s="13">
        <f t="shared" si="23"/>
        <v>3.3824999999999998</v>
      </c>
      <c r="I23" s="39">
        <f t="shared" si="39"/>
        <v>1.7675000000000005</v>
      </c>
      <c r="J23" s="13">
        <f t="shared" si="24"/>
        <v>5.8561945591167719</v>
      </c>
      <c r="K23" s="13">
        <f t="shared" si="25"/>
        <v>9.8561945591167728</v>
      </c>
      <c r="L23" s="40">
        <f t="shared" si="26"/>
        <v>0.10145903614240458</v>
      </c>
      <c r="M23" s="4"/>
      <c r="N23" s="15">
        <v>6</v>
      </c>
      <c r="O23" s="32">
        <f t="shared" si="27"/>
        <v>0.16666666666666666</v>
      </c>
      <c r="P23" s="34"/>
      <c r="Q23" s="35"/>
      <c r="S23" s="15">
        <v>27.5</v>
      </c>
      <c r="T23" s="39"/>
      <c r="U23" s="39"/>
      <c r="V23" s="40">
        <v>1</v>
      </c>
      <c r="W23" s="4"/>
      <c r="X23" s="15">
        <v>27.5</v>
      </c>
      <c r="Y23" s="39">
        <f t="shared" si="28"/>
        <v>2.8709999999999999E-2</v>
      </c>
      <c r="Z23" s="39">
        <f t="shared" si="29"/>
        <v>15.214</v>
      </c>
      <c r="AA23" s="39">
        <f t="shared" si="40"/>
        <v>4.9609999999999985</v>
      </c>
      <c r="AB23" s="39">
        <f t="shared" si="41"/>
        <v>2.2273302404448243</v>
      </c>
      <c r="AC23" s="40">
        <f t="shared" si="30"/>
        <v>0.97288435140504215</v>
      </c>
      <c r="AD23" s="4"/>
      <c r="AE23" s="28">
        <v>75</v>
      </c>
      <c r="AF23" s="39">
        <f t="shared" si="31"/>
        <v>27375</v>
      </c>
      <c r="AG23" s="52">
        <f t="shared" si="32"/>
        <v>3.6529680365296805E-5</v>
      </c>
      <c r="AH23" s="4"/>
      <c r="AI23" s="28">
        <v>5</v>
      </c>
      <c r="AJ23" s="32">
        <f t="shared" si="33"/>
        <v>0.2</v>
      </c>
      <c r="AK23" s="4"/>
      <c r="AL23" s="15">
        <v>27.5</v>
      </c>
      <c r="AM23" s="13">
        <v>0.86919999999999997</v>
      </c>
      <c r="AN23" s="13">
        <f t="shared" si="34"/>
        <v>-4.3725000000000005</v>
      </c>
      <c r="AO23" s="13">
        <f t="shared" si="35"/>
        <v>8.4397500000000001</v>
      </c>
      <c r="AP23" s="13">
        <f t="shared" si="36"/>
        <v>-7.0875750000000002</v>
      </c>
      <c r="AQ23" s="13">
        <f t="shared" si="37"/>
        <v>2.1784206640625006</v>
      </c>
      <c r="AR23" s="40">
        <f t="shared" si="38"/>
        <v>2.7295664062500169E-2</v>
      </c>
      <c r="AY23" s="4"/>
      <c r="AZ23" s="3"/>
      <c r="BA23" s="3"/>
      <c r="BB23" s="3"/>
      <c r="BC23" s="4"/>
      <c r="BD23" s="3"/>
      <c r="BF23" s="4"/>
      <c r="BI23" s="3"/>
    </row>
    <row r="24" spans="2:66" x14ac:dyDescent="0.3">
      <c r="B24" s="4"/>
      <c r="C24" s="3"/>
      <c r="D24" s="3"/>
      <c r="E24" s="3"/>
      <c r="F24" s="3"/>
      <c r="G24" s="15">
        <v>28</v>
      </c>
      <c r="H24" s="13">
        <f t="shared" si="23"/>
        <v>3.444</v>
      </c>
      <c r="I24" s="39">
        <f t="shared" si="39"/>
        <v>1.7060000000000004</v>
      </c>
      <c r="J24" s="13">
        <f t="shared" si="24"/>
        <v>5.5068898044886705</v>
      </c>
      <c r="K24" s="13">
        <f t="shared" si="25"/>
        <v>9.5068898044886705</v>
      </c>
      <c r="L24" s="40">
        <f t="shared" si="26"/>
        <v>0.10518687189661657</v>
      </c>
      <c r="M24" s="4"/>
      <c r="N24" s="15">
        <v>6</v>
      </c>
      <c r="O24" s="32">
        <f t="shared" si="27"/>
        <v>0.16666666666666666</v>
      </c>
      <c r="P24" s="34"/>
      <c r="Q24" s="35"/>
      <c r="S24" s="15">
        <v>28</v>
      </c>
      <c r="T24" s="39"/>
      <c r="U24" s="39"/>
      <c r="V24" s="40">
        <v>1</v>
      </c>
      <c r="W24" s="4"/>
      <c r="X24" s="15">
        <v>28</v>
      </c>
      <c r="Y24" s="39">
        <f t="shared" si="28"/>
        <v>2.9232000000000001E-2</v>
      </c>
      <c r="Z24" s="39">
        <f t="shared" si="29"/>
        <v>15.714</v>
      </c>
      <c r="AA24" s="39">
        <f t="shared" si="40"/>
        <v>4.4609999999999985</v>
      </c>
      <c r="AB24" s="39">
        <f t="shared" si="41"/>
        <v>2.1121079517865553</v>
      </c>
      <c r="AC24" s="40">
        <f t="shared" si="30"/>
        <v>0.97020026840705875</v>
      </c>
      <c r="AD24" s="4"/>
      <c r="AE24" s="28">
        <v>75</v>
      </c>
      <c r="AF24" s="39">
        <f t="shared" si="31"/>
        <v>27375</v>
      </c>
      <c r="AG24" s="52">
        <f t="shared" si="32"/>
        <v>3.6529680365296805E-5</v>
      </c>
      <c r="AH24" s="4"/>
      <c r="AI24" s="28">
        <v>5</v>
      </c>
      <c r="AJ24" s="32">
        <f t="shared" si="33"/>
        <v>0.2</v>
      </c>
      <c r="AK24" s="4"/>
      <c r="AL24" s="15">
        <v>28</v>
      </c>
      <c r="AM24" s="13">
        <v>0.86919999999999997</v>
      </c>
      <c r="AN24" s="13">
        <f t="shared" si="34"/>
        <v>-4.452</v>
      </c>
      <c r="AO24" s="13">
        <f t="shared" si="35"/>
        <v>8.7494399999999999</v>
      </c>
      <c r="AP24" s="13">
        <f t="shared" si="36"/>
        <v>-7.4812415999999988</v>
      </c>
      <c r="AQ24" s="13">
        <f t="shared" si="37"/>
        <v>2.341224704</v>
      </c>
      <c r="AR24" s="40">
        <f t="shared" si="38"/>
        <v>2.6623104000001341E-2</v>
      </c>
      <c r="AY24" s="4"/>
      <c r="AZ24" s="3"/>
      <c r="BA24" s="3"/>
      <c r="BB24" s="3"/>
      <c r="BC24" s="4"/>
      <c r="BD24" s="3"/>
      <c r="BF24" s="4"/>
      <c r="BI24" s="3"/>
      <c r="BK24" s="172"/>
      <c r="BL24" s="172"/>
      <c r="BM24" s="172"/>
    </row>
    <row r="25" spans="2:66" x14ac:dyDescent="0.3">
      <c r="B25" s="4"/>
      <c r="C25" s="3"/>
      <c r="D25" s="3"/>
      <c r="E25" s="3"/>
      <c r="F25" s="3"/>
      <c r="G25" s="15">
        <v>28.5</v>
      </c>
      <c r="H25" s="13">
        <f t="shared" si="23"/>
        <v>3.5055000000000001</v>
      </c>
      <c r="I25" s="39">
        <f t="shared" si="39"/>
        <v>1.6445000000000003</v>
      </c>
      <c r="J25" s="13">
        <f t="shared" si="24"/>
        <v>5.1784200495133472</v>
      </c>
      <c r="K25" s="13">
        <f t="shared" si="25"/>
        <v>9.1784200495133472</v>
      </c>
      <c r="L25" s="40">
        <f t="shared" si="26"/>
        <v>0.10895121323773163</v>
      </c>
      <c r="M25" s="4"/>
      <c r="N25" s="15">
        <v>6</v>
      </c>
      <c r="O25" s="32">
        <f t="shared" si="27"/>
        <v>0.16666666666666666</v>
      </c>
      <c r="P25" s="34"/>
      <c r="Q25" s="35"/>
      <c r="S25" s="15">
        <v>28.5</v>
      </c>
      <c r="T25" s="39"/>
      <c r="U25" s="39"/>
      <c r="V25" s="40">
        <v>1</v>
      </c>
      <c r="W25" s="4"/>
      <c r="X25" s="15">
        <v>28.5</v>
      </c>
      <c r="Y25" s="39">
        <f t="shared" si="28"/>
        <v>2.9753999999999999E-2</v>
      </c>
      <c r="Z25" s="39">
        <f t="shared" si="29"/>
        <v>16.213999999999999</v>
      </c>
      <c r="AA25" s="39">
        <f t="shared" si="40"/>
        <v>3.9609999999999985</v>
      </c>
      <c r="AB25" s="39">
        <f t="shared" si="41"/>
        <v>1.9902261178067175</v>
      </c>
      <c r="AC25" s="40">
        <f t="shared" si="30"/>
        <v>0.96014748476011036</v>
      </c>
      <c r="AD25" s="4"/>
      <c r="AE25" s="28">
        <v>75</v>
      </c>
      <c r="AF25" s="39">
        <f t="shared" si="31"/>
        <v>27375</v>
      </c>
      <c r="AG25" s="52">
        <f t="shared" si="32"/>
        <v>3.6529680365296805E-5</v>
      </c>
      <c r="AH25" s="4"/>
      <c r="AI25" s="28">
        <v>5</v>
      </c>
      <c r="AJ25" s="32">
        <f t="shared" si="33"/>
        <v>0.2</v>
      </c>
      <c r="AK25" s="4"/>
      <c r="AL25" s="15">
        <v>28.5</v>
      </c>
      <c r="AM25" s="13">
        <v>0.86919999999999997</v>
      </c>
      <c r="AN25" s="13">
        <f t="shared" si="34"/>
        <v>-4.5315000000000003</v>
      </c>
      <c r="AO25" s="13">
        <f t="shared" si="35"/>
        <v>9.0647099999999998</v>
      </c>
      <c r="AP25" s="13">
        <f t="shared" si="36"/>
        <v>-7.8892217999999996</v>
      </c>
      <c r="AQ25" s="13">
        <f t="shared" si="37"/>
        <v>2.5129879880625001</v>
      </c>
      <c r="AR25" s="40">
        <f t="shared" si="38"/>
        <v>2.6176188062500216E-2</v>
      </c>
      <c r="AY25" s="4"/>
      <c r="AZ25" s="3"/>
      <c r="BA25" s="3"/>
      <c r="BB25" s="3"/>
      <c r="BC25" s="4"/>
      <c r="BD25" s="3"/>
      <c r="BF25" s="4"/>
      <c r="BI25" s="3"/>
      <c r="BK25" s="4"/>
    </row>
    <row r="26" spans="2:66" x14ac:dyDescent="0.3">
      <c r="B26" s="4"/>
      <c r="C26" s="3"/>
      <c r="D26" s="3"/>
      <c r="E26" s="3"/>
      <c r="F26" s="3"/>
      <c r="G26" s="15">
        <v>29</v>
      </c>
      <c r="H26" s="13">
        <f t="shared" si="23"/>
        <v>3.5670000000000002</v>
      </c>
      <c r="I26" s="39">
        <f t="shared" si="39"/>
        <v>1.5830000000000002</v>
      </c>
      <c r="J26" s="13">
        <f t="shared" si="24"/>
        <v>4.8695425478359935</v>
      </c>
      <c r="K26" s="13">
        <f t="shared" si="25"/>
        <v>8.8695425478359944</v>
      </c>
      <c r="L26" s="40">
        <f t="shared" si="26"/>
        <v>0.11274538620303272</v>
      </c>
      <c r="M26" s="4"/>
      <c r="N26" s="15">
        <v>6</v>
      </c>
      <c r="O26" s="32">
        <f t="shared" si="27"/>
        <v>0.16666666666666666</v>
      </c>
      <c r="P26" s="34"/>
      <c r="Q26" s="35"/>
      <c r="S26" s="15">
        <v>29</v>
      </c>
      <c r="T26" s="39"/>
      <c r="U26" s="39"/>
      <c r="V26" s="40">
        <v>1</v>
      </c>
      <c r="W26" s="4"/>
      <c r="X26" s="15">
        <v>29</v>
      </c>
      <c r="Y26" s="39">
        <f t="shared" si="28"/>
        <v>3.0276000000000001E-2</v>
      </c>
      <c r="Z26" s="39">
        <f t="shared" si="29"/>
        <v>16.713999999999999</v>
      </c>
      <c r="AA26" s="39">
        <f t="shared" si="40"/>
        <v>3.4609999999999985</v>
      </c>
      <c r="AB26" s="39">
        <f t="shared" si="41"/>
        <v>1.8603763060198328</v>
      </c>
      <c r="AC26" s="40">
        <f t="shared" si="30"/>
        <v>0.94141192232821747</v>
      </c>
      <c r="AD26" s="4"/>
      <c r="AE26" s="28">
        <v>75</v>
      </c>
      <c r="AF26" s="39">
        <f t="shared" si="31"/>
        <v>27375</v>
      </c>
      <c r="AG26" s="52">
        <f t="shared" si="32"/>
        <v>3.6529680365296805E-5</v>
      </c>
      <c r="AH26" s="4"/>
      <c r="AI26" s="28">
        <v>5</v>
      </c>
      <c r="AJ26" s="32">
        <f t="shared" si="33"/>
        <v>0.2</v>
      </c>
      <c r="AK26" s="4"/>
      <c r="AL26" s="15">
        <v>29</v>
      </c>
      <c r="AM26" s="13">
        <v>0.86919999999999997</v>
      </c>
      <c r="AN26" s="13">
        <f t="shared" si="34"/>
        <v>-4.6109999999999998</v>
      </c>
      <c r="AO26" s="13">
        <f t="shared" si="35"/>
        <v>9.3855599999999999</v>
      </c>
      <c r="AP26" s="13">
        <f t="shared" si="36"/>
        <v>-8.3117712000000008</v>
      </c>
      <c r="AQ26" s="13">
        <f t="shared" si="37"/>
        <v>2.6940333289999998</v>
      </c>
      <c r="AR26" s="40">
        <f t="shared" si="38"/>
        <v>2.6022128999999339E-2</v>
      </c>
      <c r="AY26" s="4"/>
      <c r="AZ26" s="3"/>
      <c r="BA26" s="3"/>
      <c r="BB26" s="3"/>
      <c r="BC26" s="4"/>
      <c r="BD26" s="3"/>
      <c r="BF26" s="4"/>
      <c r="BI26" s="3"/>
    </row>
    <row r="27" spans="2:66" x14ac:dyDescent="0.3">
      <c r="B27" s="4"/>
      <c r="C27" s="3"/>
      <c r="D27" s="3"/>
      <c r="E27" s="3"/>
      <c r="F27" s="3"/>
      <c r="G27" s="15">
        <v>29.5</v>
      </c>
      <c r="H27" s="13">
        <f t="shared" si="23"/>
        <v>3.6284999999999998</v>
      </c>
      <c r="I27" s="39">
        <f t="shared" si="39"/>
        <v>1.5215000000000005</v>
      </c>
      <c r="J27" s="13">
        <f t="shared" si="24"/>
        <v>4.5790886792610603</v>
      </c>
      <c r="K27" s="13">
        <f t="shared" si="25"/>
        <v>8.5790886792610603</v>
      </c>
      <c r="L27" s="40">
        <f t="shared" si="26"/>
        <v>0.11656249718194225</v>
      </c>
      <c r="M27" s="4"/>
      <c r="N27" s="15">
        <v>6</v>
      </c>
      <c r="O27" s="32">
        <f t="shared" si="27"/>
        <v>0.16666666666666666</v>
      </c>
      <c r="P27" s="34"/>
      <c r="Q27" s="35"/>
      <c r="S27" s="15">
        <v>29.5</v>
      </c>
      <c r="T27" s="39"/>
      <c r="U27" s="39"/>
      <c r="V27" s="40">
        <v>1</v>
      </c>
      <c r="W27" s="4"/>
      <c r="X27" s="15">
        <v>29.5</v>
      </c>
      <c r="Y27" s="39">
        <f t="shared" si="28"/>
        <v>3.0797999999999999E-2</v>
      </c>
      <c r="Z27" s="39">
        <f t="shared" si="29"/>
        <v>17.213999999999999</v>
      </c>
      <c r="AA27" s="39">
        <f t="shared" si="40"/>
        <v>2.9609999999999985</v>
      </c>
      <c r="AB27" s="39">
        <f t="shared" si="41"/>
        <v>1.720755647963998</v>
      </c>
      <c r="AC27" s="40">
        <f t="shared" si="30"/>
        <v>0.91227025972536135</v>
      </c>
      <c r="AD27" s="4"/>
      <c r="AE27" s="28">
        <v>75</v>
      </c>
      <c r="AF27" s="39">
        <f t="shared" si="31"/>
        <v>27375</v>
      </c>
      <c r="AG27" s="52">
        <f t="shared" si="32"/>
        <v>3.6529680365296805E-5</v>
      </c>
      <c r="AH27" s="4"/>
      <c r="AI27" s="28">
        <v>5</v>
      </c>
      <c r="AJ27" s="32">
        <f t="shared" si="33"/>
        <v>0.2</v>
      </c>
      <c r="AK27" s="4"/>
      <c r="AL27" s="15">
        <v>29.5</v>
      </c>
      <c r="AM27" s="13">
        <v>0.86919999999999997</v>
      </c>
      <c r="AN27" s="13">
        <f t="shared" si="34"/>
        <v>-4.6905000000000001</v>
      </c>
      <c r="AO27" s="13">
        <f t="shared" si="35"/>
        <v>9.7119900000000001</v>
      </c>
      <c r="AP27" s="13">
        <f t="shared" si="36"/>
        <v>-8.7491453999999997</v>
      </c>
      <c r="AQ27" s="13">
        <f t="shared" si="37"/>
        <v>2.8846892530625006</v>
      </c>
      <c r="AR27" s="40">
        <f t="shared" si="38"/>
        <v>2.6233853062501034E-2</v>
      </c>
      <c r="AY27" s="4"/>
      <c r="AZ27" s="3"/>
      <c r="BA27" s="3"/>
      <c r="BB27" s="3"/>
      <c r="BC27" s="4"/>
      <c r="BD27" s="3"/>
      <c r="BF27" s="4"/>
      <c r="BI27" s="3"/>
    </row>
    <row r="28" spans="2:66" x14ac:dyDescent="0.3">
      <c r="B28" s="4"/>
      <c r="C28" s="3"/>
      <c r="D28" s="3"/>
      <c r="E28" s="3"/>
      <c r="F28" s="3"/>
      <c r="G28" s="15">
        <v>30</v>
      </c>
      <c r="H28" s="13">
        <f t="shared" si="23"/>
        <v>3.69</v>
      </c>
      <c r="I28" s="39">
        <f t="shared" si="39"/>
        <v>1.4600000000000004</v>
      </c>
      <c r="J28" s="13">
        <f t="shared" si="24"/>
        <v>4.3059595283452081</v>
      </c>
      <c r="K28" s="13">
        <f t="shared" si="25"/>
        <v>8.305959528345209</v>
      </c>
      <c r="L28" s="40">
        <f t="shared" si="26"/>
        <v>0.12039548189313527</v>
      </c>
      <c r="M28" s="4"/>
      <c r="N28" s="15">
        <v>6</v>
      </c>
      <c r="O28" s="32">
        <f t="shared" si="27"/>
        <v>0.16666666666666666</v>
      </c>
      <c r="P28" s="34"/>
      <c r="Q28" s="35"/>
      <c r="S28" s="15">
        <v>30</v>
      </c>
      <c r="T28" s="39"/>
      <c r="U28" s="39"/>
      <c r="V28" s="40">
        <v>1</v>
      </c>
      <c r="W28" s="4"/>
      <c r="X28" s="15">
        <v>30</v>
      </c>
      <c r="Y28" s="39">
        <f t="shared" si="28"/>
        <v>3.1320000000000001E-2</v>
      </c>
      <c r="Z28" s="39">
        <f t="shared" si="29"/>
        <v>17.713999999999999</v>
      </c>
      <c r="AA28" s="39">
        <f t="shared" si="40"/>
        <v>2.4609999999999985</v>
      </c>
      <c r="AB28" s="39">
        <f t="shared" si="41"/>
        <v>1.5687574701017357</v>
      </c>
      <c r="AC28" s="40">
        <f t="shared" si="30"/>
        <v>0.87035053493096881</v>
      </c>
      <c r="AD28" s="4"/>
      <c r="AE28" s="28">
        <v>75</v>
      </c>
      <c r="AF28" s="39">
        <f t="shared" si="31"/>
        <v>27375</v>
      </c>
      <c r="AG28" s="52">
        <f t="shared" si="32"/>
        <v>3.6529680365296805E-5</v>
      </c>
      <c r="AH28" s="4"/>
      <c r="AI28" s="28">
        <v>5</v>
      </c>
      <c r="AJ28" s="32">
        <f t="shared" si="33"/>
        <v>0.2</v>
      </c>
      <c r="AK28" s="4"/>
      <c r="AL28" s="15">
        <v>30</v>
      </c>
      <c r="AM28" s="13">
        <v>0.86919999999999997</v>
      </c>
      <c r="AN28" s="13">
        <f t="shared" si="34"/>
        <v>-4.7700000000000005</v>
      </c>
      <c r="AO28" s="13">
        <f t="shared" si="35"/>
        <v>10.044</v>
      </c>
      <c r="AP28" s="13">
        <f t="shared" si="36"/>
        <v>-9.2015999999999991</v>
      </c>
      <c r="AQ28" s="13">
        <f t="shared" si="37"/>
        <v>3.0852899999999996</v>
      </c>
      <c r="AR28" s="40">
        <f t="shared" si="38"/>
        <v>2.6890000000000747E-2</v>
      </c>
      <c r="AY28" s="4"/>
      <c r="AZ28" s="3"/>
      <c r="BA28" s="3"/>
      <c r="BB28" s="3"/>
      <c r="BC28" s="4"/>
      <c r="BD28" s="3"/>
      <c r="BF28" s="4"/>
      <c r="BI28" s="3"/>
    </row>
    <row r="29" spans="2:66" x14ac:dyDescent="0.3">
      <c r="B29" s="4"/>
      <c r="C29" s="3"/>
      <c r="D29" s="3"/>
      <c r="E29" s="3"/>
      <c r="F29" s="3"/>
      <c r="G29" s="15">
        <v>30.5</v>
      </c>
      <c r="H29" s="13">
        <f t="shared" si="23"/>
        <v>3.7515000000000001</v>
      </c>
      <c r="I29" s="39">
        <f t="shared" si="39"/>
        <v>1.3985000000000003</v>
      </c>
      <c r="J29" s="13">
        <f t="shared" si="24"/>
        <v>4.0491217267141764</v>
      </c>
      <c r="K29" s="13">
        <f t="shared" si="25"/>
        <v>8.0491217267141764</v>
      </c>
      <c r="L29" s="40">
        <f t="shared" si="26"/>
        <v>0.1242371570405137</v>
      </c>
      <c r="M29" s="4"/>
      <c r="N29" s="15">
        <v>6</v>
      </c>
      <c r="O29" s="32">
        <f t="shared" si="27"/>
        <v>0.16666666666666666</v>
      </c>
      <c r="P29" s="34"/>
      <c r="Q29" s="35"/>
      <c r="S29" s="15">
        <v>30.5</v>
      </c>
      <c r="T29" s="39"/>
      <c r="U29" s="39"/>
      <c r="V29" s="40">
        <v>1</v>
      </c>
      <c r="W29" s="4"/>
      <c r="X29" s="15">
        <v>30.5</v>
      </c>
      <c r="Y29" s="39">
        <f t="shared" si="28"/>
        <v>3.1842000000000002E-2</v>
      </c>
      <c r="Z29" s="39">
        <f t="shared" si="29"/>
        <v>18.213999999999999</v>
      </c>
      <c r="AA29" s="39">
        <f t="shared" si="40"/>
        <v>1.9609999999999985</v>
      </c>
      <c r="AB29" s="39">
        <f t="shared" si="41"/>
        <v>1.4003570973148236</v>
      </c>
      <c r="AC29" s="40">
        <f t="shared" si="30"/>
        <v>0.81216536899681258</v>
      </c>
      <c r="AD29" s="4"/>
      <c r="AE29" s="28">
        <v>75</v>
      </c>
      <c r="AF29" s="39">
        <f t="shared" si="31"/>
        <v>27375</v>
      </c>
      <c r="AG29" s="52">
        <f t="shared" si="32"/>
        <v>3.6529680365296805E-5</v>
      </c>
      <c r="AH29" s="4"/>
      <c r="AI29" s="28">
        <v>5</v>
      </c>
      <c r="AJ29" s="32">
        <f t="shared" si="33"/>
        <v>0.2</v>
      </c>
      <c r="AK29" s="4"/>
      <c r="AL29" s="15">
        <v>30.5</v>
      </c>
      <c r="AM29" s="13">
        <v>0.86919999999999997</v>
      </c>
      <c r="AN29" s="13">
        <f t="shared" si="34"/>
        <v>-4.8494999999999999</v>
      </c>
      <c r="AO29" s="13">
        <f t="shared" si="35"/>
        <v>10.381590000000001</v>
      </c>
      <c r="AP29" s="13">
        <f t="shared" si="36"/>
        <v>-9.6693905999999998</v>
      </c>
      <c r="AQ29" s="13">
        <f t="shared" si="37"/>
        <v>3.2961755230625007</v>
      </c>
      <c r="AR29" s="40">
        <f t="shared" si="38"/>
        <v>2.8074923062502144E-2</v>
      </c>
      <c r="AY29" s="4"/>
      <c r="AZ29" s="3"/>
      <c r="BA29" s="3"/>
      <c r="BB29" s="3"/>
      <c r="BC29" s="4"/>
      <c r="BD29" s="3"/>
      <c r="BF29" s="4"/>
      <c r="BI29" s="3"/>
    </row>
    <row r="30" spans="2:66" x14ac:dyDescent="0.3">
      <c r="B30" s="4"/>
      <c r="C30" s="3"/>
      <c r="D30" s="3"/>
      <c r="E30" s="3"/>
      <c r="F30" s="3"/>
      <c r="G30" s="15">
        <v>31</v>
      </c>
      <c r="H30" s="13">
        <f t="shared" si="23"/>
        <v>3.8129999999999997</v>
      </c>
      <c r="I30" s="39">
        <f t="shared" si="39"/>
        <v>1.3370000000000006</v>
      </c>
      <c r="J30" s="13">
        <f t="shared" si="24"/>
        <v>3.8076035433731992</v>
      </c>
      <c r="K30" s="13">
        <f t="shared" si="25"/>
        <v>7.8076035433731992</v>
      </c>
      <c r="L30" s="40">
        <f t="shared" si="26"/>
        <v>0.1280802738567281</v>
      </c>
      <c r="M30" s="4"/>
      <c r="N30" s="15">
        <v>6</v>
      </c>
      <c r="O30" s="32">
        <f t="shared" si="27"/>
        <v>0.16666666666666666</v>
      </c>
      <c r="P30" s="34"/>
      <c r="Q30" s="35"/>
      <c r="S30" s="15">
        <v>31</v>
      </c>
      <c r="T30" s="39"/>
      <c r="U30" s="39"/>
      <c r="V30" s="40">
        <v>1</v>
      </c>
      <c r="W30" s="4"/>
      <c r="X30" s="15">
        <v>31</v>
      </c>
      <c r="Y30" s="39">
        <f t="shared" si="28"/>
        <v>3.2363999999999997E-2</v>
      </c>
      <c r="Z30" s="39">
        <f t="shared" si="29"/>
        <v>18.713999999999999</v>
      </c>
      <c r="AA30" s="39">
        <f t="shared" si="40"/>
        <v>1.4609999999999985</v>
      </c>
      <c r="AB30" s="39">
        <f t="shared" si="41"/>
        <v>1.2087183294713448</v>
      </c>
      <c r="AC30" s="40">
        <f t="shared" si="30"/>
        <v>0.73207221772090836</v>
      </c>
      <c r="AD30" s="4"/>
      <c r="AE30" s="28">
        <v>75</v>
      </c>
      <c r="AF30" s="39">
        <f t="shared" si="31"/>
        <v>27375</v>
      </c>
      <c r="AG30" s="52">
        <f t="shared" si="32"/>
        <v>3.6529680365296805E-5</v>
      </c>
      <c r="AH30" s="4"/>
      <c r="AI30" s="28">
        <v>5</v>
      </c>
      <c r="AJ30" s="32">
        <f t="shared" si="33"/>
        <v>0.2</v>
      </c>
      <c r="AK30" s="4"/>
      <c r="AL30" s="15">
        <v>31</v>
      </c>
      <c r="AM30" s="13">
        <v>0.86919999999999997</v>
      </c>
      <c r="AN30" s="13">
        <f t="shared" si="34"/>
        <v>-4.9290000000000003</v>
      </c>
      <c r="AO30" s="13">
        <f t="shared" si="35"/>
        <v>10.72476</v>
      </c>
      <c r="AP30" s="13">
        <f t="shared" si="36"/>
        <v>-10.152772799999999</v>
      </c>
      <c r="AQ30" s="13">
        <f t="shared" si="37"/>
        <v>3.5176914890000002</v>
      </c>
      <c r="AR30" s="40">
        <f t="shared" si="38"/>
        <v>2.987868900000068E-2</v>
      </c>
      <c r="AY30" s="4"/>
      <c r="AZ30" s="3"/>
      <c r="BA30" s="3"/>
      <c r="BB30" s="3"/>
      <c r="BC30" s="4"/>
      <c r="BD30" s="3"/>
      <c r="BF30" s="4"/>
      <c r="BI30" s="3"/>
    </row>
    <row r="31" spans="2:66" x14ac:dyDescent="0.3">
      <c r="B31" s="4"/>
      <c r="C31" s="3"/>
      <c r="D31" s="3"/>
      <c r="E31" s="3"/>
      <c r="F31" s="3"/>
      <c r="G31" s="15">
        <v>31.5</v>
      </c>
      <c r="H31" s="13">
        <f t="shared" si="23"/>
        <v>3.8744999999999998</v>
      </c>
      <c r="I31" s="39">
        <f t="shared" si="39"/>
        <v>1.2755000000000005</v>
      </c>
      <c r="J31" s="13">
        <f t="shared" si="24"/>
        <v>3.580491208218874</v>
      </c>
      <c r="K31" s="13">
        <f t="shared" si="25"/>
        <v>7.5804912082188736</v>
      </c>
      <c r="L31" s="40">
        <f t="shared" si="26"/>
        <v>0.13191757269183113</v>
      </c>
      <c r="M31" s="4"/>
      <c r="N31" s="15">
        <v>6</v>
      </c>
      <c r="O31" s="32">
        <f t="shared" si="27"/>
        <v>0.16666666666666666</v>
      </c>
      <c r="P31" s="34"/>
      <c r="Q31" s="35"/>
      <c r="S31" s="15">
        <v>31.5</v>
      </c>
      <c r="T31" s="39"/>
      <c r="U31" s="39"/>
      <c r="V31" s="40">
        <v>1</v>
      </c>
      <c r="W31" s="4"/>
      <c r="X31" s="15">
        <v>31.5</v>
      </c>
      <c r="Y31" s="39">
        <f t="shared" si="28"/>
        <v>3.2885999999999999E-2</v>
      </c>
      <c r="Z31" s="39">
        <f t="shared" si="29"/>
        <v>19.213999999999999</v>
      </c>
      <c r="AA31" s="39">
        <f t="shared" si="40"/>
        <v>0.96099999999999852</v>
      </c>
      <c r="AB31" s="39">
        <f t="shared" si="41"/>
        <v>0.98030607465219688</v>
      </c>
      <c r="AC31" s="40">
        <f t="shared" si="30"/>
        <v>0.61942757180142738</v>
      </c>
      <c r="AD31" s="4"/>
      <c r="AE31" s="28">
        <v>75</v>
      </c>
      <c r="AF31" s="39">
        <f t="shared" si="31"/>
        <v>27375</v>
      </c>
      <c r="AG31" s="52">
        <f t="shared" si="32"/>
        <v>3.6529680365296805E-5</v>
      </c>
      <c r="AH31" s="4"/>
      <c r="AI31" s="28">
        <v>5</v>
      </c>
      <c r="AJ31" s="32">
        <f t="shared" si="33"/>
        <v>0.2</v>
      </c>
      <c r="AK31" s="4"/>
      <c r="AL31" s="15">
        <v>31.5</v>
      </c>
      <c r="AM31" s="13">
        <v>0.86919999999999997</v>
      </c>
      <c r="AN31" s="13">
        <f t="shared" si="34"/>
        <v>-5.0084999999999997</v>
      </c>
      <c r="AO31" s="13">
        <f t="shared" si="35"/>
        <v>11.073510000000001</v>
      </c>
      <c r="AP31" s="13">
        <f t="shared" si="36"/>
        <v>-10.6520022</v>
      </c>
      <c r="AQ31" s="13">
        <f t="shared" si="37"/>
        <v>3.7501892780625004</v>
      </c>
      <c r="AR31" s="40">
        <f t="shared" si="38"/>
        <v>3.2397078062501361E-2</v>
      </c>
      <c r="AY31" s="4"/>
      <c r="AZ31" s="3"/>
      <c r="BA31" s="3"/>
      <c r="BB31" s="3"/>
      <c r="BC31" s="4"/>
      <c r="BD31" s="3"/>
      <c r="BF31" s="4"/>
      <c r="BI31" s="3"/>
    </row>
    <row r="32" spans="2:66" ht="14.5" thickBot="1" x14ac:dyDescent="0.35">
      <c r="B32" s="4"/>
      <c r="C32" s="3"/>
      <c r="D32" s="3"/>
      <c r="E32" s="3"/>
      <c r="F32" s="3"/>
      <c r="G32" s="16">
        <v>32</v>
      </c>
      <c r="H32" s="14">
        <f t="shared" si="23"/>
        <v>3.9359999999999999</v>
      </c>
      <c r="I32" s="41">
        <f t="shared" si="39"/>
        <v>1.2140000000000004</v>
      </c>
      <c r="J32" s="14">
        <f t="shared" si="24"/>
        <v>3.3669254548427436</v>
      </c>
      <c r="K32" s="14">
        <f t="shared" si="25"/>
        <v>7.3669254548427432</v>
      </c>
      <c r="L32" s="42">
        <f t="shared" si="26"/>
        <v>0.13574183777611556</v>
      </c>
      <c r="M32" s="4"/>
      <c r="N32" s="16">
        <v>6</v>
      </c>
      <c r="O32" s="33">
        <f t="shared" si="27"/>
        <v>0.16666666666666666</v>
      </c>
      <c r="P32" s="34"/>
      <c r="Q32" s="35"/>
      <c r="S32" s="16">
        <v>32</v>
      </c>
      <c r="T32" s="41"/>
      <c r="U32" s="41"/>
      <c r="V32" s="42">
        <v>1</v>
      </c>
      <c r="W32" s="4"/>
      <c r="X32" s="16">
        <v>32</v>
      </c>
      <c r="Y32" s="41">
        <f t="shared" si="28"/>
        <v>3.3408E-2</v>
      </c>
      <c r="Z32" s="41">
        <f t="shared" si="29"/>
        <v>19.713999999999999</v>
      </c>
      <c r="AA32" s="41">
        <f t="shared" si="40"/>
        <v>0.46099999999999852</v>
      </c>
      <c r="AB32" s="41">
        <f t="shared" si="41"/>
        <v>0.67896980787071715</v>
      </c>
      <c r="AC32" s="42">
        <f t="shared" si="30"/>
        <v>0.44717312215127369</v>
      </c>
      <c r="AD32" s="4"/>
      <c r="AE32" s="28">
        <v>75</v>
      </c>
      <c r="AF32" s="39">
        <f t="shared" si="31"/>
        <v>27375</v>
      </c>
      <c r="AG32" s="52">
        <f t="shared" si="32"/>
        <v>3.6529680365296805E-5</v>
      </c>
      <c r="AH32" s="4"/>
      <c r="AI32" s="54">
        <v>5</v>
      </c>
      <c r="AJ32" s="33">
        <f t="shared" si="33"/>
        <v>0.2</v>
      </c>
      <c r="AK32" s="4"/>
      <c r="AL32" s="16">
        <v>32</v>
      </c>
      <c r="AM32" s="14">
        <v>0.86919999999999997</v>
      </c>
      <c r="AN32" s="14">
        <f t="shared" si="34"/>
        <v>-5.0880000000000001</v>
      </c>
      <c r="AO32" s="14">
        <f t="shared" si="35"/>
        <v>11.42784</v>
      </c>
      <c r="AP32" s="14">
        <f t="shared" si="36"/>
        <v>-11.1673344</v>
      </c>
      <c r="AQ32" s="14">
        <f t="shared" si="37"/>
        <v>3.9940259840000003</v>
      </c>
      <c r="AR32" s="42">
        <f t="shared" si="38"/>
        <v>3.5731584000000538E-2</v>
      </c>
      <c r="AY32" s="4"/>
      <c r="AZ32" s="3"/>
      <c r="BA32" s="3"/>
      <c r="BB32" s="3"/>
      <c r="BC32" s="4"/>
      <c r="BD32" s="3"/>
      <c r="BF32" s="4"/>
      <c r="BI32" s="3"/>
    </row>
    <row r="34" spans="2:52" ht="14.5" thickBot="1" x14ac:dyDescent="0.35"/>
    <row r="35" spans="2:52" x14ac:dyDescent="0.3">
      <c r="B35" s="154" t="s">
        <v>71</v>
      </c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6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</row>
    <row r="36" spans="2:52" x14ac:dyDescent="0.3">
      <c r="B36" s="30" t="s">
        <v>0</v>
      </c>
      <c r="C36" s="38" t="s">
        <v>58</v>
      </c>
      <c r="D36" s="55" t="s">
        <v>59</v>
      </c>
      <c r="E36" s="55" t="s">
        <v>60</v>
      </c>
      <c r="F36" s="55" t="s">
        <v>46</v>
      </c>
      <c r="G36" s="37" t="s">
        <v>50</v>
      </c>
      <c r="H36" s="55" t="s">
        <v>12</v>
      </c>
      <c r="I36" s="56" t="s">
        <v>67</v>
      </c>
      <c r="J36" s="55" t="s">
        <v>11</v>
      </c>
      <c r="K36" s="55" t="s">
        <v>62</v>
      </c>
      <c r="L36" s="55" t="s">
        <v>55</v>
      </c>
      <c r="M36" s="55" t="s">
        <v>63</v>
      </c>
      <c r="N36" s="55" t="s">
        <v>64</v>
      </c>
      <c r="O36" s="55" t="s">
        <v>65</v>
      </c>
      <c r="P36" s="56" t="s">
        <v>66</v>
      </c>
      <c r="Q36" s="56" t="s">
        <v>68</v>
      </c>
      <c r="R36" s="56" t="s">
        <v>69</v>
      </c>
      <c r="S36" s="57" t="s">
        <v>70</v>
      </c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9"/>
      <c r="AF36" s="59"/>
      <c r="AG36" s="59"/>
      <c r="AI36" s="59"/>
      <c r="AJ36" s="59"/>
      <c r="AK36" s="59"/>
      <c r="AR36" s="58"/>
      <c r="AS36" s="58"/>
      <c r="AT36" s="58"/>
      <c r="AU36" s="58"/>
      <c r="AV36" s="60"/>
      <c r="AW36" s="60"/>
      <c r="AX36" s="61"/>
    </row>
    <row r="37" spans="2:52" x14ac:dyDescent="0.3">
      <c r="B37" s="28">
        <v>18</v>
      </c>
      <c r="C37" s="39">
        <f>L4</f>
        <v>4.3782196780229689E-2</v>
      </c>
      <c r="D37" s="17">
        <f>O4</f>
        <v>0.16666666666666666</v>
      </c>
      <c r="E37" s="17">
        <f>0.35*0.35</f>
        <v>0.12249999999999998</v>
      </c>
      <c r="F37" s="17">
        <f>V4</f>
        <v>0.40850000000000009</v>
      </c>
      <c r="G37" s="39">
        <f>AC4</f>
        <v>0.40833104755947558</v>
      </c>
      <c r="H37" s="17">
        <v>1</v>
      </c>
      <c r="I37" s="18">
        <f>C37*D37*E37*F37*G37*H37</f>
        <v>1.4910316100586469E-4</v>
      </c>
      <c r="J37" s="17">
        <f>AG4</f>
        <v>3.6529680365296805E-5</v>
      </c>
      <c r="K37" s="17">
        <f>AJ4</f>
        <v>0.2</v>
      </c>
      <c r="L37" s="17">
        <f>AR4</f>
        <v>3.5347984000000054E-2</v>
      </c>
      <c r="M37" s="17">
        <f>D37+J37</f>
        <v>0.16670319634703196</v>
      </c>
      <c r="N37" s="17">
        <f>K37+J37</f>
        <v>0.20003652968036531</v>
      </c>
      <c r="O37" s="17">
        <f>L37+C37</f>
        <v>7.9130180780229736E-2</v>
      </c>
      <c r="P37" s="18">
        <f>M37*N37*L37*O37</f>
        <v>9.3273880730050074E-5</v>
      </c>
      <c r="Q37" s="18">
        <f>I37/P37</f>
        <v>1.5985521331249604</v>
      </c>
      <c r="R37" s="19">
        <f>SQRT(Q37)</f>
        <v>1.2643386148990943</v>
      </c>
      <c r="S37" s="62">
        <f>R37</f>
        <v>1.2643386148990943</v>
      </c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9"/>
      <c r="AF37" s="59"/>
      <c r="AG37" s="59"/>
      <c r="AI37" s="59"/>
      <c r="AJ37" s="59"/>
      <c r="AK37" s="59"/>
      <c r="AR37" s="58"/>
      <c r="AS37" s="58"/>
      <c r="AT37" s="58"/>
      <c r="AU37" s="58"/>
      <c r="AV37" s="60"/>
      <c r="AW37" s="60"/>
      <c r="AX37" s="61"/>
    </row>
    <row r="38" spans="2:52" x14ac:dyDescent="0.3">
      <c r="B38" s="28">
        <v>18.5</v>
      </c>
      <c r="C38" s="39">
        <f t="shared" ref="C38:C44" si="42">L5</f>
        <v>4.6047800991045051E-2</v>
      </c>
      <c r="D38" s="17">
        <f t="shared" ref="D38:D44" si="43">O5</f>
        <v>0.16666666666666666</v>
      </c>
      <c r="E38" s="17">
        <f t="shared" ref="E38:E44" si="44">0.35*0.35</f>
        <v>0.12249999999999998</v>
      </c>
      <c r="F38" s="17">
        <f t="shared" ref="F38:F44" si="45">V5</f>
        <v>0.44495000000000018</v>
      </c>
      <c r="G38" s="39">
        <f t="shared" ref="G38:G44" si="46">AC5</f>
        <v>0.44843731081806903</v>
      </c>
      <c r="H38" s="17">
        <v>1</v>
      </c>
      <c r="I38" s="18">
        <f t="shared" ref="I38:I44" si="47">C38*D38*E38*F38*G38*H38</f>
        <v>1.8758870456242959E-4</v>
      </c>
      <c r="J38" s="17">
        <f t="shared" ref="J38:J44" si="48">AG5</f>
        <v>3.6529680365296805E-5</v>
      </c>
      <c r="K38" s="17">
        <f t="shared" ref="K38:K44" si="49">AJ5</f>
        <v>0.2</v>
      </c>
      <c r="L38" s="17">
        <f t="shared" ref="L38:L44" si="50">AR5</f>
        <v>3.5559653062499863E-2</v>
      </c>
      <c r="M38" s="17">
        <f t="shared" ref="M38:M44" si="51">D38+J38</f>
        <v>0.16670319634703196</v>
      </c>
      <c r="N38" s="17">
        <f t="shared" ref="N38:N44" si="52">K38+J38</f>
        <v>0.20003652968036531</v>
      </c>
      <c r="O38" s="17">
        <f t="shared" ref="O38:O44" si="53">L38+C38</f>
        <v>8.1607454053544914E-2</v>
      </c>
      <c r="P38" s="18">
        <f t="shared" ref="P38:P44" si="54">M38*N38*L38*O38</f>
        <v>9.6769964768827823E-5</v>
      </c>
      <c r="Q38" s="18">
        <f t="shared" ref="Q38:Q44" si="55">I38/P38</f>
        <v>1.9385013212576563</v>
      </c>
      <c r="R38" s="19">
        <f t="shared" ref="R38:R44" si="56">SQRT(Q38)</f>
        <v>1.3923007294610084</v>
      </c>
      <c r="S38" s="62">
        <f t="shared" ref="S38:S44" si="57">R38</f>
        <v>1.3923007294610084</v>
      </c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9"/>
      <c r="AF38" s="59"/>
      <c r="AG38" s="59"/>
      <c r="AI38" s="59"/>
      <c r="AJ38" s="59"/>
      <c r="AK38" s="59"/>
      <c r="AR38" s="58"/>
      <c r="AS38" s="58"/>
      <c r="AT38" s="58"/>
      <c r="AU38" s="58"/>
      <c r="AV38" s="60"/>
      <c r="AW38" s="60"/>
      <c r="AX38" s="61"/>
    </row>
    <row r="39" spans="2:52" x14ac:dyDescent="0.3">
      <c r="B39" s="28">
        <v>19</v>
      </c>
      <c r="C39" s="39">
        <f t="shared" si="42"/>
        <v>4.8403125720169998E-2</v>
      </c>
      <c r="D39" s="17">
        <f t="shared" si="43"/>
        <v>0.16666666666666666</v>
      </c>
      <c r="E39" s="17">
        <f t="shared" si="44"/>
        <v>0.12249999999999998</v>
      </c>
      <c r="F39" s="17">
        <f t="shared" si="45"/>
        <v>0.48140000000000027</v>
      </c>
      <c r="G39" s="39">
        <f t="shared" si="46"/>
        <v>0.48862321696303118</v>
      </c>
      <c r="H39" s="17">
        <v>1</v>
      </c>
      <c r="I39" s="18">
        <f t="shared" si="47"/>
        <v>2.3245475310556033E-4</v>
      </c>
      <c r="J39" s="17">
        <f t="shared" si="48"/>
        <v>3.6529680365296805E-5</v>
      </c>
      <c r="K39" s="17">
        <f t="shared" si="49"/>
        <v>0.2</v>
      </c>
      <c r="L39" s="17">
        <f t="shared" si="50"/>
        <v>3.5805489000000523E-2</v>
      </c>
      <c r="M39" s="17">
        <f t="shared" si="51"/>
        <v>0.16670319634703196</v>
      </c>
      <c r="N39" s="17">
        <f t="shared" si="52"/>
        <v>0.20003652968036531</v>
      </c>
      <c r="O39" s="17">
        <f t="shared" si="53"/>
        <v>8.4208614720170522E-2</v>
      </c>
      <c r="P39" s="18">
        <f t="shared" si="54"/>
        <v>1.0054474360369257E-4</v>
      </c>
      <c r="Q39" s="18">
        <f t="shared" si="55"/>
        <v>2.3119533132612542</v>
      </c>
      <c r="R39" s="19">
        <f t="shared" si="56"/>
        <v>1.5205108724574297</v>
      </c>
      <c r="S39" s="62">
        <f t="shared" si="57"/>
        <v>1.5205108724574297</v>
      </c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9"/>
      <c r="AF39" s="59"/>
      <c r="AG39" s="59"/>
      <c r="AI39" s="59"/>
      <c r="AJ39" s="59"/>
      <c r="AK39" s="59"/>
      <c r="AR39" s="58"/>
      <c r="AS39" s="58"/>
      <c r="AT39" s="58"/>
      <c r="AU39" s="58"/>
      <c r="AV39" s="60"/>
      <c r="AW39" s="60"/>
      <c r="AX39" s="61"/>
    </row>
    <row r="40" spans="2:52" x14ac:dyDescent="0.3">
      <c r="B40" s="28">
        <v>19.5</v>
      </c>
      <c r="C40" s="39">
        <f t="shared" si="42"/>
        <v>5.0848888018117572E-2</v>
      </c>
      <c r="D40" s="17">
        <f t="shared" si="43"/>
        <v>0.16666666666666666</v>
      </c>
      <c r="E40" s="17">
        <f t="shared" si="44"/>
        <v>0.12249999999999998</v>
      </c>
      <c r="F40" s="17">
        <f t="shared" si="45"/>
        <v>0.51785000000000014</v>
      </c>
      <c r="G40" s="39">
        <f t="shared" si="46"/>
        <v>0.52872580039154315</v>
      </c>
      <c r="H40" s="17">
        <v>1</v>
      </c>
      <c r="I40" s="18">
        <f t="shared" si="47"/>
        <v>2.8425020218728048E-4</v>
      </c>
      <c r="J40" s="17">
        <f t="shared" si="48"/>
        <v>3.6529680365296805E-5</v>
      </c>
      <c r="K40" s="17">
        <f t="shared" si="49"/>
        <v>0.2</v>
      </c>
      <c r="L40" s="17">
        <f t="shared" si="50"/>
        <v>3.6044148062500447E-2</v>
      </c>
      <c r="M40" s="17">
        <f t="shared" si="51"/>
        <v>0.16670319634703196</v>
      </c>
      <c r="N40" s="17">
        <f t="shared" si="52"/>
        <v>0.20003652968036531</v>
      </c>
      <c r="O40" s="17">
        <f t="shared" si="53"/>
        <v>8.6893036080618019E-2</v>
      </c>
      <c r="P40" s="18">
        <f t="shared" si="54"/>
        <v>1.044414699391967E-4</v>
      </c>
      <c r="Q40" s="18">
        <f t="shared" si="55"/>
        <v>2.7216219989316897</v>
      </c>
      <c r="R40" s="19">
        <f t="shared" si="56"/>
        <v>1.6497339176157135</v>
      </c>
      <c r="S40" s="62">
        <f t="shared" si="57"/>
        <v>1.6497339176157135</v>
      </c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9"/>
      <c r="AF40" s="59"/>
      <c r="AG40" s="59"/>
      <c r="AI40" s="59"/>
      <c r="AJ40" s="59"/>
      <c r="AK40" s="59"/>
      <c r="AR40" s="58"/>
      <c r="AS40" s="58"/>
      <c r="AT40" s="58"/>
      <c r="AU40" s="58"/>
      <c r="AV40" s="60"/>
      <c r="AW40" s="60"/>
      <c r="AX40" s="61"/>
    </row>
    <row r="41" spans="2:52" x14ac:dyDescent="0.3">
      <c r="B41" s="28">
        <v>20</v>
      </c>
      <c r="C41" s="39">
        <f t="shared" si="42"/>
        <v>5.3385506147299013E-2</v>
      </c>
      <c r="D41" s="17">
        <f t="shared" si="43"/>
        <v>0.16666666666666666</v>
      </c>
      <c r="E41" s="17">
        <f t="shared" si="44"/>
        <v>0.12249999999999998</v>
      </c>
      <c r="F41" s="17">
        <f t="shared" si="45"/>
        <v>0.55430000000000024</v>
      </c>
      <c r="G41" s="39">
        <f t="shared" si="46"/>
        <v>0.56857345101638612</v>
      </c>
      <c r="H41" s="17">
        <v>1</v>
      </c>
      <c r="I41" s="18">
        <f t="shared" si="47"/>
        <v>3.435102167003514E-4</v>
      </c>
      <c r="J41" s="17">
        <f t="shared" si="48"/>
        <v>3.6529680365296805E-5</v>
      </c>
      <c r="K41" s="17">
        <f t="shared" si="49"/>
        <v>0.2</v>
      </c>
      <c r="L41" s="17">
        <f t="shared" si="50"/>
        <v>3.6240000000000161E-2</v>
      </c>
      <c r="M41" s="17">
        <f t="shared" si="51"/>
        <v>0.16670319634703196</v>
      </c>
      <c r="N41" s="17">
        <f t="shared" si="52"/>
        <v>0.20003652968036531</v>
      </c>
      <c r="O41" s="17">
        <f t="shared" si="53"/>
        <v>8.9625506147299167E-2</v>
      </c>
      <c r="P41" s="18">
        <f t="shared" si="54"/>
        <v>1.0831112055379625E-4</v>
      </c>
      <c r="Q41" s="18">
        <f t="shared" si="55"/>
        <v>3.1715138292723677</v>
      </c>
      <c r="R41" s="19">
        <f t="shared" si="56"/>
        <v>1.7808744563478829</v>
      </c>
      <c r="S41" s="62">
        <f t="shared" si="57"/>
        <v>1.7808744563478829</v>
      </c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9"/>
      <c r="AF41" s="59"/>
      <c r="AG41" s="59"/>
      <c r="AI41" s="59"/>
      <c r="AJ41" s="59"/>
      <c r="AK41" s="59"/>
      <c r="AR41" s="58"/>
      <c r="AS41" s="58"/>
      <c r="AT41" s="58"/>
      <c r="AU41" s="58"/>
      <c r="AV41" s="60"/>
      <c r="AW41" s="60"/>
      <c r="AX41" s="61"/>
    </row>
    <row r="42" spans="2:52" x14ac:dyDescent="0.3">
      <c r="B42" s="28">
        <v>20.5</v>
      </c>
      <c r="C42" s="39">
        <f t="shared" si="42"/>
        <v>5.6013073929911089E-2</v>
      </c>
      <c r="D42" s="17">
        <f t="shared" si="43"/>
        <v>0.16666666666666666</v>
      </c>
      <c r="E42" s="17">
        <f t="shared" si="44"/>
        <v>0.12249999999999998</v>
      </c>
      <c r="F42" s="17">
        <f t="shared" si="45"/>
        <v>0.59075000000000011</v>
      </c>
      <c r="G42" s="39">
        <f t="shared" si="46"/>
        <v>0.60798491431281332</v>
      </c>
      <c r="H42" s="17">
        <v>1</v>
      </c>
      <c r="I42" s="18">
        <f t="shared" si="47"/>
        <v>4.1074357515459196E-4</v>
      </c>
      <c r="J42" s="17">
        <f t="shared" si="48"/>
        <v>3.6529680365296805E-5</v>
      </c>
      <c r="K42" s="17">
        <f t="shared" si="49"/>
        <v>0.2</v>
      </c>
      <c r="L42" s="17">
        <f t="shared" si="50"/>
        <v>3.6363128062500305E-2</v>
      </c>
      <c r="M42" s="17">
        <f t="shared" si="51"/>
        <v>0.16670319634703196</v>
      </c>
      <c r="N42" s="17">
        <f t="shared" si="52"/>
        <v>0.20003652968036531</v>
      </c>
      <c r="O42" s="17">
        <f t="shared" si="53"/>
        <v>9.2376201992411394E-2</v>
      </c>
      <c r="P42" s="18">
        <f t="shared" si="54"/>
        <v>1.1201458559451136E-4</v>
      </c>
      <c r="Q42" s="18">
        <f t="shared" si="55"/>
        <v>3.6668758177749141</v>
      </c>
      <c r="R42" s="19">
        <f t="shared" si="56"/>
        <v>1.9149088275358996</v>
      </c>
      <c r="S42" s="62">
        <f t="shared" si="57"/>
        <v>1.9149088275358996</v>
      </c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9"/>
      <c r="AF42" s="59"/>
      <c r="AG42" s="59"/>
      <c r="AI42" s="59"/>
      <c r="AJ42" s="59"/>
      <c r="AK42" s="59"/>
      <c r="AR42" s="58"/>
      <c r="AS42" s="58"/>
      <c r="AT42" s="58"/>
      <c r="AU42" s="58"/>
      <c r="AV42" s="60"/>
      <c r="AW42" s="60"/>
      <c r="AX42" s="61"/>
    </row>
    <row r="43" spans="2:52" x14ac:dyDescent="0.3">
      <c r="B43" s="28">
        <v>21</v>
      </c>
      <c r="C43" s="39">
        <f t="shared" si="42"/>
        <v>5.8731336052221569E-2</v>
      </c>
      <c r="D43" s="17">
        <f t="shared" si="43"/>
        <v>0.16666666666666666</v>
      </c>
      <c r="E43" s="17">
        <f t="shared" si="44"/>
        <v>0.12249999999999998</v>
      </c>
      <c r="F43" s="17">
        <f t="shared" si="45"/>
        <v>0.6272000000000002</v>
      </c>
      <c r="G43" s="39">
        <f t="shared" si="46"/>
        <v>0.64676812061741407</v>
      </c>
      <c r="H43" s="17">
        <v>1</v>
      </c>
      <c r="I43" s="18">
        <f t="shared" si="47"/>
        <v>4.8641770438116337E-4</v>
      </c>
      <c r="J43" s="17">
        <f t="shared" si="48"/>
        <v>3.6529680365296805E-5</v>
      </c>
      <c r="K43" s="17">
        <f t="shared" si="49"/>
        <v>0.2</v>
      </c>
      <c r="L43" s="17">
        <f t="shared" si="50"/>
        <v>3.6389328999999471E-2</v>
      </c>
      <c r="M43" s="17">
        <f t="shared" si="51"/>
        <v>0.16670319634703196</v>
      </c>
      <c r="N43" s="17">
        <f t="shared" si="52"/>
        <v>0.20003652968036531</v>
      </c>
      <c r="O43" s="17">
        <f t="shared" si="53"/>
        <v>9.512066505222104E-2</v>
      </c>
      <c r="P43" s="18">
        <f t="shared" si="54"/>
        <v>1.1542560622906341E-4</v>
      </c>
      <c r="Q43" s="18">
        <f t="shared" si="55"/>
        <v>4.2141230206394757</v>
      </c>
      <c r="R43" s="19">
        <f t="shared" si="56"/>
        <v>2.0528329256516411</v>
      </c>
      <c r="S43" s="62">
        <f t="shared" si="57"/>
        <v>2.0528329256516411</v>
      </c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9"/>
      <c r="AF43" s="59"/>
      <c r="AG43" s="59"/>
      <c r="AI43" s="59"/>
      <c r="AJ43" s="59"/>
      <c r="AK43" s="59"/>
      <c r="AR43" s="58"/>
      <c r="AS43" s="58"/>
      <c r="AT43" s="58"/>
      <c r="AU43" s="58"/>
      <c r="AV43" s="60"/>
      <c r="AW43" s="60"/>
      <c r="AX43" s="61"/>
    </row>
    <row r="44" spans="2:52" x14ac:dyDescent="0.3">
      <c r="B44" s="28">
        <v>21.5</v>
      </c>
      <c r="C44" s="39">
        <f t="shared" si="42"/>
        <v>6.1539664777196419E-2</v>
      </c>
      <c r="D44" s="17">
        <f t="shared" si="43"/>
        <v>0.16666666666666666</v>
      </c>
      <c r="E44" s="17">
        <f t="shared" si="44"/>
        <v>0.12249999999999998</v>
      </c>
      <c r="F44" s="17">
        <f t="shared" si="45"/>
        <v>0.6636500000000003</v>
      </c>
      <c r="G44" s="39">
        <f t="shared" si="46"/>
        <v>0.68471880492583193</v>
      </c>
      <c r="H44" s="17">
        <v>1</v>
      </c>
      <c r="I44" s="18">
        <f t="shared" si="47"/>
        <v>5.7094111470902043E-4</v>
      </c>
      <c r="J44" s="17">
        <f t="shared" si="48"/>
        <v>3.6529680365296805E-5</v>
      </c>
      <c r="K44" s="17">
        <f t="shared" si="49"/>
        <v>0.2</v>
      </c>
      <c r="L44" s="17">
        <f t="shared" si="50"/>
        <v>3.6300113062500583E-2</v>
      </c>
      <c r="M44" s="17">
        <f t="shared" si="51"/>
        <v>0.16670319634703196</v>
      </c>
      <c r="N44" s="17">
        <f t="shared" si="52"/>
        <v>0.20003652968036531</v>
      </c>
      <c r="O44" s="17">
        <f t="shared" si="53"/>
        <v>9.7839777839696995E-2</v>
      </c>
      <c r="P44" s="18">
        <f t="shared" si="54"/>
        <v>1.1843407549002666E-4</v>
      </c>
      <c r="Q44" s="18">
        <f t="shared" si="55"/>
        <v>4.8207503824108411</v>
      </c>
      <c r="R44" s="19">
        <f t="shared" si="56"/>
        <v>2.1956207282704456</v>
      </c>
      <c r="S44" s="62">
        <f t="shared" si="57"/>
        <v>2.1956207282704456</v>
      </c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9"/>
      <c r="AF44" s="59"/>
      <c r="AG44" s="59"/>
      <c r="AI44" s="59"/>
      <c r="AJ44" s="59"/>
      <c r="AK44" s="59"/>
      <c r="AR44" s="58"/>
      <c r="AS44" s="58"/>
      <c r="AT44" s="58"/>
      <c r="AU44" s="58"/>
      <c r="AV44" s="60"/>
      <c r="AW44" s="60"/>
      <c r="AX44" s="61"/>
    </row>
    <row r="45" spans="2:52" x14ac:dyDescent="0.3">
      <c r="B45" s="15">
        <v>22</v>
      </c>
      <c r="C45" s="39">
        <f t="shared" ref="C45:C65" si="58">L12</f>
        <v>6.4437038543073255E-2</v>
      </c>
      <c r="D45" s="17">
        <f t="shared" ref="D45:D65" si="59">O12</f>
        <v>0.16666666666666666</v>
      </c>
      <c r="E45" s="17">
        <f>0.35*0.35</f>
        <v>0.12249999999999998</v>
      </c>
      <c r="F45" s="17">
        <f t="shared" ref="F45:F65" si="60">V12</f>
        <v>0.70010000000000017</v>
      </c>
      <c r="G45" s="39">
        <f t="shared" ref="G45:G65" si="61">AC12</f>
        <v>0.72161886732632674</v>
      </c>
      <c r="H45" s="17">
        <v>1</v>
      </c>
      <c r="I45" s="18">
        <f>C45*D45*E45*F45*G45*H45</f>
        <v>6.6464289747269892E-4</v>
      </c>
      <c r="J45" s="17">
        <f t="shared" ref="J45:J65" si="62">AG12</f>
        <v>3.6529680365296805E-5</v>
      </c>
      <c r="K45" s="17">
        <f t="shared" ref="K45:K65" si="63">AJ12</f>
        <v>0.2</v>
      </c>
      <c r="L45" s="17">
        <f t="shared" ref="L45:L65" si="64">AR12</f>
        <v>3.6082703999999799E-2</v>
      </c>
      <c r="M45" s="17">
        <f>D45+J45</f>
        <v>0.16670319634703196</v>
      </c>
      <c r="N45" s="17">
        <f>K45+J45</f>
        <v>0.20003652968036531</v>
      </c>
      <c r="O45" s="17">
        <f>L45+C45</f>
        <v>0.10051974254307305</v>
      </c>
      <c r="P45" s="18">
        <f>M45*N45*L45*O45</f>
        <v>1.2094938986283162E-4</v>
      </c>
      <c r="Q45" s="18">
        <f>I45/P45</f>
        <v>5.4952149674047028</v>
      </c>
      <c r="R45" s="19">
        <f>SQRT(Q45)</f>
        <v>2.3441874855490341</v>
      </c>
      <c r="S45" s="62">
        <f>R45</f>
        <v>2.3441874855490341</v>
      </c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63"/>
      <c r="AI45" s="63"/>
      <c r="AJ45" s="63"/>
      <c r="AK45" s="63"/>
      <c r="AL45" s="4"/>
      <c r="AM45" s="3"/>
      <c r="AN45" s="3"/>
      <c r="AR45" s="63"/>
      <c r="AS45" s="63"/>
      <c r="AT45" s="63"/>
      <c r="AU45" s="63"/>
      <c r="AV45" s="4"/>
      <c r="AW45" s="3"/>
      <c r="AX45" s="8"/>
    </row>
    <row r="46" spans="2:52" x14ac:dyDescent="0.3">
      <c r="B46" s="15">
        <v>22.5</v>
      </c>
      <c r="C46" s="39">
        <f t="shared" si="58"/>
        <v>6.7422022942501006E-2</v>
      </c>
      <c r="D46" s="17">
        <f t="shared" si="59"/>
        <v>0.16666666666666666</v>
      </c>
      <c r="E46" s="17">
        <f t="shared" ref="E46:E65" si="65">0.35*0.35</f>
        <v>0.12249999999999998</v>
      </c>
      <c r="F46" s="17">
        <f t="shared" si="60"/>
        <v>0.73655000000000026</v>
      </c>
      <c r="G46" s="39">
        <f t="shared" si="61"/>
        <v>0.7572344091935912</v>
      </c>
      <c r="H46" s="17">
        <v>1</v>
      </c>
      <c r="I46" s="18">
        <f t="shared" ref="I46:I65" si="66">C46*D46*E46*F46*G46*H46</f>
        <v>7.6774887996576406E-4</v>
      </c>
      <c r="J46" s="17">
        <f t="shared" si="62"/>
        <v>3.6529680365296805E-5</v>
      </c>
      <c r="K46" s="17">
        <f t="shared" si="63"/>
        <v>0.2</v>
      </c>
      <c r="L46" s="17">
        <f t="shared" si="64"/>
        <v>3.573003906249983E-2</v>
      </c>
      <c r="M46" s="17">
        <f t="shared" ref="M46:M65" si="67">D46+J46</f>
        <v>0.16670319634703196</v>
      </c>
      <c r="N46" s="17">
        <f t="shared" ref="N46:N65" si="68">K46+J46</f>
        <v>0.20003652968036531</v>
      </c>
      <c r="O46" s="17">
        <f t="shared" ref="O46:O65" si="69">L46+C46</f>
        <v>0.10315206200500084</v>
      </c>
      <c r="P46" s="18">
        <f t="shared" ref="P46:P65" si="70">M46*N46*L46*O46</f>
        <v>1.2290361116607223E-4</v>
      </c>
      <c r="Q46" s="18">
        <f t="shared" ref="Q46:Q65" si="71">I46/P46</f>
        <v>6.2467560772347959</v>
      </c>
      <c r="R46" s="19">
        <f t="shared" ref="R46:R65" si="72">SQRT(Q46)</f>
        <v>2.4993511312408256</v>
      </c>
      <c r="S46" s="62">
        <f t="shared" ref="S46:S65" si="73">R46</f>
        <v>2.4993511312408256</v>
      </c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63"/>
      <c r="AI46" s="63"/>
      <c r="AJ46" s="63"/>
      <c r="AK46" s="63"/>
      <c r="AL46" s="4"/>
      <c r="AM46" s="3"/>
      <c r="AN46" s="3"/>
      <c r="AR46" s="63"/>
      <c r="AS46" s="63"/>
      <c r="AT46" s="63"/>
      <c r="AU46" s="63"/>
      <c r="AV46" s="4"/>
      <c r="AW46" s="3"/>
      <c r="AX46" s="8"/>
    </row>
    <row r="47" spans="2:52" x14ac:dyDescent="0.3">
      <c r="B47" s="15">
        <v>23</v>
      </c>
      <c r="C47" s="39">
        <f t="shared" si="58"/>
        <v>7.0492754583466724E-2</v>
      </c>
      <c r="D47" s="17">
        <f t="shared" si="59"/>
        <v>0.16666666666666666</v>
      </c>
      <c r="E47" s="17">
        <f t="shared" si="65"/>
        <v>0.12249999999999998</v>
      </c>
      <c r="F47" s="17">
        <f t="shared" si="60"/>
        <v>0.77300000000000013</v>
      </c>
      <c r="G47" s="39">
        <f t="shared" si="61"/>
        <v>0.79131335970535199</v>
      </c>
      <c r="H47" s="17">
        <v>1</v>
      </c>
      <c r="I47" s="18">
        <f t="shared" si="66"/>
        <v>8.803539387722282E-4</v>
      </c>
      <c r="J47" s="17">
        <f t="shared" si="62"/>
        <v>3.6529680365296805E-5</v>
      </c>
      <c r="K47" s="17">
        <f t="shared" si="63"/>
        <v>0.2</v>
      </c>
      <c r="L47" s="17">
        <f t="shared" si="64"/>
        <v>3.5240768999999839E-2</v>
      </c>
      <c r="M47" s="17">
        <f t="shared" si="67"/>
        <v>0.16670319634703196</v>
      </c>
      <c r="N47" s="17">
        <f t="shared" si="68"/>
        <v>0.20003652968036531</v>
      </c>
      <c r="O47" s="17">
        <f t="shared" si="69"/>
        <v>0.10573352358346656</v>
      </c>
      <c r="P47" s="18">
        <f t="shared" si="70"/>
        <v>1.2425426957725358E-4</v>
      </c>
      <c r="Q47" s="18">
        <f t="shared" si="71"/>
        <v>7.0851001077663485</v>
      </c>
      <c r="R47" s="19">
        <f t="shared" si="72"/>
        <v>2.6617851355371172</v>
      </c>
      <c r="S47" s="62">
        <f t="shared" si="73"/>
        <v>2.6617851355371172</v>
      </c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63"/>
      <c r="AI47" s="63"/>
      <c r="AJ47" s="63"/>
      <c r="AK47" s="63"/>
      <c r="AL47" s="4"/>
      <c r="AM47" s="3"/>
      <c r="AN47" s="3"/>
      <c r="AR47" s="63"/>
      <c r="AS47" s="63"/>
      <c r="AT47" s="63"/>
      <c r="AU47" s="63"/>
      <c r="AV47" s="4"/>
      <c r="AW47" s="3"/>
      <c r="AX47" s="8"/>
    </row>
    <row r="48" spans="2:52" x14ac:dyDescent="0.3">
      <c r="B48" s="15">
        <v>23.5</v>
      </c>
      <c r="C48" s="39">
        <f t="shared" si="58"/>
        <v>7.3646928327782704E-2</v>
      </c>
      <c r="D48" s="17">
        <f t="shared" si="59"/>
        <v>0.16666666666666666</v>
      </c>
      <c r="E48" s="17">
        <f t="shared" si="65"/>
        <v>0.12249999999999998</v>
      </c>
      <c r="F48" s="17">
        <f t="shared" si="60"/>
        <v>0.80945000000000022</v>
      </c>
      <c r="G48" s="39">
        <f t="shared" si="61"/>
        <v>0.82358257866359763</v>
      </c>
      <c r="H48" s="17">
        <v>1</v>
      </c>
      <c r="I48" s="18">
        <f t="shared" si="66"/>
        <v>1.0023898375763145E-3</v>
      </c>
      <c r="J48" s="17">
        <f t="shared" si="62"/>
        <v>3.6529680365296805E-5</v>
      </c>
      <c r="K48" s="17">
        <f t="shared" si="63"/>
        <v>0.2</v>
      </c>
      <c r="L48" s="17">
        <f t="shared" si="64"/>
        <v>3.4619258062499103E-2</v>
      </c>
      <c r="M48" s="17">
        <f t="shared" si="67"/>
        <v>0.16670319634703196</v>
      </c>
      <c r="N48" s="17">
        <f t="shared" si="68"/>
        <v>0.20003652968036531</v>
      </c>
      <c r="O48" s="17">
        <f t="shared" si="69"/>
        <v>0.10826618639028181</v>
      </c>
      <c r="P48" s="18">
        <f t="shared" si="70"/>
        <v>1.2498670933292147E-4</v>
      </c>
      <c r="Q48" s="18">
        <f t="shared" si="71"/>
        <v>8.0199714267722158</v>
      </c>
      <c r="R48" s="19">
        <f t="shared" si="72"/>
        <v>2.8319554069180213</v>
      </c>
      <c r="S48" s="62">
        <f t="shared" si="73"/>
        <v>2.8319554069180213</v>
      </c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63"/>
      <c r="AI48" s="63"/>
      <c r="AJ48" s="63"/>
      <c r="AK48" s="63"/>
      <c r="AL48" s="4"/>
      <c r="AM48" s="3"/>
      <c r="AN48" s="3"/>
      <c r="AR48" s="63"/>
      <c r="AS48" s="63"/>
      <c r="AT48" s="63"/>
      <c r="AU48" s="63"/>
      <c r="AV48" s="4"/>
      <c r="AW48" s="3"/>
      <c r="AX48" s="8"/>
    </row>
    <row r="49" spans="2:50" x14ac:dyDescent="0.3">
      <c r="B49" s="15">
        <v>24</v>
      </c>
      <c r="C49" s="39">
        <f t="shared" si="58"/>
        <v>7.6881788384010913E-2</v>
      </c>
      <c r="D49" s="17">
        <f t="shared" si="59"/>
        <v>0.16666666666666666</v>
      </c>
      <c r="E49" s="17">
        <f t="shared" si="65"/>
        <v>0.12249999999999998</v>
      </c>
      <c r="F49" s="17">
        <f t="shared" si="60"/>
        <v>0.8459000000000001</v>
      </c>
      <c r="G49" s="39">
        <f t="shared" si="61"/>
        <v>0.85374428122785206</v>
      </c>
      <c r="H49" s="17">
        <v>1</v>
      </c>
      <c r="I49" s="18">
        <f t="shared" si="66"/>
        <v>1.1335877601146998E-3</v>
      </c>
      <c r="J49" s="17">
        <f t="shared" si="62"/>
        <v>3.6529680365296805E-5</v>
      </c>
      <c r="K49" s="17">
        <f t="shared" si="63"/>
        <v>0.2</v>
      </c>
      <c r="L49" s="17">
        <f t="shared" si="64"/>
        <v>3.3875583999999348E-2</v>
      </c>
      <c r="M49" s="17">
        <f t="shared" si="67"/>
        <v>0.16670319634703196</v>
      </c>
      <c r="N49" s="17">
        <f t="shared" si="68"/>
        <v>0.20003652968036531</v>
      </c>
      <c r="O49" s="17">
        <f t="shared" si="69"/>
        <v>0.11075737238401026</v>
      </c>
      <c r="P49" s="18">
        <f t="shared" si="70"/>
        <v>1.2511594877326026E-4</v>
      </c>
      <c r="Q49" s="18">
        <f t="shared" si="71"/>
        <v>9.0602978375604977</v>
      </c>
      <c r="R49" s="19">
        <f t="shared" si="72"/>
        <v>3.010032863202742</v>
      </c>
      <c r="S49" s="62">
        <f t="shared" si="73"/>
        <v>3.010032863202742</v>
      </c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63"/>
      <c r="AI49" s="63"/>
      <c r="AJ49" s="63"/>
      <c r="AK49" s="63"/>
      <c r="AL49" s="4"/>
      <c r="AM49" s="3"/>
      <c r="AN49" s="3"/>
      <c r="AR49" s="63"/>
      <c r="AS49" s="63"/>
      <c r="AT49" s="63"/>
      <c r="AU49" s="63"/>
      <c r="AV49" s="4"/>
      <c r="AW49" s="3"/>
      <c r="AX49" s="8"/>
    </row>
    <row r="50" spans="2:50" x14ac:dyDescent="0.3">
      <c r="B50" s="15">
        <v>24.5</v>
      </c>
      <c r="C50" s="39">
        <f t="shared" si="58"/>
        <v>8.0194123698298522E-2</v>
      </c>
      <c r="D50" s="17">
        <f t="shared" si="59"/>
        <v>0.16666666666666666</v>
      </c>
      <c r="E50" s="17">
        <f t="shared" si="65"/>
        <v>0.12249999999999998</v>
      </c>
      <c r="F50" s="17">
        <f t="shared" si="60"/>
        <v>0.88235000000000019</v>
      </c>
      <c r="G50" s="39">
        <f t="shared" si="61"/>
        <v>0.8814715721075258</v>
      </c>
      <c r="H50" s="17">
        <v>1</v>
      </c>
      <c r="I50" s="18">
        <f t="shared" si="66"/>
        <v>1.2734344221956586E-3</v>
      </c>
      <c r="J50" s="17">
        <f t="shared" si="62"/>
        <v>3.6529680365296805E-5</v>
      </c>
      <c r="K50" s="17">
        <f t="shared" si="63"/>
        <v>0.2</v>
      </c>
      <c r="L50" s="17">
        <f t="shared" si="64"/>
        <v>3.3025538062500193E-2</v>
      </c>
      <c r="M50" s="17">
        <f t="shared" si="67"/>
        <v>0.16670319634703196</v>
      </c>
      <c r="N50" s="17">
        <f t="shared" si="68"/>
        <v>0.20003652968036531</v>
      </c>
      <c r="O50" s="17">
        <f t="shared" si="69"/>
        <v>0.11321966176079871</v>
      </c>
      <c r="P50" s="18">
        <f t="shared" si="70"/>
        <v>1.2468809613904518E-4</v>
      </c>
      <c r="Q50" s="18">
        <f t="shared" si="71"/>
        <v>10.212959068487146</v>
      </c>
      <c r="R50" s="19">
        <f t="shared" si="72"/>
        <v>3.1957720614097536</v>
      </c>
      <c r="S50" s="62">
        <f t="shared" si="73"/>
        <v>3.1957720614097536</v>
      </c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63"/>
      <c r="AI50" s="63"/>
      <c r="AJ50" s="63"/>
      <c r="AK50" s="63"/>
      <c r="AL50" s="4"/>
      <c r="AM50" s="3"/>
      <c r="AN50" s="3"/>
      <c r="AR50" s="63"/>
      <c r="AS50" s="63"/>
      <c r="AT50" s="63"/>
      <c r="AU50" s="63"/>
      <c r="AV50" s="4"/>
      <c r="AW50" s="3"/>
      <c r="AX50" s="8"/>
    </row>
    <row r="51" spans="2:50" x14ac:dyDescent="0.3">
      <c r="B51" s="15">
        <v>25</v>
      </c>
      <c r="C51" s="39">
        <f t="shared" si="58"/>
        <v>8.3580268038064343E-2</v>
      </c>
      <c r="D51" s="17">
        <f t="shared" si="59"/>
        <v>0.16666666666666666</v>
      </c>
      <c r="E51" s="17">
        <f t="shared" si="65"/>
        <v>0.12249999999999998</v>
      </c>
      <c r="F51" s="17">
        <f t="shared" si="60"/>
        <v>0.91880000000000028</v>
      </c>
      <c r="G51" s="39">
        <f t="shared" si="61"/>
        <v>0.9064027916018722</v>
      </c>
      <c r="H51" s="17">
        <v>1</v>
      </c>
      <c r="I51" s="18">
        <f t="shared" si="66"/>
        <v>1.4211202203730914E-3</v>
      </c>
      <c r="J51" s="17">
        <f t="shared" si="62"/>
        <v>3.6529680365296805E-5</v>
      </c>
      <c r="K51" s="17">
        <f t="shared" si="63"/>
        <v>0.2</v>
      </c>
      <c r="L51" s="17">
        <f t="shared" si="64"/>
        <v>3.2090624999999262E-2</v>
      </c>
      <c r="M51" s="17">
        <f t="shared" si="67"/>
        <v>0.16670319634703196</v>
      </c>
      <c r="N51" s="17">
        <f t="shared" si="68"/>
        <v>0.20003652968036531</v>
      </c>
      <c r="O51" s="17">
        <f t="shared" si="69"/>
        <v>0.1156708930380636</v>
      </c>
      <c r="P51" s="18">
        <f t="shared" si="70"/>
        <v>1.237814320272903E-4</v>
      </c>
      <c r="Q51" s="18">
        <f t="shared" si="71"/>
        <v>11.480883659996556</v>
      </c>
      <c r="R51" s="19">
        <f t="shared" si="72"/>
        <v>3.3883452687110496</v>
      </c>
      <c r="S51" s="62">
        <f t="shared" si="73"/>
        <v>3.3883452687110496</v>
      </c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63"/>
      <c r="AI51" s="63"/>
      <c r="AJ51" s="63"/>
      <c r="AK51" s="63"/>
      <c r="AL51" s="4"/>
      <c r="AM51" s="3"/>
      <c r="AN51" s="3"/>
      <c r="AR51" s="63"/>
      <c r="AS51" s="63"/>
      <c r="AT51" s="63"/>
      <c r="AU51" s="63"/>
      <c r="AV51" s="4"/>
      <c r="AW51" s="3"/>
      <c r="AX51" s="8"/>
    </row>
    <row r="52" spans="2:50" x14ac:dyDescent="0.3">
      <c r="B52" s="15">
        <v>25.5</v>
      </c>
      <c r="C52" s="39">
        <f t="shared" si="58"/>
        <v>8.7036105099730976E-2</v>
      </c>
      <c r="D52" s="17">
        <f t="shared" si="59"/>
        <v>0.16666666666666666</v>
      </c>
      <c r="E52" s="17">
        <f t="shared" si="65"/>
        <v>0.12249999999999998</v>
      </c>
      <c r="F52" s="17">
        <f t="shared" si="60"/>
        <v>0.95525000000000015</v>
      </c>
      <c r="G52" s="39">
        <f t="shared" si="61"/>
        <v>0.9281342481942394</v>
      </c>
      <c r="H52" s="17">
        <v>1</v>
      </c>
      <c r="I52" s="18">
        <f t="shared" si="66"/>
        <v>1.5754772309750007E-3</v>
      </c>
      <c r="J52" s="17">
        <f t="shared" si="62"/>
        <v>3.6529680365296805E-5</v>
      </c>
      <c r="K52" s="17">
        <f t="shared" si="63"/>
        <v>0.2</v>
      </c>
      <c r="L52" s="17">
        <f t="shared" si="64"/>
        <v>3.1098063062500847E-2</v>
      </c>
      <c r="M52" s="17">
        <f t="shared" si="67"/>
        <v>0.16670319634703196</v>
      </c>
      <c r="N52" s="17">
        <f t="shared" si="68"/>
        <v>0.20003652968036531</v>
      </c>
      <c r="O52" s="17">
        <f t="shared" si="69"/>
        <v>0.11813416816223182</v>
      </c>
      <c r="P52" s="18">
        <f t="shared" si="70"/>
        <v>1.2250733886577696E-4</v>
      </c>
      <c r="Q52" s="18">
        <f t="shared" si="71"/>
        <v>12.860268173004272</v>
      </c>
      <c r="R52" s="19">
        <f t="shared" si="72"/>
        <v>3.5861216059978043</v>
      </c>
      <c r="S52" s="62">
        <f t="shared" si="73"/>
        <v>3.5861216059978043</v>
      </c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63"/>
      <c r="AI52" s="63"/>
      <c r="AJ52" s="63"/>
      <c r="AK52" s="63"/>
      <c r="AL52" s="4"/>
      <c r="AM52" s="3"/>
      <c r="AN52" s="3"/>
      <c r="AR52" s="63"/>
      <c r="AS52" s="63"/>
      <c r="AT52" s="63"/>
      <c r="AU52" s="63"/>
      <c r="AV52" s="4"/>
      <c r="AW52" s="3"/>
      <c r="AX52" s="8"/>
    </row>
    <row r="53" spans="2:50" x14ac:dyDescent="0.3">
      <c r="B53" s="15">
        <v>26</v>
      </c>
      <c r="C53" s="39">
        <f t="shared" si="58"/>
        <v>9.0557078893263268E-2</v>
      </c>
      <c r="D53" s="17">
        <f t="shared" si="59"/>
        <v>0.16666666666666666</v>
      </c>
      <c r="E53" s="17">
        <f t="shared" si="65"/>
        <v>0.12249999999999998</v>
      </c>
      <c r="F53" s="17">
        <f t="shared" si="60"/>
        <v>0.99170000000000025</v>
      </c>
      <c r="G53" s="39">
        <f t="shared" si="61"/>
        <v>0.9462107161873442</v>
      </c>
      <c r="H53" s="17">
        <v>1</v>
      </c>
      <c r="I53" s="18">
        <f t="shared" si="66"/>
        <v>1.7349038821583493E-3</v>
      </c>
      <c r="J53" s="17">
        <f t="shared" si="62"/>
        <v>3.6529680365296805E-5</v>
      </c>
      <c r="K53" s="17">
        <f t="shared" si="63"/>
        <v>0.2</v>
      </c>
      <c r="L53" s="17">
        <f t="shared" si="64"/>
        <v>3.0080783999999916E-2</v>
      </c>
      <c r="M53" s="17">
        <f t="shared" si="67"/>
        <v>0.16670319634703196</v>
      </c>
      <c r="N53" s="17">
        <f t="shared" si="68"/>
        <v>0.20003652968036531</v>
      </c>
      <c r="O53" s="17">
        <f t="shared" si="69"/>
        <v>0.12063786289326318</v>
      </c>
      <c r="P53" s="18">
        <f t="shared" si="70"/>
        <v>1.2101132739598571E-4</v>
      </c>
      <c r="Q53" s="18">
        <f t="shared" si="71"/>
        <v>14.336706484354298</v>
      </c>
      <c r="R53" s="19">
        <f t="shared" si="72"/>
        <v>3.7863843550746799</v>
      </c>
      <c r="S53" s="62">
        <f t="shared" si="73"/>
        <v>3.7863843550746799</v>
      </c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63"/>
      <c r="AI53" s="63"/>
      <c r="AJ53" s="63"/>
      <c r="AK53" s="63"/>
      <c r="AL53" s="4"/>
      <c r="AM53" s="3"/>
      <c r="AN53" s="3"/>
      <c r="AR53" s="63"/>
      <c r="AS53" s="63"/>
      <c r="AT53" s="63"/>
      <c r="AU53" s="63"/>
      <c r="AV53" s="4"/>
      <c r="AW53" s="3"/>
      <c r="AX53" s="8"/>
    </row>
    <row r="54" spans="2:50" x14ac:dyDescent="0.3">
      <c r="B54" s="15">
        <v>26.5</v>
      </c>
      <c r="C54" s="39">
        <f t="shared" si="58"/>
        <v>9.4138209564341407E-2</v>
      </c>
      <c r="D54" s="17">
        <f t="shared" si="59"/>
        <v>0.16666666666666666</v>
      </c>
      <c r="E54" s="17">
        <f t="shared" si="65"/>
        <v>0.12249999999999998</v>
      </c>
      <c r="F54" s="17">
        <f t="shared" si="60"/>
        <v>1</v>
      </c>
      <c r="G54" s="39">
        <f t="shared" si="61"/>
        <v>0.9601127667963465</v>
      </c>
      <c r="H54" s="17">
        <v>1</v>
      </c>
      <c r="I54" s="18">
        <f t="shared" si="66"/>
        <v>1.8453256439406797E-3</v>
      </c>
      <c r="J54" s="17">
        <f t="shared" si="62"/>
        <v>3.6529680365296805E-5</v>
      </c>
      <c r="K54" s="17">
        <f t="shared" si="63"/>
        <v>0.2</v>
      </c>
      <c r="L54" s="17">
        <f t="shared" si="64"/>
        <v>2.9077433062501212E-2</v>
      </c>
      <c r="M54" s="17">
        <f t="shared" si="67"/>
        <v>0.16670319634703196</v>
      </c>
      <c r="N54" s="17">
        <f t="shared" si="68"/>
        <v>0.20003652968036531</v>
      </c>
      <c r="O54" s="17">
        <f t="shared" si="69"/>
        <v>0.12321564262684262</v>
      </c>
      <c r="P54" s="18">
        <f t="shared" si="70"/>
        <v>1.1947448019735934E-4</v>
      </c>
      <c r="Q54" s="18">
        <f t="shared" si="71"/>
        <v>15.445354027842557</v>
      </c>
      <c r="R54" s="19">
        <f t="shared" si="72"/>
        <v>3.9300577639320466</v>
      </c>
      <c r="S54" s="62">
        <f t="shared" si="73"/>
        <v>3.9300577639320466</v>
      </c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63"/>
      <c r="AI54" s="63"/>
      <c r="AJ54" s="63"/>
      <c r="AK54" s="63"/>
      <c r="AL54" s="4"/>
      <c r="AM54" s="3"/>
      <c r="AN54" s="3"/>
      <c r="AR54" s="63"/>
      <c r="AS54" s="63"/>
      <c r="AT54" s="63"/>
      <c r="AU54" s="63"/>
      <c r="AV54" s="4"/>
      <c r="AW54" s="3"/>
      <c r="AX54" s="8"/>
    </row>
    <row r="55" spans="2:50" x14ac:dyDescent="0.3">
      <c r="B55" s="15">
        <v>27</v>
      </c>
      <c r="C55" s="39">
        <f t="shared" si="58"/>
        <v>9.777411471143635E-2</v>
      </c>
      <c r="D55" s="17">
        <f t="shared" si="59"/>
        <v>0.16666666666666666</v>
      </c>
      <c r="E55" s="17">
        <f t="shared" si="65"/>
        <v>0.12249999999999998</v>
      </c>
      <c r="F55" s="17">
        <f t="shared" si="60"/>
        <v>1</v>
      </c>
      <c r="G55" s="39">
        <f t="shared" si="61"/>
        <v>0.96923949533397213</v>
      </c>
      <c r="H55" s="17">
        <v>1</v>
      </c>
      <c r="I55" s="18">
        <f t="shared" si="66"/>
        <v>1.9348167276592851E-3</v>
      </c>
      <c r="J55" s="17">
        <f t="shared" si="62"/>
        <v>3.6529680365296805E-5</v>
      </c>
      <c r="K55" s="17">
        <f t="shared" si="63"/>
        <v>0.2</v>
      </c>
      <c r="L55" s="17">
        <f t="shared" si="64"/>
        <v>2.8132368999999713E-2</v>
      </c>
      <c r="M55" s="17">
        <f t="shared" si="67"/>
        <v>0.16670319634703196</v>
      </c>
      <c r="N55" s="17">
        <f t="shared" si="68"/>
        <v>0.20003652968036531</v>
      </c>
      <c r="O55" s="17">
        <f t="shared" si="69"/>
        <v>0.12590648371143606</v>
      </c>
      <c r="P55" s="18">
        <f t="shared" si="70"/>
        <v>1.1811570298722787E-4</v>
      </c>
      <c r="Q55" s="18">
        <f t="shared" si="71"/>
        <v>16.380690109159332</v>
      </c>
      <c r="R55" s="19">
        <f t="shared" si="72"/>
        <v>4.0473065252287643</v>
      </c>
      <c r="S55" s="62">
        <f t="shared" si="73"/>
        <v>4.0473065252287643</v>
      </c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63"/>
      <c r="AI55" s="63"/>
      <c r="AJ55" s="63"/>
      <c r="AK55" s="63"/>
      <c r="AL55" s="4"/>
      <c r="AM55" s="3"/>
      <c r="AN55" s="3"/>
      <c r="AR55" s="63"/>
      <c r="AS55" s="63"/>
      <c r="AT55" s="63"/>
      <c r="AU55" s="63"/>
      <c r="AV55" s="4"/>
      <c r="AW55" s="3"/>
      <c r="AX55" s="8"/>
    </row>
    <row r="56" spans="2:50" x14ac:dyDescent="0.3">
      <c r="B56" s="15">
        <v>27.5</v>
      </c>
      <c r="C56" s="39">
        <f t="shared" si="58"/>
        <v>0.10145903614240458</v>
      </c>
      <c r="D56" s="17">
        <f t="shared" si="59"/>
        <v>0.16666666666666666</v>
      </c>
      <c r="E56" s="17">
        <f t="shared" si="65"/>
        <v>0.12249999999999998</v>
      </c>
      <c r="F56" s="17">
        <f t="shared" si="60"/>
        <v>1</v>
      </c>
      <c r="G56" s="39">
        <f t="shared" si="61"/>
        <v>0.97288435140504215</v>
      </c>
      <c r="H56" s="17">
        <v>1</v>
      </c>
      <c r="I56" s="18">
        <f t="shared" si="66"/>
        <v>2.0152864666698397E-3</v>
      </c>
      <c r="J56" s="17">
        <f t="shared" si="62"/>
        <v>3.6529680365296805E-5</v>
      </c>
      <c r="K56" s="17">
        <f t="shared" si="63"/>
        <v>0.2</v>
      </c>
      <c r="L56" s="17">
        <f t="shared" si="64"/>
        <v>2.7295664062500169E-2</v>
      </c>
      <c r="M56" s="17">
        <f t="shared" si="67"/>
        <v>0.16670319634703196</v>
      </c>
      <c r="N56" s="17">
        <f t="shared" si="68"/>
        <v>0.20003652968036531</v>
      </c>
      <c r="O56" s="17">
        <f t="shared" si="69"/>
        <v>0.12875470020490476</v>
      </c>
      <c r="P56" s="18">
        <f t="shared" si="70"/>
        <v>1.1719524603493752E-4</v>
      </c>
      <c r="Q56" s="18">
        <f t="shared" si="71"/>
        <v>17.195974536962488</v>
      </c>
      <c r="R56" s="19">
        <f t="shared" si="72"/>
        <v>4.1468029296028153</v>
      </c>
      <c r="S56" s="62">
        <f t="shared" si="73"/>
        <v>4.1468029296028153</v>
      </c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63"/>
      <c r="AI56" s="63"/>
      <c r="AJ56" s="63"/>
      <c r="AK56" s="63"/>
      <c r="AL56" s="4"/>
      <c r="AM56" s="3"/>
      <c r="AN56" s="3"/>
      <c r="AR56" s="63"/>
      <c r="AS56" s="63"/>
      <c r="AT56" s="63"/>
      <c r="AU56" s="63"/>
      <c r="AV56" s="4"/>
      <c r="AW56" s="3"/>
      <c r="AX56" s="8"/>
    </row>
    <row r="57" spans="2:50" s="69" customFormat="1" x14ac:dyDescent="0.3">
      <c r="B57" s="64">
        <v>28</v>
      </c>
      <c r="C57" s="65">
        <f t="shared" si="58"/>
        <v>0.10518687189661657</v>
      </c>
      <c r="D57" s="23">
        <f t="shared" si="59"/>
        <v>0.16666666666666666</v>
      </c>
      <c r="E57" s="23">
        <f t="shared" si="65"/>
        <v>0.12249999999999998</v>
      </c>
      <c r="F57" s="23">
        <f t="shared" si="60"/>
        <v>1</v>
      </c>
      <c r="G57" s="65">
        <f t="shared" si="61"/>
        <v>0.97020026840705875</v>
      </c>
      <c r="H57" s="23">
        <v>1</v>
      </c>
      <c r="I57" s="24">
        <f t="shared" si="66"/>
        <v>2.0835684316678408E-3</v>
      </c>
      <c r="J57" s="23">
        <f t="shared" si="62"/>
        <v>3.6529680365296805E-5</v>
      </c>
      <c r="K57" s="23">
        <f t="shared" si="63"/>
        <v>0.2</v>
      </c>
      <c r="L57" s="23">
        <f t="shared" si="64"/>
        <v>2.6623104000001341E-2</v>
      </c>
      <c r="M57" s="23">
        <f t="shared" si="67"/>
        <v>0.16670319634703196</v>
      </c>
      <c r="N57" s="23">
        <f t="shared" si="68"/>
        <v>0.20003652968036531</v>
      </c>
      <c r="O57" s="23">
        <f t="shared" si="69"/>
        <v>0.13180997589661791</v>
      </c>
      <c r="P57" s="24">
        <f t="shared" si="70"/>
        <v>1.1702003075914786E-4</v>
      </c>
      <c r="Q57" s="24">
        <f t="shared" si="71"/>
        <v>17.805228883901666</v>
      </c>
      <c r="R57" s="25">
        <f t="shared" si="72"/>
        <v>4.2196242586161228</v>
      </c>
      <c r="S57" s="66">
        <f t="shared" si="73"/>
        <v>4.2196242586161228</v>
      </c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67"/>
      <c r="AI57" s="67"/>
      <c r="AJ57" s="67"/>
      <c r="AK57" s="67"/>
      <c r="AL57" s="68"/>
      <c r="AM57" s="26"/>
      <c r="AN57" s="26"/>
      <c r="AR57" s="67"/>
      <c r="AS57" s="67"/>
      <c r="AT57" s="67"/>
      <c r="AU57" s="67"/>
      <c r="AV57" s="68"/>
      <c r="AW57" s="26"/>
      <c r="AX57" s="27"/>
    </row>
    <row r="58" spans="2:50" x14ac:dyDescent="0.3">
      <c r="B58" s="15">
        <v>28.5</v>
      </c>
      <c r="C58" s="39">
        <f t="shared" si="58"/>
        <v>0.10895121323773163</v>
      </c>
      <c r="D58" s="17">
        <f t="shared" si="59"/>
        <v>0.16666666666666666</v>
      </c>
      <c r="E58" s="17">
        <f t="shared" si="65"/>
        <v>0.12249999999999998</v>
      </c>
      <c r="F58" s="17">
        <f t="shared" si="60"/>
        <v>1</v>
      </c>
      <c r="G58" s="39">
        <f t="shared" si="61"/>
        <v>0.96014748476011036</v>
      </c>
      <c r="H58" s="17">
        <v>1</v>
      </c>
      <c r="I58" s="18">
        <f t="shared" si="66"/>
        <v>2.1357718475986465E-3</v>
      </c>
      <c r="J58" s="17">
        <f t="shared" si="62"/>
        <v>3.6529680365296805E-5</v>
      </c>
      <c r="K58" s="17">
        <f t="shared" si="63"/>
        <v>0.2</v>
      </c>
      <c r="L58" s="17">
        <f t="shared" si="64"/>
        <v>2.6176188062500216E-2</v>
      </c>
      <c r="M58" s="17">
        <f t="shared" si="67"/>
        <v>0.16670319634703196</v>
      </c>
      <c r="N58" s="17">
        <f t="shared" si="68"/>
        <v>0.20003652968036531</v>
      </c>
      <c r="O58" s="17">
        <f t="shared" si="69"/>
        <v>0.13512740130023185</v>
      </c>
      <c r="P58" s="18">
        <f t="shared" si="70"/>
        <v>1.1795139063442801E-4</v>
      </c>
      <c r="Q58" s="18">
        <f t="shared" si="71"/>
        <v>18.10722057714554</v>
      </c>
      <c r="R58" s="19">
        <f t="shared" si="72"/>
        <v>4.2552579918432141</v>
      </c>
      <c r="S58" s="62">
        <f t="shared" si="73"/>
        <v>4.2552579918432141</v>
      </c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63"/>
      <c r="AI58" s="63"/>
      <c r="AJ58" s="63"/>
      <c r="AK58" s="63"/>
      <c r="AL58" s="4"/>
      <c r="AM58" s="3"/>
      <c r="AN58" s="3"/>
      <c r="AR58" s="63"/>
      <c r="AS58" s="63"/>
      <c r="AT58" s="63"/>
      <c r="AU58" s="63"/>
      <c r="AV58" s="4"/>
      <c r="AW58" s="3"/>
      <c r="AX58" s="8"/>
    </row>
    <row r="59" spans="2:50" x14ac:dyDescent="0.3">
      <c r="B59" s="15">
        <v>29</v>
      </c>
      <c r="C59" s="39">
        <f t="shared" si="58"/>
        <v>0.11274538620303272</v>
      </c>
      <c r="D59" s="17">
        <f t="shared" si="59"/>
        <v>0.16666666666666666</v>
      </c>
      <c r="E59" s="17">
        <f t="shared" si="65"/>
        <v>0.12249999999999998</v>
      </c>
      <c r="F59" s="17">
        <f t="shared" si="60"/>
        <v>1</v>
      </c>
      <c r="G59" s="39">
        <f t="shared" si="61"/>
        <v>0.94141192232821747</v>
      </c>
      <c r="H59" s="17">
        <v>1</v>
      </c>
      <c r="I59" s="18">
        <f t="shared" si="66"/>
        <v>2.1670219529969503E-3</v>
      </c>
      <c r="J59" s="17">
        <f t="shared" si="62"/>
        <v>3.6529680365296805E-5</v>
      </c>
      <c r="K59" s="17">
        <f t="shared" si="63"/>
        <v>0.2</v>
      </c>
      <c r="L59" s="17">
        <f t="shared" si="64"/>
        <v>2.6022128999999339E-2</v>
      </c>
      <c r="M59" s="17">
        <f t="shared" si="67"/>
        <v>0.16670319634703196</v>
      </c>
      <c r="N59" s="17">
        <f t="shared" si="68"/>
        <v>0.20003652968036531</v>
      </c>
      <c r="O59" s="17">
        <f t="shared" si="69"/>
        <v>0.13876751520303204</v>
      </c>
      <c r="P59" s="18">
        <f t="shared" si="70"/>
        <v>1.2041591107118099E-4</v>
      </c>
      <c r="Q59" s="18">
        <f t="shared" si="71"/>
        <v>17.996142982433337</v>
      </c>
      <c r="R59" s="19">
        <f t="shared" si="72"/>
        <v>4.2421861088869424</v>
      </c>
      <c r="S59" s="62">
        <f t="shared" si="73"/>
        <v>4.2421861088869424</v>
      </c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63"/>
      <c r="AI59" s="63"/>
      <c r="AJ59" s="63"/>
      <c r="AK59" s="63"/>
      <c r="AL59" s="4"/>
      <c r="AM59" s="3"/>
      <c r="AN59" s="3"/>
      <c r="AR59" s="63"/>
      <c r="AS59" s="63"/>
      <c r="AT59" s="63"/>
      <c r="AU59" s="63"/>
      <c r="AV59" s="4"/>
      <c r="AW59" s="3"/>
      <c r="AX59" s="8"/>
    </row>
    <row r="60" spans="2:50" x14ac:dyDescent="0.3">
      <c r="B60" s="15">
        <v>29.5</v>
      </c>
      <c r="C60" s="39">
        <f t="shared" si="58"/>
        <v>0.11656249718194225</v>
      </c>
      <c r="D60" s="17">
        <f t="shared" si="59"/>
        <v>0.16666666666666666</v>
      </c>
      <c r="E60" s="17">
        <f t="shared" si="65"/>
        <v>0.12249999999999998</v>
      </c>
      <c r="F60" s="17">
        <f t="shared" si="60"/>
        <v>1</v>
      </c>
      <c r="G60" s="39">
        <f t="shared" si="61"/>
        <v>0.91227025972536135</v>
      </c>
      <c r="H60" s="17">
        <v>1</v>
      </c>
      <c r="I60" s="18">
        <f t="shared" si="66"/>
        <v>2.1710368663924789E-3</v>
      </c>
      <c r="J60" s="17">
        <f t="shared" si="62"/>
        <v>3.6529680365296805E-5</v>
      </c>
      <c r="K60" s="17">
        <f t="shared" si="63"/>
        <v>0.2</v>
      </c>
      <c r="L60" s="17">
        <f t="shared" si="64"/>
        <v>2.6233853062501034E-2</v>
      </c>
      <c r="M60" s="17">
        <f t="shared" si="67"/>
        <v>0.16670319634703196</v>
      </c>
      <c r="N60" s="17">
        <f t="shared" si="68"/>
        <v>0.20003652968036531</v>
      </c>
      <c r="O60" s="17">
        <f t="shared" si="69"/>
        <v>0.14279635024444329</v>
      </c>
      <c r="P60" s="18">
        <f t="shared" si="70"/>
        <v>1.2492013005723336E-4</v>
      </c>
      <c r="Q60" s="18">
        <f t="shared" si="71"/>
        <v>17.37939966439194</v>
      </c>
      <c r="R60" s="19">
        <f t="shared" si="72"/>
        <v>4.1688607153983854</v>
      </c>
      <c r="S60" s="62">
        <f t="shared" si="73"/>
        <v>4.1688607153983854</v>
      </c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63"/>
      <c r="AI60" s="63"/>
      <c r="AJ60" s="63"/>
      <c r="AK60" s="63"/>
      <c r="AL60" s="4"/>
      <c r="AM60" s="3"/>
      <c r="AN60" s="3"/>
      <c r="AR60" s="63"/>
      <c r="AS60" s="63"/>
      <c r="AT60" s="63"/>
      <c r="AU60" s="63"/>
      <c r="AV60" s="4"/>
      <c r="AW60" s="3"/>
      <c r="AX60" s="8"/>
    </row>
    <row r="61" spans="2:50" x14ac:dyDescent="0.3">
      <c r="B61" s="15">
        <v>30</v>
      </c>
      <c r="C61" s="39">
        <f t="shared" si="58"/>
        <v>0.12039548189313527</v>
      </c>
      <c r="D61" s="17">
        <f t="shared" si="59"/>
        <v>0.16666666666666666</v>
      </c>
      <c r="E61" s="17">
        <f t="shared" si="65"/>
        <v>0.12249999999999998</v>
      </c>
      <c r="F61" s="17">
        <f t="shared" si="60"/>
        <v>1</v>
      </c>
      <c r="G61" s="39">
        <f t="shared" si="61"/>
        <v>0.87035053493096881</v>
      </c>
      <c r="H61" s="17">
        <v>1</v>
      </c>
      <c r="I61" s="18">
        <f t="shared" si="66"/>
        <v>2.1393863880746415E-3</v>
      </c>
      <c r="J61" s="17">
        <f t="shared" si="62"/>
        <v>3.6529680365296805E-5</v>
      </c>
      <c r="K61" s="17">
        <f t="shared" si="63"/>
        <v>0.2</v>
      </c>
      <c r="L61" s="17">
        <f t="shared" si="64"/>
        <v>2.6890000000000747E-2</v>
      </c>
      <c r="M61" s="17">
        <f t="shared" si="67"/>
        <v>0.16670319634703196</v>
      </c>
      <c r="N61" s="17">
        <f t="shared" si="68"/>
        <v>0.20003652968036531</v>
      </c>
      <c r="O61" s="17">
        <f t="shared" si="69"/>
        <v>0.14728548189313601</v>
      </c>
      <c r="P61" s="18">
        <f t="shared" si="70"/>
        <v>1.3206994010336298E-4</v>
      </c>
      <c r="Q61" s="18">
        <f t="shared" si="71"/>
        <v>16.198889667098175</v>
      </c>
      <c r="R61" s="19">
        <f t="shared" si="72"/>
        <v>4.02478442492243</v>
      </c>
      <c r="S61" s="62">
        <f t="shared" si="73"/>
        <v>4.02478442492243</v>
      </c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63"/>
      <c r="AI61" s="63"/>
      <c r="AJ61" s="63"/>
      <c r="AK61" s="63"/>
      <c r="AL61" s="4"/>
      <c r="AM61" s="3"/>
      <c r="AN61" s="3"/>
      <c r="AR61" s="63"/>
      <c r="AS61" s="63"/>
      <c r="AT61" s="63"/>
      <c r="AU61" s="63"/>
      <c r="AV61" s="4"/>
      <c r="AW61" s="3"/>
      <c r="AX61" s="8"/>
    </row>
    <row r="62" spans="2:50" x14ac:dyDescent="0.3">
      <c r="B62" s="15">
        <v>30.5</v>
      </c>
      <c r="C62" s="39">
        <f t="shared" si="58"/>
        <v>0.1242371570405137</v>
      </c>
      <c r="D62" s="17">
        <f t="shared" si="59"/>
        <v>0.16666666666666666</v>
      </c>
      <c r="E62" s="17">
        <f t="shared" si="65"/>
        <v>0.12249999999999998</v>
      </c>
      <c r="F62" s="17">
        <f t="shared" si="60"/>
        <v>1</v>
      </c>
      <c r="G62" s="39">
        <f t="shared" si="61"/>
        <v>0.81216536899681258</v>
      </c>
      <c r="H62" s="17">
        <v>1</v>
      </c>
      <c r="I62" s="18">
        <f t="shared" si="66"/>
        <v>2.0600644616896933E-3</v>
      </c>
      <c r="J62" s="17">
        <f t="shared" si="62"/>
        <v>3.6529680365296805E-5</v>
      </c>
      <c r="K62" s="17">
        <f t="shared" si="63"/>
        <v>0.2</v>
      </c>
      <c r="L62" s="17">
        <f t="shared" si="64"/>
        <v>2.8074923062502144E-2</v>
      </c>
      <c r="M62" s="17">
        <f t="shared" si="67"/>
        <v>0.16670319634703196</v>
      </c>
      <c r="N62" s="17">
        <f t="shared" si="68"/>
        <v>0.20003652968036531</v>
      </c>
      <c r="O62" s="17">
        <f t="shared" si="69"/>
        <v>0.15231208010301583</v>
      </c>
      <c r="P62" s="18">
        <f t="shared" si="70"/>
        <v>1.4259561239528596E-4</v>
      </c>
      <c r="Q62" s="18">
        <f t="shared" si="71"/>
        <v>14.446899361665048</v>
      </c>
      <c r="R62" s="19">
        <f t="shared" si="72"/>
        <v>3.8009077023344107</v>
      </c>
      <c r="S62" s="62">
        <f t="shared" si="73"/>
        <v>3.8009077023344107</v>
      </c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63"/>
      <c r="AI62" s="63"/>
      <c r="AJ62" s="63"/>
      <c r="AK62" s="63"/>
      <c r="AL62" s="4"/>
      <c r="AM62" s="3"/>
      <c r="AN62" s="3"/>
      <c r="AR62" s="63"/>
      <c r="AS62" s="63"/>
      <c r="AT62" s="63"/>
      <c r="AU62" s="63"/>
      <c r="AV62" s="4"/>
      <c r="AW62" s="3"/>
      <c r="AX62" s="8"/>
    </row>
    <row r="63" spans="2:50" s="69" customFormat="1" x14ac:dyDescent="0.3">
      <c r="B63" s="64">
        <v>31</v>
      </c>
      <c r="C63" s="65">
        <f t="shared" si="58"/>
        <v>0.1280802738567281</v>
      </c>
      <c r="D63" s="23">
        <f t="shared" si="59"/>
        <v>0.16666666666666666</v>
      </c>
      <c r="E63" s="23">
        <f t="shared" si="65"/>
        <v>0.12249999999999998</v>
      </c>
      <c r="F63" s="23">
        <f t="shared" si="60"/>
        <v>1</v>
      </c>
      <c r="G63" s="65">
        <f t="shared" si="61"/>
        <v>0.73207221772090836</v>
      </c>
      <c r="H63" s="23">
        <v>1</v>
      </c>
      <c r="I63" s="24">
        <f t="shared" si="66"/>
        <v>1.9143485401255057E-3</v>
      </c>
      <c r="J63" s="23">
        <f t="shared" si="62"/>
        <v>3.6529680365296805E-5</v>
      </c>
      <c r="K63" s="23">
        <f t="shared" si="63"/>
        <v>0.2</v>
      </c>
      <c r="L63" s="23">
        <f t="shared" si="64"/>
        <v>2.987868900000068E-2</v>
      </c>
      <c r="M63" s="23">
        <f t="shared" si="67"/>
        <v>0.16670319634703196</v>
      </c>
      <c r="N63" s="23">
        <f t="shared" si="68"/>
        <v>0.20003652968036531</v>
      </c>
      <c r="O63" s="23">
        <f t="shared" si="69"/>
        <v>0.15795896285672878</v>
      </c>
      <c r="P63" s="24">
        <f t="shared" si="70"/>
        <v>1.5738344592910935E-4</v>
      </c>
      <c r="Q63" s="24">
        <f t="shared" si="71"/>
        <v>12.163595280457837</v>
      </c>
      <c r="R63" s="25">
        <f t="shared" si="72"/>
        <v>3.4876346254242052</v>
      </c>
      <c r="S63" s="66">
        <f t="shared" si="73"/>
        <v>3.4876346254242052</v>
      </c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67"/>
      <c r="AI63" s="67"/>
      <c r="AJ63" s="67"/>
      <c r="AK63" s="67"/>
      <c r="AL63" s="68"/>
      <c r="AM63" s="26"/>
      <c r="AN63" s="26"/>
      <c r="AR63" s="67"/>
      <c r="AS63" s="67"/>
      <c r="AT63" s="67"/>
      <c r="AU63" s="67"/>
      <c r="AV63" s="68"/>
      <c r="AW63" s="26"/>
      <c r="AX63" s="27"/>
    </row>
    <row r="64" spans="2:50" x14ac:dyDescent="0.3">
      <c r="B64" s="15">
        <v>31.5</v>
      </c>
      <c r="C64" s="39">
        <f t="shared" si="58"/>
        <v>0.13191757269183113</v>
      </c>
      <c r="D64" s="17">
        <f t="shared" si="59"/>
        <v>0.16666666666666666</v>
      </c>
      <c r="E64" s="17">
        <f t="shared" si="65"/>
        <v>0.12249999999999998</v>
      </c>
      <c r="F64" s="17">
        <f t="shared" si="60"/>
        <v>1</v>
      </c>
      <c r="G64" s="39">
        <f t="shared" si="61"/>
        <v>0.61942757180142738</v>
      </c>
      <c r="H64" s="17">
        <v>1</v>
      </c>
      <c r="I64" s="18">
        <f t="shared" si="66"/>
        <v>1.6683148769964676E-3</v>
      </c>
      <c r="J64" s="17">
        <f t="shared" si="62"/>
        <v>3.6529680365296805E-5</v>
      </c>
      <c r="K64" s="17">
        <f t="shared" si="63"/>
        <v>0.2</v>
      </c>
      <c r="L64" s="17">
        <f t="shared" si="64"/>
        <v>3.2397078062501361E-2</v>
      </c>
      <c r="M64" s="17">
        <f t="shared" si="67"/>
        <v>0.16670319634703196</v>
      </c>
      <c r="N64" s="17">
        <f t="shared" si="68"/>
        <v>0.20003652968036531</v>
      </c>
      <c r="O64" s="17">
        <f t="shared" si="69"/>
        <v>0.16431465075433249</v>
      </c>
      <c r="P64" s="18">
        <f t="shared" si="70"/>
        <v>1.7751512763941303E-4</v>
      </c>
      <c r="Q64" s="18">
        <f t="shared" si="71"/>
        <v>9.3981560849581243</v>
      </c>
      <c r="R64" s="19">
        <f t="shared" si="72"/>
        <v>3.06564121921632</v>
      </c>
      <c r="S64" s="62">
        <f t="shared" si="73"/>
        <v>3.06564121921632</v>
      </c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63"/>
      <c r="AI64" s="63"/>
      <c r="AJ64" s="63"/>
      <c r="AK64" s="63"/>
      <c r="AL64" s="4"/>
      <c r="AM64" s="3"/>
      <c r="AN64" s="3"/>
      <c r="AR64" s="63"/>
      <c r="AS64" s="63"/>
      <c r="AT64" s="63"/>
      <c r="AU64" s="63"/>
      <c r="AV64" s="4"/>
      <c r="AW64" s="3"/>
      <c r="AX64" s="8"/>
    </row>
    <row r="65" spans="2:50" ht="14.5" thickBot="1" x14ac:dyDescent="0.35">
      <c r="B65" s="16">
        <v>32</v>
      </c>
      <c r="C65" s="41">
        <f t="shared" si="58"/>
        <v>0.13574183777611556</v>
      </c>
      <c r="D65" s="20">
        <f t="shared" si="59"/>
        <v>0.16666666666666666</v>
      </c>
      <c r="E65" s="17">
        <f t="shared" si="65"/>
        <v>0.12249999999999998</v>
      </c>
      <c r="F65" s="20">
        <f t="shared" si="60"/>
        <v>1</v>
      </c>
      <c r="G65" s="41">
        <f t="shared" si="61"/>
        <v>0.44717312215127369</v>
      </c>
      <c r="H65" s="20">
        <v>1</v>
      </c>
      <c r="I65" s="21">
        <f t="shared" si="66"/>
        <v>1.239293737016653E-3</v>
      </c>
      <c r="J65" s="20">
        <f t="shared" si="62"/>
        <v>3.6529680365296805E-5</v>
      </c>
      <c r="K65" s="20">
        <f t="shared" si="63"/>
        <v>0.2</v>
      </c>
      <c r="L65" s="20">
        <f t="shared" si="64"/>
        <v>3.5731584000000538E-2</v>
      </c>
      <c r="M65" s="20">
        <f t="shared" si="67"/>
        <v>0.16670319634703196</v>
      </c>
      <c r="N65" s="20">
        <f t="shared" si="68"/>
        <v>0.20003652968036531</v>
      </c>
      <c r="O65" s="20">
        <f t="shared" si="69"/>
        <v>0.1714734217761161</v>
      </c>
      <c r="P65" s="21">
        <f t="shared" si="70"/>
        <v>2.0431597389763167E-4</v>
      </c>
      <c r="Q65" s="21">
        <f t="shared" si="71"/>
        <v>6.0655743815585152</v>
      </c>
      <c r="R65" s="22">
        <f t="shared" si="72"/>
        <v>2.4628386836247547</v>
      </c>
      <c r="S65" s="70">
        <f t="shared" si="73"/>
        <v>2.4628386836247547</v>
      </c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63"/>
      <c r="AI65" s="63"/>
      <c r="AJ65" s="63"/>
      <c r="AK65" s="63"/>
      <c r="AL65" s="4"/>
      <c r="AM65" s="3"/>
      <c r="AN65" s="3"/>
      <c r="AR65" s="63"/>
      <c r="AS65" s="63"/>
      <c r="AT65" s="63"/>
      <c r="AU65" s="63"/>
      <c r="AV65" s="4"/>
      <c r="AW65" s="3"/>
      <c r="AX65" s="8"/>
    </row>
  </sheetData>
  <mergeCells count="18">
    <mergeCell ref="BK21:BM21"/>
    <mergeCell ref="BK24:BM24"/>
    <mergeCell ref="AE2:AG2"/>
    <mergeCell ref="AL2:AR2"/>
    <mergeCell ref="AT2:AV2"/>
    <mergeCell ref="AY2:BD2"/>
    <mergeCell ref="BF2:BI2"/>
    <mergeCell ref="BK2:BN2"/>
    <mergeCell ref="BK13:BN13"/>
    <mergeCell ref="BK17:BN17"/>
    <mergeCell ref="AT3:AV4"/>
    <mergeCell ref="B35:S35"/>
    <mergeCell ref="S2:V2"/>
    <mergeCell ref="X2:AC2"/>
    <mergeCell ref="B2:E2"/>
    <mergeCell ref="G2:L2"/>
    <mergeCell ref="B3:E5"/>
    <mergeCell ref="N2:O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5BF41-8FEA-457E-80C1-8F7AC4405FA2}">
  <dimension ref="A1:AW49"/>
  <sheetViews>
    <sheetView workbookViewId="0">
      <selection activeCell="E11" sqref="E11"/>
    </sheetView>
  </sheetViews>
  <sheetFormatPr defaultRowHeight="14" x14ac:dyDescent="0.3"/>
  <cols>
    <col min="1" max="7" width="8.6640625" style="74"/>
    <col min="8" max="8" width="10.5" style="74" customWidth="1"/>
    <col min="9" max="9" width="21.6640625" style="74" customWidth="1"/>
    <col min="10" max="10" width="10.75" style="74" customWidth="1"/>
    <col min="11" max="11" width="22.25" style="74" customWidth="1"/>
    <col min="12" max="12" width="23.6640625" style="74" customWidth="1"/>
    <col min="13" max="13" width="8.25" style="74" customWidth="1"/>
    <col min="14" max="14" width="12.33203125" style="74" customWidth="1"/>
    <col min="15" max="15" width="13.33203125" style="74" customWidth="1"/>
    <col min="16" max="16" width="15.75" style="74" customWidth="1"/>
    <col min="17" max="17" width="8.4140625" style="74" customWidth="1"/>
    <col min="18" max="18" width="23.4140625" style="74" customWidth="1"/>
    <col min="19" max="19" width="11.08203125" style="74" customWidth="1"/>
    <col min="20" max="20" width="9.83203125" style="74" customWidth="1"/>
    <col min="21" max="25" width="8.6640625" style="74"/>
    <col min="26" max="26" width="11.1640625" style="74" customWidth="1"/>
    <col min="27" max="28" width="8.6640625" style="74"/>
    <col min="29" max="29" width="13.4140625" style="74" customWidth="1"/>
    <col min="30" max="30" width="12.9140625" style="74" customWidth="1"/>
    <col min="31" max="31" width="8.6640625" style="74"/>
    <col min="32" max="32" width="15.4140625" style="74" customWidth="1"/>
    <col min="33" max="36" width="10.08203125" style="74" customWidth="1"/>
    <col min="37" max="38" width="11.5" style="74" customWidth="1"/>
    <col min="39" max="39" width="13.4140625" style="74" customWidth="1"/>
    <col min="40" max="40" width="9.75" style="74" customWidth="1"/>
    <col min="41" max="41" width="15" style="74" customWidth="1"/>
    <col min="42" max="42" width="13.1640625" style="74" customWidth="1"/>
    <col min="43" max="43" width="17.83203125" style="74" customWidth="1"/>
    <col min="44" max="44" width="14.9140625" style="74" customWidth="1"/>
    <col min="45" max="45" width="10.33203125" style="74" customWidth="1"/>
    <col min="46" max="46" width="10.4140625" style="74" customWidth="1"/>
    <col min="47" max="47" width="8.75" style="74" customWidth="1"/>
    <col min="48" max="48" width="12.25" style="74" customWidth="1"/>
    <col min="49" max="49" width="10.1640625" style="74" customWidth="1"/>
    <col min="50" max="16384" width="8.6640625" style="74"/>
  </cols>
  <sheetData>
    <row r="1" spans="2:49" ht="14.5" thickBot="1" x14ac:dyDescent="0.35"/>
    <row r="2" spans="2:49" ht="17" x14ac:dyDescent="0.45">
      <c r="B2" s="180" t="s">
        <v>73</v>
      </c>
      <c r="C2" s="181"/>
      <c r="D2" s="181"/>
      <c r="E2" s="182"/>
      <c r="F2" s="71"/>
      <c r="G2" s="186" t="s">
        <v>81</v>
      </c>
      <c r="H2" s="187"/>
      <c r="I2" s="187"/>
      <c r="J2" s="187"/>
      <c r="K2" s="187"/>
      <c r="L2" s="187"/>
      <c r="M2" s="187"/>
      <c r="N2" s="187"/>
      <c r="O2" s="188"/>
      <c r="P2" s="76"/>
      <c r="Q2" s="180" t="s">
        <v>82</v>
      </c>
      <c r="R2" s="182"/>
      <c r="S2" s="71"/>
      <c r="T2" s="183" t="s">
        <v>47</v>
      </c>
      <c r="U2" s="184"/>
      <c r="V2" s="184"/>
      <c r="W2" s="185"/>
      <c r="X2" s="72"/>
      <c r="Y2" s="183" t="s">
        <v>51</v>
      </c>
      <c r="Z2" s="184"/>
      <c r="AA2" s="184"/>
      <c r="AB2" s="184"/>
      <c r="AC2" s="184"/>
      <c r="AD2" s="185"/>
      <c r="AE2" s="72"/>
      <c r="AF2" s="180" t="s">
        <v>52</v>
      </c>
      <c r="AG2" s="181"/>
      <c r="AH2" s="182"/>
      <c r="AI2" s="71"/>
      <c r="AJ2" s="180" t="s">
        <v>53</v>
      </c>
      <c r="AK2" s="182"/>
      <c r="AL2" s="71"/>
      <c r="AM2" s="180" t="s">
        <v>56</v>
      </c>
      <c r="AN2" s="181"/>
      <c r="AO2" s="181"/>
      <c r="AP2" s="181"/>
      <c r="AQ2" s="181"/>
      <c r="AR2" s="181"/>
      <c r="AS2" s="182"/>
      <c r="AT2" s="71"/>
      <c r="AU2" s="180" t="s">
        <v>57</v>
      </c>
      <c r="AV2" s="181"/>
      <c r="AW2" s="182"/>
    </row>
    <row r="3" spans="2:49" ht="17.5" x14ac:dyDescent="0.45">
      <c r="B3" s="77" t="s">
        <v>0</v>
      </c>
      <c r="C3" s="78" t="s">
        <v>61</v>
      </c>
      <c r="D3" s="78" t="s">
        <v>86</v>
      </c>
      <c r="E3" s="79" t="s">
        <v>72</v>
      </c>
      <c r="F3" s="71"/>
      <c r="G3" s="77" t="s">
        <v>0</v>
      </c>
      <c r="H3" s="78" t="s">
        <v>75</v>
      </c>
      <c r="I3" s="78" t="s">
        <v>76</v>
      </c>
      <c r="J3" s="78" t="s">
        <v>77</v>
      </c>
      <c r="K3" s="78" t="s">
        <v>99</v>
      </c>
      <c r="L3" s="115" t="s">
        <v>101</v>
      </c>
      <c r="M3" s="115" t="s">
        <v>80</v>
      </c>
      <c r="N3" s="115" t="s">
        <v>100</v>
      </c>
      <c r="O3" s="79" t="s">
        <v>4</v>
      </c>
      <c r="Q3" s="80" t="s">
        <v>9</v>
      </c>
      <c r="R3" s="79" t="s">
        <v>83</v>
      </c>
      <c r="T3" s="84" t="s">
        <v>0</v>
      </c>
      <c r="U3" s="88" t="s">
        <v>45</v>
      </c>
      <c r="V3" s="88" t="s">
        <v>13</v>
      </c>
      <c r="W3" s="116" t="s">
        <v>84</v>
      </c>
      <c r="X3" s="82"/>
      <c r="Y3" s="77" t="s">
        <v>0</v>
      </c>
      <c r="Z3" s="78" t="s">
        <v>48</v>
      </c>
      <c r="AA3" s="78" t="s">
        <v>49</v>
      </c>
      <c r="AB3" s="78" t="s">
        <v>5</v>
      </c>
      <c r="AC3" s="78" t="s">
        <v>95</v>
      </c>
      <c r="AD3" s="81" t="s">
        <v>85</v>
      </c>
      <c r="AE3" s="82"/>
      <c r="AF3" s="77" t="s">
        <v>6</v>
      </c>
      <c r="AG3" s="78" t="s">
        <v>7</v>
      </c>
      <c r="AH3" s="79" t="s">
        <v>8</v>
      </c>
      <c r="AJ3" s="80" t="s">
        <v>9</v>
      </c>
      <c r="AK3" s="79" t="s">
        <v>10</v>
      </c>
      <c r="AM3" s="77" t="s">
        <v>0</v>
      </c>
      <c r="AN3" s="78" t="s">
        <v>13</v>
      </c>
      <c r="AO3" s="78" t="s">
        <v>54</v>
      </c>
      <c r="AP3" s="78" t="s">
        <v>1</v>
      </c>
      <c r="AQ3" s="78" t="s">
        <v>98</v>
      </c>
      <c r="AR3" s="78" t="s">
        <v>2</v>
      </c>
      <c r="AS3" s="79" t="s">
        <v>55</v>
      </c>
      <c r="AU3" s="190" t="s">
        <v>97</v>
      </c>
      <c r="AV3" s="191"/>
      <c r="AW3" s="192"/>
    </row>
    <row r="4" spans="2:49" ht="14.5" thickBot="1" x14ac:dyDescent="0.35">
      <c r="B4" s="84">
        <v>18</v>
      </c>
      <c r="C4" s="88">
        <v>0.35</v>
      </c>
      <c r="D4" s="88">
        <v>0.21</v>
      </c>
      <c r="E4" s="117">
        <f>C4*D4</f>
        <v>7.3499999999999996E-2</v>
      </c>
      <c r="F4" s="71"/>
      <c r="G4" s="90">
        <v>18</v>
      </c>
      <c r="H4" s="87">
        <v>1.2643386148990943</v>
      </c>
      <c r="I4" s="87">
        <v>0.89</v>
      </c>
      <c r="J4" s="88">
        <f>-LN(I4)</f>
        <v>0.11653381625595151</v>
      </c>
      <c r="K4" s="88">
        <f>H4*J4</f>
        <v>0.14733820383395529</v>
      </c>
      <c r="L4" s="118">
        <f>LN(K4)</f>
        <v>-1.9150246284224131</v>
      </c>
      <c r="M4" s="118">
        <f>LN(I4)</f>
        <v>-0.11653381625595151</v>
      </c>
      <c r="N4" s="118">
        <f>L4/M4</f>
        <v>16.433209603436552</v>
      </c>
      <c r="O4" s="119">
        <f t="shared" ref="O4:O11" si="0">1/N4</f>
        <v>6.0852385147626767E-2</v>
      </c>
      <c r="Q4" s="90">
        <v>6</v>
      </c>
      <c r="R4" s="117">
        <f>1/Q4</f>
        <v>0.16666666666666666</v>
      </c>
      <c r="T4" s="90">
        <v>18</v>
      </c>
      <c r="U4" s="87">
        <f>0.0729*T4</f>
        <v>1.3122</v>
      </c>
      <c r="V4" s="87">
        <v>0.90369999999999995</v>
      </c>
      <c r="W4" s="119">
        <f>U4-V4</f>
        <v>0.40850000000000009</v>
      </c>
      <c r="X4" s="82"/>
      <c r="Y4" s="90">
        <v>18</v>
      </c>
      <c r="Z4" s="87">
        <f>0.001044*Y4</f>
        <v>1.8792E-2</v>
      </c>
      <c r="AA4" s="87">
        <f>Y4-12.286</f>
        <v>5.7140000000000004</v>
      </c>
      <c r="AB4" s="87">
        <f>32.461-Y4</f>
        <v>14.460999999999999</v>
      </c>
      <c r="AC4" s="87">
        <f>SQRT(AB4)</f>
        <v>3.8027621540138425</v>
      </c>
      <c r="AD4" s="119">
        <f>Z4*AA4*AC4</f>
        <v>0.40833104755947558</v>
      </c>
      <c r="AE4" s="82"/>
      <c r="AF4" s="84">
        <v>75</v>
      </c>
      <c r="AG4" s="87">
        <f>75*365</f>
        <v>27375</v>
      </c>
      <c r="AH4" s="117">
        <f>1/AG4</f>
        <v>3.6529680365296805E-5</v>
      </c>
      <c r="AJ4" s="84">
        <v>5</v>
      </c>
      <c r="AK4" s="117">
        <f>1/5</f>
        <v>0.2</v>
      </c>
      <c r="AM4" s="90">
        <v>18</v>
      </c>
      <c r="AN4" s="88">
        <v>0.86919999999999997</v>
      </c>
      <c r="AO4" s="88">
        <f t="shared" ref="AO4:AO11" si="1">-0.159*AM4</f>
        <v>-2.8620000000000001</v>
      </c>
      <c r="AP4" s="88">
        <f>0.01116*AM4*AM4</f>
        <v>3.6158399999999999</v>
      </c>
      <c r="AQ4" s="88">
        <f>-(3.408/10000)*AM4*AM4*AM4</f>
        <v>-1.9875455999999998</v>
      </c>
      <c r="AR4" s="88">
        <f>(3.809/1000000)*AM4*AM4*AM4*AM4</f>
        <v>0.39985358400000004</v>
      </c>
      <c r="AS4" s="119">
        <f>AN4+AO4+AP4+AQ4+AR4</f>
        <v>3.5347984000000054E-2</v>
      </c>
      <c r="AU4" s="193"/>
      <c r="AV4" s="194"/>
      <c r="AW4" s="195"/>
    </row>
    <row r="5" spans="2:49" x14ac:dyDescent="0.3">
      <c r="B5" s="84">
        <v>18.5</v>
      </c>
      <c r="C5" s="88">
        <v>0.35</v>
      </c>
      <c r="D5" s="88">
        <v>0.21</v>
      </c>
      <c r="E5" s="117">
        <f t="shared" ref="E5:E11" si="2">C5*D5</f>
        <v>7.3499999999999996E-2</v>
      </c>
      <c r="F5" s="71"/>
      <c r="G5" s="90">
        <v>18.5</v>
      </c>
      <c r="H5" s="87">
        <v>1.3923007294610084</v>
      </c>
      <c r="I5" s="87">
        <v>0.89</v>
      </c>
      <c r="J5" s="88">
        <f t="shared" ref="J5:J11" si="3">-LN(I5)</f>
        <v>0.11653381625595151</v>
      </c>
      <c r="K5" s="88">
        <f t="shared" ref="K5:K11" si="4">H5*J5</f>
        <v>0.16225011738003639</v>
      </c>
      <c r="L5" s="118">
        <f t="shared" ref="L5:L11" si="5">LN(K5)</f>
        <v>-1.8186161999465114</v>
      </c>
      <c r="M5" s="118">
        <f t="shared" ref="M5:M11" si="6">LN(I5)</f>
        <v>-0.11653381625595151</v>
      </c>
      <c r="N5" s="118">
        <f t="shared" ref="N5:N11" si="7">L5/M5</f>
        <v>15.605909583808319</v>
      </c>
      <c r="O5" s="119">
        <f t="shared" si="0"/>
        <v>6.4078289998394919E-2</v>
      </c>
      <c r="Q5" s="90">
        <v>7</v>
      </c>
      <c r="R5" s="117">
        <f t="shared" ref="R5:R11" si="8">1/Q5</f>
        <v>0.14285714285714285</v>
      </c>
      <c r="T5" s="90">
        <v>18.5</v>
      </c>
      <c r="U5" s="87">
        <f t="shared" ref="U5:U11" si="9">0.0729*T5</f>
        <v>1.3486500000000001</v>
      </c>
      <c r="V5" s="87">
        <v>0.90369999999999995</v>
      </c>
      <c r="W5" s="119">
        <f t="shared" ref="W5:W11" si="10">U5-V5</f>
        <v>0.44495000000000018</v>
      </c>
      <c r="X5" s="82"/>
      <c r="Y5" s="90">
        <v>18.5</v>
      </c>
      <c r="Z5" s="87">
        <f t="shared" ref="Z5:Z11" si="11">0.001044*Y5</f>
        <v>1.9314000000000001E-2</v>
      </c>
      <c r="AA5" s="87">
        <f t="shared" ref="AA5:AA11" si="12">Y5-12.286</f>
        <v>6.2140000000000004</v>
      </c>
      <c r="AB5" s="87">
        <f t="shared" ref="AB5:AB11" si="13">32.461-Y5</f>
        <v>13.960999999999999</v>
      </c>
      <c r="AC5" s="87">
        <f t="shared" ref="AC5:AC11" si="14">SQRT(AB5)</f>
        <v>3.7364421579893348</v>
      </c>
      <c r="AD5" s="119">
        <f t="shared" ref="AD5:AD11" si="15">Z5*AA5*AC5</f>
        <v>0.44843731081806903</v>
      </c>
      <c r="AE5" s="82"/>
      <c r="AF5" s="84">
        <v>75</v>
      </c>
      <c r="AG5" s="87">
        <f t="shared" ref="AG5:AG11" si="16">75*365</f>
        <v>27375</v>
      </c>
      <c r="AH5" s="117">
        <f t="shared" ref="AH5:AH11" si="17">1/AG5</f>
        <v>3.6529680365296805E-5</v>
      </c>
      <c r="AJ5" s="84">
        <v>5</v>
      </c>
      <c r="AK5" s="117">
        <f t="shared" ref="AK5:AK11" si="18">1/5</f>
        <v>0.2</v>
      </c>
      <c r="AM5" s="90">
        <v>18.5</v>
      </c>
      <c r="AN5" s="88">
        <v>0.86919999999999997</v>
      </c>
      <c r="AO5" s="88">
        <f t="shared" si="1"/>
        <v>-2.9415</v>
      </c>
      <c r="AP5" s="88">
        <f t="shared" ref="AP5:AP11" si="19">0.01116*AM5*AM5</f>
        <v>3.8195100000000002</v>
      </c>
      <c r="AQ5" s="88">
        <f t="shared" ref="AQ5:AQ11" si="20">-(3.408/10000)*AM5*AM5*AM5</f>
        <v>-2.1578178000000001</v>
      </c>
      <c r="AR5" s="88">
        <f t="shared" ref="AR5:AR11" si="21">(3.809/1000000)*AM5*AM5*AM5*AM5</f>
        <v>0.44616745306250005</v>
      </c>
      <c r="AS5" s="119">
        <f t="shared" ref="AS5:AS11" si="22">AN5+AO5+AP5+AQ5+AR5</f>
        <v>3.5559653062499863E-2</v>
      </c>
      <c r="AU5" s="73"/>
      <c r="AV5" s="73"/>
      <c r="AW5" s="73"/>
    </row>
    <row r="6" spans="2:49" x14ac:dyDescent="0.3">
      <c r="B6" s="84">
        <v>19</v>
      </c>
      <c r="C6" s="88">
        <v>0.35</v>
      </c>
      <c r="D6" s="88">
        <v>0.21</v>
      </c>
      <c r="E6" s="117">
        <f t="shared" si="2"/>
        <v>7.3499999999999996E-2</v>
      </c>
      <c r="F6" s="71"/>
      <c r="G6" s="90">
        <v>19</v>
      </c>
      <c r="H6" s="87">
        <v>1.5205108724574297</v>
      </c>
      <c r="I6" s="87">
        <v>0.89</v>
      </c>
      <c r="J6" s="88">
        <f t="shared" si="3"/>
        <v>0.11653381625595151</v>
      </c>
      <c r="K6" s="88">
        <f t="shared" si="4"/>
        <v>0.17719093462613061</v>
      </c>
      <c r="L6" s="118">
        <f t="shared" si="5"/>
        <v>-1.7305274011145708</v>
      </c>
      <c r="M6" s="118">
        <f t="shared" si="6"/>
        <v>-0.11653381625595151</v>
      </c>
      <c r="N6" s="118">
        <f t="shared" si="7"/>
        <v>14.850001971219156</v>
      </c>
      <c r="O6" s="119">
        <f t="shared" si="0"/>
        <v>6.7340058401211239E-2</v>
      </c>
      <c r="Q6" s="90">
        <v>8</v>
      </c>
      <c r="R6" s="117">
        <f t="shared" si="8"/>
        <v>0.125</v>
      </c>
      <c r="T6" s="90">
        <v>19</v>
      </c>
      <c r="U6" s="87">
        <f t="shared" si="9"/>
        <v>1.3851000000000002</v>
      </c>
      <c r="V6" s="87">
        <v>0.90369999999999995</v>
      </c>
      <c r="W6" s="119">
        <f t="shared" si="10"/>
        <v>0.48140000000000027</v>
      </c>
      <c r="X6" s="82"/>
      <c r="Y6" s="90">
        <v>19</v>
      </c>
      <c r="Z6" s="87">
        <f t="shared" si="11"/>
        <v>1.9835999999999999E-2</v>
      </c>
      <c r="AA6" s="87">
        <f t="shared" si="12"/>
        <v>6.7140000000000004</v>
      </c>
      <c r="AB6" s="87">
        <f t="shared" si="13"/>
        <v>13.460999999999999</v>
      </c>
      <c r="AC6" s="87">
        <f t="shared" si="14"/>
        <v>3.6689235478543294</v>
      </c>
      <c r="AD6" s="119">
        <f t="shared" si="15"/>
        <v>0.48862321696303118</v>
      </c>
      <c r="AE6" s="82"/>
      <c r="AF6" s="84">
        <v>75</v>
      </c>
      <c r="AG6" s="87">
        <f t="shared" si="16"/>
        <v>27375</v>
      </c>
      <c r="AH6" s="117">
        <f t="shared" si="17"/>
        <v>3.6529680365296805E-5</v>
      </c>
      <c r="AJ6" s="84">
        <v>5</v>
      </c>
      <c r="AK6" s="117">
        <f t="shared" si="18"/>
        <v>0.2</v>
      </c>
      <c r="AM6" s="90">
        <v>19</v>
      </c>
      <c r="AN6" s="88">
        <v>0.86919999999999997</v>
      </c>
      <c r="AO6" s="88">
        <f t="shared" si="1"/>
        <v>-3.0209999999999999</v>
      </c>
      <c r="AP6" s="88">
        <f t="shared" si="19"/>
        <v>4.0287600000000001</v>
      </c>
      <c r="AQ6" s="88">
        <f t="shared" si="20"/>
        <v>-2.3375471999999999</v>
      </c>
      <c r="AR6" s="88">
        <f t="shared" si="21"/>
        <v>0.49639268900000005</v>
      </c>
      <c r="AS6" s="119">
        <f t="shared" si="22"/>
        <v>3.5805489000000523E-2</v>
      </c>
      <c r="AU6" s="73"/>
      <c r="AV6" s="73"/>
      <c r="AW6" s="73"/>
    </row>
    <row r="7" spans="2:49" x14ac:dyDescent="0.3">
      <c r="B7" s="84">
        <v>19.5</v>
      </c>
      <c r="C7" s="88">
        <v>0.35</v>
      </c>
      <c r="D7" s="88">
        <v>0.21</v>
      </c>
      <c r="E7" s="117">
        <f t="shared" si="2"/>
        <v>7.3499999999999996E-2</v>
      </c>
      <c r="F7" s="71"/>
      <c r="G7" s="90">
        <v>19.5</v>
      </c>
      <c r="H7" s="87">
        <v>1.6497339176157135</v>
      </c>
      <c r="I7" s="87">
        <v>0.89</v>
      </c>
      <c r="J7" s="88">
        <f t="shared" si="3"/>
        <v>0.11653381625595151</v>
      </c>
      <c r="K7" s="88">
        <f t="shared" si="4"/>
        <v>0.1922497892266406</v>
      </c>
      <c r="L7" s="118">
        <f t="shared" si="5"/>
        <v>-1.6489597669473586</v>
      </c>
      <c r="M7" s="118">
        <f t="shared" si="6"/>
        <v>-0.11653381625595151</v>
      </c>
      <c r="N7" s="118">
        <f t="shared" si="7"/>
        <v>14.150053777743199</v>
      </c>
      <c r="O7" s="119">
        <f t="shared" si="0"/>
        <v>7.0671109502983859E-2</v>
      </c>
      <c r="Q7" s="90">
        <v>9</v>
      </c>
      <c r="R7" s="117">
        <f t="shared" si="8"/>
        <v>0.1111111111111111</v>
      </c>
      <c r="T7" s="90">
        <v>19.5</v>
      </c>
      <c r="U7" s="87">
        <f t="shared" si="9"/>
        <v>1.4215500000000001</v>
      </c>
      <c r="V7" s="87">
        <v>0.90369999999999995</v>
      </c>
      <c r="W7" s="119">
        <f t="shared" si="10"/>
        <v>0.51785000000000014</v>
      </c>
      <c r="X7" s="82"/>
      <c r="Y7" s="90">
        <v>19.5</v>
      </c>
      <c r="Z7" s="87">
        <f t="shared" si="11"/>
        <v>2.0358000000000001E-2</v>
      </c>
      <c r="AA7" s="87">
        <f t="shared" si="12"/>
        <v>7.2140000000000004</v>
      </c>
      <c r="AB7" s="87">
        <f t="shared" si="13"/>
        <v>12.960999999999999</v>
      </c>
      <c r="AC7" s="87">
        <f t="shared" si="14"/>
        <v>3.600138886209808</v>
      </c>
      <c r="AD7" s="119">
        <f t="shared" si="15"/>
        <v>0.52872580039154315</v>
      </c>
      <c r="AE7" s="82"/>
      <c r="AF7" s="84">
        <v>75</v>
      </c>
      <c r="AG7" s="87">
        <f t="shared" si="16"/>
        <v>27375</v>
      </c>
      <c r="AH7" s="117">
        <f t="shared" si="17"/>
        <v>3.6529680365296805E-5</v>
      </c>
      <c r="AJ7" s="84">
        <v>5</v>
      </c>
      <c r="AK7" s="117">
        <f t="shared" si="18"/>
        <v>0.2</v>
      </c>
      <c r="AM7" s="90">
        <v>19.5</v>
      </c>
      <c r="AN7" s="88">
        <v>0.86919999999999997</v>
      </c>
      <c r="AO7" s="88">
        <f t="shared" si="1"/>
        <v>-3.1005000000000003</v>
      </c>
      <c r="AP7" s="88">
        <f t="shared" si="19"/>
        <v>4.2435900000000002</v>
      </c>
      <c r="AQ7" s="88">
        <f t="shared" si="20"/>
        <v>-2.5269893999999997</v>
      </c>
      <c r="AR7" s="88">
        <f t="shared" si="21"/>
        <v>0.55074354806250003</v>
      </c>
      <c r="AS7" s="119">
        <f t="shared" si="22"/>
        <v>3.6044148062500447E-2</v>
      </c>
      <c r="AU7" s="73"/>
      <c r="AV7" s="73"/>
      <c r="AW7" s="73"/>
    </row>
    <row r="8" spans="2:49" x14ac:dyDescent="0.3">
      <c r="B8" s="84">
        <v>20</v>
      </c>
      <c r="C8" s="88">
        <v>0.35</v>
      </c>
      <c r="D8" s="88">
        <v>0.22</v>
      </c>
      <c r="E8" s="117">
        <f t="shared" si="2"/>
        <v>7.6999999999999999E-2</v>
      </c>
      <c r="F8" s="71"/>
      <c r="G8" s="90">
        <v>20</v>
      </c>
      <c r="H8" s="87">
        <v>1.7808744563478829</v>
      </c>
      <c r="I8" s="87">
        <v>0.89</v>
      </c>
      <c r="J8" s="88">
        <f t="shared" si="3"/>
        <v>0.11653381625595151</v>
      </c>
      <c r="K8" s="88">
        <f t="shared" si="4"/>
        <v>0.20753209667096173</v>
      </c>
      <c r="L8" s="118">
        <f t="shared" si="5"/>
        <v>-1.5724692685219046</v>
      </c>
      <c r="M8" s="118">
        <f t="shared" si="6"/>
        <v>-0.11653381625595151</v>
      </c>
      <c r="N8" s="118">
        <f t="shared" si="7"/>
        <v>13.493673502189086</v>
      </c>
      <c r="O8" s="119">
        <f t="shared" si="0"/>
        <v>7.4108803643260626E-2</v>
      </c>
      <c r="Q8" s="90">
        <v>10</v>
      </c>
      <c r="R8" s="117">
        <f t="shared" si="8"/>
        <v>0.1</v>
      </c>
      <c r="T8" s="90">
        <v>20</v>
      </c>
      <c r="U8" s="87">
        <f t="shared" si="9"/>
        <v>1.4580000000000002</v>
      </c>
      <c r="V8" s="87">
        <v>0.90369999999999995</v>
      </c>
      <c r="W8" s="119">
        <f t="shared" si="10"/>
        <v>0.55430000000000024</v>
      </c>
      <c r="X8" s="82"/>
      <c r="Y8" s="90">
        <v>20</v>
      </c>
      <c r="Z8" s="87">
        <f t="shared" si="11"/>
        <v>2.0879999999999999E-2</v>
      </c>
      <c r="AA8" s="87">
        <f t="shared" si="12"/>
        <v>7.7140000000000004</v>
      </c>
      <c r="AB8" s="87">
        <f t="shared" si="13"/>
        <v>12.460999999999999</v>
      </c>
      <c r="AC8" s="87">
        <f t="shared" si="14"/>
        <v>3.5300141642775316</v>
      </c>
      <c r="AD8" s="119">
        <f t="shared" si="15"/>
        <v>0.56857345101638612</v>
      </c>
      <c r="AE8" s="82"/>
      <c r="AF8" s="84">
        <v>75</v>
      </c>
      <c r="AG8" s="87">
        <f t="shared" si="16"/>
        <v>27375</v>
      </c>
      <c r="AH8" s="117">
        <f t="shared" si="17"/>
        <v>3.6529680365296805E-5</v>
      </c>
      <c r="AJ8" s="84">
        <v>5</v>
      </c>
      <c r="AK8" s="117">
        <f t="shared" si="18"/>
        <v>0.2</v>
      </c>
      <c r="AM8" s="90">
        <v>20</v>
      </c>
      <c r="AN8" s="88">
        <v>0.86919999999999997</v>
      </c>
      <c r="AO8" s="88">
        <f t="shared" si="1"/>
        <v>-3.18</v>
      </c>
      <c r="AP8" s="88">
        <f t="shared" si="19"/>
        <v>4.4640000000000004</v>
      </c>
      <c r="AQ8" s="88">
        <f t="shared" si="20"/>
        <v>-2.7263999999999999</v>
      </c>
      <c r="AR8" s="88">
        <f t="shared" si="21"/>
        <v>0.60944000000000009</v>
      </c>
      <c r="AS8" s="119">
        <f t="shared" si="22"/>
        <v>3.6240000000000161E-2</v>
      </c>
      <c r="AU8" s="73"/>
      <c r="AV8" s="73"/>
      <c r="AW8" s="73"/>
    </row>
    <row r="9" spans="2:49" x14ac:dyDescent="0.3">
      <c r="B9" s="84">
        <v>20.5</v>
      </c>
      <c r="C9" s="88">
        <v>0.35</v>
      </c>
      <c r="D9" s="88">
        <v>0.22</v>
      </c>
      <c r="E9" s="117">
        <f t="shared" si="2"/>
        <v>7.6999999999999999E-2</v>
      </c>
      <c r="F9" s="71"/>
      <c r="G9" s="90">
        <v>20.5</v>
      </c>
      <c r="H9" s="87">
        <v>1.9149088275358996</v>
      </c>
      <c r="I9" s="87">
        <v>0.89</v>
      </c>
      <c r="J9" s="88">
        <f t="shared" si="3"/>
        <v>0.11653381625595151</v>
      </c>
      <c r="K9" s="88">
        <f t="shared" si="4"/>
        <v>0.22315163345496805</v>
      </c>
      <c r="L9" s="118">
        <f t="shared" si="5"/>
        <v>-1.4999037679472362</v>
      </c>
      <c r="M9" s="118">
        <f t="shared" si="6"/>
        <v>-0.11653381625595151</v>
      </c>
      <c r="N9" s="118">
        <f t="shared" si="7"/>
        <v>12.87097441872916</v>
      </c>
      <c r="O9" s="119">
        <f t="shared" si="0"/>
        <v>7.7694195285234427E-2</v>
      </c>
      <c r="Q9" s="90">
        <v>11</v>
      </c>
      <c r="R9" s="117">
        <f t="shared" si="8"/>
        <v>9.0909090909090912E-2</v>
      </c>
      <c r="T9" s="90">
        <v>20.5</v>
      </c>
      <c r="U9" s="87">
        <f t="shared" si="9"/>
        <v>1.4944500000000001</v>
      </c>
      <c r="V9" s="87">
        <v>0.90369999999999995</v>
      </c>
      <c r="W9" s="119">
        <f t="shared" si="10"/>
        <v>0.59075000000000011</v>
      </c>
      <c r="X9" s="82"/>
      <c r="Y9" s="90">
        <v>20.5</v>
      </c>
      <c r="Z9" s="87">
        <f t="shared" si="11"/>
        <v>2.1402000000000001E-2</v>
      </c>
      <c r="AA9" s="87">
        <f t="shared" si="12"/>
        <v>8.2140000000000004</v>
      </c>
      <c r="AB9" s="87">
        <f t="shared" si="13"/>
        <v>11.960999999999999</v>
      </c>
      <c r="AC9" s="87">
        <f t="shared" si="14"/>
        <v>3.4584678688691035</v>
      </c>
      <c r="AD9" s="119">
        <f t="shared" si="15"/>
        <v>0.60798491431281332</v>
      </c>
      <c r="AE9" s="82"/>
      <c r="AF9" s="84">
        <v>75</v>
      </c>
      <c r="AG9" s="87">
        <f t="shared" si="16"/>
        <v>27375</v>
      </c>
      <c r="AH9" s="117">
        <f t="shared" si="17"/>
        <v>3.6529680365296805E-5</v>
      </c>
      <c r="AJ9" s="84">
        <v>5</v>
      </c>
      <c r="AK9" s="117">
        <f t="shared" si="18"/>
        <v>0.2</v>
      </c>
      <c r="AM9" s="90">
        <v>20.5</v>
      </c>
      <c r="AN9" s="88">
        <v>0.86919999999999997</v>
      </c>
      <c r="AO9" s="88">
        <f t="shared" si="1"/>
        <v>-3.2595000000000001</v>
      </c>
      <c r="AP9" s="88">
        <f t="shared" si="19"/>
        <v>4.6899899999999999</v>
      </c>
      <c r="AQ9" s="88">
        <f t="shared" si="20"/>
        <v>-2.9360345999999997</v>
      </c>
      <c r="AR9" s="88">
        <f t="shared" si="21"/>
        <v>0.67270772806250001</v>
      </c>
      <c r="AS9" s="119">
        <f t="shared" si="22"/>
        <v>3.6363128062500305E-2</v>
      </c>
      <c r="AU9" s="73"/>
      <c r="AV9" s="73"/>
      <c r="AW9" s="73"/>
    </row>
    <row r="10" spans="2:49" x14ac:dyDescent="0.3">
      <c r="B10" s="84">
        <v>21</v>
      </c>
      <c r="C10" s="88">
        <v>0.35</v>
      </c>
      <c r="D10" s="88">
        <v>0.22</v>
      </c>
      <c r="E10" s="117">
        <f t="shared" si="2"/>
        <v>7.6999999999999999E-2</v>
      </c>
      <c r="F10" s="71"/>
      <c r="G10" s="90">
        <v>21</v>
      </c>
      <c r="H10" s="87">
        <v>2.0528329256516411</v>
      </c>
      <c r="I10" s="87">
        <v>0.89</v>
      </c>
      <c r="J10" s="88">
        <f t="shared" si="3"/>
        <v>0.11653381625595151</v>
      </c>
      <c r="K10" s="88">
        <f t="shared" si="4"/>
        <v>0.23922445496205572</v>
      </c>
      <c r="L10" s="118">
        <f t="shared" si="5"/>
        <v>-1.4303530256680077</v>
      </c>
      <c r="M10" s="118">
        <f t="shared" si="6"/>
        <v>-0.11653381625595151</v>
      </c>
      <c r="N10" s="118">
        <f t="shared" si="7"/>
        <v>12.27414557956655</v>
      </c>
      <c r="O10" s="119">
        <f t="shared" si="0"/>
        <v>8.1472066101672722E-2</v>
      </c>
      <c r="Q10" s="90">
        <v>12</v>
      </c>
      <c r="R10" s="117">
        <f t="shared" si="8"/>
        <v>8.3333333333333329E-2</v>
      </c>
      <c r="T10" s="90">
        <v>21</v>
      </c>
      <c r="U10" s="87">
        <f t="shared" si="9"/>
        <v>1.5309000000000001</v>
      </c>
      <c r="V10" s="87">
        <v>0.90369999999999995</v>
      </c>
      <c r="W10" s="119">
        <f t="shared" si="10"/>
        <v>0.6272000000000002</v>
      </c>
      <c r="X10" s="82"/>
      <c r="Y10" s="90">
        <v>21</v>
      </c>
      <c r="Z10" s="87">
        <f t="shared" si="11"/>
        <v>2.1923999999999999E-2</v>
      </c>
      <c r="AA10" s="87">
        <f t="shared" si="12"/>
        <v>8.7140000000000004</v>
      </c>
      <c r="AB10" s="87">
        <f t="shared" si="13"/>
        <v>11.460999999999999</v>
      </c>
      <c r="AC10" s="87">
        <f t="shared" si="14"/>
        <v>3.3854098717880525</v>
      </c>
      <c r="AD10" s="119">
        <f t="shared" si="15"/>
        <v>0.64676812061741407</v>
      </c>
      <c r="AE10" s="82"/>
      <c r="AF10" s="84">
        <v>75</v>
      </c>
      <c r="AG10" s="87">
        <f t="shared" si="16"/>
        <v>27375</v>
      </c>
      <c r="AH10" s="117">
        <f t="shared" si="17"/>
        <v>3.6529680365296805E-5</v>
      </c>
      <c r="AJ10" s="84">
        <v>5</v>
      </c>
      <c r="AK10" s="117">
        <f t="shared" si="18"/>
        <v>0.2</v>
      </c>
      <c r="AM10" s="90">
        <v>21</v>
      </c>
      <c r="AN10" s="88">
        <v>0.86919999999999997</v>
      </c>
      <c r="AO10" s="88">
        <f t="shared" si="1"/>
        <v>-3.339</v>
      </c>
      <c r="AP10" s="88">
        <f t="shared" si="19"/>
        <v>4.9215599999999995</v>
      </c>
      <c r="AQ10" s="88">
        <f t="shared" si="20"/>
        <v>-3.1561488</v>
      </c>
      <c r="AR10" s="88">
        <f t="shared" si="21"/>
        <v>0.74077812900000017</v>
      </c>
      <c r="AS10" s="119">
        <f t="shared" si="22"/>
        <v>3.6389328999999471E-2</v>
      </c>
      <c r="AU10" s="73"/>
      <c r="AV10" s="73"/>
      <c r="AW10" s="73"/>
    </row>
    <row r="11" spans="2:49" x14ac:dyDescent="0.3">
      <c r="B11" s="84">
        <v>21.5</v>
      </c>
      <c r="C11" s="88">
        <v>0.35</v>
      </c>
      <c r="D11" s="88">
        <v>0.22</v>
      </c>
      <c r="E11" s="117">
        <f t="shared" si="2"/>
        <v>7.6999999999999999E-2</v>
      </c>
      <c r="F11" s="71"/>
      <c r="G11" s="90">
        <v>21.5</v>
      </c>
      <c r="H11" s="87">
        <v>2.1956207282704456</v>
      </c>
      <c r="I11" s="87">
        <v>0.89</v>
      </c>
      <c r="J11" s="88">
        <f t="shared" si="3"/>
        <v>0.11653381625595151</v>
      </c>
      <c r="K11" s="88">
        <f t="shared" si="4"/>
        <v>0.25586406251602656</v>
      </c>
      <c r="L11" s="118">
        <f t="shared" si="5"/>
        <v>-1.3631089813328525</v>
      </c>
      <c r="M11" s="118">
        <f t="shared" si="6"/>
        <v>-0.11653381625595151</v>
      </c>
      <c r="N11" s="118">
        <f t="shared" si="7"/>
        <v>11.697110977117228</v>
      </c>
      <c r="O11" s="119">
        <f t="shared" si="0"/>
        <v>8.549119538630312E-2</v>
      </c>
      <c r="Q11" s="90">
        <v>13</v>
      </c>
      <c r="R11" s="117">
        <f t="shared" si="8"/>
        <v>7.6923076923076927E-2</v>
      </c>
      <c r="T11" s="90">
        <v>21.5</v>
      </c>
      <c r="U11" s="87">
        <f t="shared" si="9"/>
        <v>1.5673500000000002</v>
      </c>
      <c r="V11" s="87">
        <v>0.90369999999999995</v>
      </c>
      <c r="W11" s="119">
        <f t="shared" si="10"/>
        <v>0.6636500000000003</v>
      </c>
      <c r="X11" s="82"/>
      <c r="Y11" s="90">
        <v>21.5</v>
      </c>
      <c r="Z11" s="87">
        <f t="shared" si="11"/>
        <v>2.2446000000000001E-2</v>
      </c>
      <c r="AA11" s="87">
        <f t="shared" si="12"/>
        <v>9.2140000000000004</v>
      </c>
      <c r="AB11" s="87">
        <f t="shared" si="13"/>
        <v>10.960999999999999</v>
      </c>
      <c r="AC11" s="87">
        <f t="shared" si="14"/>
        <v>3.3107400985278197</v>
      </c>
      <c r="AD11" s="119">
        <f t="shared" si="15"/>
        <v>0.68471880492583193</v>
      </c>
      <c r="AE11" s="82"/>
      <c r="AF11" s="84">
        <v>75</v>
      </c>
      <c r="AG11" s="87">
        <f t="shared" si="16"/>
        <v>27375</v>
      </c>
      <c r="AH11" s="117">
        <f t="shared" si="17"/>
        <v>3.6529680365296805E-5</v>
      </c>
      <c r="AJ11" s="84">
        <v>5</v>
      </c>
      <c r="AK11" s="117">
        <f t="shared" si="18"/>
        <v>0.2</v>
      </c>
      <c r="AM11" s="90">
        <v>21.5</v>
      </c>
      <c r="AN11" s="88">
        <v>0.86919999999999997</v>
      </c>
      <c r="AO11" s="88">
        <f t="shared" si="1"/>
        <v>-3.4184999999999999</v>
      </c>
      <c r="AP11" s="88">
        <f t="shared" si="19"/>
        <v>5.1587100000000001</v>
      </c>
      <c r="AQ11" s="88">
        <f t="shared" si="20"/>
        <v>-3.3869981999999998</v>
      </c>
      <c r="AR11" s="88">
        <f t="shared" si="21"/>
        <v>0.81388831306249998</v>
      </c>
      <c r="AS11" s="119">
        <f t="shared" si="22"/>
        <v>3.6300113062500583E-2</v>
      </c>
      <c r="AU11" s="73"/>
      <c r="AV11" s="73"/>
      <c r="AW11" s="73"/>
    </row>
    <row r="12" spans="2:49" x14ac:dyDescent="0.3">
      <c r="B12" s="90">
        <v>22</v>
      </c>
      <c r="C12" s="88">
        <v>0.35</v>
      </c>
      <c r="D12" s="88">
        <v>0.23</v>
      </c>
      <c r="E12" s="117">
        <f>C12*D12</f>
        <v>8.0500000000000002E-2</v>
      </c>
      <c r="G12" s="90">
        <v>22</v>
      </c>
      <c r="H12" s="88">
        <v>2.3441874855490341</v>
      </c>
      <c r="I12" s="87">
        <v>0.89</v>
      </c>
      <c r="J12" s="88">
        <f>-LN(I12)</f>
        <v>0.11653381625595151</v>
      </c>
      <c r="K12" s="88">
        <f>H12*J12</f>
        <v>0.2731771137104721</v>
      </c>
      <c r="L12" s="118">
        <f>LN(K12)</f>
        <v>-1.2976349259860414</v>
      </c>
      <c r="M12" s="118">
        <f>LN(I12)</f>
        <v>-0.11653381625595151</v>
      </c>
      <c r="N12" s="118">
        <f>L12/M12</f>
        <v>11.13526500441686</v>
      </c>
      <c r="O12" s="119">
        <f t="shared" ref="O12:O24" si="23">1/N12</f>
        <v>8.9804777847976219E-2</v>
      </c>
      <c r="Q12" s="90">
        <v>6</v>
      </c>
      <c r="R12" s="117">
        <f>1/Q12</f>
        <v>0.16666666666666666</v>
      </c>
      <c r="T12" s="90">
        <v>22</v>
      </c>
      <c r="U12" s="87">
        <f>0.0729*T12</f>
        <v>1.6038000000000001</v>
      </c>
      <c r="V12" s="87">
        <v>0.90369999999999995</v>
      </c>
      <c r="W12" s="119">
        <f>U12-V12</f>
        <v>0.70010000000000017</v>
      </c>
      <c r="X12" s="73"/>
      <c r="Y12" s="90">
        <v>22</v>
      </c>
      <c r="Z12" s="87">
        <f>0.001044*Y12</f>
        <v>2.2967999999999999E-2</v>
      </c>
      <c r="AA12" s="87">
        <f>Y12-12.286</f>
        <v>9.7140000000000004</v>
      </c>
      <c r="AB12" s="87">
        <f>32.461-Y12</f>
        <v>10.460999999999999</v>
      </c>
      <c r="AC12" s="87">
        <f>SQRT(AB12)</f>
        <v>3.2343469201679649</v>
      </c>
      <c r="AD12" s="119">
        <f>Z12*AA12*AC12</f>
        <v>0.72161886732632674</v>
      </c>
      <c r="AE12" s="73"/>
      <c r="AF12" s="84">
        <v>75</v>
      </c>
      <c r="AG12" s="87">
        <f>75*365</f>
        <v>27375</v>
      </c>
      <c r="AH12" s="117">
        <f>1/AG12</f>
        <v>3.6529680365296805E-5</v>
      </c>
      <c r="AI12" s="73"/>
      <c r="AJ12" s="84">
        <v>5</v>
      </c>
      <c r="AK12" s="117">
        <f>1/5</f>
        <v>0.2</v>
      </c>
      <c r="AL12" s="73"/>
      <c r="AM12" s="90">
        <v>22</v>
      </c>
      <c r="AN12" s="88">
        <v>0.86919999999999997</v>
      </c>
      <c r="AO12" s="88">
        <f>-0.159*AM12</f>
        <v>-3.4980000000000002</v>
      </c>
      <c r="AP12" s="88">
        <f>0.01116*AM12*AM12</f>
        <v>5.40144</v>
      </c>
      <c r="AQ12" s="88">
        <f>-(3.408/10000)*AM12*AM12*AM12</f>
        <v>-3.6288384000000002</v>
      </c>
      <c r="AR12" s="88">
        <f>(3.809/1000000)*AM12*AM12*AM12*AM12</f>
        <v>0.89228110400000005</v>
      </c>
      <c r="AS12" s="119">
        <f>AN12+AO12+AP12+AQ12+AR12</f>
        <v>3.6082703999999799E-2</v>
      </c>
      <c r="AU12" s="189"/>
      <c r="AV12" s="189"/>
      <c r="AW12" s="189"/>
    </row>
    <row r="13" spans="2:49" x14ac:dyDescent="0.3">
      <c r="B13" s="90">
        <v>22.5</v>
      </c>
      <c r="C13" s="88">
        <v>0.35</v>
      </c>
      <c r="D13" s="88">
        <v>0.23</v>
      </c>
      <c r="E13" s="117">
        <f t="shared" ref="E13:E24" si="24">C13*D13</f>
        <v>8.0500000000000002E-2</v>
      </c>
      <c r="G13" s="90">
        <v>22.5</v>
      </c>
      <c r="H13" s="88">
        <v>2.4993511312408256</v>
      </c>
      <c r="I13" s="87">
        <v>0.89</v>
      </c>
      <c r="J13" s="88">
        <f t="shared" ref="J13:J24" si="25">-LN(I13)</f>
        <v>0.11653381625595151</v>
      </c>
      <c r="K13" s="88">
        <f t="shared" ref="K13:K24" si="26">H13*J13</f>
        <v>0.2912589254871229</v>
      </c>
      <c r="L13" s="118">
        <f t="shared" ref="L13:L24" si="27">LN(K13)</f>
        <v>-1.2335426291224398</v>
      </c>
      <c r="M13" s="118">
        <f t="shared" ref="M13:M24" si="28">LN(I13)</f>
        <v>-0.11653381625595151</v>
      </c>
      <c r="N13" s="118">
        <f t="shared" ref="N13:N24" si="29">L13/M13</f>
        <v>10.585276177801664</v>
      </c>
      <c r="O13" s="119">
        <f t="shared" si="23"/>
        <v>9.4470846409949669E-2</v>
      </c>
      <c r="Q13" s="90">
        <v>6</v>
      </c>
      <c r="R13" s="117">
        <f t="shared" ref="R13:R24" si="30">1/Q13</f>
        <v>0.16666666666666666</v>
      </c>
      <c r="T13" s="90">
        <v>22.5</v>
      </c>
      <c r="U13" s="87">
        <f t="shared" ref="U13:U20" si="31">0.0729*T13</f>
        <v>1.6402500000000002</v>
      </c>
      <c r="V13" s="87">
        <v>0.90369999999999995</v>
      </c>
      <c r="W13" s="119">
        <f t="shared" ref="W13:W20" si="32">U13-V13</f>
        <v>0.73655000000000026</v>
      </c>
      <c r="X13" s="73"/>
      <c r="Y13" s="90">
        <v>22.5</v>
      </c>
      <c r="Z13" s="87">
        <f t="shared" ref="Z13:Z24" si="33">0.001044*Y13</f>
        <v>2.349E-2</v>
      </c>
      <c r="AA13" s="87">
        <f t="shared" ref="AA13:AA24" si="34">Y13-12.286</f>
        <v>10.214</v>
      </c>
      <c r="AB13" s="87">
        <f t="shared" ref="AB13:AB24" si="35">32.461-Y13</f>
        <v>9.9609999999999985</v>
      </c>
      <c r="AC13" s="87">
        <f t="shared" ref="AC13:AC24" si="36">SQRT(AB13)</f>
        <v>3.1561051946980472</v>
      </c>
      <c r="AD13" s="119">
        <f t="shared" ref="AD13:AD24" si="37">Z13*AA13*AC13</f>
        <v>0.7572344091935912</v>
      </c>
      <c r="AE13" s="73"/>
      <c r="AF13" s="84">
        <v>75</v>
      </c>
      <c r="AG13" s="87">
        <f t="shared" ref="AG13:AG24" si="38">75*365</f>
        <v>27375</v>
      </c>
      <c r="AH13" s="117">
        <f t="shared" ref="AH13:AH24" si="39">1/AG13</f>
        <v>3.6529680365296805E-5</v>
      </c>
      <c r="AI13" s="73"/>
      <c r="AJ13" s="84">
        <v>5</v>
      </c>
      <c r="AK13" s="117">
        <f t="shared" ref="AK13:AK24" si="40">1/5</f>
        <v>0.2</v>
      </c>
      <c r="AL13" s="73"/>
      <c r="AM13" s="90">
        <v>22.5</v>
      </c>
      <c r="AN13" s="88">
        <v>0.86919999999999997</v>
      </c>
      <c r="AO13" s="88">
        <f t="shared" ref="AO13:AO24" si="41">-0.159*AM13</f>
        <v>-3.5775000000000001</v>
      </c>
      <c r="AP13" s="88">
        <f t="shared" ref="AP13:AP24" si="42">0.01116*AM13*AM13</f>
        <v>5.64975</v>
      </c>
      <c r="AQ13" s="88">
        <f t="shared" ref="AQ13:AQ24" si="43">-(3.408/10000)*AM13*AM13*AM13</f>
        <v>-3.8819249999999998</v>
      </c>
      <c r="AR13" s="88">
        <f t="shared" ref="AR13:AR24" si="44">(3.809/1000000)*AM13*AM13*AM13*AM13</f>
        <v>0.9762050390625</v>
      </c>
      <c r="AS13" s="119">
        <f t="shared" ref="AS13:AS24" si="45">AN13+AO13+AP13+AQ13+AR13</f>
        <v>3.573003906249983E-2</v>
      </c>
    </row>
    <row r="14" spans="2:49" x14ac:dyDescent="0.3">
      <c r="B14" s="90">
        <v>23</v>
      </c>
      <c r="C14" s="88">
        <v>0.35</v>
      </c>
      <c r="D14" s="88">
        <v>0.24</v>
      </c>
      <c r="E14" s="117">
        <f t="shared" si="24"/>
        <v>8.3999999999999991E-2</v>
      </c>
      <c r="G14" s="90">
        <v>23</v>
      </c>
      <c r="H14" s="88">
        <v>2.6617851355371172</v>
      </c>
      <c r="I14" s="87">
        <v>0.89</v>
      </c>
      <c r="J14" s="88">
        <f t="shared" si="25"/>
        <v>0.11653381625595151</v>
      </c>
      <c r="K14" s="88">
        <f t="shared" si="26"/>
        <v>0.31018797989750541</v>
      </c>
      <c r="L14" s="118">
        <f t="shared" si="27"/>
        <v>-1.1705767785149637</v>
      </c>
      <c r="M14" s="118">
        <f t="shared" si="28"/>
        <v>-0.11653381625595151</v>
      </c>
      <c r="N14" s="118">
        <f t="shared" si="29"/>
        <v>10.044953611953655</v>
      </c>
      <c r="O14" s="119">
        <f t="shared" si="23"/>
        <v>9.9552475663997497E-2</v>
      </c>
      <c r="Q14" s="90">
        <v>6</v>
      </c>
      <c r="R14" s="117">
        <f t="shared" si="30"/>
        <v>0.16666666666666666</v>
      </c>
      <c r="T14" s="90">
        <v>23</v>
      </c>
      <c r="U14" s="87">
        <f t="shared" si="31"/>
        <v>1.6767000000000001</v>
      </c>
      <c r="V14" s="87">
        <v>0.90369999999999995</v>
      </c>
      <c r="W14" s="119">
        <f t="shared" si="32"/>
        <v>0.77300000000000013</v>
      </c>
      <c r="X14" s="73"/>
      <c r="Y14" s="90">
        <v>23</v>
      </c>
      <c r="Z14" s="87">
        <f t="shared" si="33"/>
        <v>2.4011999999999999E-2</v>
      </c>
      <c r="AA14" s="87">
        <f>Y14-12.286</f>
        <v>10.714</v>
      </c>
      <c r="AB14" s="87">
        <f t="shared" si="35"/>
        <v>9.4609999999999985</v>
      </c>
      <c r="AC14" s="87">
        <f t="shared" si="36"/>
        <v>3.0758738595722677</v>
      </c>
      <c r="AD14" s="119">
        <f t="shared" si="37"/>
        <v>0.79131335970535199</v>
      </c>
      <c r="AE14" s="73"/>
      <c r="AF14" s="84">
        <v>75</v>
      </c>
      <c r="AG14" s="87">
        <f t="shared" si="38"/>
        <v>27375</v>
      </c>
      <c r="AH14" s="117">
        <f t="shared" si="39"/>
        <v>3.6529680365296805E-5</v>
      </c>
      <c r="AI14" s="73"/>
      <c r="AJ14" s="84">
        <v>5</v>
      </c>
      <c r="AK14" s="117">
        <f t="shared" si="40"/>
        <v>0.2</v>
      </c>
      <c r="AL14" s="73"/>
      <c r="AM14" s="90">
        <v>23</v>
      </c>
      <c r="AN14" s="88">
        <v>0.86919999999999997</v>
      </c>
      <c r="AO14" s="88">
        <f t="shared" si="41"/>
        <v>-3.657</v>
      </c>
      <c r="AP14" s="88">
        <f t="shared" si="42"/>
        <v>5.9036400000000002</v>
      </c>
      <c r="AQ14" s="88">
        <f t="shared" si="43"/>
        <v>-4.1465136000000005</v>
      </c>
      <c r="AR14" s="88">
        <f t="shared" si="44"/>
        <v>1.0659143689999999</v>
      </c>
      <c r="AS14" s="119">
        <f t="shared" si="45"/>
        <v>3.5240768999999839E-2</v>
      </c>
    </row>
    <row r="15" spans="2:49" x14ac:dyDescent="0.3">
      <c r="B15" s="90">
        <v>23.5</v>
      </c>
      <c r="C15" s="88">
        <v>0.35</v>
      </c>
      <c r="D15" s="88">
        <v>0.24</v>
      </c>
      <c r="E15" s="117">
        <f t="shared" si="24"/>
        <v>8.3999999999999991E-2</v>
      </c>
      <c r="G15" s="90">
        <v>23.5</v>
      </c>
      <c r="H15" s="88">
        <v>2.8319554069180213</v>
      </c>
      <c r="I15" s="87">
        <v>0.89</v>
      </c>
      <c r="J15" s="88">
        <f t="shared" si="25"/>
        <v>0.11653381625595151</v>
      </c>
      <c r="K15" s="88">
        <f t="shared" si="26"/>
        <v>0.33001857103483306</v>
      </c>
      <c r="L15" s="118">
        <f t="shared" si="27"/>
        <v>-1.1086063502419077</v>
      </c>
      <c r="M15" s="118">
        <f t="shared" si="28"/>
        <v>-0.11653381625595151</v>
      </c>
      <c r="N15" s="118">
        <f t="shared" si="29"/>
        <v>9.5131729643779686</v>
      </c>
      <c r="O15" s="119">
        <f t="shared" si="23"/>
        <v>0.10511739918368933</v>
      </c>
      <c r="Q15" s="90">
        <v>6</v>
      </c>
      <c r="R15" s="117">
        <f t="shared" si="30"/>
        <v>0.16666666666666666</v>
      </c>
      <c r="T15" s="90">
        <v>23.5</v>
      </c>
      <c r="U15" s="87">
        <f t="shared" si="31"/>
        <v>1.7131500000000002</v>
      </c>
      <c r="V15" s="87">
        <v>0.90369999999999995</v>
      </c>
      <c r="W15" s="119">
        <f t="shared" si="32"/>
        <v>0.80945000000000022</v>
      </c>
      <c r="X15" s="73"/>
      <c r="Y15" s="90">
        <v>23.5</v>
      </c>
      <c r="Z15" s="87">
        <f t="shared" si="33"/>
        <v>2.4534E-2</v>
      </c>
      <c r="AA15" s="87">
        <f t="shared" si="34"/>
        <v>11.214</v>
      </c>
      <c r="AB15" s="87">
        <f t="shared" si="35"/>
        <v>8.9609999999999985</v>
      </c>
      <c r="AC15" s="87">
        <f t="shared" si="36"/>
        <v>2.993492943034942</v>
      </c>
      <c r="AD15" s="119">
        <f t="shared" si="37"/>
        <v>0.82358257866359763</v>
      </c>
      <c r="AE15" s="73"/>
      <c r="AF15" s="84">
        <v>75</v>
      </c>
      <c r="AG15" s="87">
        <f t="shared" si="38"/>
        <v>27375</v>
      </c>
      <c r="AH15" s="117">
        <f t="shared" si="39"/>
        <v>3.6529680365296805E-5</v>
      </c>
      <c r="AI15" s="73"/>
      <c r="AJ15" s="84">
        <v>5</v>
      </c>
      <c r="AK15" s="117">
        <f t="shared" si="40"/>
        <v>0.2</v>
      </c>
      <c r="AL15" s="73"/>
      <c r="AM15" s="90">
        <v>23.5</v>
      </c>
      <c r="AN15" s="88">
        <v>0.86919999999999997</v>
      </c>
      <c r="AO15" s="88">
        <f t="shared" si="41"/>
        <v>-3.7364999999999999</v>
      </c>
      <c r="AP15" s="88">
        <f t="shared" si="42"/>
        <v>6.1631099999999996</v>
      </c>
      <c r="AQ15" s="88">
        <f t="shared" si="43"/>
        <v>-4.4228598000000003</v>
      </c>
      <c r="AR15" s="88">
        <f t="shared" si="44"/>
        <v>1.1616690580625</v>
      </c>
      <c r="AS15" s="119">
        <f t="shared" si="45"/>
        <v>3.4619258062499103E-2</v>
      </c>
    </row>
    <row r="16" spans="2:49" x14ac:dyDescent="0.3">
      <c r="B16" s="90">
        <v>24</v>
      </c>
      <c r="C16" s="88">
        <v>0.35</v>
      </c>
      <c r="D16" s="88">
        <v>0.25</v>
      </c>
      <c r="E16" s="117">
        <f t="shared" si="24"/>
        <v>8.7499999999999994E-2</v>
      </c>
      <c r="G16" s="90">
        <v>24</v>
      </c>
      <c r="H16" s="88">
        <v>3.010032863202742</v>
      </c>
      <c r="I16" s="87">
        <v>0.89</v>
      </c>
      <c r="J16" s="88">
        <f t="shared" si="25"/>
        <v>0.11653381625595151</v>
      </c>
      <c r="K16" s="88">
        <f t="shared" si="26"/>
        <v>0.35077061660484393</v>
      </c>
      <c r="L16" s="118">
        <f t="shared" si="27"/>
        <v>-1.0476227830959037</v>
      </c>
      <c r="M16" s="118">
        <f t="shared" si="28"/>
        <v>-0.11653381625595151</v>
      </c>
      <c r="N16" s="118">
        <f t="shared" si="29"/>
        <v>8.9898607696407655</v>
      </c>
      <c r="O16" s="119">
        <f t="shared" si="23"/>
        <v>0.11123642797417428</v>
      </c>
      <c r="Q16" s="90">
        <v>6</v>
      </c>
      <c r="R16" s="117">
        <f t="shared" si="30"/>
        <v>0.16666666666666666</v>
      </c>
      <c r="T16" s="90">
        <v>24</v>
      </c>
      <c r="U16" s="87">
        <f t="shared" si="31"/>
        <v>1.7496</v>
      </c>
      <c r="V16" s="87">
        <v>0.90369999999999995</v>
      </c>
      <c r="W16" s="119">
        <f t="shared" si="32"/>
        <v>0.8459000000000001</v>
      </c>
      <c r="X16" s="73"/>
      <c r="Y16" s="90">
        <v>24</v>
      </c>
      <c r="Z16" s="87">
        <f t="shared" si="33"/>
        <v>2.5056000000000002E-2</v>
      </c>
      <c r="AA16" s="87">
        <f t="shared" si="34"/>
        <v>11.714</v>
      </c>
      <c r="AB16" s="87">
        <f t="shared" si="35"/>
        <v>8.4609999999999985</v>
      </c>
      <c r="AC16" s="87">
        <f t="shared" si="36"/>
        <v>2.9087798129112485</v>
      </c>
      <c r="AD16" s="119">
        <f t="shared" si="37"/>
        <v>0.85374428122785206</v>
      </c>
      <c r="AE16" s="73"/>
      <c r="AF16" s="84">
        <v>75</v>
      </c>
      <c r="AG16" s="87">
        <f t="shared" si="38"/>
        <v>27375</v>
      </c>
      <c r="AH16" s="117">
        <f t="shared" si="39"/>
        <v>3.6529680365296805E-5</v>
      </c>
      <c r="AI16" s="73"/>
      <c r="AJ16" s="84">
        <v>5</v>
      </c>
      <c r="AK16" s="117">
        <f t="shared" si="40"/>
        <v>0.2</v>
      </c>
      <c r="AL16" s="73"/>
      <c r="AM16" s="90">
        <v>24</v>
      </c>
      <c r="AN16" s="88">
        <v>0.86919999999999997</v>
      </c>
      <c r="AO16" s="88">
        <f t="shared" si="41"/>
        <v>-3.8159999999999998</v>
      </c>
      <c r="AP16" s="88">
        <f t="shared" si="42"/>
        <v>6.4281599999999992</v>
      </c>
      <c r="AQ16" s="88">
        <f t="shared" si="43"/>
        <v>-4.7112192000000004</v>
      </c>
      <c r="AR16" s="88">
        <f t="shared" si="44"/>
        <v>1.2637347840000002</v>
      </c>
      <c r="AS16" s="119">
        <f t="shared" si="45"/>
        <v>3.3875583999999348E-2</v>
      </c>
    </row>
    <row r="17" spans="2:49" x14ac:dyDescent="0.3">
      <c r="B17" s="90">
        <v>24.5</v>
      </c>
      <c r="C17" s="88">
        <v>0.35</v>
      </c>
      <c r="D17" s="88">
        <v>0.27</v>
      </c>
      <c r="E17" s="117">
        <f t="shared" si="24"/>
        <v>9.4500000000000001E-2</v>
      </c>
      <c r="G17" s="90">
        <v>24.5</v>
      </c>
      <c r="H17" s="88">
        <v>3.1957720614097536</v>
      </c>
      <c r="I17" s="87">
        <v>0.89</v>
      </c>
      <c r="J17" s="88">
        <f t="shared" si="25"/>
        <v>0.11653381625595151</v>
      </c>
      <c r="K17" s="88">
        <f t="shared" si="26"/>
        <v>0.37241551420022762</v>
      </c>
      <c r="L17" s="118">
        <f t="shared" si="27"/>
        <v>-0.98774507440340475</v>
      </c>
      <c r="M17" s="118">
        <f t="shared" si="28"/>
        <v>-0.11653381625595151</v>
      </c>
      <c r="N17" s="118">
        <f t="shared" si="29"/>
        <v>8.4760381676160854</v>
      </c>
      <c r="O17" s="119">
        <f t="shared" si="23"/>
        <v>0.11797964806489933</v>
      </c>
      <c r="Q17" s="90">
        <v>6</v>
      </c>
      <c r="R17" s="117">
        <f t="shared" si="30"/>
        <v>0.16666666666666666</v>
      </c>
      <c r="T17" s="90">
        <v>24.5</v>
      </c>
      <c r="U17" s="87">
        <f t="shared" si="31"/>
        <v>1.7860500000000001</v>
      </c>
      <c r="V17" s="87">
        <v>0.90369999999999995</v>
      </c>
      <c r="W17" s="119">
        <f t="shared" si="32"/>
        <v>0.88235000000000019</v>
      </c>
      <c r="X17" s="73"/>
      <c r="Y17" s="90">
        <v>24.5</v>
      </c>
      <c r="Z17" s="87">
        <f t="shared" si="33"/>
        <v>2.5578E-2</v>
      </c>
      <c r="AA17" s="87">
        <f t="shared" si="34"/>
        <v>12.214</v>
      </c>
      <c r="AB17" s="87">
        <f t="shared" si="35"/>
        <v>7.9609999999999985</v>
      </c>
      <c r="AC17" s="87">
        <f t="shared" si="36"/>
        <v>2.8215244106688142</v>
      </c>
      <c r="AD17" s="119">
        <f t="shared" si="37"/>
        <v>0.8814715721075258</v>
      </c>
      <c r="AE17" s="73"/>
      <c r="AF17" s="84">
        <v>75</v>
      </c>
      <c r="AG17" s="87">
        <f t="shared" si="38"/>
        <v>27375</v>
      </c>
      <c r="AH17" s="117">
        <f t="shared" si="39"/>
        <v>3.6529680365296805E-5</v>
      </c>
      <c r="AI17" s="73"/>
      <c r="AJ17" s="84">
        <v>5</v>
      </c>
      <c r="AK17" s="117">
        <f t="shared" si="40"/>
        <v>0.2</v>
      </c>
      <c r="AL17" s="73"/>
      <c r="AM17" s="90">
        <v>24.5</v>
      </c>
      <c r="AN17" s="88">
        <v>0.86919999999999997</v>
      </c>
      <c r="AO17" s="88">
        <f t="shared" si="41"/>
        <v>-3.8955000000000002</v>
      </c>
      <c r="AP17" s="88">
        <f t="shared" si="42"/>
        <v>6.6987899999999998</v>
      </c>
      <c r="AQ17" s="88">
        <f t="shared" si="43"/>
        <v>-5.0118473999999997</v>
      </c>
      <c r="AR17" s="88">
        <f t="shared" si="44"/>
        <v>1.3723829380625001</v>
      </c>
      <c r="AS17" s="119">
        <f t="shared" si="45"/>
        <v>3.3025538062500193E-2</v>
      </c>
    </row>
    <row r="18" spans="2:49" x14ac:dyDescent="0.3">
      <c r="B18" s="90">
        <v>25</v>
      </c>
      <c r="C18" s="88">
        <v>0.35</v>
      </c>
      <c r="D18" s="88">
        <v>0.3</v>
      </c>
      <c r="E18" s="117">
        <f t="shared" si="24"/>
        <v>0.105</v>
      </c>
      <c r="G18" s="90">
        <v>25</v>
      </c>
      <c r="H18" s="88">
        <v>3.3883452687110496</v>
      </c>
      <c r="I18" s="87">
        <v>0.89</v>
      </c>
      <c r="J18" s="88">
        <f t="shared" si="25"/>
        <v>0.11653381625595151</v>
      </c>
      <c r="K18" s="88">
        <f t="shared" si="26"/>
        <v>0.39485680495569608</v>
      </c>
      <c r="L18" s="118">
        <f t="shared" si="27"/>
        <v>-0.92923209890645264</v>
      </c>
      <c r="M18" s="118">
        <f t="shared" si="28"/>
        <v>-0.11653381625595151</v>
      </c>
      <c r="N18" s="118">
        <f t="shared" si="29"/>
        <v>7.9739266142757579</v>
      </c>
      <c r="O18" s="119">
        <f t="shared" si="23"/>
        <v>0.12540872876980022</v>
      </c>
      <c r="Q18" s="90">
        <v>6</v>
      </c>
      <c r="R18" s="117">
        <f t="shared" si="30"/>
        <v>0.16666666666666666</v>
      </c>
      <c r="T18" s="90">
        <v>25</v>
      </c>
      <c r="U18" s="87">
        <f t="shared" si="31"/>
        <v>1.8225000000000002</v>
      </c>
      <c r="V18" s="87">
        <v>0.90369999999999995</v>
      </c>
      <c r="W18" s="119">
        <f t="shared" si="32"/>
        <v>0.91880000000000028</v>
      </c>
      <c r="X18" s="73"/>
      <c r="Y18" s="90">
        <v>25</v>
      </c>
      <c r="Z18" s="87">
        <f t="shared" si="33"/>
        <v>2.6100000000000002E-2</v>
      </c>
      <c r="AA18" s="87">
        <f t="shared" si="34"/>
        <v>12.714</v>
      </c>
      <c r="AB18" s="87">
        <f t="shared" si="35"/>
        <v>7.4609999999999985</v>
      </c>
      <c r="AC18" s="87">
        <f t="shared" si="36"/>
        <v>2.7314831136216089</v>
      </c>
      <c r="AD18" s="119">
        <f t="shared" si="37"/>
        <v>0.9064027916018722</v>
      </c>
      <c r="AE18" s="73"/>
      <c r="AF18" s="84">
        <v>75</v>
      </c>
      <c r="AG18" s="87">
        <f t="shared" si="38"/>
        <v>27375</v>
      </c>
      <c r="AH18" s="117">
        <f t="shared" si="39"/>
        <v>3.6529680365296805E-5</v>
      </c>
      <c r="AI18" s="73"/>
      <c r="AJ18" s="84">
        <v>5</v>
      </c>
      <c r="AK18" s="117">
        <f t="shared" si="40"/>
        <v>0.2</v>
      </c>
      <c r="AL18" s="73"/>
      <c r="AM18" s="90">
        <v>25</v>
      </c>
      <c r="AN18" s="88">
        <v>0.86919999999999997</v>
      </c>
      <c r="AO18" s="88">
        <f t="shared" si="41"/>
        <v>-3.9750000000000001</v>
      </c>
      <c r="AP18" s="88">
        <f t="shared" si="42"/>
        <v>6.9749999999999996</v>
      </c>
      <c r="AQ18" s="88">
        <f t="shared" si="43"/>
        <v>-5.3250000000000002</v>
      </c>
      <c r="AR18" s="88">
        <f t="shared" si="44"/>
        <v>1.4878906250000001</v>
      </c>
      <c r="AS18" s="119">
        <f t="shared" si="45"/>
        <v>3.2090624999999262E-2</v>
      </c>
    </row>
    <row r="19" spans="2:49" x14ac:dyDescent="0.3">
      <c r="B19" s="90">
        <v>25.5</v>
      </c>
      <c r="C19" s="88">
        <v>0.35</v>
      </c>
      <c r="D19" s="88">
        <v>0.33</v>
      </c>
      <c r="E19" s="117">
        <f t="shared" si="24"/>
        <v>0.11549999999999999</v>
      </c>
      <c r="G19" s="90">
        <v>25.5</v>
      </c>
      <c r="H19" s="88">
        <v>3.5861216059978043</v>
      </c>
      <c r="I19" s="87">
        <v>0.89</v>
      </c>
      <c r="J19" s="88">
        <f t="shared" si="25"/>
        <v>0.11653381625595151</v>
      </c>
      <c r="K19" s="88">
        <f t="shared" si="26"/>
        <v>0.41790443630484586</v>
      </c>
      <c r="L19" s="118">
        <f t="shared" si="27"/>
        <v>-0.87250249387548251</v>
      </c>
      <c r="M19" s="118">
        <f t="shared" si="28"/>
        <v>-0.11653381625595151</v>
      </c>
      <c r="N19" s="118">
        <f t="shared" si="29"/>
        <v>7.4871185198221193</v>
      </c>
      <c r="O19" s="119">
        <f t="shared" si="23"/>
        <v>0.13356273142364497</v>
      </c>
      <c r="Q19" s="90">
        <v>6</v>
      </c>
      <c r="R19" s="117">
        <f t="shared" si="30"/>
        <v>0.16666666666666666</v>
      </c>
      <c r="T19" s="90">
        <v>25.5</v>
      </c>
      <c r="U19" s="87">
        <f t="shared" si="31"/>
        <v>1.8589500000000001</v>
      </c>
      <c r="V19" s="87">
        <v>0.90369999999999995</v>
      </c>
      <c r="W19" s="119">
        <f t="shared" si="32"/>
        <v>0.95525000000000015</v>
      </c>
      <c r="X19" s="73"/>
      <c r="Y19" s="90">
        <v>25.5</v>
      </c>
      <c r="Z19" s="87">
        <f t="shared" si="33"/>
        <v>2.6622E-2</v>
      </c>
      <c r="AA19" s="87">
        <f t="shared" si="34"/>
        <v>13.214</v>
      </c>
      <c r="AB19" s="87">
        <f t="shared" si="35"/>
        <v>6.9609999999999985</v>
      </c>
      <c r="AC19" s="87">
        <f t="shared" si="36"/>
        <v>2.638370709358334</v>
      </c>
      <c r="AD19" s="119">
        <f t="shared" si="37"/>
        <v>0.9281342481942394</v>
      </c>
      <c r="AE19" s="73"/>
      <c r="AF19" s="84">
        <v>75</v>
      </c>
      <c r="AG19" s="87">
        <f t="shared" si="38"/>
        <v>27375</v>
      </c>
      <c r="AH19" s="117">
        <f t="shared" si="39"/>
        <v>3.6529680365296805E-5</v>
      </c>
      <c r="AI19" s="73"/>
      <c r="AJ19" s="84">
        <v>5</v>
      </c>
      <c r="AK19" s="117">
        <f t="shared" si="40"/>
        <v>0.2</v>
      </c>
      <c r="AL19" s="73"/>
      <c r="AM19" s="90">
        <v>25.5</v>
      </c>
      <c r="AN19" s="88">
        <v>0.86919999999999997</v>
      </c>
      <c r="AO19" s="88">
        <f t="shared" si="41"/>
        <v>-4.0545</v>
      </c>
      <c r="AP19" s="88">
        <f t="shared" si="42"/>
        <v>7.2567899999999996</v>
      </c>
      <c r="AQ19" s="88">
        <f t="shared" si="43"/>
        <v>-5.6509325999999991</v>
      </c>
      <c r="AR19" s="88">
        <f t="shared" si="44"/>
        <v>1.6105406630625001</v>
      </c>
      <c r="AS19" s="119">
        <f t="shared" si="45"/>
        <v>3.1098063062500847E-2</v>
      </c>
    </row>
    <row r="20" spans="2:49" x14ac:dyDescent="0.3">
      <c r="B20" s="90">
        <v>26</v>
      </c>
      <c r="C20" s="88">
        <v>0.35</v>
      </c>
      <c r="D20" s="88">
        <v>0.37</v>
      </c>
      <c r="E20" s="117">
        <f t="shared" si="24"/>
        <v>0.1295</v>
      </c>
      <c r="G20" s="90">
        <v>26</v>
      </c>
      <c r="H20" s="88">
        <v>3.7863843550746799</v>
      </c>
      <c r="I20" s="87">
        <v>0.89</v>
      </c>
      <c r="J20" s="88">
        <f t="shared" si="25"/>
        <v>0.11653381625595151</v>
      </c>
      <c r="K20" s="88">
        <f t="shared" si="26"/>
        <v>0.44124181870868218</v>
      </c>
      <c r="L20" s="118">
        <f t="shared" si="27"/>
        <v>-0.81816221207664552</v>
      </c>
      <c r="M20" s="118">
        <f t="shared" si="28"/>
        <v>-0.11653381625595151</v>
      </c>
      <c r="N20" s="118">
        <f t="shared" si="29"/>
        <v>7.020813686214975</v>
      </c>
      <c r="O20" s="119">
        <f t="shared" si="23"/>
        <v>0.14243363300801604</v>
      </c>
      <c r="Q20" s="90">
        <v>6</v>
      </c>
      <c r="R20" s="117">
        <f t="shared" si="30"/>
        <v>0.16666666666666666</v>
      </c>
      <c r="T20" s="90">
        <v>26</v>
      </c>
      <c r="U20" s="87">
        <f t="shared" si="31"/>
        <v>1.8954000000000002</v>
      </c>
      <c r="V20" s="87">
        <v>0.90369999999999995</v>
      </c>
      <c r="W20" s="119">
        <f t="shared" si="32"/>
        <v>0.99170000000000025</v>
      </c>
      <c r="X20" s="73"/>
      <c r="Y20" s="90">
        <v>26</v>
      </c>
      <c r="Z20" s="87">
        <f t="shared" si="33"/>
        <v>2.7144000000000001E-2</v>
      </c>
      <c r="AA20" s="87">
        <f t="shared" si="34"/>
        <v>13.714</v>
      </c>
      <c r="AB20" s="87">
        <f t="shared" si="35"/>
        <v>6.4609999999999985</v>
      </c>
      <c r="AC20" s="87">
        <f t="shared" si="36"/>
        <v>2.5418497201841022</v>
      </c>
      <c r="AD20" s="119">
        <f t="shared" si="37"/>
        <v>0.9462107161873442</v>
      </c>
      <c r="AE20" s="73"/>
      <c r="AF20" s="84">
        <v>75</v>
      </c>
      <c r="AG20" s="87">
        <f t="shared" si="38"/>
        <v>27375</v>
      </c>
      <c r="AH20" s="117">
        <f t="shared" si="39"/>
        <v>3.6529680365296805E-5</v>
      </c>
      <c r="AI20" s="73"/>
      <c r="AJ20" s="84">
        <v>5</v>
      </c>
      <c r="AK20" s="117">
        <f t="shared" si="40"/>
        <v>0.2</v>
      </c>
      <c r="AL20" s="73"/>
      <c r="AM20" s="90">
        <v>26</v>
      </c>
      <c r="AN20" s="88">
        <v>0.86919999999999997</v>
      </c>
      <c r="AO20" s="88">
        <f t="shared" si="41"/>
        <v>-4.1340000000000003</v>
      </c>
      <c r="AP20" s="88">
        <f t="shared" si="42"/>
        <v>7.5441599999999998</v>
      </c>
      <c r="AQ20" s="88">
        <f t="shared" si="43"/>
        <v>-5.9899008</v>
      </c>
      <c r="AR20" s="88">
        <f t="shared" si="44"/>
        <v>1.7406215840000003</v>
      </c>
      <c r="AS20" s="119">
        <f t="shared" si="45"/>
        <v>3.0080783999999916E-2</v>
      </c>
    </row>
    <row r="21" spans="2:49" x14ac:dyDescent="0.3">
      <c r="B21" s="90">
        <v>26.5</v>
      </c>
      <c r="C21" s="88">
        <v>0.35</v>
      </c>
      <c r="D21" s="88">
        <v>0.42</v>
      </c>
      <c r="E21" s="117">
        <f t="shared" si="24"/>
        <v>0.14699999999999999</v>
      </c>
      <c r="G21" s="90">
        <v>26.5</v>
      </c>
      <c r="H21" s="88">
        <v>3.9300577639320466</v>
      </c>
      <c r="I21" s="87">
        <v>0.89</v>
      </c>
      <c r="J21" s="88">
        <f t="shared" si="25"/>
        <v>0.11653381625595151</v>
      </c>
      <c r="K21" s="88">
        <f t="shared" si="26"/>
        <v>0.45798462933733275</v>
      </c>
      <c r="L21" s="118">
        <f t="shared" si="27"/>
        <v>-0.78091965582995171</v>
      </c>
      <c r="M21" s="118">
        <f t="shared" si="28"/>
        <v>-0.11653381625595151</v>
      </c>
      <c r="N21" s="118">
        <f t="shared" si="29"/>
        <v>6.7012278574552324</v>
      </c>
      <c r="O21" s="119">
        <f t="shared" si="23"/>
        <v>0.1492263837719654</v>
      </c>
      <c r="Q21" s="90">
        <v>6</v>
      </c>
      <c r="R21" s="117">
        <f t="shared" si="30"/>
        <v>0.16666666666666666</v>
      </c>
      <c r="T21" s="90">
        <v>26.5</v>
      </c>
      <c r="U21" s="87"/>
      <c r="V21" s="87"/>
      <c r="W21" s="119">
        <v>1</v>
      </c>
      <c r="X21" s="73"/>
      <c r="Y21" s="90">
        <v>26.5</v>
      </c>
      <c r="Z21" s="87">
        <f t="shared" si="33"/>
        <v>2.7666E-2</v>
      </c>
      <c r="AA21" s="87">
        <f t="shared" si="34"/>
        <v>14.214</v>
      </c>
      <c r="AB21" s="87">
        <f t="shared" si="35"/>
        <v>5.9609999999999985</v>
      </c>
      <c r="AC21" s="87">
        <f t="shared" si="36"/>
        <v>2.4415159225366518</v>
      </c>
      <c r="AD21" s="119">
        <f t="shared" si="37"/>
        <v>0.9601127667963465</v>
      </c>
      <c r="AE21" s="73"/>
      <c r="AF21" s="84">
        <v>75</v>
      </c>
      <c r="AG21" s="87">
        <f t="shared" si="38"/>
        <v>27375</v>
      </c>
      <c r="AH21" s="117">
        <f t="shared" si="39"/>
        <v>3.6529680365296805E-5</v>
      </c>
      <c r="AI21" s="73"/>
      <c r="AJ21" s="84">
        <v>5</v>
      </c>
      <c r="AK21" s="117">
        <f t="shared" si="40"/>
        <v>0.2</v>
      </c>
      <c r="AL21" s="73"/>
      <c r="AM21" s="90">
        <v>26.5</v>
      </c>
      <c r="AN21" s="88">
        <v>0.86919999999999997</v>
      </c>
      <c r="AO21" s="88">
        <f t="shared" si="41"/>
        <v>-4.2134999999999998</v>
      </c>
      <c r="AP21" s="88">
        <f t="shared" si="42"/>
        <v>7.83711</v>
      </c>
      <c r="AQ21" s="88">
        <f t="shared" si="43"/>
        <v>-6.3421601999999995</v>
      </c>
      <c r="AR21" s="88">
        <f t="shared" si="44"/>
        <v>1.8784276330625003</v>
      </c>
      <c r="AS21" s="119">
        <f t="shared" si="45"/>
        <v>2.9077433062501212E-2</v>
      </c>
    </row>
    <row r="22" spans="2:49" x14ac:dyDescent="0.3">
      <c r="B22" s="90">
        <v>27</v>
      </c>
      <c r="C22" s="88">
        <v>0.35</v>
      </c>
      <c r="D22" s="88">
        <v>0.46</v>
      </c>
      <c r="E22" s="117">
        <f t="shared" si="24"/>
        <v>0.161</v>
      </c>
      <c r="G22" s="90">
        <v>27</v>
      </c>
      <c r="H22" s="88">
        <v>4.0473065252287643</v>
      </c>
      <c r="I22" s="87">
        <v>0.89</v>
      </c>
      <c r="J22" s="88">
        <f t="shared" si="25"/>
        <v>0.11653381625595151</v>
      </c>
      <c r="K22" s="88">
        <f t="shared" si="26"/>
        <v>0.47164807494252237</v>
      </c>
      <c r="L22" s="118">
        <f t="shared" si="27"/>
        <v>-0.75152217543277378</v>
      </c>
      <c r="M22" s="118">
        <f t="shared" si="28"/>
        <v>-0.11653381625595151</v>
      </c>
      <c r="N22" s="118">
        <f t="shared" si="29"/>
        <v>6.4489621946487379</v>
      </c>
      <c r="O22" s="119">
        <f t="shared" si="23"/>
        <v>0.15506370944921752</v>
      </c>
      <c r="Q22" s="90">
        <v>6</v>
      </c>
      <c r="R22" s="117">
        <f t="shared" si="30"/>
        <v>0.16666666666666666</v>
      </c>
      <c r="T22" s="90">
        <v>27</v>
      </c>
      <c r="U22" s="87"/>
      <c r="V22" s="87"/>
      <c r="W22" s="119">
        <v>1</v>
      </c>
      <c r="X22" s="73"/>
      <c r="Y22" s="90">
        <v>27</v>
      </c>
      <c r="Z22" s="87">
        <f t="shared" si="33"/>
        <v>2.8188000000000001E-2</v>
      </c>
      <c r="AA22" s="87">
        <f t="shared" si="34"/>
        <v>14.714</v>
      </c>
      <c r="AB22" s="87">
        <f t="shared" si="35"/>
        <v>5.4609999999999985</v>
      </c>
      <c r="AC22" s="87">
        <f t="shared" si="36"/>
        <v>2.3368782595591067</v>
      </c>
      <c r="AD22" s="119">
        <f t="shared" si="37"/>
        <v>0.96923949533397213</v>
      </c>
      <c r="AE22" s="73"/>
      <c r="AF22" s="84">
        <v>75</v>
      </c>
      <c r="AG22" s="87">
        <f t="shared" si="38"/>
        <v>27375</v>
      </c>
      <c r="AH22" s="117">
        <f t="shared" si="39"/>
        <v>3.6529680365296805E-5</v>
      </c>
      <c r="AI22" s="73"/>
      <c r="AJ22" s="84">
        <v>5</v>
      </c>
      <c r="AK22" s="117">
        <f t="shared" si="40"/>
        <v>0.2</v>
      </c>
      <c r="AL22" s="73"/>
      <c r="AM22" s="90">
        <v>27</v>
      </c>
      <c r="AN22" s="88">
        <v>0.86919999999999997</v>
      </c>
      <c r="AO22" s="88">
        <f t="shared" si="41"/>
        <v>-4.2930000000000001</v>
      </c>
      <c r="AP22" s="88">
        <f t="shared" si="42"/>
        <v>8.1356399999999987</v>
      </c>
      <c r="AQ22" s="88">
        <f t="shared" si="43"/>
        <v>-6.7079663999999992</v>
      </c>
      <c r="AR22" s="88">
        <f t="shared" si="44"/>
        <v>2.0242587690000002</v>
      </c>
      <c r="AS22" s="119">
        <f t="shared" si="45"/>
        <v>2.8132368999999713E-2</v>
      </c>
    </row>
    <row r="23" spans="2:49" x14ac:dyDescent="0.3">
      <c r="B23" s="90">
        <v>27.5</v>
      </c>
      <c r="C23" s="88">
        <v>0.35</v>
      </c>
      <c r="D23" s="88">
        <v>0.5</v>
      </c>
      <c r="E23" s="117">
        <f t="shared" si="24"/>
        <v>0.17499999999999999</v>
      </c>
      <c r="G23" s="90">
        <v>27.5</v>
      </c>
      <c r="H23" s="88">
        <v>4.1468029296028153</v>
      </c>
      <c r="I23" s="87">
        <v>0.89</v>
      </c>
      <c r="J23" s="88">
        <f t="shared" si="25"/>
        <v>0.11653381625595151</v>
      </c>
      <c r="K23" s="88">
        <f t="shared" si="26"/>
        <v>0.48324277064797588</v>
      </c>
      <c r="L23" s="118">
        <f t="shared" si="27"/>
        <v>-0.72723612086493261</v>
      </c>
      <c r="M23" s="118">
        <f t="shared" si="28"/>
        <v>-0.11653381625595151</v>
      </c>
      <c r="N23" s="118">
        <f t="shared" si="29"/>
        <v>6.2405586998683047</v>
      </c>
      <c r="O23" s="119">
        <f t="shared" si="23"/>
        <v>0.16024206294559862</v>
      </c>
      <c r="Q23" s="90">
        <v>6</v>
      </c>
      <c r="R23" s="117">
        <f t="shared" si="30"/>
        <v>0.16666666666666666</v>
      </c>
      <c r="T23" s="90">
        <v>27.5</v>
      </c>
      <c r="U23" s="87"/>
      <c r="V23" s="87"/>
      <c r="W23" s="119">
        <v>1</v>
      </c>
      <c r="X23" s="73"/>
      <c r="Y23" s="90">
        <v>27.5</v>
      </c>
      <c r="Z23" s="87">
        <f t="shared" si="33"/>
        <v>2.8709999999999999E-2</v>
      </c>
      <c r="AA23" s="87">
        <f t="shared" si="34"/>
        <v>15.214</v>
      </c>
      <c r="AB23" s="87">
        <f t="shared" si="35"/>
        <v>4.9609999999999985</v>
      </c>
      <c r="AC23" s="87">
        <f t="shared" si="36"/>
        <v>2.2273302404448243</v>
      </c>
      <c r="AD23" s="119">
        <f t="shared" si="37"/>
        <v>0.97288435140504215</v>
      </c>
      <c r="AE23" s="73"/>
      <c r="AF23" s="84">
        <v>75</v>
      </c>
      <c r="AG23" s="87">
        <f t="shared" si="38"/>
        <v>27375</v>
      </c>
      <c r="AH23" s="117">
        <f t="shared" si="39"/>
        <v>3.6529680365296805E-5</v>
      </c>
      <c r="AI23" s="73"/>
      <c r="AJ23" s="84">
        <v>5</v>
      </c>
      <c r="AK23" s="117">
        <f t="shared" si="40"/>
        <v>0.2</v>
      </c>
      <c r="AL23" s="73"/>
      <c r="AM23" s="90">
        <v>27.5</v>
      </c>
      <c r="AN23" s="88">
        <v>0.86919999999999997</v>
      </c>
      <c r="AO23" s="88">
        <f t="shared" si="41"/>
        <v>-4.3725000000000005</v>
      </c>
      <c r="AP23" s="88">
        <f t="shared" si="42"/>
        <v>8.4397500000000001</v>
      </c>
      <c r="AQ23" s="88">
        <f t="shared" si="43"/>
        <v>-7.0875750000000002</v>
      </c>
      <c r="AR23" s="88">
        <f t="shared" si="44"/>
        <v>2.1784206640625006</v>
      </c>
      <c r="AS23" s="119">
        <f t="shared" si="45"/>
        <v>2.7295664062500169E-2</v>
      </c>
    </row>
    <row r="24" spans="2:49" ht="14.5" thickBot="1" x14ac:dyDescent="0.35">
      <c r="B24" s="90">
        <v>28</v>
      </c>
      <c r="C24" s="88">
        <v>0.35</v>
      </c>
      <c r="D24" s="85">
        <v>0.5</v>
      </c>
      <c r="E24" s="117">
        <f t="shared" si="24"/>
        <v>0.17499999999999999</v>
      </c>
      <c r="G24" s="94">
        <v>28</v>
      </c>
      <c r="H24" s="97">
        <v>4.2196242586161228</v>
      </c>
      <c r="I24" s="98">
        <v>0.89</v>
      </c>
      <c r="J24" s="97">
        <f t="shared" si="25"/>
        <v>0.11653381625595151</v>
      </c>
      <c r="K24" s="97">
        <f t="shared" si="26"/>
        <v>0.49172891802272684</v>
      </c>
      <c r="L24" s="120">
        <f t="shared" si="27"/>
        <v>-0.70982769396348677</v>
      </c>
      <c r="M24" s="120">
        <f t="shared" si="28"/>
        <v>-0.11653381625595151</v>
      </c>
      <c r="N24" s="120">
        <f t="shared" si="29"/>
        <v>6.0911735045597553</v>
      </c>
      <c r="O24" s="121">
        <f t="shared" si="23"/>
        <v>0.16417197757565369</v>
      </c>
      <c r="Q24" s="94">
        <v>6</v>
      </c>
      <c r="R24" s="122">
        <f t="shared" si="30"/>
        <v>0.16666666666666666</v>
      </c>
      <c r="T24" s="94">
        <v>28</v>
      </c>
      <c r="U24" s="98"/>
      <c r="V24" s="98"/>
      <c r="W24" s="121">
        <v>1</v>
      </c>
      <c r="X24" s="73"/>
      <c r="Y24" s="94">
        <v>28</v>
      </c>
      <c r="Z24" s="98">
        <f t="shared" si="33"/>
        <v>2.9232000000000001E-2</v>
      </c>
      <c r="AA24" s="98">
        <f t="shared" si="34"/>
        <v>15.714</v>
      </c>
      <c r="AB24" s="98">
        <f t="shared" si="35"/>
        <v>4.4609999999999985</v>
      </c>
      <c r="AC24" s="98">
        <f t="shared" si="36"/>
        <v>2.1121079517865553</v>
      </c>
      <c r="AD24" s="121">
        <f t="shared" si="37"/>
        <v>0.97020026840705875</v>
      </c>
      <c r="AE24" s="73"/>
      <c r="AF24" s="100">
        <v>75</v>
      </c>
      <c r="AG24" s="98">
        <f t="shared" si="38"/>
        <v>27375</v>
      </c>
      <c r="AH24" s="122">
        <f t="shared" si="39"/>
        <v>3.6529680365296805E-5</v>
      </c>
      <c r="AI24" s="73"/>
      <c r="AJ24" s="100">
        <v>5</v>
      </c>
      <c r="AK24" s="122">
        <f t="shared" si="40"/>
        <v>0.2</v>
      </c>
      <c r="AL24" s="73"/>
      <c r="AM24" s="94">
        <v>28</v>
      </c>
      <c r="AN24" s="97">
        <v>0.86919999999999997</v>
      </c>
      <c r="AO24" s="97">
        <f t="shared" si="41"/>
        <v>-4.452</v>
      </c>
      <c r="AP24" s="97">
        <f t="shared" si="42"/>
        <v>8.7494399999999999</v>
      </c>
      <c r="AQ24" s="97">
        <f t="shared" si="43"/>
        <v>-7.4812415999999988</v>
      </c>
      <c r="AR24" s="97">
        <f t="shared" si="44"/>
        <v>2.341224704</v>
      </c>
      <c r="AS24" s="121">
        <f t="shared" si="45"/>
        <v>2.6623104000001341E-2</v>
      </c>
    </row>
    <row r="26" spans="2:49" ht="14.5" thickBot="1" x14ac:dyDescent="0.35"/>
    <row r="27" spans="2:49" x14ac:dyDescent="0.3">
      <c r="B27" s="180" t="s">
        <v>103</v>
      </c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2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</row>
    <row r="28" spans="2:49" x14ac:dyDescent="0.3">
      <c r="B28" s="77" t="s">
        <v>0</v>
      </c>
      <c r="C28" s="78" t="s">
        <v>74</v>
      </c>
      <c r="D28" s="102" t="s">
        <v>59</v>
      </c>
      <c r="E28" s="102" t="s">
        <v>72</v>
      </c>
      <c r="F28" s="102" t="s">
        <v>46</v>
      </c>
      <c r="G28" s="102" t="s">
        <v>50</v>
      </c>
      <c r="H28" s="102" t="s">
        <v>12</v>
      </c>
      <c r="I28" s="103" t="s">
        <v>67</v>
      </c>
      <c r="J28" s="102" t="s">
        <v>11</v>
      </c>
      <c r="K28" s="102" t="s">
        <v>62</v>
      </c>
      <c r="L28" s="102" t="s">
        <v>55</v>
      </c>
      <c r="M28" s="102" t="s">
        <v>63</v>
      </c>
      <c r="N28" s="102" t="s">
        <v>64</v>
      </c>
      <c r="O28" s="102" t="s">
        <v>65</v>
      </c>
      <c r="P28" s="103" t="s">
        <v>66</v>
      </c>
      <c r="Q28" s="103" t="s">
        <v>68</v>
      </c>
      <c r="R28" s="103" t="s">
        <v>69</v>
      </c>
      <c r="S28" s="104" t="s">
        <v>87</v>
      </c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6"/>
      <c r="AG28" s="106"/>
      <c r="AH28" s="106"/>
      <c r="AJ28" s="106"/>
      <c r="AK28" s="106"/>
      <c r="AL28" s="106"/>
      <c r="AS28" s="105"/>
      <c r="AT28" s="105"/>
      <c r="AU28" s="105"/>
      <c r="AV28" s="105"/>
      <c r="AW28" s="107"/>
    </row>
    <row r="29" spans="2:49" x14ac:dyDescent="0.3">
      <c r="B29" s="84">
        <v>18</v>
      </c>
      <c r="C29" s="87">
        <f>O4</f>
        <v>6.0852385147626767E-2</v>
      </c>
      <c r="D29" s="108">
        <f>R4</f>
        <v>0.16666666666666666</v>
      </c>
      <c r="E29" s="108">
        <f>E4*E4</f>
        <v>5.4022499999999991E-3</v>
      </c>
      <c r="F29" s="108">
        <f>W4</f>
        <v>0.40850000000000009</v>
      </c>
      <c r="G29" s="87">
        <f>AD4</f>
        <v>0.40833104755947558</v>
      </c>
      <c r="H29" s="108">
        <v>1</v>
      </c>
      <c r="I29" s="123">
        <f t="shared" ref="I29:I36" si="46">C29*D29*E29*F29*G29*H29</f>
        <v>9.1391435070713183E-6</v>
      </c>
      <c r="J29" s="108">
        <f>AH4</f>
        <v>3.6529680365296805E-5</v>
      </c>
      <c r="K29" s="108">
        <f>AK4</f>
        <v>0.2</v>
      </c>
      <c r="L29" s="108">
        <f>AS4</f>
        <v>3.5347984000000054E-2</v>
      </c>
      <c r="M29" s="108">
        <f t="shared" ref="M29:M36" si="47">D29+J29</f>
        <v>0.16670319634703196</v>
      </c>
      <c r="N29" s="108">
        <f t="shared" ref="N29:N36" si="48">K29+J29</f>
        <v>0.20003652968036531</v>
      </c>
      <c r="O29" s="108">
        <f t="shared" ref="O29:O36" si="49">L29+C29</f>
        <v>9.6200369147626821E-2</v>
      </c>
      <c r="P29" s="124">
        <f t="shared" ref="P29:P36" si="50">M29*N29*L29*O29</f>
        <v>1.1339518840457881E-4</v>
      </c>
      <c r="Q29" s="124">
        <f t="shared" ref="Q29:Q36" si="51">I29/P29</f>
        <v>8.0595514110035085E-2</v>
      </c>
      <c r="R29" s="125">
        <f>SQRT(Q29)</f>
        <v>0.28389349078489823</v>
      </c>
      <c r="S29" s="111">
        <f>R29</f>
        <v>0.28389349078489823</v>
      </c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6"/>
      <c r="AG29" s="106"/>
      <c r="AH29" s="106"/>
      <c r="AJ29" s="106"/>
      <c r="AK29" s="106"/>
      <c r="AL29" s="106"/>
      <c r="AS29" s="105"/>
      <c r="AT29" s="105"/>
      <c r="AU29" s="105"/>
      <c r="AV29" s="105"/>
      <c r="AW29" s="107"/>
    </row>
    <row r="30" spans="2:49" x14ac:dyDescent="0.3">
      <c r="B30" s="84">
        <v>18.5</v>
      </c>
      <c r="C30" s="87">
        <f t="shared" ref="C30:C36" si="52">O5</f>
        <v>6.4078289998394919E-2</v>
      </c>
      <c r="D30" s="108">
        <f t="shared" ref="D30:D36" si="53">R5</f>
        <v>0.14285714285714285</v>
      </c>
      <c r="E30" s="108">
        <f t="shared" ref="E30:E36" si="54">E5*E5</f>
        <v>5.4022499999999991E-3</v>
      </c>
      <c r="F30" s="108">
        <f t="shared" ref="F30:F36" si="55">W5</f>
        <v>0.44495000000000018</v>
      </c>
      <c r="G30" s="87">
        <f t="shared" ref="G30:G36" si="56">AD5</f>
        <v>0.44843731081806903</v>
      </c>
      <c r="H30" s="108">
        <v>1</v>
      </c>
      <c r="I30" s="123">
        <f t="shared" si="46"/>
        <v>9.8673493016164032E-6</v>
      </c>
      <c r="J30" s="108">
        <f t="shared" ref="J30:J37" si="57">AH5</f>
        <v>3.6529680365296805E-5</v>
      </c>
      <c r="K30" s="108">
        <f t="shared" ref="K30:K36" si="58">AK5</f>
        <v>0.2</v>
      </c>
      <c r="L30" s="108">
        <f t="shared" ref="L30:L36" si="59">AS5</f>
        <v>3.5559653062499863E-2</v>
      </c>
      <c r="M30" s="108">
        <f t="shared" si="47"/>
        <v>0.14289367253750815</v>
      </c>
      <c r="N30" s="108">
        <f t="shared" si="48"/>
        <v>0.20003652968036531</v>
      </c>
      <c r="O30" s="108">
        <f t="shared" si="49"/>
        <v>9.9637943060894782E-2</v>
      </c>
      <c r="P30" s="124">
        <f t="shared" si="50"/>
        <v>1.0127554252082517E-4</v>
      </c>
      <c r="Q30" s="124">
        <f t="shared" si="51"/>
        <v>9.743072271952917E-2</v>
      </c>
      <c r="R30" s="125">
        <f t="shared" ref="R30:R36" si="60">SQRT(Q30)</f>
        <v>0.31213894777731466</v>
      </c>
      <c r="S30" s="111">
        <f t="shared" ref="S30:S36" si="61">R30</f>
        <v>0.31213894777731466</v>
      </c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6"/>
      <c r="AG30" s="106"/>
      <c r="AH30" s="106"/>
      <c r="AJ30" s="106"/>
      <c r="AK30" s="106"/>
      <c r="AL30" s="106"/>
      <c r="AS30" s="105"/>
      <c r="AT30" s="105"/>
      <c r="AU30" s="105"/>
      <c r="AV30" s="105"/>
      <c r="AW30" s="107"/>
    </row>
    <row r="31" spans="2:49" x14ac:dyDescent="0.3">
      <c r="B31" s="84">
        <v>19</v>
      </c>
      <c r="C31" s="87">
        <f t="shared" si="52"/>
        <v>6.7340058401211239E-2</v>
      </c>
      <c r="D31" s="108">
        <f t="shared" si="53"/>
        <v>0.125</v>
      </c>
      <c r="E31" s="108">
        <f t="shared" si="54"/>
        <v>5.4022499999999991E-3</v>
      </c>
      <c r="F31" s="108">
        <f t="shared" si="55"/>
        <v>0.48140000000000027</v>
      </c>
      <c r="G31" s="87">
        <f t="shared" si="56"/>
        <v>0.48862321696303118</v>
      </c>
      <c r="H31" s="108">
        <v>1</v>
      </c>
      <c r="I31" s="123">
        <f t="shared" si="46"/>
        <v>1.0696417958299659E-5</v>
      </c>
      <c r="J31" s="108">
        <f t="shared" si="57"/>
        <v>3.6529680365296805E-5</v>
      </c>
      <c r="K31" s="108">
        <f t="shared" si="58"/>
        <v>0.2</v>
      </c>
      <c r="L31" s="108">
        <f t="shared" si="59"/>
        <v>3.5805489000000523E-2</v>
      </c>
      <c r="M31" s="108">
        <f t="shared" si="47"/>
        <v>0.1250365296803653</v>
      </c>
      <c r="N31" s="108">
        <f t="shared" si="48"/>
        <v>0.20003652968036531</v>
      </c>
      <c r="O31" s="108">
        <f t="shared" si="49"/>
        <v>0.10314554740121176</v>
      </c>
      <c r="P31" s="124">
        <f t="shared" si="50"/>
        <v>9.2373269934238988E-5</v>
      </c>
      <c r="Q31" s="124">
        <f t="shared" si="51"/>
        <v>0.11579559721025892</v>
      </c>
      <c r="R31" s="125">
        <f t="shared" si="60"/>
        <v>0.34028752138487084</v>
      </c>
      <c r="S31" s="111">
        <f t="shared" si="61"/>
        <v>0.34028752138487084</v>
      </c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6"/>
      <c r="AG31" s="106"/>
      <c r="AH31" s="106"/>
      <c r="AJ31" s="106"/>
      <c r="AK31" s="106"/>
      <c r="AL31" s="106"/>
      <c r="AS31" s="105"/>
      <c r="AT31" s="105"/>
      <c r="AU31" s="105"/>
      <c r="AV31" s="105"/>
      <c r="AW31" s="107"/>
    </row>
    <row r="32" spans="2:49" x14ac:dyDescent="0.3">
      <c r="B32" s="84">
        <v>19.5</v>
      </c>
      <c r="C32" s="87">
        <f t="shared" si="52"/>
        <v>7.0671109502983859E-2</v>
      </c>
      <c r="D32" s="108">
        <f t="shared" si="53"/>
        <v>0.1111111111111111</v>
      </c>
      <c r="E32" s="108">
        <f t="shared" si="54"/>
        <v>5.4022499999999991E-3</v>
      </c>
      <c r="F32" s="108">
        <f t="shared" si="55"/>
        <v>0.51785000000000014</v>
      </c>
      <c r="G32" s="87">
        <f t="shared" si="56"/>
        <v>0.52872580039154315</v>
      </c>
      <c r="H32" s="108">
        <v>1</v>
      </c>
      <c r="I32" s="123">
        <f t="shared" si="46"/>
        <v>1.1614715122998049E-5</v>
      </c>
      <c r="J32" s="108">
        <f t="shared" si="57"/>
        <v>3.6529680365296805E-5</v>
      </c>
      <c r="K32" s="108">
        <f t="shared" si="58"/>
        <v>0.2</v>
      </c>
      <c r="L32" s="108">
        <f t="shared" si="59"/>
        <v>3.6044148062500447E-2</v>
      </c>
      <c r="M32" s="108">
        <f t="shared" si="47"/>
        <v>0.1111476407914764</v>
      </c>
      <c r="N32" s="108">
        <f t="shared" si="48"/>
        <v>0.20003652968036531</v>
      </c>
      <c r="O32" s="108">
        <f t="shared" si="49"/>
        <v>0.10671525756548431</v>
      </c>
      <c r="P32" s="124">
        <f t="shared" si="50"/>
        <v>8.5520620329611986E-5</v>
      </c>
      <c r="Q32" s="124">
        <f t="shared" si="51"/>
        <v>0.13581186710565044</v>
      </c>
      <c r="R32" s="125">
        <f t="shared" si="60"/>
        <v>0.36852661654980967</v>
      </c>
      <c r="S32" s="111">
        <f t="shared" si="61"/>
        <v>0.36852661654980967</v>
      </c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6"/>
      <c r="AG32" s="106"/>
      <c r="AH32" s="106"/>
      <c r="AJ32" s="106"/>
      <c r="AK32" s="106"/>
      <c r="AL32" s="106"/>
      <c r="AS32" s="105"/>
      <c r="AT32" s="105"/>
      <c r="AU32" s="105"/>
      <c r="AV32" s="105"/>
      <c r="AW32" s="107"/>
    </row>
    <row r="33" spans="2:49" x14ac:dyDescent="0.3">
      <c r="B33" s="84">
        <v>20</v>
      </c>
      <c r="C33" s="87">
        <f t="shared" si="52"/>
        <v>7.4108803643260626E-2</v>
      </c>
      <c r="D33" s="108">
        <f t="shared" si="53"/>
        <v>0.1</v>
      </c>
      <c r="E33" s="108">
        <f t="shared" si="54"/>
        <v>5.9290000000000002E-3</v>
      </c>
      <c r="F33" s="108">
        <f t="shared" si="55"/>
        <v>0.55430000000000024</v>
      </c>
      <c r="G33" s="87">
        <f t="shared" si="56"/>
        <v>0.56857345101638612</v>
      </c>
      <c r="H33" s="108">
        <v>1</v>
      </c>
      <c r="I33" s="123">
        <f t="shared" si="46"/>
        <v>1.3847861402236916E-5</v>
      </c>
      <c r="J33" s="108">
        <f t="shared" si="57"/>
        <v>3.6529680365296805E-5</v>
      </c>
      <c r="K33" s="108">
        <f t="shared" si="58"/>
        <v>0.2</v>
      </c>
      <c r="L33" s="108">
        <f t="shared" si="59"/>
        <v>3.6240000000000161E-2</v>
      </c>
      <c r="M33" s="108">
        <f t="shared" si="47"/>
        <v>0.1000365296803653</v>
      </c>
      <c r="N33" s="108">
        <f t="shared" si="48"/>
        <v>0.20003652968036531</v>
      </c>
      <c r="O33" s="108">
        <f t="shared" si="49"/>
        <v>0.11034880364326079</v>
      </c>
      <c r="P33" s="124">
        <f t="shared" si="50"/>
        <v>8.0024643319974093E-5</v>
      </c>
      <c r="Q33" s="124">
        <f t="shared" si="51"/>
        <v>0.17304496249820209</v>
      </c>
      <c r="R33" s="125">
        <f t="shared" si="60"/>
        <v>0.41598673356034094</v>
      </c>
      <c r="S33" s="111">
        <f t="shared" si="61"/>
        <v>0.41598673356034094</v>
      </c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6"/>
      <c r="AG33" s="106"/>
      <c r="AH33" s="106"/>
      <c r="AJ33" s="106"/>
      <c r="AK33" s="106"/>
      <c r="AL33" s="106"/>
      <c r="AS33" s="105"/>
      <c r="AT33" s="105"/>
      <c r="AU33" s="105"/>
      <c r="AV33" s="105"/>
      <c r="AW33" s="107"/>
    </row>
    <row r="34" spans="2:49" x14ac:dyDescent="0.3">
      <c r="B34" s="84">
        <v>20.5</v>
      </c>
      <c r="C34" s="87">
        <f t="shared" si="52"/>
        <v>7.7694195285234427E-2</v>
      </c>
      <c r="D34" s="108">
        <f t="shared" si="53"/>
        <v>9.0909090909090912E-2</v>
      </c>
      <c r="E34" s="108">
        <f t="shared" si="54"/>
        <v>5.9290000000000002E-3</v>
      </c>
      <c r="F34" s="108">
        <f t="shared" si="55"/>
        <v>0.59075000000000011</v>
      </c>
      <c r="G34" s="87">
        <f t="shared" si="56"/>
        <v>0.60798491431281332</v>
      </c>
      <c r="H34" s="108">
        <v>1</v>
      </c>
      <c r="I34" s="123">
        <f t="shared" si="46"/>
        <v>1.5040901660135795E-5</v>
      </c>
      <c r="J34" s="108">
        <f t="shared" si="57"/>
        <v>3.6529680365296805E-5</v>
      </c>
      <c r="K34" s="108">
        <f t="shared" si="58"/>
        <v>0.2</v>
      </c>
      <c r="L34" s="108">
        <f t="shared" si="59"/>
        <v>3.6363128062500305E-2</v>
      </c>
      <c r="M34" s="108">
        <f t="shared" si="47"/>
        <v>9.0945620589456211E-2</v>
      </c>
      <c r="N34" s="108">
        <f t="shared" si="48"/>
        <v>0.20003652968036531</v>
      </c>
      <c r="O34" s="108">
        <f t="shared" si="49"/>
        <v>0.11405732334773473</v>
      </c>
      <c r="P34" s="124">
        <f t="shared" si="50"/>
        <v>7.5452826514036203E-5</v>
      </c>
      <c r="Q34" s="124">
        <f t="shared" si="51"/>
        <v>0.1993417921505935</v>
      </c>
      <c r="R34" s="125">
        <f t="shared" si="60"/>
        <v>0.44647709028638133</v>
      </c>
      <c r="S34" s="111">
        <f t="shared" si="61"/>
        <v>0.44647709028638133</v>
      </c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6"/>
      <c r="AG34" s="106"/>
      <c r="AH34" s="106"/>
      <c r="AJ34" s="106"/>
      <c r="AK34" s="106"/>
      <c r="AL34" s="106"/>
      <c r="AS34" s="105"/>
      <c r="AT34" s="105"/>
      <c r="AU34" s="105"/>
      <c r="AV34" s="105"/>
      <c r="AW34" s="107"/>
    </row>
    <row r="35" spans="2:49" x14ac:dyDescent="0.3">
      <c r="B35" s="84">
        <v>21</v>
      </c>
      <c r="C35" s="87">
        <f t="shared" si="52"/>
        <v>8.1472066101672722E-2</v>
      </c>
      <c r="D35" s="108">
        <f t="shared" si="53"/>
        <v>8.3333333333333329E-2</v>
      </c>
      <c r="E35" s="108">
        <f t="shared" si="54"/>
        <v>5.9290000000000002E-3</v>
      </c>
      <c r="F35" s="108">
        <f t="shared" si="55"/>
        <v>0.6272000000000002</v>
      </c>
      <c r="G35" s="87">
        <f t="shared" si="56"/>
        <v>0.64676812061741407</v>
      </c>
      <c r="H35" s="108">
        <v>1</v>
      </c>
      <c r="I35" s="123">
        <f t="shared" si="46"/>
        <v>1.6329150403881917E-5</v>
      </c>
      <c r="J35" s="108">
        <f t="shared" si="57"/>
        <v>3.6529680365296805E-5</v>
      </c>
      <c r="K35" s="108">
        <f t="shared" si="58"/>
        <v>0.2</v>
      </c>
      <c r="L35" s="108">
        <f t="shared" si="59"/>
        <v>3.6389328999999471E-2</v>
      </c>
      <c r="M35" s="108">
        <f t="shared" si="47"/>
        <v>8.3369863013698628E-2</v>
      </c>
      <c r="N35" s="108">
        <f t="shared" si="48"/>
        <v>0.20003652968036531</v>
      </c>
      <c r="O35" s="108">
        <f t="shared" si="49"/>
        <v>0.11786139510167219</v>
      </c>
      <c r="P35" s="124">
        <f t="shared" si="50"/>
        <v>7.1526014180280708E-5</v>
      </c>
      <c r="Q35" s="124">
        <f t="shared" si="51"/>
        <v>0.22829666368273274</v>
      </c>
      <c r="R35" s="125">
        <f t="shared" si="60"/>
        <v>0.47780400132557777</v>
      </c>
      <c r="S35" s="111">
        <f t="shared" si="61"/>
        <v>0.47780400132557777</v>
      </c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6"/>
      <c r="AG35" s="106"/>
      <c r="AH35" s="106"/>
      <c r="AJ35" s="106"/>
      <c r="AK35" s="106"/>
      <c r="AL35" s="106"/>
      <c r="AS35" s="105"/>
      <c r="AT35" s="105"/>
      <c r="AU35" s="105"/>
      <c r="AV35" s="105"/>
      <c r="AW35" s="107"/>
    </row>
    <row r="36" spans="2:49" x14ac:dyDescent="0.3">
      <c r="B36" s="84">
        <v>21.5</v>
      </c>
      <c r="C36" s="87">
        <f t="shared" si="52"/>
        <v>8.549119538630312E-2</v>
      </c>
      <c r="D36" s="108">
        <f t="shared" si="53"/>
        <v>7.6923076923076927E-2</v>
      </c>
      <c r="E36" s="108">
        <f t="shared" si="54"/>
        <v>5.9290000000000002E-3</v>
      </c>
      <c r="F36" s="108">
        <f t="shared" si="55"/>
        <v>0.6636500000000003</v>
      </c>
      <c r="G36" s="87">
        <f t="shared" si="56"/>
        <v>0.68471880492583193</v>
      </c>
      <c r="H36" s="108">
        <v>1</v>
      </c>
      <c r="I36" s="123">
        <f t="shared" si="46"/>
        <v>1.7717842705760577E-5</v>
      </c>
      <c r="J36" s="108">
        <f t="shared" si="57"/>
        <v>3.6529680365296805E-5</v>
      </c>
      <c r="K36" s="108">
        <f t="shared" si="58"/>
        <v>0.2</v>
      </c>
      <c r="L36" s="108">
        <f t="shared" si="59"/>
        <v>3.6300113062500583E-2</v>
      </c>
      <c r="M36" s="108">
        <f t="shared" si="47"/>
        <v>7.6959606603442227E-2</v>
      </c>
      <c r="N36" s="108">
        <f t="shared" si="48"/>
        <v>0.20003652968036531</v>
      </c>
      <c r="O36" s="108">
        <f t="shared" si="49"/>
        <v>0.1217913084488037</v>
      </c>
      <c r="P36" s="124">
        <f t="shared" si="50"/>
        <v>6.806070206546869E-5</v>
      </c>
      <c r="Q36" s="124">
        <f t="shared" si="51"/>
        <v>0.26032412490716739</v>
      </c>
      <c r="R36" s="125">
        <f t="shared" si="60"/>
        <v>0.51021968298681641</v>
      </c>
      <c r="S36" s="111">
        <f t="shared" si="61"/>
        <v>0.51021968298681641</v>
      </c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  <c r="AE36" s="105"/>
      <c r="AF36" s="106"/>
      <c r="AG36" s="106"/>
      <c r="AH36" s="106"/>
      <c r="AJ36" s="106"/>
      <c r="AK36" s="106"/>
      <c r="AL36" s="106"/>
      <c r="AS36" s="105"/>
      <c r="AT36" s="105"/>
      <c r="AU36" s="105"/>
      <c r="AV36" s="105"/>
      <c r="AW36" s="107"/>
    </row>
    <row r="37" spans="2:49" x14ac:dyDescent="0.3">
      <c r="B37" s="90">
        <v>22</v>
      </c>
      <c r="C37" s="87">
        <f t="shared" ref="C37:C49" si="62">O12</f>
        <v>8.9804777847976219E-2</v>
      </c>
      <c r="D37" s="108">
        <f t="shared" ref="D37:D49" si="63">R12</f>
        <v>0.16666666666666666</v>
      </c>
      <c r="E37" s="108">
        <f t="shared" ref="E37:E49" si="64">E12*E12</f>
        <v>6.4802500000000008E-3</v>
      </c>
      <c r="F37" s="108">
        <f t="shared" ref="F37:F49" si="65">W12</f>
        <v>0.70010000000000017</v>
      </c>
      <c r="G37" s="87">
        <f t="shared" ref="G37:G49" si="66">AD12</f>
        <v>0.72161886732632674</v>
      </c>
      <c r="H37" s="108">
        <v>1</v>
      </c>
      <c r="I37" s="123">
        <f t="shared" ref="I37:I49" si="67">C37*D37*E37*F37*G37*H37</f>
        <v>4.9001334817236172E-5</v>
      </c>
      <c r="J37" s="108">
        <f t="shared" si="57"/>
        <v>3.6529680365296805E-5</v>
      </c>
      <c r="K37" s="108">
        <f t="shared" ref="K37:K49" si="68">AK12</f>
        <v>0.2</v>
      </c>
      <c r="L37" s="108">
        <f t="shared" ref="L37:L49" si="69">AS12</f>
        <v>3.6082703999999799E-2</v>
      </c>
      <c r="M37" s="108">
        <f t="shared" ref="M37:M49" si="70">D37+J37</f>
        <v>0.16670319634703196</v>
      </c>
      <c r="N37" s="108">
        <f t="shared" ref="N37:N49" si="71">K37+J37</f>
        <v>0.20003652968036531</v>
      </c>
      <c r="O37" s="108">
        <f t="shared" ref="O37:O49" si="72">L37+C37</f>
        <v>0.12588748184797602</v>
      </c>
      <c r="P37" s="124">
        <f t="shared" ref="P37:P49" si="73">M37*N37*L37*O37</f>
        <v>1.514728722505093E-4</v>
      </c>
      <c r="Q37" s="124">
        <f t="shared" ref="Q37:Q49" si="74">I37/P37</f>
        <v>0.32349907999497524</v>
      </c>
      <c r="R37" s="125">
        <f>SQRT(Q37)</f>
        <v>0.56876979525549287</v>
      </c>
      <c r="S37" s="111">
        <f>R37</f>
        <v>0.56876979525549287</v>
      </c>
      <c r="T37" s="112"/>
      <c r="AI37" s="105"/>
      <c r="AJ37" s="105"/>
      <c r="AK37" s="105"/>
      <c r="AL37" s="105"/>
      <c r="AM37" s="73"/>
      <c r="AS37" s="105"/>
      <c r="AT37" s="105"/>
      <c r="AU37" s="105"/>
      <c r="AV37" s="105"/>
      <c r="AW37" s="73"/>
    </row>
    <row r="38" spans="2:49" x14ac:dyDescent="0.3">
      <c r="B38" s="90">
        <v>22.5</v>
      </c>
      <c r="C38" s="87">
        <f t="shared" si="62"/>
        <v>9.4470846409949669E-2</v>
      </c>
      <c r="D38" s="108">
        <f t="shared" si="63"/>
        <v>0.16666666666666666</v>
      </c>
      <c r="E38" s="108">
        <f t="shared" si="64"/>
        <v>6.4802500000000008E-3</v>
      </c>
      <c r="F38" s="108">
        <f t="shared" si="65"/>
        <v>0.73655000000000026</v>
      </c>
      <c r="G38" s="87">
        <f t="shared" si="66"/>
        <v>0.7572344091935912</v>
      </c>
      <c r="H38" s="108">
        <v>1</v>
      </c>
      <c r="I38" s="123">
        <f t="shared" si="67"/>
        <v>5.6907681340485261E-5</v>
      </c>
      <c r="J38" s="108">
        <f t="shared" ref="J38:J49" si="75">AH13</f>
        <v>3.6529680365296805E-5</v>
      </c>
      <c r="K38" s="108">
        <f t="shared" si="68"/>
        <v>0.2</v>
      </c>
      <c r="L38" s="108">
        <f t="shared" si="69"/>
        <v>3.573003906249983E-2</v>
      </c>
      <c r="M38" s="108">
        <f t="shared" si="70"/>
        <v>0.16670319634703196</v>
      </c>
      <c r="N38" s="108">
        <f t="shared" si="71"/>
        <v>0.20003652968036531</v>
      </c>
      <c r="O38" s="108">
        <f t="shared" si="72"/>
        <v>0.13020088547244951</v>
      </c>
      <c r="P38" s="124">
        <f t="shared" si="73"/>
        <v>1.5513174133938737E-4</v>
      </c>
      <c r="Q38" s="124">
        <f t="shared" si="74"/>
        <v>0.36683454236477792</v>
      </c>
      <c r="R38" s="125">
        <f t="shared" ref="R38:R49" si="76">SQRT(Q38)</f>
        <v>0.605668673752224</v>
      </c>
      <c r="S38" s="111">
        <f t="shared" ref="S38:S49" si="77">R38</f>
        <v>0.605668673752224</v>
      </c>
      <c r="T38" s="112"/>
      <c r="AL38" s="105"/>
      <c r="AM38" s="73"/>
      <c r="AS38" s="105"/>
      <c r="AT38" s="105"/>
      <c r="AU38" s="105"/>
      <c r="AV38" s="105"/>
      <c r="AW38" s="73"/>
    </row>
    <row r="39" spans="2:49" x14ac:dyDescent="0.3">
      <c r="B39" s="90">
        <v>23</v>
      </c>
      <c r="C39" s="87">
        <f t="shared" si="62"/>
        <v>9.9552475663997497E-2</v>
      </c>
      <c r="D39" s="108">
        <f t="shared" si="63"/>
        <v>0.16666666666666666</v>
      </c>
      <c r="E39" s="108">
        <f t="shared" si="64"/>
        <v>7.0559999999999989E-3</v>
      </c>
      <c r="F39" s="108">
        <f t="shared" si="65"/>
        <v>0.77300000000000013</v>
      </c>
      <c r="G39" s="87">
        <f t="shared" si="66"/>
        <v>0.79131335970535199</v>
      </c>
      <c r="H39" s="108">
        <v>1</v>
      </c>
      <c r="I39" s="123">
        <f t="shared" si="67"/>
        <v>7.1612259727850072E-5</v>
      </c>
      <c r="J39" s="108">
        <f t="shared" si="75"/>
        <v>3.6529680365296805E-5</v>
      </c>
      <c r="K39" s="108">
        <f t="shared" si="68"/>
        <v>0.2</v>
      </c>
      <c r="L39" s="108">
        <f t="shared" si="69"/>
        <v>3.5240768999999839E-2</v>
      </c>
      <c r="M39" s="108">
        <f t="shared" si="70"/>
        <v>0.16670319634703196</v>
      </c>
      <c r="N39" s="108">
        <f t="shared" si="71"/>
        <v>0.20003652968036531</v>
      </c>
      <c r="O39" s="108">
        <f t="shared" si="72"/>
        <v>0.13479324466399734</v>
      </c>
      <c r="P39" s="124">
        <f t="shared" si="73"/>
        <v>1.5840421837877715E-4</v>
      </c>
      <c r="Q39" s="124">
        <f t="shared" si="74"/>
        <v>0.45208555972045134</v>
      </c>
      <c r="R39" s="125">
        <f t="shared" si="76"/>
        <v>0.67237308075238356</v>
      </c>
      <c r="S39" s="111">
        <f t="shared" si="77"/>
        <v>0.67237308075238356</v>
      </c>
      <c r="T39" s="112"/>
      <c r="AL39" s="105"/>
      <c r="AM39" s="73"/>
      <c r="AS39" s="105"/>
      <c r="AT39" s="105"/>
      <c r="AU39" s="105"/>
      <c r="AV39" s="105"/>
      <c r="AW39" s="73"/>
    </row>
    <row r="40" spans="2:49" x14ac:dyDescent="0.3">
      <c r="B40" s="90">
        <v>23.5</v>
      </c>
      <c r="C40" s="87">
        <f t="shared" si="62"/>
        <v>0.10511739918368933</v>
      </c>
      <c r="D40" s="108">
        <f t="shared" si="63"/>
        <v>0.16666666666666666</v>
      </c>
      <c r="E40" s="108">
        <f t="shared" si="64"/>
        <v>7.0559999999999989E-3</v>
      </c>
      <c r="F40" s="108">
        <f t="shared" si="65"/>
        <v>0.80945000000000022</v>
      </c>
      <c r="G40" s="87">
        <f t="shared" si="66"/>
        <v>0.82358257866359763</v>
      </c>
      <c r="H40" s="108">
        <v>1</v>
      </c>
      <c r="I40" s="123">
        <f t="shared" si="67"/>
        <v>8.240984694123854E-5</v>
      </c>
      <c r="J40" s="108">
        <f t="shared" si="75"/>
        <v>3.6529680365296805E-5</v>
      </c>
      <c r="K40" s="108">
        <f t="shared" si="68"/>
        <v>0.2</v>
      </c>
      <c r="L40" s="108">
        <f t="shared" si="69"/>
        <v>3.4619258062499103E-2</v>
      </c>
      <c r="M40" s="108">
        <f t="shared" si="70"/>
        <v>0.16670319634703196</v>
      </c>
      <c r="N40" s="108">
        <f t="shared" si="71"/>
        <v>0.20003652968036531</v>
      </c>
      <c r="O40" s="108">
        <f t="shared" si="72"/>
        <v>0.13973665724618844</v>
      </c>
      <c r="P40" s="124">
        <f t="shared" si="73"/>
        <v>1.6131744863926551E-4</v>
      </c>
      <c r="Q40" s="124">
        <f t="shared" si="74"/>
        <v>0.51085513462044396</v>
      </c>
      <c r="R40" s="125">
        <f t="shared" si="76"/>
        <v>0.71474130608244824</v>
      </c>
      <c r="S40" s="111">
        <f t="shared" si="77"/>
        <v>0.71474130608244824</v>
      </c>
      <c r="T40" s="112"/>
      <c r="AL40" s="105"/>
      <c r="AM40" s="73"/>
      <c r="AS40" s="105"/>
      <c r="AT40" s="105"/>
      <c r="AU40" s="105"/>
      <c r="AV40" s="105"/>
      <c r="AW40" s="73"/>
    </row>
    <row r="41" spans="2:49" x14ac:dyDescent="0.3">
      <c r="B41" s="126">
        <v>24</v>
      </c>
      <c r="C41" s="127">
        <f t="shared" si="62"/>
        <v>0.11123642797417428</v>
      </c>
      <c r="D41" s="128">
        <f t="shared" si="63"/>
        <v>0.16666666666666666</v>
      </c>
      <c r="E41" s="128">
        <f t="shared" si="64"/>
        <v>7.656249999999999E-3</v>
      </c>
      <c r="F41" s="128">
        <f t="shared" si="65"/>
        <v>0.8459000000000001</v>
      </c>
      <c r="G41" s="127">
        <f t="shared" si="66"/>
        <v>0.85374428122785206</v>
      </c>
      <c r="H41" s="128">
        <v>1</v>
      </c>
      <c r="I41" s="129">
        <f t="shared" si="67"/>
        <v>1.025082271439368E-4</v>
      </c>
      <c r="J41" s="128">
        <f t="shared" si="75"/>
        <v>3.6529680365296805E-5</v>
      </c>
      <c r="K41" s="128">
        <f t="shared" si="68"/>
        <v>0.2</v>
      </c>
      <c r="L41" s="128">
        <f t="shared" si="69"/>
        <v>3.3875583999999348E-2</v>
      </c>
      <c r="M41" s="128">
        <f t="shared" si="70"/>
        <v>0.16670319634703196</v>
      </c>
      <c r="N41" s="128">
        <f t="shared" si="71"/>
        <v>0.20003652968036531</v>
      </c>
      <c r="O41" s="128">
        <f t="shared" si="72"/>
        <v>0.14511201197417362</v>
      </c>
      <c r="P41" s="130">
        <f t="shared" si="73"/>
        <v>1.6392432093456329E-4</v>
      </c>
      <c r="Q41" s="130">
        <f t="shared" si="74"/>
        <v>0.62533873289526642</v>
      </c>
      <c r="R41" s="131">
        <f t="shared" si="76"/>
        <v>0.79078361951627851</v>
      </c>
      <c r="S41" s="132">
        <f t="shared" si="77"/>
        <v>0.79078361951627851</v>
      </c>
      <c r="T41" s="112"/>
      <c r="AL41" s="105"/>
      <c r="AM41" s="73"/>
      <c r="AS41" s="105"/>
      <c r="AT41" s="105"/>
      <c r="AU41" s="105"/>
      <c r="AV41" s="105"/>
      <c r="AW41" s="73"/>
    </row>
    <row r="42" spans="2:49" x14ac:dyDescent="0.3">
      <c r="B42" s="90">
        <v>24.5</v>
      </c>
      <c r="C42" s="87">
        <f t="shared" si="62"/>
        <v>0.11797964806489933</v>
      </c>
      <c r="D42" s="108">
        <f t="shared" si="63"/>
        <v>0.16666666666666666</v>
      </c>
      <c r="E42" s="108">
        <f t="shared" si="64"/>
        <v>8.9302500000000007E-3</v>
      </c>
      <c r="F42" s="108">
        <f t="shared" si="65"/>
        <v>0.88235000000000019</v>
      </c>
      <c r="G42" s="87">
        <f t="shared" si="66"/>
        <v>0.8814715721075258</v>
      </c>
      <c r="H42" s="108">
        <v>1</v>
      </c>
      <c r="I42" s="123">
        <f t="shared" si="67"/>
        <v>1.3657419949006955E-4</v>
      </c>
      <c r="J42" s="108">
        <f t="shared" si="75"/>
        <v>3.6529680365296805E-5</v>
      </c>
      <c r="K42" s="108">
        <f t="shared" si="68"/>
        <v>0.2</v>
      </c>
      <c r="L42" s="108">
        <f t="shared" si="69"/>
        <v>3.3025538062500193E-2</v>
      </c>
      <c r="M42" s="108">
        <f t="shared" si="70"/>
        <v>0.16670319634703196</v>
      </c>
      <c r="N42" s="108">
        <f t="shared" si="71"/>
        <v>0.20003652968036531</v>
      </c>
      <c r="O42" s="108">
        <f t="shared" si="72"/>
        <v>0.15100518612739952</v>
      </c>
      <c r="P42" s="124">
        <f t="shared" si="73"/>
        <v>1.6630105471545243E-4</v>
      </c>
      <c r="Q42" s="124">
        <f t="shared" si="74"/>
        <v>0.82124674268454467</v>
      </c>
      <c r="R42" s="125">
        <f t="shared" si="76"/>
        <v>0.90622665083550957</v>
      </c>
      <c r="S42" s="111">
        <f t="shared" si="77"/>
        <v>0.90622665083550957</v>
      </c>
      <c r="T42" s="112"/>
      <c r="AL42" s="105"/>
      <c r="AM42" s="73"/>
      <c r="AS42" s="105"/>
      <c r="AT42" s="105"/>
      <c r="AU42" s="105"/>
      <c r="AV42" s="105"/>
      <c r="AW42" s="73"/>
    </row>
    <row r="43" spans="2:49" s="71" customFormat="1" x14ac:dyDescent="0.3">
      <c r="B43" s="133">
        <v>25</v>
      </c>
      <c r="C43" s="134">
        <f t="shared" si="62"/>
        <v>0.12540872876980022</v>
      </c>
      <c r="D43" s="135">
        <f t="shared" si="63"/>
        <v>0.16666666666666666</v>
      </c>
      <c r="E43" s="128">
        <f t="shared" si="64"/>
        <v>1.1024999999999998E-2</v>
      </c>
      <c r="F43" s="135">
        <f t="shared" si="65"/>
        <v>0.91880000000000028</v>
      </c>
      <c r="G43" s="134">
        <f t="shared" si="66"/>
        <v>0.9064027916018722</v>
      </c>
      <c r="H43" s="135">
        <v>1</v>
      </c>
      <c r="I43" s="136">
        <f t="shared" si="67"/>
        <v>1.9190988017218818E-4</v>
      </c>
      <c r="J43" s="135">
        <f t="shared" si="75"/>
        <v>3.6529680365296805E-5</v>
      </c>
      <c r="K43" s="135">
        <f t="shared" si="68"/>
        <v>0.2</v>
      </c>
      <c r="L43" s="135">
        <f t="shared" si="69"/>
        <v>3.2090624999999262E-2</v>
      </c>
      <c r="M43" s="135">
        <f t="shared" si="70"/>
        <v>0.16670319634703196</v>
      </c>
      <c r="N43" s="135">
        <f t="shared" si="71"/>
        <v>0.20003652968036531</v>
      </c>
      <c r="O43" s="135">
        <f t="shared" si="72"/>
        <v>0.15749935376979948</v>
      </c>
      <c r="P43" s="137">
        <f t="shared" si="73"/>
        <v>1.685427944831656E-4</v>
      </c>
      <c r="Q43" s="137">
        <f t="shared" si="74"/>
        <v>1.138641855088955</v>
      </c>
      <c r="R43" s="138">
        <f t="shared" si="76"/>
        <v>1.0670716260349888</v>
      </c>
      <c r="S43" s="132">
        <f t="shared" si="77"/>
        <v>1.0670716260349888</v>
      </c>
      <c r="T43" s="139"/>
      <c r="AL43" s="113"/>
      <c r="AM43" s="114"/>
      <c r="AS43" s="113"/>
      <c r="AT43" s="113"/>
      <c r="AU43" s="113"/>
      <c r="AV43" s="113"/>
      <c r="AW43" s="114"/>
    </row>
    <row r="44" spans="2:49" x14ac:dyDescent="0.3">
      <c r="B44" s="90">
        <v>25.5</v>
      </c>
      <c r="C44" s="87">
        <f t="shared" si="62"/>
        <v>0.13356273142364497</v>
      </c>
      <c r="D44" s="108">
        <f t="shared" si="63"/>
        <v>0.16666666666666666</v>
      </c>
      <c r="E44" s="108">
        <f t="shared" si="64"/>
        <v>1.3340249999999998E-2</v>
      </c>
      <c r="F44" s="108">
        <f t="shared" si="65"/>
        <v>0.95525000000000015</v>
      </c>
      <c r="G44" s="87">
        <f t="shared" si="66"/>
        <v>0.9281342481942394</v>
      </c>
      <c r="H44" s="108">
        <v>1</v>
      </c>
      <c r="I44" s="123">
        <f t="shared" si="67"/>
        <v>2.632848411171099E-4</v>
      </c>
      <c r="J44" s="108">
        <f t="shared" si="75"/>
        <v>3.6529680365296805E-5</v>
      </c>
      <c r="K44" s="108">
        <f t="shared" si="68"/>
        <v>0.2</v>
      </c>
      <c r="L44" s="108">
        <f t="shared" si="69"/>
        <v>3.1098063062500847E-2</v>
      </c>
      <c r="M44" s="108">
        <f t="shared" si="70"/>
        <v>0.16670319634703196</v>
      </c>
      <c r="N44" s="108">
        <f t="shared" si="71"/>
        <v>0.20003652968036531</v>
      </c>
      <c r="O44" s="108">
        <f t="shared" si="72"/>
        <v>0.16466079448614582</v>
      </c>
      <c r="P44" s="124">
        <f t="shared" si="73"/>
        <v>1.7075631937679719E-4</v>
      </c>
      <c r="Q44" s="124">
        <f t="shared" si="74"/>
        <v>1.5418746555208647</v>
      </c>
      <c r="R44" s="125">
        <f t="shared" si="76"/>
        <v>1.2417224551085739</v>
      </c>
      <c r="S44" s="111">
        <f t="shared" si="77"/>
        <v>1.2417224551085739</v>
      </c>
      <c r="T44" s="112"/>
      <c r="AL44" s="105"/>
      <c r="AM44" s="73"/>
      <c r="AS44" s="105"/>
      <c r="AT44" s="105"/>
      <c r="AU44" s="105"/>
      <c r="AV44" s="105"/>
      <c r="AW44" s="73"/>
    </row>
    <row r="45" spans="2:49" s="71" customFormat="1" x14ac:dyDescent="0.3">
      <c r="B45" s="133">
        <v>26</v>
      </c>
      <c r="C45" s="134">
        <f t="shared" si="62"/>
        <v>0.14243363300801604</v>
      </c>
      <c r="D45" s="135">
        <f t="shared" si="63"/>
        <v>0.16666666666666666</v>
      </c>
      <c r="E45" s="128">
        <f t="shared" si="64"/>
        <v>1.677025E-2</v>
      </c>
      <c r="F45" s="135">
        <f t="shared" si="65"/>
        <v>0.99170000000000025</v>
      </c>
      <c r="G45" s="134">
        <f t="shared" si="66"/>
        <v>0.9462107161873442</v>
      </c>
      <c r="H45" s="135">
        <v>1</v>
      </c>
      <c r="I45" s="136">
        <f t="shared" si="67"/>
        <v>3.7356743788958445E-4</v>
      </c>
      <c r="J45" s="135">
        <f t="shared" si="75"/>
        <v>3.6529680365296805E-5</v>
      </c>
      <c r="K45" s="135">
        <f t="shared" si="68"/>
        <v>0.2</v>
      </c>
      <c r="L45" s="135">
        <f t="shared" si="69"/>
        <v>3.0080783999999916E-2</v>
      </c>
      <c r="M45" s="135">
        <f t="shared" si="70"/>
        <v>0.16670319634703196</v>
      </c>
      <c r="N45" s="135">
        <f t="shared" si="71"/>
        <v>0.20003652968036531</v>
      </c>
      <c r="O45" s="135">
        <f t="shared" si="72"/>
        <v>0.17251441700801595</v>
      </c>
      <c r="P45" s="137">
        <f t="shared" si="73"/>
        <v>1.7304847828376459E-4</v>
      </c>
      <c r="Q45" s="137">
        <f t="shared" si="74"/>
        <v>2.1587444258077162</v>
      </c>
      <c r="R45" s="138">
        <f t="shared" si="76"/>
        <v>1.4692666285626024</v>
      </c>
      <c r="S45" s="132">
        <f t="shared" si="77"/>
        <v>1.4692666285626024</v>
      </c>
      <c r="T45" s="139"/>
      <c r="AL45" s="113"/>
      <c r="AM45" s="114"/>
      <c r="AS45" s="113"/>
      <c r="AT45" s="113"/>
      <c r="AU45" s="113"/>
      <c r="AV45" s="113"/>
      <c r="AW45" s="114"/>
    </row>
    <row r="46" spans="2:49" x14ac:dyDescent="0.3">
      <c r="B46" s="90">
        <v>26.5</v>
      </c>
      <c r="C46" s="87">
        <f t="shared" si="62"/>
        <v>0.1492263837719654</v>
      </c>
      <c r="D46" s="108">
        <f t="shared" si="63"/>
        <v>0.16666666666666666</v>
      </c>
      <c r="E46" s="108">
        <f t="shared" si="64"/>
        <v>2.1608999999999996E-2</v>
      </c>
      <c r="F46" s="108">
        <f t="shared" si="65"/>
        <v>1</v>
      </c>
      <c r="G46" s="87">
        <f t="shared" si="66"/>
        <v>0.9601127667963465</v>
      </c>
      <c r="H46" s="108">
        <v>1</v>
      </c>
      <c r="I46" s="123">
        <f t="shared" si="67"/>
        <v>5.1600187356263779E-4</v>
      </c>
      <c r="J46" s="108">
        <f t="shared" si="75"/>
        <v>3.6529680365296805E-5</v>
      </c>
      <c r="K46" s="108">
        <f t="shared" si="68"/>
        <v>0.2</v>
      </c>
      <c r="L46" s="108">
        <f t="shared" si="69"/>
        <v>2.9077433062501212E-2</v>
      </c>
      <c r="M46" s="108">
        <f t="shared" si="70"/>
        <v>0.16670319634703196</v>
      </c>
      <c r="N46" s="108">
        <f t="shared" si="71"/>
        <v>0.20003652968036531</v>
      </c>
      <c r="O46" s="108">
        <f t="shared" si="72"/>
        <v>0.17830381683446661</v>
      </c>
      <c r="P46" s="124">
        <f t="shared" si="73"/>
        <v>1.7289002742953879E-4</v>
      </c>
      <c r="Q46" s="124">
        <f t="shared" si="74"/>
        <v>2.9845670177415755</v>
      </c>
      <c r="R46" s="125">
        <f t="shared" si="76"/>
        <v>1.7275899449063645</v>
      </c>
      <c r="S46" s="111">
        <f t="shared" si="77"/>
        <v>1.7275899449063645</v>
      </c>
      <c r="T46" s="112"/>
      <c r="AL46" s="105"/>
      <c r="AM46" s="73"/>
      <c r="AS46" s="105"/>
      <c r="AT46" s="105"/>
      <c r="AU46" s="105"/>
      <c r="AV46" s="105"/>
      <c r="AW46" s="73"/>
    </row>
    <row r="47" spans="2:49" s="71" customFormat="1" x14ac:dyDescent="0.3">
      <c r="B47" s="140">
        <v>27</v>
      </c>
      <c r="C47" s="141">
        <f t="shared" si="62"/>
        <v>0.15506370944921752</v>
      </c>
      <c r="D47" s="142">
        <f t="shared" si="63"/>
        <v>0.16666666666666666</v>
      </c>
      <c r="E47" s="108">
        <f t="shared" si="64"/>
        <v>2.5921000000000003E-2</v>
      </c>
      <c r="F47" s="142">
        <f t="shared" si="65"/>
        <v>1</v>
      </c>
      <c r="G47" s="141">
        <f t="shared" si="66"/>
        <v>0.96923949533397213</v>
      </c>
      <c r="H47" s="142">
        <v>1</v>
      </c>
      <c r="I47" s="143">
        <f t="shared" si="67"/>
        <v>6.4929457382045049E-4</v>
      </c>
      <c r="J47" s="142">
        <f t="shared" si="75"/>
        <v>3.6529680365296805E-5</v>
      </c>
      <c r="K47" s="142">
        <f t="shared" si="68"/>
        <v>0.2</v>
      </c>
      <c r="L47" s="142">
        <f t="shared" si="69"/>
        <v>2.8132368999999713E-2</v>
      </c>
      <c r="M47" s="142">
        <f t="shared" si="70"/>
        <v>0.16670319634703196</v>
      </c>
      <c r="N47" s="142">
        <f t="shared" si="71"/>
        <v>0.20003652968036531</v>
      </c>
      <c r="O47" s="142">
        <f t="shared" si="72"/>
        <v>0.18319607844921723</v>
      </c>
      <c r="P47" s="109">
        <f t="shared" si="73"/>
        <v>1.7186035978993219E-4</v>
      </c>
      <c r="Q47" s="109">
        <f t="shared" si="74"/>
        <v>3.7780356948751543</v>
      </c>
      <c r="R47" s="110">
        <f t="shared" si="76"/>
        <v>1.9437169791086237</v>
      </c>
      <c r="S47" s="111">
        <f t="shared" si="77"/>
        <v>1.9437169791086237</v>
      </c>
      <c r="T47" s="139"/>
      <c r="AL47" s="113"/>
      <c r="AM47" s="114"/>
      <c r="AS47" s="113"/>
      <c r="AT47" s="113"/>
      <c r="AU47" s="113"/>
      <c r="AV47" s="113"/>
      <c r="AW47" s="114"/>
    </row>
    <row r="48" spans="2:49" x14ac:dyDescent="0.3">
      <c r="B48" s="90">
        <v>27.5</v>
      </c>
      <c r="C48" s="87">
        <f t="shared" si="62"/>
        <v>0.16024206294559862</v>
      </c>
      <c r="D48" s="108">
        <f t="shared" si="63"/>
        <v>0.16666666666666666</v>
      </c>
      <c r="E48" s="108">
        <f t="shared" si="64"/>
        <v>3.0624999999999996E-2</v>
      </c>
      <c r="F48" s="108">
        <f t="shared" si="65"/>
        <v>1</v>
      </c>
      <c r="G48" s="87">
        <f t="shared" si="66"/>
        <v>0.97288435140504215</v>
      </c>
      <c r="H48" s="108">
        <v>1</v>
      </c>
      <c r="I48" s="123">
        <f t="shared" si="67"/>
        <v>7.9572424774532256E-4</v>
      </c>
      <c r="J48" s="108">
        <f t="shared" si="75"/>
        <v>3.6529680365296805E-5</v>
      </c>
      <c r="K48" s="108">
        <f t="shared" si="68"/>
        <v>0.2</v>
      </c>
      <c r="L48" s="108">
        <f t="shared" si="69"/>
        <v>2.7295664062500169E-2</v>
      </c>
      <c r="M48" s="108">
        <f t="shared" si="70"/>
        <v>0.16670319634703196</v>
      </c>
      <c r="N48" s="108">
        <f t="shared" si="71"/>
        <v>0.20003652968036531</v>
      </c>
      <c r="O48" s="108">
        <f t="shared" si="72"/>
        <v>0.18753772700809879</v>
      </c>
      <c r="P48" s="124">
        <f t="shared" si="73"/>
        <v>1.707007978937443E-4</v>
      </c>
      <c r="Q48" s="124">
        <f t="shared" si="74"/>
        <v>4.6615145187583424</v>
      </c>
      <c r="R48" s="125">
        <f t="shared" si="76"/>
        <v>2.1590540796280075</v>
      </c>
      <c r="S48" s="111">
        <f t="shared" si="77"/>
        <v>2.1590540796280075</v>
      </c>
      <c r="T48" s="112"/>
      <c r="AL48" s="105"/>
      <c r="AM48" s="73"/>
      <c r="AS48" s="105"/>
      <c r="AT48" s="105"/>
      <c r="AU48" s="105"/>
      <c r="AV48" s="105"/>
      <c r="AW48" s="73"/>
    </row>
    <row r="49" spans="1:49" s="71" customFormat="1" x14ac:dyDescent="0.3">
      <c r="A49" s="144"/>
      <c r="B49" s="145">
        <v>28</v>
      </c>
      <c r="C49" s="146">
        <f t="shared" si="62"/>
        <v>0.16417197757565369</v>
      </c>
      <c r="D49" s="147">
        <f t="shared" si="63"/>
        <v>0.16666666666666666</v>
      </c>
      <c r="E49" s="148">
        <f t="shared" si="64"/>
        <v>3.0624999999999996E-2</v>
      </c>
      <c r="F49" s="147">
        <f t="shared" si="65"/>
        <v>1</v>
      </c>
      <c r="G49" s="146">
        <f t="shared" si="66"/>
        <v>0.97020026840705875</v>
      </c>
      <c r="H49" s="147">
        <v>1</v>
      </c>
      <c r="I49" s="149">
        <f t="shared" si="67"/>
        <v>8.1299011861791918E-4</v>
      </c>
      <c r="J49" s="147">
        <f t="shared" si="75"/>
        <v>3.6529680365296805E-5</v>
      </c>
      <c r="K49" s="147">
        <f t="shared" si="68"/>
        <v>0.2</v>
      </c>
      <c r="L49" s="147">
        <f t="shared" si="69"/>
        <v>2.6623104000001341E-2</v>
      </c>
      <c r="M49" s="147">
        <f t="shared" si="70"/>
        <v>0.16670319634703196</v>
      </c>
      <c r="N49" s="147">
        <f t="shared" si="71"/>
        <v>0.20003652968036531</v>
      </c>
      <c r="O49" s="147">
        <f t="shared" si="72"/>
        <v>0.19079508157565503</v>
      </c>
      <c r="P49" s="150">
        <f t="shared" si="73"/>
        <v>1.6938662011583113E-4</v>
      </c>
      <c r="Q49" s="150">
        <f t="shared" si="74"/>
        <v>4.7996123782502691</v>
      </c>
      <c r="R49" s="151">
        <f t="shared" si="76"/>
        <v>2.1908017660779509</v>
      </c>
      <c r="S49" s="152">
        <f t="shared" si="77"/>
        <v>2.1908017660779509</v>
      </c>
      <c r="T49" s="153"/>
      <c r="AL49" s="113"/>
      <c r="AM49" s="114"/>
      <c r="AS49" s="113"/>
      <c r="AT49" s="113"/>
      <c r="AU49" s="113"/>
      <c r="AV49" s="113"/>
      <c r="AW49" s="114"/>
    </row>
  </sheetData>
  <mergeCells count="12">
    <mergeCell ref="AM2:AS2"/>
    <mergeCell ref="AU2:AW2"/>
    <mergeCell ref="B27:S27"/>
    <mergeCell ref="T2:W2"/>
    <mergeCell ref="Y2:AD2"/>
    <mergeCell ref="AF2:AH2"/>
    <mergeCell ref="B2:E2"/>
    <mergeCell ref="G2:O2"/>
    <mergeCell ref="Q2:R2"/>
    <mergeCell ref="AU12:AW12"/>
    <mergeCell ref="AJ2:AK2"/>
    <mergeCell ref="AU3:AW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05C79-CFB2-4EF1-BAC5-124920D05164}">
  <dimension ref="B1:AW29"/>
  <sheetViews>
    <sheetView topLeftCell="B1" workbookViewId="0">
      <selection activeCell="I28" sqref="I28"/>
    </sheetView>
  </sheetViews>
  <sheetFormatPr defaultRowHeight="14" x14ac:dyDescent="0.3"/>
  <cols>
    <col min="1" max="7" width="8.6640625" style="74"/>
    <col min="8" max="8" width="16.75" style="74" customWidth="1"/>
    <col min="9" max="9" width="22.33203125" style="74" customWidth="1"/>
    <col min="10" max="10" width="13" style="74" customWidth="1"/>
    <col min="11" max="11" width="20.6640625" style="74" customWidth="1"/>
    <col min="12" max="12" width="23.83203125" style="74" customWidth="1"/>
    <col min="13" max="13" width="8.25" style="74" customWidth="1"/>
    <col min="14" max="14" width="12.33203125" style="74" customWidth="1"/>
    <col min="15" max="15" width="13.33203125" style="74" customWidth="1"/>
    <col min="16" max="16" width="15.75" style="74" customWidth="1"/>
    <col min="17" max="17" width="8.4140625" style="74" customWidth="1"/>
    <col min="18" max="18" width="23.4140625" style="74" customWidth="1"/>
    <col min="19" max="19" width="11.08203125" style="74" customWidth="1"/>
    <col min="20" max="20" width="9.83203125" style="74" customWidth="1"/>
    <col min="21" max="25" width="8.6640625" style="74"/>
    <col min="26" max="26" width="11.1640625" style="74" customWidth="1"/>
    <col min="27" max="28" width="8.6640625" style="74"/>
    <col min="29" max="30" width="12.9140625" style="74" customWidth="1"/>
    <col min="31" max="31" width="8.6640625" style="74"/>
    <col min="32" max="32" width="15.4140625" style="74" customWidth="1"/>
    <col min="33" max="36" width="10.08203125" style="74" customWidth="1"/>
    <col min="37" max="38" width="11.5" style="74" customWidth="1"/>
    <col min="39" max="39" width="13.4140625" style="74" customWidth="1"/>
    <col min="40" max="40" width="9.75" style="74" customWidth="1"/>
    <col min="41" max="41" width="15" style="74" customWidth="1"/>
    <col min="42" max="42" width="13.1640625" style="74" customWidth="1"/>
    <col min="43" max="43" width="17.83203125" style="74" customWidth="1"/>
    <col min="44" max="44" width="14.9140625" style="74" customWidth="1"/>
    <col min="45" max="45" width="10.33203125" style="74" customWidth="1"/>
    <col min="46" max="46" width="10.4140625" style="74" customWidth="1"/>
    <col min="47" max="47" width="8.75" style="74" customWidth="1"/>
    <col min="48" max="48" width="12.25" style="74" customWidth="1"/>
    <col min="49" max="49" width="10.1640625" style="74" customWidth="1"/>
    <col min="50" max="16384" width="8.6640625" style="74"/>
  </cols>
  <sheetData>
    <row r="1" spans="2:49" ht="14.5" thickBot="1" x14ac:dyDescent="0.35"/>
    <row r="2" spans="2:49" ht="17" x14ac:dyDescent="0.45">
      <c r="B2" s="180" t="s">
        <v>73</v>
      </c>
      <c r="C2" s="181"/>
      <c r="D2" s="181"/>
      <c r="E2" s="182"/>
      <c r="F2" s="75"/>
      <c r="G2" s="180" t="s">
        <v>81</v>
      </c>
      <c r="H2" s="181"/>
      <c r="I2" s="181"/>
      <c r="J2" s="181"/>
      <c r="K2" s="181"/>
      <c r="L2" s="181"/>
      <c r="M2" s="181"/>
      <c r="N2" s="181"/>
      <c r="O2" s="182"/>
      <c r="P2" s="76"/>
      <c r="Q2" s="180" t="s">
        <v>82</v>
      </c>
      <c r="R2" s="182"/>
      <c r="S2" s="71"/>
      <c r="T2" s="183" t="s">
        <v>47</v>
      </c>
      <c r="U2" s="184"/>
      <c r="V2" s="184"/>
      <c r="W2" s="185"/>
      <c r="X2" s="72"/>
      <c r="Y2" s="183" t="s">
        <v>51</v>
      </c>
      <c r="Z2" s="184"/>
      <c r="AA2" s="184"/>
      <c r="AB2" s="184"/>
      <c r="AC2" s="184"/>
      <c r="AD2" s="185"/>
      <c r="AE2" s="72"/>
      <c r="AF2" s="180" t="s">
        <v>52</v>
      </c>
      <c r="AG2" s="181"/>
      <c r="AH2" s="182"/>
      <c r="AI2" s="71"/>
      <c r="AJ2" s="180" t="s">
        <v>53</v>
      </c>
      <c r="AK2" s="182"/>
      <c r="AL2" s="71"/>
      <c r="AM2" s="180" t="s">
        <v>56</v>
      </c>
      <c r="AN2" s="181"/>
      <c r="AO2" s="181"/>
      <c r="AP2" s="181"/>
      <c r="AQ2" s="181"/>
      <c r="AR2" s="181"/>
      <c r="AS2" s="182"/>
      <c r="AT2" s="71"/>
      <c r="AU2" s="180" t="s">
        <v>57</v>
      </c>
      <c r="AV2" s="181"/>
      <c r="AW2" s="182"/>
    </row>
    <row r="3" spans="2:49" ht="17.5" x14ac:dyDescent="0.45">
      <c r="B3" s="77" t="s">
        <v>0</v>
      </c>
      <c r="C3" s="78" t="s">
        <v>61</v>
      </c>
      <c r="D3" s="78" t="s">
        <v>86</v>
      </c>
      <c r="E3" s="79" t="s">
        <v>72</v>
      </c>
      <c r="G3" s="77" t="s">
        <v>0</v>
      </c>
      <c r="H3" s="78" t="s">
        <v>75</v>
      </c>
      <c r="I3" s="78" t="s">
        <v>76</v>
      </c>
      <c r="J3" s="78" t="s">
        <v>77</v>
      </c>
      <c r="K3" s="78" t="s">
        <v>78</v>
      </c>
      <c r="L3" s="78" t="s">
        <v>79</v>
      </c>
      <c r="M3" s="78" t="s">
        <v>80</v>
      </c>
      <c r="N3" s="78" t="s">
        <v>100</v>
      </c>
      <c r="O3" s="79" t="s">
        <v>4</v>
      </c>
      <c r="Q3" s="80" t="s">
        <v>9</v>
      </c>
      <c r="R3" s="79" t="s">
        <v>83</v>
      </c>
      <c r="T3" s="77" t="s">
        <v>0</v>
      </c>
      <c r="U3" s="78" t="s">
        <v>45</v>
      </c>
      <c r="V3" s="78" t="s">
        <v>13</v>
      </c>
      <c r="W3" s="81" t="s">
        <v>84</v>
      </c>
      <c r="X3" s="82"/>
      <c r="Y3" s="77" t="s">
        <v>0</v>
      </c>
      <c r="Z3" s="78" t="s">
        <v>48</v>
      </c>
      <c r="AA3" s="78" t="s">
        <v>49</v>
      </c>
      <c r="AB3" s="78" t="s">
        <v>5</v>
      </c>
      <c r="AC3" s="78" t="s">
        <v>95</v>
      </c>
      <c r="AD3" s="81" t="s">
        <v>85</v>
      </c>
      <c r="AE3" s="82"/>
      <c r="AF3" s="80" t="s">
        <v>6</v>
      </c>
      <c r="AG3" s="83" t="s">
        <v>7</v>
      </c>
      <c r="AH3" s="79" t="s">
        <v>8</v>
      </c>
      <c r="AJ3" s="80" t="s">
        <v>9</v>
      </c>
      <c r="AK3" s="79" t="s">
        <v>10</v>
      </c>
      <c r="AM3" s="77" t="s">
        <v>0</v>
      </c>
      <c r="AN3" s="78" t="s">
        <v>13</v>
      </c>
      <c r="AO3" s="78" t="s">
        <v>54</v>
      </c>
      <c r="AP3" s="78" t="s">
        <v>1</v>
      </c>
      <c r="AQ3" s="78" t="s">
        <v>98</v>
      </c>
      <c r="AR3" s="78" t="s">
        <v>2</v>
      </c>
      <c r="AS3" s="79" t="s">
        <v>55</v>
      </c>
      <c r="AU3" s="190" t="s">
        <v>97</v>
      </c>
      <c r="AV3" s="191"/>
      <c r="AW3" s="192"/>
    </row>
    <row r="4" spans="2:49" ht="14.5" thickBot="1" x14ac:dyDescent="0.35">
      <c r="B4" s="84">
        <v>26</v>
      </c>
      <c r="C4" s="85">
        <v>0.35</v>
      </c>
      <c r="D4" s="85">
        <v>0.5</v>
      </c>
      <c r="E4" s="86">
        <f t="shared" ref="E4:E14" si="0">C4*D4</f>
        <v>0.17499999999999999</v>
      </c>
      <c r="G4" s="84">
        <v>26</v>
      </c>
      <c r="H4" s="87">
        <v>3.7863843550746799</v>
      </c>
      <c r="I4" s="87">
        <v>0.89</v>
      </c>
      <c r="J4" s="88">
        <f>-LN(I4)</f>
        <v>0.11653381625595151</v>
      </c>
      <c r="K4" s="88">
        <f t="shared" ref="K4:K14" si="1">H4*J4</f>
        <v>0.44124181870868218</v>
      </c>
      <c r="L4" s="88">
        <f t="shared" ref="L4:L14" si="2">LN(K4)</f>
        <v>-0.81816221207664552</v>
      </c>
      <c r="M4" s="88">
        <f t="shared" ref="M4:M14" si="3">LN(I4)</f>
        <v>-0.11653381625595151</v>
      </c>
      <c r="N4" s="88">
        <f t="shared" ref="N4:N14" si="4">L4/M4</f>
        <v>7.020813686214975</v>
      </c>
      <c r="O4" s="89">
        <f>1/N4</f>
        <v>0.14243363300801604</v>
      </c>
      <c r="Q4" s="90">
        <v>6</v>
      </c>
      <c r="R4" s="91">
        <f t="shared" ref="R4:R14" si="5">1/Q4</f>
        <v>0.16666666666666666</v>
      </c>
      <c r="T4" s="84">
        <v>26</v>
      </c>
      <c r="U4" s="87">
        <f>0.0729*T4</f>
        <v>1.8954000000000002</v>
      </c>
      <c r="V4" s="87">
        <v>0.90369999999999995</v>
      </c>
      <c r="W4" s="89">
        <f>U4-V4</f>
        <v>0.99170000000000025</v>
      </c>
      <c r="X4" s="82"/>
      <c r="Y4" s="84">
        <v>26</v>
      </c>
      <c r="Z4" s="87">
        <f t="shared" ref="Z4:Z14" si="6">0.001044*Y4</f>
        <v>2.7144000000000001E-2</v>
      </c>
      <c r="AA4" s="87">
        <f t="shared" ref="AA4:AA14" si="7">Y4-12.286</f>
        <v>13.714</v>
      </c>
      <c r="AB4" s="87">
        <f t="shared" ref="AB4:AB14" si="8">32.461-Y4</f>
        <v>6.4609999999999985</v>
      </c>
      <c r="AC4" s="87">
        <f t="shared" ref="AC4:AC14" si="9">SQRT(AB4)</f>
        <v>2.5418497201841022</v>
      </c>
      <c r="AD4" s="89">
        <f t="shared" ref="AD4:AD14" si="10">Z4*AA4*AC4</f>
        <v>0.9462107161873442</v>
      </c>
      <c r="AE4" s="82"/>
      <c r="AF4" s="84">
        <v>75</v>
      </c>
      <c r="AG4" s="87">
        <f t="shared" ref="AG4:AG14" si="11">75*365</f>
        <v>27375</v>
      </c>
      <c r="AH4" s="91">
        <f t="shared" ref="AH4:AH14" si="12">1/AG4</f>
        <v>3.6529680365296805E-5</v>
      </c>
      <c r="AJ4" s="84">
        <v>5</v>
      </c>
      <c r="AK4" s="91">
        <f t="shared" ref="AK4:AK14" si="13">1/5</f>
        <v>0.2</v>
      </c>
      <c r="AM4" s="84">
        <v>26</v>
      </c>
      <c r="AN4" s="88">
        <v>0.86919999999999997</v>
      </c>
      <c r="AO4" s="88">
        <f t="shared" ref="AO4:AO14" si="14">-0.159*AM4</f>
        <v>-4.1340000000000003</v>
      </c>
      <c r="AP4" s="88">
        <f t="shared" ref="AP4:AP14" si="15">0.01116*AM4*AM4</f>
        <v>7.5441599999999998</v>
      </c>
      <c r="AQ4" s="88">
        <f t="shared" ref="AQ4:AQ14" si="16">-(3.408/10000)*AM4*AM4*AM4</f>
        <v>-5.9899008</v>
      </c>
      <c r="AR4" s="88">
        <f t="shared" ref="AR4:AR14" si="17">(3.809/1000000)*AM4*AM4*AM4*AM4</f>
        <v>1.7406215840000003</v>
      </c>
      <c r="AS4" s="89">
        <f t="shared" ref="AS4:AS14" si="18">AN4+AO4+AP4+AQ4+AR4</f>
        <v>3.0080783999999916E-2</v>
      </c>
      <c r="AU4" s="193"/>
      <c r="AV4" s="194"/>
      <c r="AW4" s="195"/>
    </row>
    <row r="5" spans="2:49" x14ac:dyDescent="0.3">
      <c r="B5" s="92">
        <v>26.5</v>
      </c>
      <c r="C5" s="85">
        <v>0.35</v>
      </c>
      <c r="D5" s="85">
        <v>0.5</v>
      </c>
      <c r="E5" s="86">
        <f t="shared" si="0"/>
        <v>0.17499999999999999</v>
      </c>
      <c r="G5" s="92">
        <v>26.5</v>
      </c>
      <c r="H5" s="88">
        <v>3.9300577639320466</v>
      </c>
      <c r="I5" s="87">
        <v>0.89</v>
      </c>
      <c r="J5" s="88">
        <f t="shared" ref="J5:J14" si="19">-LN(I5)</f>
        <v>0.11653381625595151</v>
      </c>
      <c r="K5" s="88">
        <f t="shared" si="1"/>
        <v>0.45798462933733275</v>
      </c>
      <c r="L5" s="88">
        <f t="shared" si="2"/>
        <v>-0.78091965582995171</v>
      </c>
      <c r="M5" s="88">
        <f t="shared" si="3"/>
        <v>-0.11653381625595151</v>
      </c>
      <c r="N5" s="88">
        <f t="shared" si="4"/>
        <v>6.7012278574552324</v>
      </c>
      <c r="O5" s="89">
        <f t="shared" ref="O5:O14" si="20">1/N5</f>
        <v>0.1492263837719654</v>
      </c>
      <c r="Q5" s="90">
        <v>6</v>
      </c>
      <c r="R5" s="91">
        <f t="shared" si="5"/>
        <v>0.16666666666666666</v>
      </c>
      <c r="T5" s="92">
        <v>26.5</v>
      </c>
      <c r="U5" s="87"/>
      <c r="V5" s="87"/>
      <c r="W5" s="89">
        <v>1</v>
      </c>
      <c r="X5" s="73"/>
      <c r="Y5" s="92">
        <v>26.5</v>
      </c>
      <c r="Z5" s="87">
        <f t="shared" si="6"/>
        <v>2.7666E-2</v>
      </c>
      <c r="AA5" s="87">
        <f t="shared" si="7"/>
        <v>14.214</v>
      </c>
      <c r="AB5" s="87">
        <f t="shared" si="8"/>
        <v>5.9609999999999985</v>
      </c>
      <c r="AC5" s="87">
        <f t="shared" si="9"/>
        <v>2.4415159225366518</v>
      </c>
      <c r="AD5" s="89">
        <f t="shared" si="10"/>
        <v>0.9601127667963465</v>
      </c>
      <c r="AE5" s="73"/>
      <c r="AF5" s="84">
        <v>75</v>
      </c>
      <c r="AG5" s="87">
        <f t="shared" si="11"/>
        <v>27375</v>
      </c>
      <c r="AH5" s="91">
        <f t="shared" si="12"/>
        <v>3.6529680365296805E-5</v>
      </c>
      <c r="AI5" s="73"/>
      <c r="AJ5" s="84">
        <v>5</v>
      </c>
      <c r="AK5" s="91">
        <f t="shared" si="13"/>
        <v>0.2</v>
      </c>
      <c r="AL5" s="73"/>
      <c r="AM5" s="92">
        <v>26.5</v>
      </c>
      <c r="AN5" s="88">
        <v>0.86919999999999997</v>
      </c>
      <c r="AO5" s="88">
        <f t="shared" si="14"/>
        <v>-4.2134999999999998</v>
      </c>
      <c r="AP5" s="88">
        <f t="shared" si="15"/>
        <v>7.83711</v>
      </c>
      <c r="AQ5" s="88">
        <f t="shared" si="16"/>
        <v>-6.3421601999999995</v>
      </c>
      <c r="AR5" s="88">
        <f t="shared" si="17"/>
        <v>1.8784276330625003</v>
      </c>
      <c r="AS5" s="89">
        <f t="shared" si="18"/>
        <v>2.9077433062501212E-2</v>
      </c>
      <c r="AU5" s="93"/>
      <c r="AV5" s="93"/>
      <c r="AW5" s="93"/>
    </row>
    <row r="6" spans="2:49" x14ac:dyDescent="0.3">
      <c r="B6" s="92">
        <v>27</v>
      </c>
      <c r="C6" s="85">
        <v>0.35</v>
      </c>
      <c r="D6" s="85">
        <v>0.5</v>
      </c>
      <c r="E6" s="86">
        <f t="shared" si="0"/>
        <v>0.17499999999999999</v>
      </c>
      <c r="G6" s="92">
        <v>27</v>
      </c>
      <c r="H6" s="88">
        <v>4.0473065252287643</v>
      </c>
      <c r="I6" s="87">
        <v>0.89</v>
      </c>
      <c r="J6" s="88">
        <f t="shared" si="19"/>
        <v>0.11653381625595151</v>
      </c>
      <c r="K6" s="88">
        <f t="shared" si="1"/>
        <v>0.47164807494252237</v>
      </c>
      <c r="L6" s="88">
        <f t="shared" si="2"/>
        <v>-0.75152217543277378</v>
      </c>
      <c r="M6" s="88">
        <f t="shared" si="3"/>
        <v>-0.11653381625595151</v>
      </c>
      <c r="N6" s="88">
        <f t="shared" si="4"/>
        <v>6.4489621946487379</v>
      </c>
      <c r="O6" s="89">
        <f t="shared" si="20"/>
        <v>0.15506370944921752</v>
      </c>
      <c r="Q6" s="90">
        <v>6</v>
      </c>
      <c r="R6" s="91">
        <f t="shared" si="5"/>
        <v>0.16666666666666666</v>
      </c>
      <c r="T6" s="92">
        <v>27</v>
      </c>
      <c r="U6" s="87"/>
      <c r="V6" s="87"/>
      <c r="W6" s="89">
        <v>1</v>
      </c>
      <c r="X6" s="73"/>
      <c r="Y6" s="92">
        <v>27</v>
      </c>
      <c r="Z6" s="87">
        <f t="shared" si="6"/>
        <v>2.8188000000000001E-2</v>
      </c>
      <c r="AA6" s="87">
        <f t="shared" si="7"/>
        <v>14.714</v>
      </c>
      <c r="AB6" s="87">
        <f t="shared" si="8"/>
        <v>5.4609999999999985</v>
      </c>
      <c r="AC6" s="87">
        <f t="shared" si="9"/>
        <v>2.3368782595591067</v>
      </c>
      <c r="AD6" s="89">
        <f t="shared" si="10"/>
        <v>0.96923949533397213</v>
      </c>
      <c r="AE6" s="73"/>
      <c r="AF6" s="84">
        <v>75</v>
      </c>
      <c r="AG6" s="87">
        <f t="shared" si="11"/>
        <v>27375</v>
      </c>
      <c r="AH6" s="91">
        <f t="shared" si="12"/>
        <v>3.6529680365296805E-5</v>
      </c>
      <c r="AI6" s="73"/>
      <c r="AJ6" s="84">
        <v>5</v>
      </c>
      <c r="AK6" s="91">
        <f t="shared" si="13"/>
        <v>0.2</v>
      </c>
      <c r="AL6" s="73"/>
      <c r="AM6" s="92">
        <v>27</v>
      </c>
      <c r="AN6" s="88">
        <v>0.86919999999999997</v>
      </c>
      <c r="AO6" s="88">
        <f t="shared" si="14"/>
        <v>-4.2930000000000001</v>
      </c>
      <c r="AP6" s="88">
        <f t="shared" si="15"/>
        <v>8.1356399999999987</v>
      </c>
      <c r="AQ6" s="88">
        <f t="shared" si="16"/>
        <v>-6.7079663999999992</v>
      </c>
      <c r="AR6" s="88">
        <f t="shared" si="17"/>
        <v>2.0242587690000002</v>
      </c>
      <c r="AS6" s="89">
        <f t="shared" si="18"/>
        <v>2.8132368999999713E-2</v>
      </c>
      <c r="AU6" s="73"/>
      <c r="AV6" s="73"/>
      <c r="AW6" s="73"/>
    </row>
    <row r="7" spans="2:49" x14ac:dyDescent="0.3">
      <c r="B7" s="90">
        <v>27.5</v>
      </c>
      <c r="C7" s="85">
        <v>0.35</v>
      </c>
      <c r="D7" s="85">
        <v>0.5</v>
      </c>
      <c r="E7" s="86">
        <f t="shared" si="0"/>
        <v>0.17499999999999999</v>
      </c>
      <c r="G7" s="90">
        <v>27.5</v>
      </c>
      <c r="H7" s="88">
        <v>4.1468029296028153</v>
      </c>
      <c r="I7" s="87">
        <v>0.89</v>
      </c>
      <c r="J7" s="88">
        <f t="shared" si="19"/>
        <v>0.11653381625595151</v>
      </c>
      <c r="K7" s="88">
        <f t="shared" si="1"/>
        <v>0.48324277064797588</v>
      </c>
      <c r="L7" s="88">
        <f t="shared" si="2"/>
        <v>-0.72723612086493261</v>
      </c>
      <c r="M7" s="88">
        <f t="shared" si="3"/>
        <v>-0.11653381625595151</v>
      </c>
      <c r="N7" s="88">
        <f t="shared" si="4"/>
        <v>6.2405586998683047</v>
      </c>
      <c r="O7" s="89">
        <f t="shared" si="20"/>
        <v>0.16024206294559862</v>
      </c>
      <c r="Q7" s="90">
        <v>6</v>
      </c>
      <c r="R7" s="91">
        <f t="shared" si="5"/>
        <v>0.16666666666666666</v>
      </c>
      <c r="T7" s="90">
        <v>27.5</v>
      </c>
      <c r="U7" s="87"/>
      <c r="V7" s="87"/>
      <c r="W7" s="89">
        <v>1</v>
      </c>
      <c r="X7" s="73"/>
      <c r="Y7" s="90">
        <v>27.5</v>
      </c>
      <c r="Z7" s="87">
        <f t="shared" si="6"/>
        <v>2.8709999999999999E-2</v>
      </c>
      <c r="AA7" s="87">
        <f t="shared" si="7"/>
        <v>15.214</v>
      </c>
      <c r="AB7" s="87">
        <f t="shared" si="8"/>
        <v>4.9609999999999985</v>
      </c>
      <c r="AC7" s="87">
        <f t="shared" si="9"/>
        <v>2.2273302404448243</v>
      </c>
      <c r="AD7" s="89">
        <f t="shared" si="10"/>
        <v>0.97288435140504215</v>
      </c>
      <c r="AE7" s="73"/>
      <c r="AF7" s="84">
        <v>75</v>
      </c>
      <c r="AG7" s="87">
        <f t="shared" si="11"/>
        <v>27375</v>
      </c>
      <c r="AH7" s="91">
        <f t="shared" si="12"/>
        <v>3.6529680365296805E-5</v>
      </c>
      <c r="AI7" s="73"/>
      <c r="AJ7" s="84">
        <v>5</v>
      </c>
      <c r="AK7" s="91">
        <f t="shared" si="13"/>
        <v>0.2</v>
      </c>
      <c r="AL7" s="73"/>
      <c r="AM7" s="90">
        <v>27.5</v>
      </c>
      <c r="AN7" s="88">
        <v>0.86919999999999997</v>
      </c>
      <c r="AO7" s="88">
        <f t="shared" si="14"/>
        <v>-4.3725000000000005</v>
      </c>
      <c r="AP7" s="88">
        <f t="shared" si="15"/>
        <v>8.4397500000000001</v>
      </c>
      <c r="AQ7" s="88">
        <f t="shared" si="16"/>
        <v>-7.0875750000000002</v>
      </c>
      <c r="AR7" s="88">
        <f t="shared" si="17"/>
        <v>2.1784206640625006</v>
      </c>
      <c r="AS7" s="89">
        <f t="shared" si="18"/>
        <v>2.7295664062500169E-2</v>
      </c>
      <c r="AU7" s="73"/>
      <c r="AV7" s="73"/>
      <c r="AW7" s="73"/>
    </row>
    <row r="8" spans="2:49" x14ac:dyDescent="0.3">
      <c r="B8" s="90">
        <v>28</v>
      </c>
      <c r="C8" s="85">
        <v>0.35</v>
      </c>
      <c r="D8" s="85">
        <v>0.5</v>
      </c>
      <c r="E8" s="86">
        <f t="shared" si="0"/>
        <v>0.17499999999999999</v>
      </c>
      <c r="G8" s="90">
        <v>28</v>
      </c>
      <c r="H8" s="88">
        <v>4.2196242586161228</v>
      </c>
      <c r="I8" s="87">
        <v>0.89</v>
      </c>
      <c r="J8" s="88">
        <f t="shared" si="19"/>
        <v>0.11653381625595151</v>
      </c>
      <c r="K8" s="88">
        <f t="shared" si="1"/>
        <v>0.49172891802272684</v>
      </c>
      <c r="L8" s="88">
        <f t="shared" si="2"/>
        <v>-0.70982769396348677</v>
      </c>
      <c r="M8" s="88">
        <f t="shared" si="3"/>
        <v>-0.11653381625595151</v>
      </c>
      <c r="N8" s="88">
        <f t="shared" si="4"/>
        <v>6.0911735045597553</v>
      </c>
      <c r="O8" s="89">
        <f t="shared" si="20"/>
        <v>0.16417197757565369</v>
      </c>
      <c r="Q8" s="90">
        <v>6</v>
      </c>
      <c r="R8" s="91">
        <f t="shared" si="5"/>
        <v>0.16666666666666666</v>
      </c>
      <c r="T8" s="90">
        <v>28</v>
      </c>
      <c r="U8" s="87"/>
      <c r="V8" s="87"/>
      <c r="W8" s="89">
        <v>1</v>
      </c>
      <c r="X8" s="73"/>
      <c r="Y8" s="90">
        <v>28</v>
      </c>
      <c r="Z8" s="87">
        <f t="shared" si="6"/>
        <v>2.9232000000000001E-2</v>
      </c>
      <c r="AA8" s="87">
        <f t="shared" si="7"/>
        <v>15.714</v>
      </c>
      <c r="AB8" s="87">
        <f t="shared" si="8"/>
        <v>4.4609999999999985</v>
      </c>
      <c r="AC8" s="87">
        <f t="shared" si="9"/>
        <v>2.1121079517865553</v>
      </c>
      <c r="AD8" s="89">
        <f t="shared" si="10"/>
        <v>0.97020026840705875</v>
      </c>
      <c r="AE8" s="73"/>
      <c r="AF8" s="84">
        <v>75</v>
      </c>
      <c r="AG8" s="87">
        <f t="shared" si="11"/>
        <v>27375</v>
      </c>
      <c r="AH8" s="91">
        <f t="shared" si="12"/>
        <v>3.6529680365296805E-5</v>
      </c>
      <c r="AI8" s="73"/>
      <c r="AJ8" s="84">
        <v>5</v>
      </c>
      <c r="AK8" s="91">
        <f t="shared" si="13"/>
        <v>0.2</v>
      </c>
      <c r="AL8" s="73"/>
      <c r="AM8" s="90">
        <v>28</v>
      </c>
      <c r="AN8" s="88">
        <v>0.86919999999999997</v>
      </c>
      <c r="AO8" s="88">
        <f t="shared" si="14"/>
        <v>-4.452</v>
      </c>
      <c r="AP8" s="88">
        <f t="shared" si="15"/>
        <v>8.7494399999999999</v>
      </c>
      <c r="AQ8" s="88">
        <f t="shared" si="16"/>
        <v>-7.4812415999999988</v>
      </c>
      <c r="AR8" s="88">
        <f t="shared" si="17"/>
        <v>2.341224704</v>
      </c>
      <c r="AS8" s="89">
        <f t="shared" si="18"/>
        <v>2.6623104000001341E-2</v>
      </c>
      <c r="AU8" s="73"/>
      <c r="AV8" s="73"/>
      <c r="AW8" s="73"/>
    </row>
    <row r="9" spans="2:49" x14ac:dyDescent="0.3">
      <c r="B9" s="90">
        <v>28.5</v>
      </c>
      <c r="C9" s="85">
        <v>0.35</v>
      </c>
      <c r="D9" s="85">
        <v>0.5</v>
      </c>
      <c r="E9" s="86">
        <f t="shared" si="0"/>
        <v>0.17499999999999999</v>
      </c>
      <c r="G9" s="90">
        <v>28.5</v>
      </c>
      <c r="H9" s="88">
        <v>4.2552579918432141</v>
      </c>
      <c r="I9" s="87">
        <v>0.89</v>
      </c>
      <c r="J9" s="88">
        <f t="shared" si="19"/>
        <v>0.11653381625595151</v>
      </c>
      <c r="K9" s="88">
        <f t="shared" si="1"/>
        <v>0.4958814529431263</v>
      </c>
      <c r="L9" s="88">
        <f t="shared" si="2"/>
        <v>-0.70141838698678616</v>
      </c>
      <c r="M9" s="88">
        <f t="shared" si="3"/>
        <v>-0.11653381625595151</v>
      </c>
      <c r="N9" s="88">
        <f t="shared" si="4"/>
        <v>6.0190115583807113</v>
      </c>
      <c r="O9" s="89">
        <f t="shared" si="20"/>
        <v>0.16614023586773591</v>
      </c>
      <c r="Q9" s="90">
        <v>6</v>
      </c>
      <c r="R9" s="91">
        <f t="shared" si="5"/>
        <v>0.16666666666666666</v>
      </c>
      <c r="T9" s="90">
        <v>28.5</v>
      </c>
      <c r="U9" s="87"/>
      <c r="V9" s="87"/>
      <c r="W9" s="89">
        <v>1</v>
      </c>
      <c r="X9" s="73"/>
      <c r="Y9" s="90">
        <v>28.5</v>
      </c>
      <c r="Z9" s="87">
        <f t="shared" si="6"/>
        <v>2.9753999999999999E-2</v>
      </c>
      <c r="AA9" s="87">
        <f t="shared" si="7"/>
        <v>16.213999999999999</v>
      </c>
      <c r="AB9" s="87">
        <f t="shared" si="8"/>
        <v>3.9609999999999985</v>
      </c>
      <c r="AC9" s="87">
        <f t="shared" si="9"/>
        <v>1.9902261178067175</v>
      </c>
      <c r="AD9" s="89">
        <f t="shared" si="10"/>
        <v>0.96014748476011036</v>
      </c>
      <c r="AE9" s="73"/>
      <c r="AF9" s="84">
        <v>75</v>
      </c>
      <c r="AG9" s="87">
        <f t="shared" si="11"/>
        <v>27375</v>
      </c>
      <c r="AH9" s="91">
        <f t="shared" si="12"/>
        <v>3.6529680365296805E-5</v>
      </c>
      <c r="AI9" s="73"/>
      <c r="AJ9" s="84">
        <v>5</v>
      </c>
      <c r="AK9" s="91">
        <f t="shared" si="13"/>
        <v>0.2</v>
      </c>
      <c r="AL9" s="73"/>
      <c r="AM9" s="90">
        <v>28.5</v>
      </c>
      <c r="AN9" s="88">
        <v>0.86919999999999997</v>
      </c>
      <c r="AO9" s="88">
        <f t="shared" si="14"/>
        <v>-4.5315000000000003</v>
      </c>
      <c r="AP9" s="88">
        <f t="shared" si="15"/>
        <v>9.0647099999999998</v>
      </c>
      <c r="AQ9" s="88">
        <f t="shared" si="16"/>
        <v>-7.8892217999999996</v>
      </c>
      <c r="AR9" s="88">
        <f t="shared" si="17"/>
        <v>2.5129879880625001</v>
      </c>
      <c r="AS9" s="89">
        <f t="shared" si="18"/>
        <v>2.6176188062500216E-2</v>
      </c>
      <c r="AU9" s="73"/>
      <c r="AV9" s="73"/>
      <c r="AW9" s="73"/>
    </row>
    <row r="10" spans="2:49" x14ac:dyDescent="0.3">
      <c r="B10" s="90">
        <v>29</v>
      </c>
      <c r="C10" s="85">
        <v>0.35</v>
      </c>
      <c r="D10" s="85">
        <v>0.5</v>
      </c>
      <c r="E10" s="86">
        <f t="shared" si="0"/>
        <v>0.17499999999999999</v>
      </c>
      <c r="G10" s="90">
        <v>29</v>
      </c>
      <c r="H10" s="88">
        <v>4.2421861088869424</v>
      </c>
      <c r="I10" s="87">
        <v>0.89</v>
      </c>
      <c r="J10" s="88">
        <f t="shared" si="19"/>
        <v>0.11653381625595151</v>
      </c>
      <c r="K10" s="88">
        <f t="shared" si="1"/>
        <v>0.49435813653658084</v>
      </c>
      <c r="L10" s="88">
        <f t="shared" si="2"/>
        <v>-0.70449505171389815</v>
      </c>
      <c r="M10" s="88">
        <f t="shared" si="3"/>
        <v>-0.11653381625595151</v>
      </c>
      <c r="N10" s="88">
        <f t="shared" si="4"/>
        <v>6.0454130341579608</v>
      </c>
      <c r="O10" s="89">
        <f t="shared" si="20"/>
        <v>0.16541466965942148</v>
      </c>
      <c r="Q10" s="90">
        <v>6</v>
      </c>
      <c r="R10" s="91">
        <f t="shared" si="5"/>
        <v>0.16666666666666666</v>
      </c>
      <c r="T10" s="90">
        <v>29</v>
      </c>
      <c r="U10" s="87"/>
      <c r="V10" s="87"/>
      <c r="W10" s="89">
        <v>1</v>
      </c>
      <c r="X10" s="73"/>
      <c r="Y10" s="90">
        <v>29</v>
      </c>
      <c r="Z10" s="87">
        <f t="shared" si="6"/>
        <v>3.0276000000000001E-2</v>
      </c>
      <c r="AA10" s="87">
        <f t="shared" si="7"/>
        <v>16.713999999999999</v>
      </c>
      <c r="AB10" s="87">
        <f t="shared" si="8"/>
        <v>3.4609999999999985</v>
      </c>
      <c r="AC10" s="87">
        <f t="shared" si="9"/>
        <v>1.8603763060198328</v>
      </c>
      <c r="AD10" s="89">
        <f t="shared" si="10"/>
        <v>0.94141192232821747</v>
      </c>
      <c r="AE10" s="73"/>
      <c r="AF10" s="84">
        <v>75</v>
      </c>
      <c r="AG10" s="87">
        <f t="shared" si="11"/>
        <v>27375</v>
      </c>
      <c r="AH10" s="91">
        <f t="shared" si="12"/>
        <v>3.6529680365296805E-5</v>
      </c>
      <c r="AI10" s="73"/>
      <c r="AJ10" s="84">
        <v>5</v>
      </c>
      <c r="AK10" s="91">
        <f t="shared" si="13"/>
        <v>0.2</v>
      </c>
      <c r="AL10" s="73"/>
      <c r="AM10" s="90">
        <v>29</v>
      </c>
      <c r="AN10" s="88">
        <v>0.86919999999999997</v>
      </c>
      <c r="AO10" s="88">
        <f t="shared" si="14"/>
        <v>-4.6109999999999998</v>
      </c>
      <c r="AP10" s="88">
        <f t="shared" si="15"/>
        <v>9.3855599999999999</v>
      </c>
      <c r="AQ10" s="88">
        <f t="shared" si="16"/>
        <v>-8.3117712000000008</v>
      </c>
      <c r="AR10" s="88">
        <f t="shared" si="17"/>
        <v>2.6940333289999998</v>
      </c>
      <c r="AS10" s="89">
        <f t="shared" si="18"/>
        <v>2.6022128999999339E-2</v>
      </c>
      <c r="AU10" s="73"/>
      <c r="AV10" s="73"/>
      <c r="AW10" s="73"/>
    </row>
    <row r="11" spans="2:49" x14ac:dyDescent="0.3">
      <c r="B11" s="90">
        <v>29.5</v>
      </c>
      <c r="C11" s="85">
        <v>0.35</v>
      </c>
      <c r="D11" s="85">
        <v>0.5</v>
      </c>
      <c r="E11" s="86">
        <f t="shared" si="0"/>
        <v>0.17499999999999999</v>
      </c>
      <c r="G11" s="90">
        <v>29.5</v>
      </c>
      <c r="H11" s="88">
        <v>4.1688607153983854</v>
      </c>
      <c r="I11" s="87">
        <v>0.89</v>
      </c>
      <c r="J11" s="88">
        <f t="shared" si="19"/>
        <v>0.11653381625595151</v>
      </c>
      <c r="K11" s="88">
        <f t="shared" si="1"/>
        <v>0.48581324860489</v>
      </c>
      <c r="L11" s="88">
        <f t="shared" si="2"/>
        <v>-0.72193099105910996</v>
      </c>
      <c r="M11" s="88">
        <f t="shared" si="3"/>
        <v>-0.11653381625595151</v>
      </c>
      <c r="N11" s="88">
        <f t="shared" si="4"/>
        <v>6.1950343192527191</v>
      </c>
      <c r="O11" s="89">
        <f t="shared" si="20"/>
        <v>0.1614196061662215</v>
      </c>
      <c r="Q11" s="90">
        <v>6</v>
      </c>
      <c r="R11" s="91">
        <f t="shared" si="5"/>
        <v>0.16666666666666666</v>
      </c>
      <c r="T11" s="90">
        <v>29.5</v>
      </c>
      <c r="U11" s="87"/>
      <c r="V11" s="87"/>
      <c r="W11" s="89">
        <v>1</v>
      </c>
      <c r="X11" s="73"/>
      <c r="Y11" s="90">
        <v>29.5</v>
      </c>
      <c r="Z11" s="87">
        <f t="shared" si="6"/>
        <v>3.0797999999999999E-2</v>
      </c>
      <c r="AA11" s="87">
        <f t="shared" si="7"/>
        <v>17.213999999999999</v>
      </c>
      <c r="AB11" s="87">
        <f t="shared" si="8"/>
        <v>2.9609999999999985</v>
      </c>
      <c r="AC11" s="87">
        <f t="shared" si="9"/>
        <v>1.720755647963998</v>
      </c>
      <c r="AD11" s="89">
        <f t="shared" si="10"/>
        <v>0.91227025972536135</v>
      </c>
      <c r="AE11" s="73"/>
      <c r="AF11" s="84">
        <v>75</v>
      </c>
      <c r="AG11" s="87">
        <f t="shared" si="11"/>
        <v>27375</v>
      </c>
      <c r="AH11" s="91">
        <f t="shared" si="12"/>
        <v>3.6529680365296805E-5</v>
      </c>
      <c r="AI11" s="73"/>
      <c r="AJ11" s="84">
        <v>5</v>
      </c>
      <c r="AK11" s="91">
        <f t="shared" si="13"/>
        <v>0.2</v>
      </c>
      <c r="AL11" s="73"/>
      <c r="AM11" s="90">
        <v>29.5</v>
      </c>
      <c r="AN11" s="88">
        <v>0.86919999999999997</v>
      </c>
      <c r="AO11" s="88">
        <f t="shared" si="14"/>
        <v>-4.6905000000000001</v>
      </c>
      <c r="AP11" s="88">
        <f t="shared" si="15"/>
        <v>9.7119900000000001</v>
      </c>
      <c r="AQ11" s="88">
        <f t="shared" si="16"/>
        <v>-8.7491453999999997</v>
      </c>
      <c r="AR11" s="88">
        <f t="shared" si="17"/>
        <v>2.8846892530625006</v>
      </c>
      <c r="AS11" s="89">
        <f t="shared" si="18"/>
        <v>2.6233853062501034E-2</v>
      </c>
      <c r="AU11" s="73"/>
      <c r="AV11" s="73"/>
      <c r="AW11" s="73"/>
    </row>
    <row r="12" spans="2:49" x14ac:dyDescent="0.3">
      <c r="B12" s="92">
        <v>30</v>
      </c>
      <c r="C12" s="85">
        <v>0.35</v>
      </c>
      <c r="D12" s="85">
        <v>0.5</v>
      </c>
      <c r="E12" s="86">
        <f t="shared" si="0"/>
        <v>0.17499999999999999</v>
      </c>
      <c r="G12" s="92">
        <v>30</v>
      </c>
      <c r="H12" s="88">
        <v>4.02478442492243</v>
      </c>
      <c r="I12" s="87">
        <v>0.89</v>
      </c>
      <c r="J12" s="88">
        <f t="shared" si="19"/>
        <v>0.11653381625595151</v>
      </c>
      <c r="K12" s="88">
        <f t="shared" si="1"/>
        <v>0.46902348864372589</v>
      </c>
      <c r="L12" s="88">
        <f t="shared" si="2"/>
        <v>-0.75710242939393502</v>
      </c>
      <c r="M12" s="88">
        <f t="shared" si="3"/>
        <v>-0.11653381625595151</v>
      </c>
      <c r="N12" s="88">
        <f t="shared" si="4"/>
        <v>6.4968474707037576</v>
      </c>
      <c r="O12" s="89">
        <f t="shared" si="20"/>
        <v>0.15392080613086598</v>
      </c>
      <c r="Q12" s="90">
        <v>6</v>
      </c>
      <c r="R12" s="91">
        <f t="shared" si="5"/>
        <v>0.16666666666666666</v>
      </c>
      <c r="T12" s="92">
        <v>30</v>
      </c>
      <c r="U12" s="87"/>
      <c r="V12" s="87"/>
      <c r="W12" s="89">
        <v>1</v>
      </c>
      <c r="X12" s="73"/>
      <c r="Y12" s="92">
        <v>30</v>
      </c>
      <c r="Z12" s="87">
        <f t="shared" si="6"/>
        <v>3.1320000000000001E-2</v>
      </c>
      <c r="AA12" s="87">
        <f t="shared" si="7"/>
        <v>17.713999999999999</v>
      </c>
      <c r="AB12" s="87">
        <f t="shared" si="8"/>
        <v>2.4609999999999985</v>
      </c>
      <c r="AC12" s="87">
        <f t="shared" si="9"/>
        <v>1.5687574701017357</v>
      </c>
      <c r="AD12" s="89">
        <f t="shared" si="10"/>
        <v>0.87035053493096881</v>
      </c>
      <c r="AE12" s="73"/>
      <c r="AF12" s="84">
        <v>75</v>
      </c>
      <c r="AG12" s="87">
        <f t="shared" si="11"/>
        <v>27375</v>
      </c>
      <c r="AH12" s="91">
        <f t="shared" si="12"/>
        <v>3.6529680365296805E-5</v>
      </c>
      <c r="AI12" s="73"/>
      <c r="AJ12" s="84">
        <v>5</v>
      </c>
      <c r="AK12" s="91">
        <f t="shared" si="13"/>
        <v>0.2</v>
      </c>
      <c r="AL12" s="73"/>
      <c r="AM12" s="92">
        <v>30</v>
      </c>
      <c r="AN12" s="88">
        <v>0.86919999999999997</v>
      </c>
      <c r="AO12" s="88">
        <f t="shared" si="14"/>
        <v>-4.7700000000000005</v>
      </c>
      <c r="AP12" s="88">
        <f t="shared" si="15"/>
        <v>10.044</v>
      </c>
      <c r="AQ12" s="88">
        <f t="shared" si="16"/>
        <v>-9.2015999999999991</v>
      </c>
      <c r="AR12" s="88">
        <f t="shared" si="17"/>
        <v>3.0852899999999996</v>
      </c>
      <c r="AS12" s="89">
        <f t="shared" si="18"/>
        <v>2.6890000000000747E-2</v>
      </c>
      <c r="AU12" s="73"/>
      <c r="AV12" s="73"/>
      <c r="AW12" s="73"/>
    </row>
    <row r="13" spans="2:49" x14ac:dyDescent="0.3">
      <c r="B13" s="90">
        <v>30.5</v>
      </c>
      <c r="C13" s="85">
        <v>0.35</v>
      </c>
      <c r="D13" s="85">
        <v>0.5</v>
      </c>
      <c r="E13" s="86">
        <f t="shared" si="0"/>
        <v>0.17499999999999999</v>
      </c>
      <c r="G13" s="90">
        <v>30.5</v>
      </c>
      <c r="H13" s="88">
        <v>3.8009077023344107</v>
      </c>
      <c r="I13" s="87">
        <v>0.89</v>
      </c>
      <c r="J13" s="88">
        <f t="shared" si="19"/>
        <v>0.11653381625595151</v>
      </c>
      <c r="K13" s="88">
        <f t="shared" si="1"/>
        <v>0.44293427978966904</v>
      </c>
      <c r="L13" s="88">
        <f t="shared" si="2"/>
        <v>-0.81433387256159695</v>
      </c>
      <c r="M13" s="88">
        <f t="shared" si="3"/>
        <v>-0.11653381625595151</v>
      </c>
      <c r="N13" s="88">
        <f t="shared" si="4"/>
        <v>6.9879619386446379</v>
      </c>
      <c r="O13" s="89">
        <f t="shared" si="20"/>
        <v>0.14310324079898418</v>
      </c>
      <c r="Q13" s="90">
        <v>6</v>
      </c>
      <c r="R13" s="91">
        <f t="shared" si="5"/>
        <v>0.16666666666666666</v>
      </c>
      <c r="T13" s="90">
        <v>30.5</v>
      </c>
      <c r="U13" s="87"/>
      <c r="V13" s="87"/>
      <c r="W13" s="89">
        <v>1</v>
      </c>
      <c r="X13" s="73"/>
      <c r="Y13" s="90">
        <v>30.5</v>
      </c>
      <c r="Z13" s="87">
        <f t="shared" si="6"/>
        <v>3.1842000000000002E-2</v>
      </c>
      <c r="AA13" s="87">
        <f t="shared" si="7"/>
        <v>18.213999999999999</v>
      </c>
      <c r="AB13" s="87">
        <f t="shared" si="8"/>
        <v>1.9609999999999985</v>
      </c>
      <c r="AC13" s="87">
        <f t="shared" si="9"/>
        <v>1.4003570973148236</v>
      </c>
      <c r="AD13" s="89">
        <f t="shared" si="10"/>
        <v>0.81216536899681258</v>
      </c>
      <c r="AE13" s="73"/>
      <c r="AF13" s="84">
        <v>75</v>
      </c>
      <c r="AG13" s="87">
        <f t="shared" si="11"/>
        <v>27375</v>
      </c>
      <c r="AH13" s="91">
        <f t="shared" si="12"/>
        <v>3.6529680365296805E-5</v>
      </c>
      <c r="AI13" s="73"/>
      <c r="AJ13" s="84">
        <v>5</v>
      </c>
      <c r="AK13" s="91">
        <f t="shared" si="13"/>
        <v>0.2</v>
      </c>
      <c r="AL13" s="73"/>
      <c r="AM13" s="90">
        <v>30.5</v>
      </c>
      <c r="AN13" s="88">
        <v>0.86919999999999997</v>
      </c>
      <c r="AO13" s="88">
        <f t="shared" si="14"/>
        <v>-4.8494999999999999</v>
      </c>
      <c r="AP13" s="88">
        <f t="shared" si="15"/>
        <v>10.381590000000001</v>
      </c>
      <c r="AQ13" s="88">
        <f t="shared" si="16"/>
        <v>-9.6693905999999998</v>
      </c>
      <c r="AR13" s="88">
        <f t="shared" si="17"/>
        <v>3.2961755230625007</v>
      </c>
      <c r="AS13" s="89">
        <f t="shared" si="18"/>
        <v>2.8074923062502144E-2</v>
      </c>
      <c r="AU13" s="73"/>
      <c r="AV13" s="73"/>
      <c r="AW13" s="73"/>
    </row>
    <row r="14" spans="2:49" ht="14.5" thickBot="1" x14ac:dyDescent="0.35">
      <c r="B14" s="94">
        <v>31</v>
      </c>
      <c r="C14" s="95">
        <v>0.35</v>
      </c>
      <c r="D14" s="95">
        <v>0.5</v>
      </c>
      <c r="E14" s="96">
        <f t="shared" si="0"/>
        <v>0.17499999999999999</v>
      </c>
      <c r="G14" s="94">
        <v>31</v>
      </c>
      <c r="H14" s="97">
        <v>3.4876346254242052</v>
      </c>
      <c r="I14" s="98">
        <v>0.89</v>
      </c>
      <c r="J14" s="88">
        <f t="shared" si="19"/>
        <v>0.11653381625595151</v>
      </c>
      <c r="K14" s="88">
        <f t="shared" si="1"/>
        <v>0.40642737260707862</v>
      </c>
      <c r="L14" s="97">
        <f t="shared" si="2"/>
        <v>-0.90035003113003353</v>
      </c>
      <c r="M14" s="97">
        <f t="shared" si="3"/>
        <v>-0.11653381625595151</v>
      </c>
      <c r="N14" s="88">
        <f t="shared" si="4"/>
        <v>7.7260838103210379</v>
      </c>
      <c r="O14" s="89">
        <f t="shared" si="20"/>
        <v>0.12943167904341535</v>
      </c>
      <c r="Q14" s="90">
        <v>6</v>
      </c>
      <c r="R14" s="91">
        <f t="shared" si="5"/>
        <v>0.16666666666666666</v>
      </c>
      <c r="T14" s="94">
        <v>31</v>
      </c>
      <c r="U14" s="98"/>
      <c r="V14" s="98"/>
      <c r="W14" s="99">
        <v>1</v>
      </c>
      <c r="X14" s="73"/>
      <c r="Y14" s="94">
        <v>31</v>
      </c>
      <c r="Z14" s="87">
        <f t="shared" si="6"/>
        <v>3.2363999999999997E-2</v>
      </c>
      <c r="AA14" s="87">
        <f t="shared" si="7"/>
        <v>18.713999999999999</v>
      </c>
      <c r="AB14" s="87">
        <f t="shared" si="8"/>
        <v>1.4609999999999985</v>
      </c>
      <c r="AC14" s="87">
        <f t="shared" si="9"/>
        <v>1.2087183294713448</v>
      </c>
      <c r="AD14" s="89">
        <f t="shared" si="10"/>
        <v>0.73207221772090836</v>
      </c>
      <c r="AE14" s="73"/>
      <c r="AF14" s="100">
        <v>75</v>
      </c>
      <c r="AG14" s="87">
        <f t="shared" si="11"/>
        <v>27375</v>
      </c>
      <c r="AH14" s="91">
        <f t="shared" si="12"/>
        <v>3.6529680365296805E-5</v>
      </c>
      <c r="AI14" s="73"/>
      <c r="AJ14" s="84">
        <v>5</v>
      </c>
      <c r="AK14" s="101">
        <f t="shared" si="13"/>
        <v>0.2</v>
      </c>
      <c r="AL14" s="73"/>
      <c r="AM14" s="94">
        <v>31</v>
      </c>
      <c r="AN14" s="97">
        <v>0.86919999999999997</v>
      </c>
      <c r="AO14" s="88">
        <f t="shared" si="14"/>
        <v>-4.9290000000000003</v>
      </c>
      <c r="AP14" s="88">
        <f t="shared" si="15"/>
        <v>10.72476</v>
      </c>
      <c r="AQ14" s="88">
        <f t="shared" si="16"/>
        <v>-10.152772799999999</v>
      </c>
      <c r="AR14" s="97">
        <f t="shared" si="17"/>
        <v>3.5176914890000002</v>
      </c>
      <c r="AS14" s="89">
        <f t="shared" si="18"/>
        <v>2.987868900000068E-2</v>
      </c>
      <c r="AU14" s="73"/>
      <c r="AV14" s="73"/>
      <c r="AW14" s="73"/>
    </row>
    <row r="17" spans="2:49" x14ac:dyDescent="0.3">
      <c r="B17" s="180" t="s">
        <v>102</v>
      </c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2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</row>
    <row r="18" spans="2:49" x14ac:dyDescent="0.3">
      <c r="B18" s="77" t="s">
        <v>0</v>
      </c>
      <c r="C18" s="78" t="s">
        <v>74</v>
      </c>
      <c r="D18" s="102" t="s">
        <v>59</v>
      </c>
      <c r="E18" s="102" t="s">
        <v>72</v>
      </c>
      <c r="F18" s="102" t="s">
        <v>46</v>
      </c>
      <c r="G18" s="102" t="s">
        <v>50</v>
      </c>
      <c r="H18" s="102" t="s">
        <v>12</v>
      </c>
      <c r="I18" s="103" t="s">
        <v>67</v>
      </c>
      <c r="J18" s="102" t="s">
        <v>11</v>
      </c>
      <c r="K18" s="102" t="s">
        <v>62</v>
      </c>
      <c r="L18" s="102" t="s">
        <v>55</v>
      </c>
      <c r="M18" s="102" t="s">
        <v>63</v>
      </c>
      <c r="N18" s="102" t="s">
        <v>64</v>
      </c>
      <c r="O18" s="102" t="s">
        <v>65</v>
      </c>
      <c r="P18" s="103" t="s">
        <v>66</v>
      </c>
      <c r="Q18" s="103" t="s">
        <v>68</v>
      </c>
      <c r="R18" s="103" t="s">
        <v>69</v>
      </c>
      <c r="S18" s="104" t="s">
        <v>87</v>
      </c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6"/>
      <c r="AG18" s="106"/>
      <c r="AH18" s="106"/>
      <c r="AJ18" s="106"/>
      <c r="AK18" s="106"/>
      <c r="AL18" s="106"/>
      <c r="AS18" s="105"/>
      <c r="AT18" s="105"/>
      <c r="AU18" s="105"/>
      <c r="AV18" s="105"/>
      <c r="AW18" s="107"/>
    </row>
    <row r="19" spans="2:49" x14ac:dyDescent="0.3">
      <c r="B19" s="84">
        <v>26</v>
      </c>
      <c r="C19" s="88">
        <f>O4</f>
        <v>0.14243363300801604</v>
      </c>
      <c r="D19" s="108">
        <f>R4</f>
        <v>0.16666666666666666</v>
      </c>
      <c r="E19" s="108">
        <f>E4</f>
        <v>0.17499999999999999</v>
      </c>
      <c r="F19" s="108">
        <f>W4</f>
        <v>0.99170000000000025</v>
      </c>
      <c r="G19" s="108">
        <f>AD4</f>
        <v>0.9462107161873442</v>
      </c>
      <c r="H19" s="108">
        <v>1</v>
      </c>
      <c r="I19" s="109">
        <f t="shared" ref="I19:I28" si="21">C19*D19*E19*F19*G19*H19</f>
        <v>3.8982305946946095E-3</v>
      </c>
      <c r="J19" s="108">
        <f>AH4</f>
        <v>3.6529680365296805E-5</v>
      </c>
      <c r="K19" s="108">
        <f>AK4</f>
        <v>0.2</v>
      </c>
      <c r="L19" s="108">
        <f>AS4</f>
        <v>3.0080783999999916E-2</v>
      </c>
      <c r="M19" s="108">
        <f t="shared" ref="M19:M28" si="22">D19+J19</f>
        <v>0.16670319634703196</v>
      </c>
      <c r="N19" s="108">
        <f t="shared" ref="N19:N29" si="23">K19+J19</f>
        <v>0.20003652968036531</v>
      </c>
      <c r="O19" s="108">
        <f t="shared" ref="O19:O29" si="24">L19+C19</f>
        <v>0.17251441700801595</v>
      </c>
      <c r="P19" s="109">
        <f t="shared" ref="P19:P29" si="25">M19*N19*L19*O19</f>
        <v>1.7304847828376459E-4</v>
      </c>
      <c r="Q19" s="109">
        <f t="shared" ref="Q19:Q29" si="26">I19/P19</f>
        <v>22.526812332335552</v>
      </c>
      <c r="R19" s="110">
        <f t="shared" ref="R19:R29" si="27">SQRT(Q19)</f>
        <v>4.7462419167521954</v>
      </c>
      <c r="S19" s="111">
        <f t="shared" ref="S19:S29" si="28">R19</f>
        <v>4.7462419167521954</v>
      </c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6"/>
      <c r="AG19" s="106"/>
      <c r="AH19" s="106"/>
      <c r="AJ19" s="106"/>
      <c r="AK19" s="106"/>
      <c r="AL19" s="106"/>
      <c r="AS19" s="105"/>
      <c r="AT19" s="105"/>
      <c r="AU19" s="105"/>
      <c r="AV19" s="105"/>
      <c r="AW19" s="107"/>
    </row>
    <row r="20" spans="2:49" x14ac:dyDescent="0.3">
      <c r="B20" s="92">
        <v>26.5</v>
      </c>
      <c r="C20" s="88">
        <f t="shared" ref="C20:C29" si="29">O5</f>
        <v>0.1492263837719654</v>
      </c>
      <c r="D20" s="108">
        <f t="shared" ref="D20:D29" si="30">R5</f>
        <v>0.16666666666666666</v>
      </c>
      <c r="E20" s="108">
        <f t="shared" ref="E20:E28" si="31">E5</f>
        <v>0.17499999999999999</v>
      </c>
      <c r="F20" s="108">
        <f t="shared" ref="F20:F29" si="32">W5</f>
        <v>1</v>
      </c>
      <c r="G20" s="108">
        <f t="shared" ref="G20:G29" si="33">AD5</f>
        <v>0.9601127667963465</v>
      </c>
      <c r="H20" s="108">
        <v>1</v>
      </c>
      <c r="I20" s="109">
        <f t="shared" si="21"/>
        <v>4.1788295559008577E-3</v>
      </c>
      <c r="J20" s="108">
        <f t="shared" ref="J20:J29" si="34">AH5</f>
        <v>3.6529680365296805E-5</v>
      </c>
      <c r="K20" s="108">
        <f t="shared" ref="K20:K29" si="35">AK5</f>
        <v>0.2</v>
      </c>
      <c r="L20" s="108">
        <f t="shared" ref="L20:L29" si="36">AS5</f>
        <v>2.9077433062501212E-2</v>
      </c>
      <c r="M20" s="108">
        <f t="shared" si="22"/>
        <v>0.16670319634703196</v>
      </c>
      <c r="N20" s="108">
        <f t="shared" si="23"/>
        <v>0.20003652968036531</v>
      </c>
      <c r="O20" s="108">
        <f t="shared" si="24"/>
        <v>0.17830381683446661</v>
      </c>
      <c r="P20" s="109">
        <f t="shared" si="25"/>
        <v>1.7289002742953879E-4</v>
      </c>
      <c r="Q20" s="109">
        <f t="shared" si="26"/>
        <v>24.170448799332494</v>
      </c>
      <c r="R20" s="110">
        <f t="shared" si="27"/>
        <v>4.916345065120276</v>
      </c>
      <c r="S20" s="111">
        <f t="shared" si="28"/>
        <v>4.916345065120276</v>
      </c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6"/>
      <c r="AG20" s="106"/>
      <c r="AH20" s="106"/>
      <c r="AJ20" s="106"/>
      <c r="AK20" s="106"/>
      <c r="AL20" s="106"/>
      <c r="AS20" s="105"/>
      <c r="AT20" s="105"/>
      <c r="AU20" s="105"/>
      <c r="AV20" s="105"/>
      <c r="AW20" s="107"/>
    </row>
    <row r="21" spans="2:49" s="71" customFormat="1" x14ac:dyDescent="0.3">
      <c r="B21" s="92">
        <v>27</v>
      </c>
      <c r="C21" s="88">
        <f t="shared" si="29"/>
        <v>0.15506370944921752</v>
      </c>
      <c r="D21" s="108">
        <f t="shared" si="30"/>
        <v>0.16666666666666666</v>
      </c>
      <c r="E21" s="108">
        <f t="shared" si="31"/>
        <v>0.17499999999999999</v>
      </c>
      <c r="F21" s="108">
        <f t="shared" si="32"/>
        <v>1</v>
      </c>
      <c r="G21" s="108">
        <f t="shared" si="33"/>
        <v>0.96923949533397213</v>
      </c>
      <c r="H21" s="108">
        <v>1</v>
      </c>
      <c r="I21" s="109">
        <f t="shared" si="21"/>
        <v>4.3835712518258867E-3</v>
      </c>
      <c r="J21" s="108">
        <f t="shared" si="34"/>
        <v>3.6529680365296805E-5</v>
      </c>
      <c r="K21" s="108">
        <f t="shared" si="35"/>
        <v>0.2</v>
      </c>
      <c r="L21" s="108">
        <f t="shared" si="36"/>
        <v>2.8132368999999713E-2</v>
      </c>
      <c r="M21" s="108">
        <f t="shared" si="22"/>
        <v>0.16670319634703196</v>
      </c>
      <c r="N21" s="108">
        <f t="shared" si="23"/>
        <v>0.20003652968036531</v>
      </c>
      <c r="O21" s="108">
        <f t="shared" si="24"/>
        <v>0.18319607844921723</v>
      </c>
      <c r="P21" s="109">
        <f t="shared" si="25"/>
        <v>1.7186035978993219E-4</v>
      </c>
      <c r="Q21" s="109">
        <f t="shared" si="26"/>
        <v>25.506587191973761</v>
      </c>
      <c r="R21" s="110">
        <f t="shared" si="27"/>
        <v>5.0504046562601062</v>
      </c>
      <c r="S21" s="111">
        <f t="shared" si="28"/>
        <v>5.0504046562601062</v>
      </c>
      <c r="T21" s="112"/>
      <c r="AL21" s="113"/>
      <c r="AM21" s="114"/>
      <c r="AS21" s="113"/>
      <c r="AT21" s="113"/>
      <c r="AU21" s="113"/>
      <c r="AV21" s="113"/>
      <c r="AW21" s="114"/>
    </row>
    <row r="22" spans="2:49" x14ac:dyDescent="0.3">
      <c r="B22" s="90">
        <v>27.5</v>
      </c>
      <c r="C22" s="88">
        <f t="shared" si="29"/>
        <v>0.16024206294559862</v>
      </c>
      <c r="D22" s="108">
        <f t="shared" si="30"/>
        <v>0.16666666666666666</v>
      </c>
      <c r="E22" s="108">
        <f t="shared" si="31"/>
        <v>0.17499999999999999</v>
      </c>
      <c r="F22" s="108">
        <f t="shared" si="32"/>
        <v>1</v>
      </c>
      <c r="G22" s="108">
        <f t="shared" si="33"/>
        <v>0.97288435140504215</v>
      </c>
      <c r="H22" s="108">
        <v>1</v>
      </c>
      <c r="I22" s="109">
        <f t="shared" si="21"/>
        <v>4.5469957014018436E-3</v>
      </c>
      <c r="J22" s="108">
        <f t="shared" si="34"/>
        <v>3.6529680365296805E-5</v>
      </c>
      <c r="K22" s="108">
        <f t="shared" si="35"/>
        <v>0.2</v>
      </c>
      <c r="L22" s="108">
        <f t="shared" si="36"/>
        <v>2.7295664062500169E-2</v>
      </c>
      <c r="M22" s="108">
        <f t="shared" si="22"/>
        <v>0.16670319634703196</v>
      </c>
      <c r="N22" s="108">
        <f t="shared" si="23"/>
        <v>0.20003652968036531</v>
      </c>
      <c r="O22" s="108">
        <f t="shared" si="24"/>
        <v>0.18753772700809879</v>
      </c>
      <c r="P22" s="109">
        <f t="shared" si="25"/>
        <v>1.707007978937443E-4</v>
      </c>
      <c r="Q22" s="109">
        <f t="shared" si="26"/>
        <v>26.637225821476246</v>
      </c>
      <c r="R22" s="110">
        <f t="shared" si="27"/>
        <v>5.1611264101430656</v>
      </c>
      <c r="S22" s="111">
        <f t="shared" si="28"/>
        <v>5.1611264101430656</v>
      </c>
      <c r="T22" s="112"/>
      <c r="AL22" s="105"/>
      <c r="AM22" s="73"/>
      <c r="AS22" s="105"/>
      <c r="AT22" s="105"/>
      <c r="AU22" s="105"/>
      <c r="AV22" s="105"/>
      <c r="AW22" s="73"/>
    </row>
    <row r="23" spans="2:49" x14ac:dyDescent="0.3">
      <c r="B23" s="90">
        <v>28</v>
      </c>
      <c r="C23" s="88">
        <f t="shared" si="29"/>
        <v>0.16417197757565369</v>
      </c>
      <c r="D23" s="108">
        <f t="shared" si="30"/>
        <v>0.16666666666666666</v>
      </c>
      <c r="E23" s="108">
        <f t="shared" si="31"/>
        <v>0.17499999999999999</v>
      </c>
      <c r="F23" s="108">
        <f t="shared" si="32"/>
        <v>1</v>
      </c>
      <c r="G23" s="108">
        <f t="shared" si="33"/>
        <v>0.97020026840705875</v>
      </c>
      <c r="H23" s="108">
        <v>1</v>
      </c>
      <c r="I23" s="109">
        <f t="shared" si="21"/>
        <v>4.6456578206738241E-3</v>
      </c>
      <c r="J23" s="108">
        <f t="shared" si="34"/>
        <v>3.6529680365296805E-5</v>
      </c>
      <c r="K23" s="108">
        <f t="shared" si="35"/>
        <v>0.2</v>
      </c>
      <c r="L23" s="108">
        <f t="shared" si="36"/>
        <v>2.6623104000001341E-2</v>
      </c>
      <c r="M23" s="108">
        <f t="shared" si="22"/>
        <v>0.16670319634703196</v>
      </c>
      <c r="N23" s="108">
        <f t="shared" si="23"/>
        <v>0.20003652968036531</v>
      </c>
      <c r="O23" s="108">
        <f t="shared" si="24"/>
        <v>0.19079508157565503</v>
      </c>
      <c r="P23" s="109">
        <f t="shared" si="25"/>
        <v>1.6938662011583113E-4</v>
      </c>
      <c r="Q23" s="109">
        <f t="shared" si="26"/>
        <v>27.4263564471444</v>
      </c>
      <c r="R23" s="110">
        <f t="shared" si="27"/>
        <v>5.2370178963933665</v>
      </c>
      <c r="S23" s="111">
        <f t="shared" si="28"/>
        <v>5.2370178963933665</v>
      </c>
      <c r="T23" s="112"/>
      <c r="AL23" s="105"/>
      <c r="AM23" s="73"/>
      <c r="AS23" s="105"/>
      <c r="AT23" s="105"/>
      <c r="AU23" s="105"/>
      <c r="AV23" s="105"/>
      <c r="AW23" s="73"/>
    </row>
    <row r="24" spans="2:49" x14ac:dyDescent="0.3">
      <c r="B24" s="90">
        <v>28.5</v>
      </c>
      <c r="C24" s="88">
        <f t="shared" si="29"/>
        <v>0.16614023586773591</v>
      </c>
      <c r="D24" s="108">
        <f t="shared" si="30"/>
        <v>0.16666666666666666</v>
      </c>
      <c r="E24" s="108">
        <f t="shared" si="31"/>
        <v>0.17499999999999999</v>
      </c>
      <c r="F24" s="108">
        <f t="shared" si="32"/>
        <v>1</v>
      </c>
      <c r="G24" s="108">
        <f t="shared" si="33"/>
        <v>0.96014748476011036</v>
      </c>
      <c r="H24" s="108">
        <v>1</v>
      </c>
      <c r="I24" s="109">
        <f t="shared" si="21"/>
        <v>4.6526412795875275E-3</v>
      </c>
      <c r="J24" s="108">
        <f t="shared" si="34"/>
        <v>3.6529680365296805E-5</v>
      </c>
      <c r="K24" s="108">
        <f t="shared" si="35"/>
        <v>0.2</v>
      </c>
      <c r="L24" s="108">
        <f t="shared" si="36"/>
        <v>2.6176188062500216E-2</v>
      </c>
      <c r="M24" s="108">
        <f t="shared" si="22"/>
        <v>0.16670319634703196</v>
      </c>
      <c r="N24" s="108">
        <f t="shared" si="23"/>
        <v>0.20003652968036531</v>
      </c>
      <c r="O24" s="108">
        <f t="shared" si="24"/>
        <v>0.19231642393023612</v>
      </c>
      <c r="P24" s="109">
        <f t="shared" si="25"/>
        <v>1.6787113069695819E-4</v>
      </c>
      <c r="Q24" s="109">
        <f t="shared" si="26"/>
        <v>27.715553354951179</v>
      </c>
      <c r="R24" s="110">
        <f t="shared" si="27"/>
        <v>5.2645563303046892</v>
      </c>
      <c r="S24" s="111">
        <f t="shared" si="28"/>
        <v>5.2645563303046892</v>
      </c>
      <c r="T24" s="112"/>
      <c r="AL24" s="105"/>
      <c r="AM24" s="73"/>
      <c r="AS24" s="105"/>
      <c r="AT24" s="105"/>
      <c r="AU24" s="105"/>
      <c r="AV24" s="105"/>
      <c r="AW24" s="73"/>
    </row>
    <row r="25" spans="2:49" x14ac:dyDescent="0.3">
      <c r="B25" s="90">
        <v>29</v>
      </c>
      <c r="C25" s="88">
        <f t="shared" si="29"/>
        <v>0.16541466965942148</v>
      </c>
      <c r="D25" s="108">
        <f t="shared" si="30"/>
        <v>0.16666666666666666</v>
      </c>
      <c r="E25" s="108">
        <f t="shared" si="31"/>
        <v>0.17499999999999999</v>
      </c>
      <c r="F25" s="108">
        <f t="shared" si="32"/>
        <v>1</v>
      </c>
      <c r="G25" s="108">
        <f t="shared" si="33"/>
        <v>0.94141192232821747</v>
      </c>
      <c r="H25" s="108">
        <v>1</v>
      </c>
      <c r="I25" s="109">
        <f t="shared" si="21"/>
        <v>4.5419308125730883E-3</v>
      </c>
      <c r="J25" s="108">
        <f t="shared" si="34"/>
        <v>3.6529680365296805E-5</v>
      </c>
      <c r="K25" s="108">
        <f t="shared" si="35"/>
        <v>0.2</v>
      </c>
      <c r="L25" s="108">
        <f t="shared" si="36"/>
        <v>2.6022128999999339E-2</v>
      </c>
      <c r="M25" s="108">
        <f t="shared" si="22"/>
        <v>0.16670319634703196</v>
      </c>
      <c r="N25" s="108">
        <f t="shared" si="23"/>
        <v>0.20003652968036531</v>
      </c>
      <c r="O25" s="108">
        <f t="shared" si="24"/>
        <v>0.19143679865942081</v>
      </c>
      <c r="P25" s="109">
        <f t="shared" si="25"/>
        <v>1.661198335172086E-4</v>
      </c>
      <c r="Q25" s="109">
        <f t="shared" si="26"/>
        <v>27.341291623089564</v>
      </c>
      <c r="R25" s="110">
        <f t="shared" si="27"/>
        <v>5.2288900947609873</v>
      </c>
      <c r="S25" s="111">
        <f t="shared" si="28"/>
        <v>5.2288900947609873</v>
      </c>
      <c r="T25" s="112"/>
      <c r="AL25" s="105"/>
      <c r="AM25" s="73"/>
      <c r="AS25" s="105"/>
      <c r="AT25" s="105"/>
      <c r="AU25" s="105"/>
      <c r="AV25" s="105"/>
      <c r="AW25" s="73"/>
    </row>
    <row r="26" spans="2:49" x14ac:dyDescent="0.3">
      <c r="B26" s="90">
        <v>29.5</v>
      </c>
      <c r="C26" s="88">
        <f t="shared" si="29"/>
        <v>0.1614196061662215</v>
      </c>
      <c r="D26" s="108">
        <f t="shared" si="30"/>
        <v>0.16666666666666666</v>
      </c>
      <c r="E26" s="108">
        <f t="shared" si="31"/>
        <v>0.17499999999999999</v>
      </c>
      <c r="F26" s="108">
        <f t="shared" si="32"/>
        <v>1</v>
      </c>
      <c r="G26" s="108">
        <f t="shared" si="33"/>
        <v>0.91227025972536135</v>
      </c>
      <c r="H26" s="108">
        <v>1</v>
      </c>
      <c r="I26" s="109">
        <f t="shared" si="21"/>
        <v>4.2950339262257126E-3</v>
      </c>
      <c r="J26" s="108">
        <f t="shared" si="34"/>
        <v>3.6529680365296805E-5</v>
      </c>
      <c r="K26" s="108">
        <f t="shared" si="35"/>
        <v>0.2</v>
      </c>
      <c r="L26" s="108">
        <f t="shared" si="36"/>
        <v>2.6233853062501034E-2</v>
      </c>
      <c r="M26" s="108">
        <f t="shared" si="22"/>
        <v>0.16670319634703196</v>
      </c>
      <c r="N26" s="108">
        <f t="shared" si="23"/>
        <v>0.20003652968036531</v>
      </c>
      <c r="O26" s="108">
        <f t="shared" si="24"/>
        <v>0.18765345922872254</v>
      </c>
      <c r="P26" s="109">
        <f t="shared" si="25"/>
        <v>1.6416172046703945E-4</v>
      </c>
      <c r="Q26" s="109">
        <f t="shared" si="26"/>
        <v>26.163431486989523</v>
      </c>
      <c r="R26" s="110">
        <f t="shared" si="27"/>
        <v>5.115020184416629</v>
      </c>
      <c r="S26" s="111">
        <f t="shared" si="28"/>
        <v>5.115020184416629</v>
      </c>
      <c r="T26" s="112"/>
      <c r="AL26" s="105"/>
      <c r="AM26" s="73"/>
      <c r="AS26" s="105"/>
      <c r="AT26" s="105"/>
      <c r="AU26" s="105"/>
      <c r="AV26" s="105"/>
      <c r="AW26" s="73"/>
    </row>
    <row r="27" spans="2:49" x14ac:dyDescent="0.3">
      <c r="B27" s="92">
        <v>30</v>
      </c>
      <c r="C27" s="88">
        <f t="shared" si="29"/>
        <v>0.15392080613086598</v>
      </c>
      <c r="D27" s="108">
        <f t="shared" si="30"/>
        <v>0.16666666666666666</v>
      </c>
      <c r="E27" s="108">
        <f t="shared" si="31"/>
        <v>0.17499999999999999</v>
      </c>
      <c r="F27" s="108">
        <f t="shared" si="32"/>
        <v>1</v>
      </c>
      <c r="G27" s="108">
        <f t="shared" si="33"/>
        <v>0.87035053493096881</v>
      </c>
      <c r="H27" s="108">
        <v>1</v>
      </c>
      <c r="I27" s="109">
        <f t="shared" si="21"/>
        <v>3.9073141319626503E-3</v>
      </c>
      <c r="J27" s="108">
        <f t="shared" si="34"/>
        <v>3.6529680365296805E-5</v>
      </c>
      <c r="K27" s="108">
        <f t="shared" si="35"/>
        <v>0.2</v>
      </c>
      <c r="L27" s="108">
        <f t="shared" si="36"/>
        <v>2.6890000000000747E-2</v>
      </c>
      <c r="M27" s="108">
        <f t="shared" si="22"/>
        <v>0.16670319634703196</v>
      </c>
      <c r="N27" s="108">
        <f t="shared" si="23"/>
        <v>0.20003652968036531</v>
      </c>
      <c r="O27" s="108">
        <f t="shared" si="24"/>
        <v>0.18081080613086672</v>
      </c>
      <c r="P27" s="109">
        <f t="shared" si="25"/>
        <v>1.6213188176327116E-4</v>
      </c>
      <c r="Q27" s="109">
        <f t="shared" si="26"/>
        <v>24.099603911756983</v>
      </c>
      <c r="R27" s="110">
        <f t="shared" si="27"/>
        <v>4.9091347416583488</v>
      </c>
      <c r="S27" s="111">
        <f t="shared" si="28"/>
        <v>4.9091347416583488</v>
      </c>
      <c r="T27" s="112"/>
      <c r="AL27" s="105"/>
      <c r="AM27" s="73"/>
      <c r="AS27" s="105"/>
      <c r="AT27" s="105"/>
      <c r="AU27" s="105"/>
      <c r="AV27" s="105"/>
      <c r="AW27" s="73"/>
    </row>
    <row r="28" spans="2:49" x14ac:dyDescent="0.3">
      <c r="B28" s="90">
        <v>30.5</v>
      </c>
      <c r="C28" s="88">
        <f t="shared" si="29"/>
        <v>0.14310324079898418</v>
      </c>
      <c r="D28" s="108">
        <f t="shared" si="30"/>
        <v>0.16666666666666666</v>
      </c>
      <c r="E28" s="108">
        <f t="shared" si="31"/>
        <v>0.17499999999999999</v>
      </c>
      <c r="F28" s="108">
        <f t="shared" si="32"/>
        <v>1</v>
      </c>
      <c r="G28" s="108">
        <f t="shared" si="33"/>
        <v>0.81216536899681258</v>
      </c>
      <c r="H28" s="108">
        <v>1</v>
      </c>
      <c r="I28" s="109">
        <f t="shared" si="21"/>
        <v>3.3898519774042783E-3</v>
      </c>
      <c r="J28" s="108">
        <f t="shared" si="34"/>
        <v>3.6529680365296805E-5</v>
      </c>
      <c r="K28" s="108">
        <f t="shared" si="35"/>
        <v>0.2</v>
      </c>
      <c r="L28" s="108">
        <f t="shared" si="36"/>
        <v>2.8074923062502144E-2</v>
      </c>
      <c r="M28" s="108">
        <f t="shared" si="22"/>
        <v>0.16670319634703196</v>
      </c>
      <c r="N28" s="108">
        <f t="shared" si="23"/>
        <v>0.20003652968036531</v>
      </c>
      <c r="O28" s="108">
        <f t="shared" si="24"/>
        <v>0.17117816386148632</v>
      </c>
      <c r="P28" s="109">
        <f t="shared" si="25"/>
        <v>1.6025816920115673E-4</v>
      </c>
      <c r="Q28" s="109">
        <f t="shared" si="26"/>
        <v>21.152444173684039</v>
      </c>
      <c r="R28" s="110">
        <f t="shared" si="27"/>
        <v>4.5991786412014957</v>
      </c>
      <c r="S28" s="111">
        <f t="shared" si="28"/>
        <v>4.5991786412014957</v>
      </c>
      <c r="T28" s="112"/>
      <c r="AL28" s="105"/>
      <c r="AM28" s="73"/>
      <c r="AS28" s="105"/>
      <c r="AT28" s="105"/>
      <c r="AU28" s="105"/>
      <c r="AV28" s="105"/>
      <c r="AW28" s="73"/>
    </row>
    <row r="29" spans="2:49" s="71" customFormat="1" ht="14.5" thickBot="1" x14ac:dyDescent="0.35">
      <c r="B29" s="94">
        <v>31</v>
      </c>
      <c r="C29" s="88">
        <f t="shared" si="29"/>
        <v>0.12943167904341535</v>
      </c>
      <c r="D29" s="108">
        <f t="shared" si="30"/>
        <v>0.16666666666666666</v>
      </c>
      <c r="E29" s="108">
        <f>E14</f>
        <v>0.17499999999999999</v>
      </c>
      <c r="F29" s="108">
        <f t="shared" si="32"/>
        <v>1</v>
      </c>
      <c r="G29" s="108">
        <f t="shared" si="33"/>
        <v>0.73207221772090836</v>
      </c>
      <c r="H29" s="108">
        <v>1</v>
      </c>
      <c r="I29" s="109">
        <f>C29*D29*E29*F29*G29*H29</f>
        <v>2.7636389760190712E-3</v>
      </c>
      <c r="J29" s="108">
        <f t="shared" si="34"/>
        <v>3.6529680365296805E-5</v>
      </c>
      <c r="K29" s="108">
        <f t="shared" si="35"/>
        <v>0.2</v>
      </c>
      <c r="L29" s="108">
        <f t="shared" si="36"/>
        <v>2.987868900000068E-2</v>
      </c>
      <c r="M29" s="108">
        <f>D29+J29</f>
        <v>0.16670319634703196</v>
      </c>
      <c r="N29" s="108">
        <f t="shared" si="23"/>
        <v>0.20003652968036531</v>
      </c>
      <c r="O29" s="108">
        <f t="shared" si="24"/>
        <v>0.15931036804341603</v>
      </c>
      <c r="P29" s="109">
        <f t="shared" si="25"/>
        <v>1.5872992732706727E-4</v>
      </c>
      <c r="Q29" s="109">
        <f t="shared" si="26"/>
        <v>17.410950931291733</v>
      </c>
      <c r="R29" s="110">
        <f t="shared" si="27"/>
        <v>4.1726431588732495</v>
      </c>
      <c r="S29" s="111">
        <f t="shared" si="28"/>
        <v>4.1726431588732495</v>
      </c>
      <c r="T29" s="112"/>
      <c r="AL29" s="113"/>
      <c r="AM29" s="114"/>
      <c r="AS29" s="113"/>
      <c r="AT29" s="113"/>
      <c r="AU29" s="113"/>
      <c r="AV29" s="113"/>
      <c r="AW29" s="114"/>
    </row>
  </sheetData>
  <mergeCells count="11">
    <mergeCell ref="B17:S17"/>
    <mergeCell ref="AJ2:AK2"/>
    <mergeCell ref="AM2:AS2"/>
    <mergeCell ref="AU2:AW2"/>
    <mergeCell ref="G2:O2"/>
    <mergeCell ref="Q2:R2"/>
    <mergeCell ref="T2:W2"/>
    <mergeCell ref="Y2:AD2"/>
    <mergeCell ref="AF2:AH2"/>
    <mergeCell ref="B2:E2"/>
    <mergeCell ref="AU3:AW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84714-2277-40CE-9F33-FB61AC7FA621}">
  <dimension ref="C2:Y23"/>
  <sheetViews>
    <sheetView workbookViewId="0">
      <selection activeCell="K24" sqref="K24"/>
    </sheetView>
  </sheetViews>
  <sheetFormatPr defaultRowHeight="14" x14ac:dyDescent="0.3"/>
  <cols>
    <col min="3" max="3" width="10.9140625" customWidth="1"/>
    <col min="6" max="6" width="10" customWidth="1"/>
    <col min="8" max="8" width="17.25" customWidth="1"/>
    <col min="10" max="10" width="11.9140625" customWidth="1"/>
    <col min="12" max="12" width="10.4140625" customWidth="1"/>
    <col min="13" max="13" width="10" customWidth="1"/>
  </cols>
  <sheetData>
    <row r="2" spans="3:25" x14ac:dyDescent="0.3">
      <c r="D2" s="196" t="s">
        <v>33</v>
      </c>
      <c r="E2" s="196"/>
      <c r="F2" s="196"/>
      <c r="G2" s="196"/>
      <c r="H2" s="196"/>
      <c r="I2" s="196"/>
      <c r="J2" s="196"/>
      <c r="K2" s="196"/>
      <c r="L2" s="196"/>
      <c r="N2" s="196" t="s">
        <v>40</v>
      </c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</row>
    <row r="3" spans="3:25" x14ac:dyDescent="0.3">
      <c r="C3" t="s">
        <v>18</v>
      </c>
      <c r="D3" s="9">
        <v>5.42</v>
      </c>
      <c r="E3" s="2" t="s">
        <v>14</v>
      </c>
      <c r="F3" s="5" t="s">
        <v>34</v>
      </c>
      <c r="G3" t="s">
        <v>15</v>
      </c>
      <c r="H3" s="5" t="s">
        <v>35</v>
      </c>
      <c r="I3" t="s">
        <v>16</v>
      </c>
      <c r="J3" s="5" t="s">
        <v>36</v>
      </c>
      <c r="K3" t="s">
        <v>17</v>
      </c>
      <c r="L3" s="5" t="s">
        <v>37</v>
      </c>
      <c r="M3" s="11" t="s">
        <v>38</v>
      </c>
      <c r="O3" t="s">
        <v>23</v>
      </c>
      <c r="P3" t="s">
        <v>24</v>
      </c>
      <c r="Q3" t="s">
        <v>25</v>
      </c>
      <c r="R3" t="s">
        <v>26</v>
      </c>
      <c r="S3" t="s">
        <v>27</v>
      </c>
      <c r="T3" t="s">
        <v>28</v>
      </c>
      <c r="U3" t="s">
        <v>29</v>
      </c>
      <c r="V3" t="s">
        <v>31</v>
      </c>
      <c r="W3" t="s">
        <v>32</v>
      </c>
    </row>
    <row r="4" spans="3:25" x14ac:dyDescent="0.3">
      <c r="C4" t="s">
        <v>19</v>
      </c>
      <c r="D4" s="9">
        <v>5.42</v>
      </c>
      <c r="E4" s="2">
        <v>28</v>
      </c>
      <c r="F4" s="6">
        <f>0.41*E4</f>
        <v>11.479999999999999</v>
      </c>
      <c r="G4" s="1">
        <v>27.5</v>
      </c>
      <c r="H4" s="10">
        <f>-0.043*G4</f>
        <v>-1.1824999999999999</v>
      </c>
      <c r="I4" s="4">
        <f>W4</f>
        <v>29.986842105263161</v>
      </c>
      <c r="J4" s="7">
        <f>0.44*I4</f>
        <v>13.194210526315791</v>
      </c>
      <c r="K4" s="1">
        <v>5</v>
      </c>
      <c r="L4" s="6">
        <f>0.12*K4</f>
        <v>0.6</v>
      </c>
      <c r="M4" s="12">
        <f>D4+F4+H4+J4+L4</f>
        <v>29.511710526315792</v>
      </c>
      <c r="O4" s="1">
        <v>31</v>
      </c>
      <c r="P4" s="1">
        <f>0.8*31</f>
        <v>24.8</v>
      </c>
      <c r="Q4" s="1">
        <f>0.6*27.5</f>
        <v>16.5</v>
      </c>
      <c r="R4" s="1">
        <f>0.5*28</f>
        <v>14</v>
      </c>
      <c r="S4" s="1">
        <f>0.4*30.5</f>
        <v>12.200000000000001</v>
      </c>
      <c r="T4" s="1">
        <f>0.3*31.5</f>
        <v>9.4499999999999993</v>
      </c>
      <c r="U4" s="1">
        <f>0.2*30</f>
        <v>6</v>
      </c>
      <c r="V4" s="1">
        <f>SUM(O4:U4)</f>
        <v>113.95</v>
      </c>
      <c r="W4" s="1">
        <f>V4/3.8</f>
        <v>29.986842105263161</v>
      </c>
      <c r="X4" s="197" t="s">
        <v>30</v>
      </c>
      <c r="Y4" s="197"/>
    </row>
    <row r="5" spans="3:25" x14ac:dyDescent="0.3">
      <c r="C5" t="s">
        <v>20</v>
      </c>
      <c r="D5" s="9">
        <v>5.42</v>
      </c>
      <c r="E5" s="2">
        <v>28</v>
      </c>
      <c r="F5" s="6">
        <f t="shared" ref="F5:F7" si="0">0.41*E5</f>
        <v>11.479999999999999</v>
      </c>
      <c r="G5" s="1">
        <v>27.5</v>
      </c>
      <c r="H5" s="10">
        <f t="shared" ref="H5:H7" si="1">-0.043*G5</f>
        <v>-1.1824999999999999</v>
      </c>
      <c r="I5" s="4">
        <f>W5</f>
        <v>30.35526315789474</v>
      </c>
      <c r="J5" s="7">
        <f>0.44*I5</f>
        <v>13.356315789473685</v>
      </c>
      <c r="K5" s="2">
        <v>4</v>
      </c>
      <c r="L5" s="6">
        <f>0.12*K5</f>
        <v>0.48</v>
      </c>
      <c r="M5" s="12">
        <f>D5+F5+H5+J5+L5</f>
        <v>29.553815789473685</v>
      </c>
      <c r="O5" s="1">
        <v>30.5</v>
      </c>
      <c r="P5" s="1">
        <f>0.8*30.5</f>
        <v>24.400000000000002</v>
      </c>
      <c r="Q5" s="1">
        <f>0.6*30</f>
        <v>18</v>
      </c>
      <c r="R5" s="1">
        <f>0.5*30.5</f>
        <v>15.25</v>
      </c>
      <c r="S5" s="1">
        <f>0.4*30.5</f>
        <v>12.200000000000001</v>
      </c>
      <c r="T5" s="1">
        <f>0.3*30</f>
        <v>9</v>
      </c>
      <c r="U5" s="1">
        <f>0.2*30</f>
        <v>6</v>
      </c>
      <c r="V5" s="1">
        <f>SUM(O5:U5)</f>
        <v>115.35000000000001</v>
      </c>
      <c r="W5" s="1">
        <f>V5/3.8</f>
        <v>30.35526315789474</v>
      </c>
    </row>
    <row r="6" spans="3:25" x14ac:dyDescent="0.3">
      <c r="C6" t="s">
        <v>21</v>
      </c>
      <c r="D6" s="9">
        <v>5.42</v>
      </c>
      <c r="E6" s="2">
        <v>27</v>
      </c>
      <c r="F6" s="6">
        <f t="shared" si="0"/>
        <v>11.069999999999999</v>
      </c>
      <c r="G6" s="1">
        <v>27.5</v>
      </c>
      <c r="H6" s="10">
        <f t="shared" si="1"/>
        <v>-1.1824999999999999</v>
      </c>
      <c r="I6" s="4">
        <f>W6</f>
        <v>30.35526315789474</v>
      </c>
      <c r="J6" s="7">
        <f>0.44*I6</f>
        <v>13.356315789473685</v>
      </c>
      <c r="K6" s="1">
        <v>5</v>
      </c>
      <c r="L6" s="6">
        <f t="shared" ref="L6:L7" si="2">0.12*K6</f>
        <v>0.6</v>
      </c>
      <c r="M6" s="12">
        <f t="shared" ref="M6:M7" si="3">D6+F6+H6+J6+L6</f>
        <v>29.263815789473686</v>
      </c>
      <c r="O6" s="1">
        <v>31</v>
      </c>
      <c r="P6" s="1">
        <f>0.8*30.5</f>
        <v>24.400000000000002</v>
      </c>
      <c r="Q6" s="1">
        <f>0.6*30.5</f>
        <v>18.3</v>
      </c>
      <c r="R6" s="1">
        <f>0.5*30</f>
        <v>15</v>
      </c>
      <c r="S6" s="1">
        <f>0.4*28.5</f>
        <v>11.4</v>
      </c>
      <c r="T6" s="1">
        <f>0.3*30.5</f>
        <v>9.15</v>
      </c>
      <c r="U6" s="1">
        <f>0.2*30.5</f>
        <v>6.1000000000000005</v>
      </c>
      <c r="V6" s="1">
        <f>SUM(O6:U6)</f>
        <v>115.35000000000001</v>
      </c>
      <c r="W6" s="1">
        <f>V6/3.8</f>
        <v>30.35526315789474</v>
      </c>
    </row>
    <row r="7" spans="3:25" x14ac:dyDescent="0.3">
      <c r="C7" t="s">
        <v>22</v>
      </c>
      <c r="D7" s="9">
        <v>5.42</v>
      </c>
      <c r="E7" s="2">
        <v>27</v>
      </c>
      <c r="F7" s="6">
        <f t="shared" si="0"/>
        <v>11.069999999999999</v>
      </c>
      <c r="G7" s="1">
        <v>27.5</v>
      </c>
      <c r="H7" s="10">
        <f t="shared" si="1"/>
        <v>-1.1824999999999999</v>
      </c>
      <c r="I7" s="4">
        <f>W7</f>
        <v>28.223684210526322</v>
      </c>
      <c r="J7" s="7">
        <f>0.44*I7</f>
        <v>12.418421052631581</v>
      </c>
      <c r="K7" s="1">
        <v>4</v>
      </c>
      <c r="L7" s="6">
        <f t="shared" si="2"/>
        <v>0.48</v>
      </c>
      <c r="M7" s="12">
        <f t="shared" si="3"/>
        <v>28.205921052631581</v>
      </c>
      <c r="O7" s="1">
        <v>28.5</v>
      </c>
      <c r="P7" s="1">
        <f>0.8*28</f>
        <v>22.400000000000002</v>
      </c>
      <c r="Q7" s="1">
        <f>0.6*28</f>
        <v>16.8</v>
      </c>
      <c r="R7" s="1">
        <f>0.5*28.5</f>
        <v>14.25</v>
      </c>
      <c r="S7" s="1">
        <f>0.4*28.5</f>
        <v>11.4</v>
      </c>
      <c r="T7" s="1">
        <f>0.3*28</f>
        <v>8.4</v>
      </c>
      <c r="U7" s="1">
        <f>0.2*27.5</f>
        <v>5.5</v>
      </c>
      <c r="V7" s="1">
        <f>SUM(O7:U7)</f>
        <v>107.25000000000001</v>
      </c>
      <c r="W7" s="1">
        <f>V7/3.8</f>
        <v>28.223684210526322</v>
      </c>
    </row>
    <row r="10" spans="3:25" x14ac:dyDescent="0.3">
      <c r="C10" s="196" t="s">
        <v>39</v>
      </c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 t="s">
        <v>41</v>
      </c>
      <c r="O10" s="196"/>
      <c r="P10" s="196"/>
      <c r="Q10" s="196"/>
      <c r="R10" s="196"/>
      <c r="S10" s="196"/>
      <c r="T10" s="196"/>
      <c r="U10" s="196"/>
      <c r="V10" s="196"/>
      <c r="W10" s="196"/>
      <c r="X10" s="196"/>
      <c r="Y10" s="196"/>
    </row>
    <row r="11" spans="3:25" x14ac:dyDescent="0.3">
      <c r="C11" t="s">
        <v>18</v>
      </c>
      <c r="D11" s="9">
        <v>5.42</v>
      </c>
      <c r="E11" s="2" t="s">
        <v>14</v>
      </c>
      <c r="F11" s="5" t="s">
        <v>34</v>
      </c>
      <c r="G11" t="s">
        <v>15</v>
      </c>
      <c r="H11" s="5" t="s">
        <v>35</v>
      </c>
      <c r="I11" t="s">
        <v>16</v>
      </c>
      <c r="J11" s="5" t="s">
        <v>36</v>
      </c>
      <c r="K11" t="s">
        <v>17</v>
      </c>
      <c r="L11" s="5" t="s">
        <v>37</v>
      </c>
      <c r="M11" s="11" t="s">
        <v>38</v>
      </c>
      <c r="O11" t="s">
        <v>23</v>
      </c>
      <c r="P11" t="s">
        <v>24</v>
      </c>
      <c r="Q11" t="s">
        <v>25</v>
      </c>
      <c r="R11" t="s">
        <v>26</v>
      </c>
      <c r="S11" t="s">
        <v>27</v>
      </c>
      <c r="T11" t="s">
        <v>28</v>
      </c>
      <c r="U11" t="s">
        <v>29</v>
      </c>
      <c r="V11" t="s">
        <v>31</v>
      </c>
      <c r="W11" t="s">
        <v>32</v>
      </c>
    </row>
    <row r="12" spans="3:25" x14ac:dyDescent="0.3">
      <c r="C12" t="s">
        <v>19</v>
      </c>
      <c r="D12" s="9">
        <v>5.42</v>
      </c>
      <c r="E12" s="2">
        <f>(33+27)/2</f>
        <v>30</v>
      </c>
      <c r="F12" s="6">
        <f>0.41*E12</f>
        <v>12.299999999999999</v>
      </c>
      <c r="G12" s="1">
        <f>(E12+E13+E14+E15)/4</f>
        <v>29.5</v>
      </c>
      <c r="H12" s="10">
        <f>-0.043*G12</f>
        <v>-1.2685</v>
      </c>
      <c r="I12" s="4">
        <f>W12</f>
        <v>30.236842105263161</v>
      </c>
      <c r="J12" s="7">
        <f>0.44*I12</f>
        <v>13.30421052631579</v>
      </c>
      <c r="K12" s="1">
        <f>33-27</f>
        <v>6</v>
      </c>
      <c r="L12" s="6">
        <f>0.12*K12</f>
        <v>0.72</v>
      </c>
      <c r="M12" s="12">
        <f>D12+F12+H12+J12+L12</f>
        <v>30.475710526315787</v>
      </c>
      <c r="O12" s="1">
        <f>(26+34)/2</f>
        <v>30</v>
      </c>
      <c r="P12" s="1">
        <f>0.8*((27+32)/2)</f>
        <v>23.6</v>
      </c>
      <c r="Q12" s="1">
        <f>0.6*((28+34)/2)</f>
        <v>18.599999999999998</v>
      </c>
      <c r="R12" s="1">
        <f>0.5*((28+34)/2)</f>
        <v>15.5</v>
      </c>
      <c r="S12" s="1">
        <f>0.4*((27+33)/2)</f>
        <v>12</v>
      </c>
      <c r="T12" s="1">
        <f>0.3*((27+33)/2)</f>
        <v>9</v>
      </c>
      <c r="U12" s="1">
        <f>0.2*((28+34)/2)</f>
        <v>6.2</v>
      </c>
      <c r="V12" s="1">
        <f>SUM(O12:U12)</f>
        <v>114.9</v>
      </c>
      <c r="W12" s="1">
        <f>V12/3.8</f>
        <v>30.236842105263161</v>
      </c>
    </row>
    <row r="13" spans="3:25" x14ac:dyDescent="0.3">
      <c r="C13" t="s">
        <v>20</v>
      </c>
      <c r="D13" s="9">
        <v>5.42</v>
      </c>
      <c r="E13" s="2">
        <f>(31+26)/2</f>
        <v>28.5</v>
      </c>
      <c r="F13" s="6">
        <f t="shared" ref="F13:F15" si="4">0.41*E13</f>
        <v>11.684999999999999</v>
      </c>
      <c r="G13" s="1">
        <f>(E12+E13+E14+E15)/4</f>
        <v>29.5</v>
      </c>
      <c r="H13" s="10">
        <f t="shared" ref="H13:H15" si="5">-0.043*G13</f>
        <v>-1.2685</v>
      </c>
      <c r="I13" s="4">
        <f>W13</f>
        <v>28.986842105263158</v>
      </c>
      <c r="J13" s="7">
        <f>0.44*I13</f>
        <v>12.75421052631579</v>
      </c>
      <c r="K13" s="2">
        <f>31-26</f>
        <v>5</v>
      </c>
      <c r="L13" s="6">
        <f>0.12*K13</f>
        <v>0.6</v>
      </c>
      <c r="M13" s="12">
        <f>D13+F13+H13+J13+L13</f>
        <v>29.19071052631579</v>
      </c>
      <c r="O13" s="1">
        <f>(27+34)/2</f>
        <v>30.5</v>
      </c>
      <c r="P13" s="1">
        <f>0.8*((26+31)/2)</f>
        <v>22.8</v>
      </c>
      <c r="Q13" s="1">
        <f>0.6*((26+31)/2)</f>
        <v>17.099999999999998</v>
      </c>
      <c r="R13" s="1">
        <f>0.5*((25+31)/2)</f>
        <v>14</v>
      </c>
      <c r="S13" s="1">
        <f>0.4*((26+31)/2)</f>
        <v>11.4</v>
      </c>
      <c r="T13" s="1">
        <f>0.3*((26+31)/2)</f>
        <v>8.5499999999999989</v>
      </c>
      <c r="U13" s="1">
        <f>0.2*((26+32)/2)</f>
        <v>5.8000000000000007</v>
      </c>
      <c r="V13" s="1">
        <f>SUM(O13:U13)</f>
        <v>110.14999999999999</v>
      </c>
      <c r="W13" s="1">
        <f>V13/3.8</f>
        <v>28.986842105263158</v>
      </c>
    </row>
    <row r="14" spans="3:25" x14ac:dyDescent="0.3">
      <c r="C14" t="s">
        <v>21</v>
      </c>
      <c r="D14" s="9">
        <v>5.42</v>
      </c>
      <c r="E14" s="2">
        <f>(33+26)/2</f>
        <v>29.5</v>
      </c>
      <c r="F14" s="6">
        <f t="shared" si="4"/>
        <v>12.094999999999999</v>
      </c>
      <c r="G14" s="1">
        <f>(E12+E13+E14+E15)/4</f>
        <v>29.5</v>
      </c>
      <c r="H14" s="10">
        <f t="shared" si="5"/>
        <v>-1.2685</v>
      </c>
      <c r="I14" s="4">
        <f>W14</f>
        <v>30.5</v>
      </c>
      <c r="J14" s="7">
        <f>0.44*I14</f>
        <v>13.42</v>
      </c>
      <c r="K14" s="1">
        <f>33-26</f>
        <v>7</v>
      </c>
      <c r="L14" s="6">
        <f t="shared" ref="L14:L15" si="6">0.12*K14</f>
        <v>0.84</v>
      </c>
      <c r="M14" s="12">
        <f t="shared" ref="M14:M15" si="7">D14+F14+H14+J14+L14</f>
        <v>30.506499999999999</v>
      </c>
      <c r="O14" s="1">
        <f>(27+34)/2</f>
        <v>30.5</v>
      </c>
      <c r="P14" s="1">
        <f>0.8*((27+35)/2)</f>
        <v>24.8</v>
      </c>
      <c r="Q14" s="1">
        <f>0.6*((27+30)/2)</f>
        <v>17.099999999999998</v>
      </c>
      <c r="R14" s="1">
        <f>0.5*((26+36)/2)</f>
        <v>15.5</v>
      </c>
      <c r="S14" s="1">
        <f>0.4*((26+36)/2)</f>
        <v>12.4</v>
      </c>
      <c r="T14" s="1">
        <f>0.3*((27+37)/2)</f>
        <v>9.6</v>
      </c>
      <c r="U14" s="1">
        <f>0.2*((26+34)/2)</f>
        <v>6</v>
      </c>
      <c r="V14" s="1">
        <f>SUM(O14:U14)</f>
        <v>115.89999999999999</v>
      </c>
      <c r="W14" s="1">
        <f>V14/3.8</f>
        <v>30.5</v>
      </c>
    </row>
    <row r="15" spans="3:25" x14ac:dyDescent="0.3">
      <c r="C15" t="s">
        <v>22</v>
      </c>
      <c r="D15" s="9">
        <v>5.42</v>
      </c>
      <c r="E15" s="2">
        <f>(35+25)/2</f>
        <v>30</v>
      </c>
      <c r="F15" s="6">
        <f t="shared" si="4"/>
        <v>12.299999999999999</v>
      </c>
      <c r="G15" s="1">
        <f>(E12+E13+E14+E15)/4</f>
        <v>29.5</v>
      </c>
      <c r="H15" s="10">
        <f t="shared" si="5"/>
        <v>-1.2685</v>
      </c>
      <c r="I15" s="4">
        <f>W15</f>
        <v>30.21052631578948</v>
      </c>
      <c r="J15" s="7">
        <f>0.44*I15</f>
        <v>13.292631578947372</v>
      </c>
      <c r="K15" s="1">
        <f>35-25</f>
        <v>10</v>
      </c>
      <c r="L15" s="6">
        <f t="shared" si="6"/>
        <v>1.2</v>
      </c>
      <c r="M15" s="12">
        <f t="shared" si="7"/>
        <v>30.944131578947371</v>
      </c>
      <c r="O15" s="1">
        <f>(25+35)/2</f>
        <v>30</v>
      </c>
      <c r="P15" s="1">
        <f>0.8*((26+35)/2)</f>
        <v>24.400000000000002</v>
      </c>
      <c r="Q15" s="1">
        <f>0.6*((35+25)/2)</f>
        <v>18</v>
      </c>
      <c r="R15" s="1">
        <f>0.5*((25+35)/2)</f>
        <v>15</v>
      </c>
      <c r="S15" s="1">
        <f>0.4*((25+35)/2)</f>
        <v>12</v>
      </c>
      <c r="T15" s="1">
        <f>0.3*((25+35)/2)</f>
        <v>9</v>
      </c>
      <c r="U15" s="1">
        <f>0.2*((28+36)/2)</f>
        <v>6.4</v>
      </c>
      <c r="V15" s="1">
        <f>SUM(O15:U15)</f>
        <v>114.80000000000001</v>
      </c>
      <c r="W15" s="1">
        <f>V15/3.8</f>
        <v>30.21052631578948</v>
      </c>
    </row>
    <row r="18" spans="3:23" x14ac:dyDescent="0.3">
      <c r="C18" s="196" t="s">
        <v>42</v>
      </c>
      <c r="D18" s="196"/>
      <c r="E18" s="196"/>
      <c r="F18" s="196"/>
      <c r="G18" s="196"/>
      <c r="H18" s="196"/>
      <c r="I18" s="196"/>
      <c r="J18" s="196"/>
      <c r="K18" s="196"/>
      <c r="L18" s="196"/>
      <c r="M18" s="196"/>
      <c r="O18" s="196" t="s">
        <v>43</v>
      </c>
      <c r="P18" s="196"/>
      <c r="Q18" s="196"/>
      <c r="R18" s="196"/>
      <c r="S18" s="196"/>
      <c r="T18" s="196"/>
      <c r="U18" s="196"/>
      <c r="V18" s="196"/>
      <c r="W18" s="196"/>
    </row>
    <row r="19" spans="3:23" x14ac:dyDescent="0.3">
      <c r="C19" t="s">
        <v>18</v>
      </c>
      <c r="D19" s="9">
        <v>5.42</v>
      </c>
      <c r="E19" s="2" t="s">
        <v>14</v>
      </c>
      <c r="F19" s="5" t="s">
        <v>34</v>
      </c>
      <c r="G19" t="s">
        <v>15</v>
      </c>
      <c r="H19" s="5" t="s">
        <v>35</v>
      </c>
      <c r="I19" t="s">
        <v>16</v>
      </c>
      <c r="J19" s="5" t="s">
        <v>36</v>
      </c>
      <c r="K19" t="s">
        <v>17</v>
      </c>
      <c r="L19" s="5" t="s">
        <v>37</v>
      </c>
      <c r="M19" s="11" t="s">
        <v>38</v>
      </c>
      <c r="O19" t="s">
        <v>23</v>
      </c>
      <c r="P19" t="s">
        <v>24</v>
      </c>
      <c r="Q19" t="s">
        <v>25</v>
      </c>
      <c r="R19" t="s">
        <v>26</v>
      </c>
      <c r="S19" t="s">
        <v>27</v>
      </c>
      <c r="T19" t="s">
        <v>28</v>
      </c>
      <c r="U19" t="s">
        <v>29</v>
      </c>
      <c r="V19" t="s">
        <v>31</v>
      </c>
      <c r="W19" t="s">
        <v>32</v>
      </c>
    </row>
    <row r="20" spans="3:23" x14ac:dyDescent="0.3">
      <c r="C20" t="s">
        <v>19</v>
      </c>
      <c r="D20" s="9">
        <v>5.42</v>
      </c>
      <c r="E20" s="2">
        <f>(36+29)/2</f>
        <v>32.5</v>
      </c>
      <c r="F20" s="6">
        <f>0.41*E20</f>
        <v>13.324999999999999</v>
      </c>
      <c r="G20" s="1">
        <f>(E20+E21+E22+E23)/4</f>
        <v>30.75</v>
      </c>
      <c r="H20" s="10">
        <f>-0.043*G20</f>
        <v>-1.3222499999999999</v>
      </c>
      <c r="I20" s="4">
        <f>W20</f>
        <v>30</v>
      </c>
      <c r="J20" s="7">
        <f>0.44*I20</f>
        <v>13.2</v>
      </c>
      <c r="K20" s="1">
        <f>36-29</f>
        <v>7</v>
      </c>
      <c r="L20" s="6">
        <f>0.12*K20</f>
        <v>0.84</v>
      </c>
      <c r="M20" s="12">
        <f>D20+F20+H20+J20+L20</f>
        <v>31.462749999999996</v>
      </c>
      <c r="O20" s="1">
        <f>(27+33)/2</f>
        <v>30</v>
      </c>
      <c r="P20" s="1">
        <f>0.8*((28+34)/2)</f>
        <v>24.8</v>
      </c>
      <c r="Q20" s="1">
        <f>0.6*((27+34)/2)</f>
        <v>18.3</v>
      </c>
      <c r="R20" s="1">
        <f>0.5*((27+31)/2)</f>
        <v>14.5</v>
      </c>
      <c r="S20" s="1">
        <f>0.4*((27+33)/2)</f>
        <v>12</v>
      </c>
      <c r="T20" s="1">
        <f>0.3*((27+31)/2)</f>
        <v>8.6999999999999993</v>
      </c>
      <c r="U20" s="1">
        <f>0.2*((27+30)/2)</f>
        <v>5.7</v>
      </c>
      <c r="V20" s="1">
        <f>SUM(O20:U20)</f>
        <v>114</v>
      </c>
      <c r="W20" s="1">
        <f>V20/3.8</f>
        <v>30</v>
      </c>
    </row>
    <row r="21" spans="3:23" x14ac:dyDescent="0.3">
      <c r="C21" t="s">
        <v>20</v>
      </c>
      <c r="D21" s="9">
        <v>5.42</v>
      </c>
      <c r="E21" s="2">
        <f>(34+28)/2</f>
        <v>31</v>
      </c>
      <c r="F21" s="6">
        <f t="shared" ref="F21:F23" si="8">0.41*E21</f>
        <v>12.709999999999999</v>
      </c>
      <c r="G21" s="1">
        <f>(E20+E21+E22+E23)/4</f>
        <v>30.75</v>
      </c>
      <c r="H21" s="10">
        <f t="shared" ref="H21:H23" si="9">-0.043*G21</f>
        <v>-1.3222499999999999</v>
      </c>
      <c r="I21" s="4">
        <f>W21</f>
        <v>32.026315789473692</v>
      </c>
      <c r="J21" s="7">
        <f>0.44*I21</f>
        <v>14.091578947368424</v>
      </c>
      <c r="K21" s="2">
        <f>34-28</f>
        <v>6</v>
      </c>
      <c r="L21" s="6">
        <f>0.12*K21</f>
        <v>0.72</v>
      </c>
      <c r="M21" s="12">
        <f>D21+F21+H21+J21+L21</f>
        <v>31.619328947368423</v>
      </c>
      <c r="O21" s="1">
        <f>(29+37)/2</f>
        <v>33</v>
      </c>
      <c r="P21" s="1">
        <f>0.8*((29+37)/2)</f>
        <v>26.400000000000002</v>
      </c>
      <c r="Q21" s="1">
        <f>0.6*((27+36)/2)</f>
        <v>18.899999999999999</v>
      </c>
      <c r="R21" s="1">
        <f>0.5*((27+34)/2)</f>
        <v>15.25</v>
      </c>
      <c r="S21" s="1">
        <f>0.4*((28+33)/2)</f>
        <v>12.200000000000001</v>
      </c>
      <c r="T21" s="1">
        <f>0.3*((28+35)/2)</f>
        <v>9.4499999999999993</v>
      </c>
      <c r="U21" s="1">
        <f>0.2*((29+36)/2)</f>
        <v>6.5</v>
      </c>
      <c r="V21" s="1">
        <f>SUM(O21:U21)</f>
        <v>121.70000000000002</v>
      </c>
      <c r="W21" s="1">
        <f>V21/3.8</f>
        <v>32.026315789473692</v>
      </c>
    </row>
    <row r="22" spans="3:23" x14ac:dyDescent="0.3">
      <c r="C22" t="s">
        <v>21</v>
      </c>
      <c r="D22" s="9">
        <v>5.42</v>
      </c>
      <c r="E22" s="2">
        <f>(34+27)/2</f>
        <v>30.5</v>
      </c>
      <c r="F22" s="6">
        <f t="shared" si="8"/>
        <v>12.504999999999999</v>
      </c>
      <c r="G22" s="1">
        <f>(E20+E21+E22+E23)/4</f>
        <v>30.75</v>
      </c>
      <c r="H22" s="10">
        <f t="shared" si="9"/>
        <v>-1.3222499999999999</v>
      </c>
      <c r="I22" s="4">
        <f>W22</f>
        <v>31.368421052631582</v>
      </c>
      <c r="J22" s="7">
        <f>0.44*I22</f>
        <v>13.802105263157896</v>
      </c>
      <c r="K22" s="1">
        <f>34-27</f>
        <v>7</v>
      </c>
      <c r="L22" s="6">
        <f t="shared" ref="L22:L23" si="10">0.12*K22</f>
        <v>0.84</v>
      </c>
      <c r="M22" s="12">
        <f t="shared" ref="M22:M23" si="11">D22+F22+H22+J22+L22</f>
        <v>31.244855263157891</v>
      </c>
      <c r="O22" s="1">
        <f>(30+37)/2</f>
        <v>33.5</v>
      </c>
      <c r="P22" s="1">
        <f>0.8*((27+35)/2)</f>
        <v>24.8</v>
      </c>
      <c r="Q22" s="1">
        <f>0.6*((29+37)/2)</f>
        <v>19.8</v>
      </c>
      <c r="R22" s="1">
        <f>0.5*((27+35)/2)</f>
        <v>15.5</v>
      </c>
      <c r="S22" s="1">
        <f>0.4*((24+32)/2)</f>
        <v>11.200000000000001</v>
      </c>
      <c r="T22" s="1">
        <f>0.3*((26+32)/2)</f>
        <v>8.6999999999999993</v>
      </c>
      <c r="U22" s="1">
        <f>0.2*((27+30)/2)</f>
        <v>5.7</v>
      </c>
      <c r="V22" s="1">
        <f>SUM(O22:U22)</f>
        <v>119.2</v>
      </c>
      <c r="W22" s="1">
        <f>V22/3.8</f>
        <v>31.368421052631582</v>
      </c>
    </row>
    <row r="23" spans="3:23" x14ac:dyDescent="0.3">
      <c r="C23" t="s">
        <v>22</v>
      </c>
      <c r="D23" s="9">
        <v>5.42</v>
      </c>
      <c r="E23" s="2">
        <f>(34+24)/2</f>
        <v>29</v>
      </c>
      <c r="F23" s="6">
        <f t="shared" si="8"/>
        <v>11.889999999999999</v>
      </c>
      <c r="G23" s="1">
        <f>(E20+E21+E22+E23)/4</f>
        <v>30.75</v>
      </c>
      <c r="H23" s="10">
        <f t="shared" si="9"/>
        <v>-1.3222499999999999</v>
      </c>
      <c r="I23" s="4">
        <f>W23</f>
        <v>28.500000000000004</v>
      </c>
      <c r="J23" s="7">
        <f>0.44*I23</f>
        <v>12.540000000000001</v>
      </c>
      <c r="K23" s="1">
        <f>34-24</f>
        <v>10</v>
      </c>
      <c r="L23" s="6">
        <f t="shared" si="10"/>
        <v>1.2</v>
      </c>
      <c r="M23" s="12">
        <f t="shared" si="11"/>
        <v>29.727749999999997</v>
      </c>
      <c r="O23" s="1">
        <f>(24+32)/2</f>
        <v>28</v>
      </c>
      <c r="P23" s="1">
        <f>0.8*((24+32)/2)</f>
        <v>22.400000000000002</v>
      </c>
      <c r="Q23" s="1">
        <f>0.6*((25+33)/2)</f>
        <v>17.399999999999999</v>
      </c>
      <c r="R23" s="1">
        <f>0.5*((22+30)/2)</f>
        <v>13</v>
      </c>
      <c r="S23" s="1">
        <f>0.4*((23+34)/2)</f>
        <v>11.4</v>
      </c>
      <c r="T23" s="1">
        <f>0.3*((28+36)/2)</f>
        <v>9.6</v>
      </c>
      <c r="U23" s="1">
        <f>0.2*((28+37)/2)</f>
        <v>6.5</v>
      </c>
      <c r="V23" s="1">
        <f>SUM(O23:U23)</f>
        <v>108.30000000000001</v>
      </c>
      <c r="W23" s="1">
        <f>V23/3.8</f>
        <v>28.500000000000004</v>
      </c>
    </row>
  </sheetData>
  <mergeCells count="7">
    <mergeCell ref="C18:M18"/>
    <mergeCell ref="O18:W18"/>
    <mergeCell ref="D2:L2"/>
    <mergeCell ref="N2:Y2"/>
    <mergeCell ref="X4:Y4"/>
    <mergeCell ref="C10:M10"/>
    <mergeCell ref="N10:Y10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7f2ec83-e677-438d-afb7-4c7c0dbc872b}" enabled="1" method="Standard" siteId="{3bc062e4-ac9d-4c17-b4dd-3aad637ff1a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Outdoor R0 Final</vt:lpstr>
      <vt:lpstr>Indoor R0 Final AC Space</vt:lpstr>
      <vt:lpstr>Indoor R0 Non AC Space</vt:lpstr>
      <vt:lpstr>Indoor Temperatures</vt:lpstr>
    </vt:vector>
  </TitlesOfParts>
  <Company>Rabarber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Upadhyayula Venkata Krishna Kumar</dc:creator>
  <cp:lastModifiedBy>Upadhyayula Venkata Krishna Kumar</cp:lastModifiedBy>
  <dcterms:created xsi:type="dcterms:W3CDTF">2008-11-06T20:09:30Z</dcterms:created>
  <dcterms:modified xsi:type="dcterms:W3CDTF">2025-08-29T08:58:19Z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f2ec83-e677-438d-afb7-4c7c0dbc872b_Enabled">
    <vt:lpwstr>true</vt:lpwstr>
  </property>
  <property fmtid="{D5CDD505-2E9C-101B-9397-08002B2CF9AE}" pid="3" name="MSIP_Label_a7f2ec83-e677-438d-afb7-4c7c0dbc872b_SetDate">
    <vt:lpwstr>2024-04-23T11:54:03Z</vt:lpwstr>
  </property>
  <property fmtid="{D5CDD505-2E9C-101B-9397-08002B2CF9AE}" pid="4" name="MSIP_Label_a7f2ec83-e677-438d-afb7-4c7c0dbc872b_Method">
    <vt:lpwstr>Standard</vt:lpwstr>
  </property>
  <property fmtid="{D5CDD505-2E9C-101B-9397-08002B2CF9AE}" pid="5" name="MSIP_Label_a7f2ec83-e677-438d-afb7-4c7c0dbc872b_Name">
    <vt:lpwstr>a7f2ec83-e677-438d-afb7-4c7c0dbc872b</vt:lpwstr>
  </property>
  <property fmtid="{D5CDD505-2E9C-101B-9397-08002B2CF9AE}" pid="6" name="MSIP_Label_a7f2ec83-e677-438d-afb7-4c7c0dbc872b_SiteId">
    <vt:lpwstr>3bc062e4-ac9d-4c17-b4dd-3aad637ff1ac</vt:lpwstr>
  </property>
  <property fmtid="{D5CDD505-2E9C-101B-9397-08002B2CF9AE}" pid="7" name="MSIP_Label_a7f2ec83-e677-438d-afb7-4c7c0dbc872b_ActionId">
    <vt:lpwstr>d1e72b19-ac24-4bd6-8334-50ea259b67c0</vt:lpwstr>
  </property>
  <property fmtid="{D5CDD505-2E9C-101B-9397-08002B2CF9AE}" pid="8" name="MSIP_Label_a7f2ec83-e677-438d-afb7-4c7c0dbc872b_ContentBits">
    <vt:lpwstr>0</vt:lpwstr>
  </property>
</Properties>
</file>