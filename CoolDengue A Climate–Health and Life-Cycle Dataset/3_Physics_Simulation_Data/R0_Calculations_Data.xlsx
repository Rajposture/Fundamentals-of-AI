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3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UP3WO\Desktop\Krishna\AC paper India\EST New\First Revision\Results\"/>
    </mc:Choice>
  </mc:AlternateContent>
  <xr:revisionPtr revIDLastSave="0" documentId="13_ncr:1_{4378F2A3-A21B-424E-95A8-4E9EAB47125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0 Formula" sheetId="29" r:id="rId1"/>
    <sheet name="Outdoor R0 Calc_Dhaka_Month" sheetId="31" r:id="rId2"/>
    <sheet name="Outdoor R0 Calc_Dhaka_Week" sheetId="3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31" l="1"/>
  <c r="BC12" i="31"/>
  <c r="BB12" i="31"/>
  <c r="AT7" i="31"/>
  <c r="AT6" i="31"/>
  <c r="AX12" i="31"/>
  <c r="AO12" i="31"/>
  <c r="AY12" i="31" s="1"/>
  <c r="AJ12" i="31"/>
  <c r="AI12" i="31"/>
  <c r="AH12" i="31"/>
  <c r="N12" i="31"/>
  <c r="AB12" i="31" s="1"/>
  <c r="J12" i="31"/>
  <c r="I12" i="31"/>
  <c r="H12" i="31"/>
  <c r="G12" i="31"/>
  <c r="AT5" i="31"/>
  <c r="AZ12" i="31" s="1"/>
  <c r="BL36" i="30"/>
  <c r="BH36" i="30"/>
  <c r="BG36" i="30"/>
  <c r="BF36" i="30"/>
  <c r="BD36" i="30"/>
  <c r="BA36" i="30"/>
  <c r="BC36" i="30"/>
  <c r="BB36" i="30"/>
  <c r="AZ36" i="30"/>
  <c r="AY36" i="30"/>
  <c r="AX36" i="30"/>
  <c r="AW36" i="30"/>
  <c r="H36" i="30"/>
  <c r="AP36" i="30"/>
  <c r="AU7" i="30"/>
  <c r="AU6" i="30"/>
  <c r="AU5" i="30"/>
  <c r="AK36" i="30"/>
  <c r="AJ36" i="30"/>
  <c r="AI36" i="30"/>
  <c r="O36" i="30"/>
  <c r="Q36" i="30" s="1"/>
  <c r="K36" i="30"/>
  <c r="J36" i="30"/>
  <c r="I36" i="30"/>
  <c r="P12" i="31" l="1"/>
  <c r="AA12" i="31"/>
  <c r="AC12" i="31" s="1"/>
  <c r="AE12" i="31" s="1"/>
  <c r="AV12" i="31" s="1"/>
  <c r="AK12" i="31"/>
  <c r="AW12" i="31" s="1"/>
  <c r="K12" i="31"/>
  <c r="U12" i="31" s="1"/>
  <c r="P36" i="30"/>
  <c r="R36" i="30" s="1"/>
  <c r="W36" i="30" s="1"/>
  <c r="AB36" i="30"/>
  <c r="AL36" i="30"/>
  <c r="AC36" i="30"/>
  <c r="L36" i="30"/>
  <c r="V36" i="30" s="1"/>
  <c r="Q12" i="31" l="1"/>
  <c r="V12" i="31" s="1"/>
  <c r="X12" i="31" s="1"/>
  <c r="BA12" i="31" s="1"/>
  <c r="BF12" i="31" s="1"/>
  <c r="BE12" i="31"/>
  <c r="AD36" i="30"/>
  <c r="AF36" i="30" s="1"/>
  <c r="Y36" i="30"/>
  <c r="BG12" i="31" l="1"/>
  <c r="BK12" i="31" s="1"/>
</calcChain>
</file>

<file path=xl/sharedStrings.xml><?xml version="1.0" encoding="utf-8"?>
<sst xmlns="http://schemas.openxmlformats.org/spreadsheetml/2006/main" count="81" uniqueCount="44">
  <si>
    <t>Month</t>
  </si>
  <si>
    <t>July</t>
  </si>
  <si>
    <t>August</t>
  </si>
  <si>
    <t>September</t>
  </si>
  <si>
    <t>October</t>
  </si>
  <si>
    <t>January</t>
  </si>
  <si>
    <t>February</t>
  </si>
  <si>
    <t>March</t>
  </si>
  <si>
    <t>April</t>
  </si>
  <si>
    <t>May</t>
  </si>
  <si>
    <t>June</t>
  </si>
  <si>
    <t>November</t>
  </si>
  <si>
    <t>December</t>
  </si>
  <si>
    <r>
      <rPr>
        <b/>
        <sz val="11"/>
        <color theme="1" tint="4.9989318521683403E-2"/>
        <rFont val="Arial"/>
        <family val="2"/>
        <scheme val="minor"/>
      </rPr>
      <t>Main Equations for Calculating Basic Reproduction Number (R</t>
    </r>
    <r>
      <rPr>
        <b/>
        <vertAlign val="subscript"/>
        <sz val="11"/>
        <color theme="1" tint="4.9989318521683403E-2"/>
        <rFont val="Arial"/>
        <family val="2"/>
        <scheme val="minor"/>
      </rPr>
      <t>0</t>
    </r>
    <r>
      <rPr>
        <b/>
        <sz val="11"/>
        <color theme="1" tint="4.9989318521683403E-2"/>
        <rFont val="Arial"/>
        <family val="2"/>
        <scheme val="minor"/>
      </rPr>
      <t xml:space="preserve">) and Disease Transmission Potential P </t>
    </r>
  </si>
  <si>
    <t>Week</t>
  </si>
  <si>
    <t xml:space="preserve">Mean Relative
Humidity </t>
  </si>
  <si>
    <r>
      <t>Mean Weekly.  
Temp (</t>
    </r>
    <r>
      <rPr>
        <b/>
        <sz val="11"/>
        <color rgb="FF000000"/>
        <rFont val="Arial"/>
        <family val="2"/>
      </rPr>
      <t>°C)</t>
    </r>
  </si>
  <si>
    <t>Climate Variables for Dhaka in 2025</t>
  </si>
  <si>
    <t xml:space="preserve">      </t>
  </si>
  <si>
    <t>Humidity at time Point (u)</t>
  </si>
  <si>
    <t>Annual Avg. 
Humidity ( )</t>
  </si>
  <si>
    <t>Vector Moratlity Calculation  in bites/day (Eqn.3 from R0 Outdoor Sheet)</t>
  </si>
  <si>
    <t>Vector Mortality Adjustment for Humidity (Eq. 4 of R0 Outdoor Sheet)</t>
  </si>
  <si>
    <t>Final Mortality Rate Adjusted for Temp &amp; Humidity (Eq. 5 R0 Outdoor Sheet)</t>
  </si>
  <si>
    <t>Avg. Mosquito 
Biting Rate (    )</t>
  </si>
  <si>
    <t>Mosquito Biting Rate Adjsuted for Humidity (Eq. 6 and 7 in R0 Outdoor Sheet)</t>
  </si>
  <si>
    <t>Transmission from Vector to Human (Eq.8 R0 Outdoor)</t>
  </si>
  <si>
    <t>Transmission Human to Vcetor (Eq.9 R0 Outdoor)</t>
  </si>
  <si>
    <r>
      <t>1 for t</t>
    </r>
    <r>
      <rPr>
        <sz val="11"/>
        <color rgb="FF000000"/>
        <rFont val="Calibri"/>
        <family val="2"/>
      </rPr>
      <t>˃</t>
    </r>
    <r>
      <rPr>
        <sz val="11"/>
        <color rgb="FF000000"/>
        <rFont val="Arial"/>
        <family val="2"/>
      </rPr>
      <t xml:space="preserve"> 26.1 °C</t>
    </r>
  </si>
  <si>
    <t>Extrinsic Incubation Period (Eq. 10 R0 Outdoor Sheet)</t>
  </si>
  <si>
    <t xml:space="preserve">Value </t>
  </si>
  <si>
    <t>Other Parameters</t>
  </si>
  <si>
    <t>Description of the Parameter</t>
  </si>
  <si>
    <t>Intrinsic Incubation Period</t>
  </si>
  <si>
    <t xml:space="preserve">Infectious Period </t>
  </si>
  <si>
    <t xml:space="preserve">Human Lifespan </t>
  </si>
  <si>
    <t>Other Parameters Same for All R0 Calculations</t>
  </si>
  <si>
    <t>This can vary from 1 to 10 or more. 
But in this study, m = 1 is considered</t>
  </si>
  <si>
    <t>m = No of Female Mosquitoes/Host
Per Human (Host)</t>
  </si>
  <si>
    <t>Basic Repr. Number (R0) Eq.1 from R0 Oudoor Sheet</t>
  </si>
  <si>
    <t>Summary of Individual Parametes Used in Vector Capacity Calculation</t>
  </si>
  <si>
    <t>Vector Capacity Calculation (Eq.2 of R0 Outdoor Sheet)</t>
  </si>
  <si>
    <t>Month Wise Climate Variables for 2025</t>
  </si>
  <si>
    <t>Monthly Avg Humidity (u)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</si>
</sst>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\ &quot;kr&quot;_-;\-* #,##0\ &quot;kr&quot;_-;_-* &quot;-&quot;\ &quot;kr&quot;_-;_-@_-"/>
    <numFmt numFmtId="165" formatCode="_-* #,##0\ _k_r_-;\-* #,##0\ _k_r_-;_-* &quot;-&quot;\ _k_r_-;_-@_-"/>
    <numFmt numFmtId="166" formatCode="_-* #,##0.00\ &quot;kr&quot;_-;\-* #,##0.00\ &quot;kr&quot;_-;_-* &quot;-&quot;??\ &quot;kr&quot;_-;_-@_-"/>
    <numFmt numFmtId="167" formatCode="_-* #,##0.00\ _k_r_-;\-* #,##0.00\ _k_r_-;_-* &quot;-&quot;??\ _k_r_-;_-@_-"/>
    <numFmt numFmtId="168" formatCode="0.000"/>
    <numFmt numFmtId="169" formatCode="0.000000"/>
    <numFmt numFmtId="170" formatCode="0.0000"/>
    <numFmt numFmtId="171" formatCode="0.00000"/>
  </numFmts>
  <fonts count="12" x14ac:knownFonts="1">
    <font>
      <sz val="11"/>
      <color rgb="FF000000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Georgia"/>
      <family val="1"/>
    </font>
    <font>
      <b/>
      <sz val="10"/>
      <color indexed="9"/>
      <name val="Arial"/>
      <family val="2"/>
    </font>
    <font>
      <b/>
      <sz val="11"/>
      <color rgb="FF000000"/>
      <name val="Arial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  <scheme val="minor"/>
    </font>
    <font>
      <b/>
      <sz val="11"/>
      <color theme="1" tint="4.9989318521683403E-2"/>
      <name val="Arial"/>
      <family val="2"/>
      <scheme val="minor"/>
    </font>
    <font>
      <b/>
      <vertAlign val="subscript"/>
      <sz val="11"/>
      <color theme="1" tint="4.9989318521683403E-2"/>
      <name val="Arial"/>
      <family val="2"/>
      <scheme val="minor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8"/>
      </patternFill>
    </fill>
    <fill>
      <patternFill patternType="solid">
        <fgColor indexed="5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14" borderId="1"/>
    <xf numFmtId="0" fontId="4" fillId="14" borderId="0"/>
    <xf numFmtId="0" fontId="2" fillId="15" borderId="0"/>
  </cellStyleXfs>
  <cellXfs count="13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2" fontId="0" fillId="0" borderId="6" xfId="0" applyNumberFormat="1" applyBorder="1" applyAlignment="1">
      <alignment horizontal="left"/>
    </xf>
    <xf numFmtId="2" fontId="0" fillId="0" borderId="9" xfId="0" applyNumberFormat="1" applyBorder="1" applyAlignment="1">
      <alignment horizontal="left"/>
    </xf>
    <xf numFmtId="2" fontId="0" fillId="0" borderId="5" xfId="0" applyNumberFormat="1" applyBorder="1" applyAlignment="1">
      <alignment horizontal="left"/>
    </xf>
    <xf numFmtId="2" fontId="0" fillId="0" borderId="7" xfId="0" applyNumberFormat="1" applyBorder="1" applyAlignment="1">
      <alignment horizontal="left"/>
    </xf>
    <xf numFmtId="2" fontId="0" fillId="0" borderId="10" xfId="0" applyNumberFormat="1" applyBorder="1" applyAlignment="1">
      <alignment horizontal="left"/>
    </xf>
    <xf numFmtId="2" fontId="0" fillId="0" borderId="6" xfId="0" applyNumberFormat="1" applyBorder="1" applyAlignment="1">
      <alignment horizontal="left" vertical="top"/>
    </xf>
    <xf numFmtId="2" fontId="0" fillId="0" borderId="8" xfId="0" applyNumberFormat="1" applyBorder="1" applyAlignment="1">
      <alignment horizontal="left"/>
    </xf>
    <xf numFmtId="2" fontId="0" fillId="0" borderId="0" xfId="0" applyNumberFormat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2" fontId="0" fillId="0" borderId="5" xfId="0" applyNumberFormat="1" applyBorder="1"/>
    <xf numFmtId="2" fontId="0" fillId="0" borderId="6" xfId="0" applyNumberFormat="1" applyBorder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8" xfId="0" applyBorder="1"/>
    <xf numFmtId="0" fontId="0" fillId="0" borderId="0" xfId="0" applyAlignment="1">
      <alignment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5" xfId="0" applyBorder="1" applyAlignment="1">
      <alignment horizontal="left"/>
    </xf>
    <xf numFmtId="168" fontId="0" fillId="0" borderId="7" xfId="0" applyNumberFormat="1" applyBorder="1" applyAlignment="1">
      <alignment horizontal="left"/>
    </xf>
    <xf numFmtId="171" fontId="0" fillId="0" borderId="0" xfId="0" applyNumberFormat="1"/>
    <xf numFmtId="170" fontId="0" fillId="0" borderId="6" xfId="0" applyNumberFormat="1" applyBorder="1"/>
    <xf numFmtId="170" fontId="0" fillId="0" borderId="5" xfId="0" applyNumberFormat="1" applyBorder="1" applyAlignment="1">
      <alignment horizontal="left"/>
    </xf>
    <xf numFmtId="170" fontId="0" fillId="0" borderId="6" xfId="0" applyNumberFormat="1" applyBorder="1" applyAlignment="1">
      <alignment horizontal="left"/>
    </xf>
    <xf numFmtId="170" fontId="0" fillId="0" borderId="7" xfId="0" applyNumberFormat="1" applyBorder="1" applyAlignment="1">
      <alignment horizontal="left"/>
    </xf>
    <xf numFmtId="170" fontId="0" fillId="0" borderId="6" xfId="0" applyNumberFormat="1" applyBorder="1" applyAlignment="1">
      <alignment horizontal="left" vertical="top"/>
    </xf>
    <xf numFmtId="168" fontId="0" fillId="0" borderId="6" xfId="0" applyNumberFormat="1" applyBorder="1" applyAlignment="1">
      <alignment horizontal="left" vertical="top"/>
    </xf>
    <xf numFmtId="170" fontId="5" fillId="0" borderId="7" xfId="0" applyNumberFormat="1" applyFont="1" applyBorder="1" applyAlignment="1">
      <alignment horizontal="left" vertical="top"/>
    </xf>
    <xf numFmtId="2" fontId="5" fillId="0" borderId="7" xfId="0" applyNumberFormat="1" applyFont="1" applyBorder="1" applyAlignment="1">
      <alignment horizontal="left"/>
    </xf>
    <xf numFmtId="170" fontId="0" fillId="0" borderId="5" xfId="0" applyNumberFormat="1" applyBorder="1" applyAlignment="1">
      <alignment horizontal="left" vertical="top"/>
    </xf>
    <xf numFmtId="0" fontId="5" fillId="16" borderId="28" xfId="0" applyFont="1" applyFill="1" applyBorder="1"/>
    <xf numFmtId="0" fontId="0" fillId="0" borderId="29" xfId="0" applyBorder="1"/>
    <xf numFmtId="0" fontId="0" fillId="0" borderId="30" xfId="0" applyBorder="1"/>
    <xf numFmtId="2" fontId="5" fillId="0" borderId="29" xfId="0" applyNumberFormat="1" applyFont="1" applyBorder="1" applyAlignment="1">
      <alignment horizontal="left"/>
    </xf>
    <xf numFmtId="0" fontId="5" fillId="0" borderId="29" xfId="0" applyFont="1" applyBorder="1" applyAlignment="1">
      <alignment horizontal="left" vertical="top"/>
    </xf>
    <xf numFmtId="2" fontId="0" fillId="0" borderId="9" xfId="0" applyNumberFormat="1" applyBorder="1"/>
    <xf numFmtId="0" fontId="5" fillId="16" borderId="0" xfId="0" applyFont="1" applyFill="1" applyBorder="1"/>
    <xf numFmtId="0" fontId="0" fillId="0" borderId="0" xfId="0" applyBorder="1" applyAlignment="1">
      <alignment horizontal="center"/>
    </xf>
    <xf numFmtId="0" fontId="0" fillId="0" borderId="0" xfId="0" applyBorder="1"/>
    <xf numFmtId="2" fontId="5" fillId="0" borderId="0" xfId="0" applyNumberFormat="1" applyFont="1" applyBorder="1" applyAlignment="1">
      <alignment horizontal="left"/>
    </xf>
    <xf numFmtId="1" fontId="0" fillId="0" borderId="29" xfId="0" applyNumberFormat="1" applyBorder="1" applyAlignment="1">
      <alignment horizontal="left"/>
    </xf>
    <xf numFmtId="1" fontId="0" fillId="0" borderId="0" xfId="0" applyNumberFormat="1" applyAlignment="1">
      <alignment horizontal="left"/>
    </xf>
    <xf numFmtId="1" fontId="5" fillId="16" borderId="28" xfId="0" applyNumberFormat="1" applyFont="1" applyFill="1" applyBorder="1" applyAlignment="1">
      <alignment horizontal="left" wrapText="1"/>
    </xf>
    <xf numFmtId="1" fontId="0" fillId="0" borderId="29" xfId="0" applyNumberFormat="1" applyBorder="1" applyAlignment="1">
      <alignment horizontal="left" vertical="top" wrapText="1"/>
    </xf>
    <xf numFmtId="1" fontId="0" fillId="0" borderId="29" xfId="0" applyNumberFormat="1" applyBorder="1" applyAlignment="1">
      <alignment horizontal="left" vertical="top"/>
    </xf>
    <xf numFmtId="1" fontId="0" fillId="0" borderId="30" xfId="0" applyNumberFormat="1" applyBorder="1" applyAlignment="1">
      <alignment horizontal="left"/>
    </xf>
    <xf numFmtId="2" fontId="5" fillId="16" borderId="28" xfId="0" applyNumberFormat="1" applyFont="1" applyFill="1" applyBorder="1" applyAlignment="1">
      <alignment horizontal="left" vertical="top"/>
    </xf>
    <xf numFmtId="2" fontId="0" fillId="0" borderId="29" xfId="0" applyNumberFormat="1" applyBorder="1" applyAlignment="1">
      <alignment horizontal="left" vertical="top"/>
    </xf>
    <xf numFmtId="2" fontId="0" fillId="0" borderId="30" xfId="0" applyNumberFormat="1" applyBorder="1" applyAlignment="1">
      <alignment horizontal="left" vertical="top"/>
    </xf>
    <xf numFmtId="2" fontId="5" fillId="0" borderId="29" xfId="0" applyNumberFormat="1" applyFont="1" applyBorder="1" applyAlignment="1">
      <alignment horizontal="left" vertical="top"/>
    </xf>
    <xf numFmtId="1" fontId="5" fillId="0" borderId="29" xfId="0" applyNumberFormat="1" applyFont="1" applyBorder="1" applyAlignment="1">
      <alignment horizontal="left"/>
    </xf>
    <xf numFmtId="0" fontId="5" fillId="16" borderId="0" xfId="0" applyFont="1" applyFill="1" applyBorder="1" applyAlignment="1">
      <alignment horizontal="center" vertical="top"/>
    </xf>
    <xf numFmtId="168" fontId="0" fillId="0" borderId="0" xfId="0" applyNumberFormat="1" applyBorder="1" applyAlignment="1">
      <alignment horizontal="left"/>
    </xf>
    <xf numFmtId="2" fontId="5" fillId="16" borderId="0" xfId="0" applyNumberFormat="1" applyFont="1" applyFill="1" applyBorder="1" applyAlignment="1">
      <alignment horizontal="center"/>
    </xf>
    <xf numFmtId="2" fontId="0" fillId="0" borderId="0" xfId="0" applyNumberFormat="1" applyBorder="1" applyAlignment="1">
      <alignment horizontal="left"/>
    </xf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23" xfId="0" applyBorder="1"/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8" fillId="17" borderId="0" xfId="0" applyFont="1" applyFill="1" applyBorder="1" applyAlignment="1"/>
    <xf numFmtId="2" fontId="0" fillId="0" borderId="19" xfId="0" applyNumberFormat="1" applyBorder="1" applyAlignment="1">
      <alignment horizontal="left"/>
    </xf>
    <xf numFmtId="11" fontId="0" fillId="0" borderId="7" xfId="0" applyNumberFormat="1" applyBorder="1" applyAlignment="1">
      <alignment horizontal="left"/>
    </xf>
    <xf numFmtId="11" fontId="0" fillId="0" borderId="19" xfId="0" applyNumberFormat="1" applyBorder="1" applyAlignment="1">
      <alignment horizontal="left"/>
    </xf>
    <xf numFmtId="170" fontId="0" fillId="0" borderId="19" xfId="0" applyNumberFormat="1" applyBorder="1" applyAlignment="1">
      <alignment horizontal="left"/>
    </xf>
    <xf numFmtId="169" fontId="0" fillId="0" borderId="19" xfId="0" applyNumberFormat="1" applyBorder="1" applyAlignment="1">
      <alignment horizontal="left"/>
    </xf>
    <xf numFmtId="0" fontId="0" fillId="0" borderId="5" xfId="0" applyBorder="1" applyAlignment="1">
      <alignment vertical="top"/>
    </xf>
    <xf numFmtId="0" fontId="0" fillId="0" borderId="8" xfId="0" applyBorder="1" applyAlignment="1">
      <alignment vertical="top"/>
    </xf>
    <xf numFmtId="2" fontId="0" fillId="0" borderId="5" xfId="0" applyNumberFormat="1" applyBorder="1" applyAlignment="1"/>
    <xf numFmtId="2" fontId="0" fillId="0" borderId="8" xfId="0" applyNumberFormat="1" applyBorder="1" applyAlignment="1"/>
    <xf numFmtId="11" fontId="0" fillId="0" borderId="1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69" fontId="0" fillId="0" borderId="6" xfId="0" applyNumberFormat="1" applyBorder="1" applyAlignment="1">
      <alignment horizontal="left"/>
    </xf>
    <xf numFmtId="0" fontId="9" fillId="0" borderId="0" xfId="0" applyFont="1" applyBorder="1" applyAlignment="1">
      <alignment horizontal="center" vertical="top"/>
    </xf>
    <xf numFmtId="1" fontId="0" fillId="17" borderId="29" xfId="0" applyNumberFormat="1" applyFont="1" applyFill="1" applyBorder="1" applyAlignment="1">
      <alignment horizontal="left" vertical="top" wrapText="1"/>
    </xf>
    <xf numFmtId="1" fontId="0" fillId="17" borderId="29" xfId="0" applyNumberFormat="1" applyFont="1" applyFill="1" applyBorder="1" applyAlignment="1">
      <alignment horizontal="left" vertical="top"/>
    </xf>
    <xf numFmtId="2" fontId="0" fillId="0" borderId="29" xfId="0" applyNumberFormat="1" applyBorder="1" applyAlignment="1">
      <alignment horizontal="left" vertical="top"/>
    </xf>
    <xf numFmtId="0" fontId="0" fillId="0" borderId="31" xfId="0" applyBorder="1" applyAlignment="1">
      <alignment horizontal="center"/>
    </xf>
    <xf numFmtId="0" fontId="0" fillId="0" borderId="25" xfId="0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16" borderId="20" xfId="0" applyFont="1" applyFill="1" applyBorder="1" applyAlignment="1">
      <alignment horizontal="center"/>
    </xf>
    <xf numFmtId="0" fontId="5" fillId="16" borderId="21" xfId="0" applyFont="1" applyFill="1" applyBorder="1" applyAlignment="1">
      <alignment horizontal="center"/>
    </xf>
    <xf numFmtId="0" fontId="5" fillId="16" borderId="22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2" fontId="0" fillId="0" borderId="5" xfId="0" applyNumberFormat="1" applyBorder="1" applyAlignment="1">
      <alignment horizontal="left" vertical="top" wrapText="1"/>
    </xf>
    <xf numFmtId="2" fontId="0" fillId="0" borderId="5" xfId="0" applyNumberFormat="1" applyBorder="1" applyAlignment="1">
      <alignment horizontal="left" vertical="top"/>
    </xf>
    <xf numFmtId="2" fontId="0" fillId="0" borderId="6" xfId="0" applyNumberFormat="1" applyBorder="1" applyAlignment="1">
      <alignment horizontal="left" vertical="top" wrapText="1"/>
    </xf>
    <xf numFmtId="2" fontId="0" fillId="0" borderId="6" xfId="0" applyNumberFormat="1" applyBorder="1" applyAlignment="1">
      <alignment horizontal="left" vertical="top"/>
    </xf>
    <xf numFmtId="2" fontId="0" fillId="0" borderId="7" xfId="0" applyNumberFormat="1" applyBorder="1" applyAlignment="1">
      <alignment horizontal="left" vertical="top"/>
    </xf>
    <xf numFmtId="2" fontId="5" fillId="16" borderId="2" xfId="0" applyNumberFormat="1" applyFont="1" applyFill="1" applyBorder="1" applyAlignment="1">
      <alignment horizontal="center"/>
    </xf>
    <xf numFmtId="2" fontId="5" fillId="16" borderId="3" xfId="0" applyNumberFormat="1" applyFont="1" applyFill="1" applyBorder="1" applyAlignment="1">
      <alignment horizontal="center"/>
    </xf>
    <xf numFmtId="2" fontId="5" fillId="16" borderId="4" xfId="0" applyNumberFormat="1" applyFont="1" applyFill="1" applyBorder="1" applyAlignment="1">
      <alignment horizontal="center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5" fillId="16" borderId="2" xfId="0" applyFont="1" applyFill="1" applyBorder="1" applyAlignment="1">
      <alignment horizontal="center" vertical="top"/>
    </xf>
    <xf numFmtId="0" fontId="5" fillId="16" borderId="3" xfId="0" applyFont="1" applyFill="1" applyBorder="1" applyAlignment="1">
      <alignment horizontal="center" vertical="top"/>
    </xf>
    <xf numFmtId="0" fontId="5" fillId="16" borderId="4" xfId="0" applyFont="1" applyFill="1" applyBorder="1" applyAlignment="1">
      <alignment horizontal="center" vertical="top"/>
    </xf>
    <xf numFmtId="2" fontId="0" fillId="0" borderId="6" xfId="0" applyNumberFormat="1" applyBorder="1" applyAlignment="1">
      <alignment horizontal="left"/>
    </xf>
    <xf numFmtId="2" fontId="0" fillId="0" borderId="7" xfId="0" applyNumberFormat="1" applyBorder="1" applyAlignment="1">
      <alignment horizontal="left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horizontal="center" vertical="top"/>
    </xf>
    <xf numFmtId="0" fontId="5" fillId="16" borderId="2" xfId="0" applyFont="1" applyFill="1" applyBorder="1" applyAlignment="1">
      <alignment horizontal="center"/>
    </xf>
    <xf numFmtId="0" fontId="5" fillId="16" borderId="3" xfId="0" applyFont="1" applyFill="1" applyBorder="1" applyAlignment="1">
      <alignment horizontal="center"/>
    </xf>
    <xf numFmtId="0" fontId="5" fillId="16" borderId="4" xfId="0" applyFont="1" applyFill="1" applyBorder="1" applyAlignment="1">
      <alignment horizontal="center"/>
    </xf>
    <xf numFmtId="0" fontId="5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2" fontId="0" fillId="0" borderId="26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</cellXfs>
  <cellStyles count="21">
    <cellStyle name="20% - Accent1" xfId="1" builtinId="30" customBuiltin="1"/>
    <cellStyle name="20% - Accent2" xfId="3" builtinId="34" customBuiltin="1"/>
    <cellStyle name="20% - Accent3" xfId="5" builtinId="38" customBuiltin="1"/>
    <cellStyle name="20% - Accent4" xfId="7" builtinId="42" customBuiltin="1"/>
    <cellStyle name="20% - Accent5" xfId="9" builtinId="46" customBuiltin="1"/>
    <cellStyle name="20% - Accent6" xfId="11" builtinId="50" customBuiltin="1"/>
    <cellStyle name="40% - Accent1" xfId="2" builtinId="31" customBuiltin="1"/>
    <cellStyle name="40% - Accent2" xfId="4" builtinId="35" customBuiltin="1"/>
    <cellStyle name="40% - Accent3" xfId="6" builtinId="39" customBuiltin="1"/>
    <cellStyle name="40% - Accent4" xfId="8" builtinId="43" customBuiltin="1"/>
    <cellStyle name="40% - Accent5" xfId="10" builtinId="47" customBuiltin="1"/>
    <cellStyle name="40% - Accent6" xfId="12" builtinId="51" customBuiltin="1"/>
    <cellStyle name="ColumnHeader" xfId="18" xr:uid="{00000000-0005-0000-0000-00000C000000}"/>
    <cellStyle name="ColumnHeaderBlue" xfId="19" xr:uid="{00000000-0005-0000-0000-00000D000000}"/>
    <cellStyle name="Comma" xfId="13" builtinId="3" customBuiltin="1"/>
    <cellStyle name="Comma [0]" xfId="14" builtinId="6" customBuiltin="1"/>
    <cellStyle name="Currency" xfId="15" builtinId="4" customBuiltin="1"/>
    <cellStyle name="Currency [0]" xfId="16" builtinId="7" customBuiltin="1"/>
    <cellStyle name="Highlight" xfId="20" xr:uid="{00000000-0005-0000-0000-000012000000}"/>
    <cellStyle name="Normal" xfId="0" builtinId="0" customBuiltin="1"/>
    <cellStyle name="Percent" xfId="17" builtinId="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78695F"/>
      <rgbColor rgb="00FFFFFF"/>
      <rgbColor rgb="00FF0000"/>
      <rgbColor rgb="0000FF00"/>
      <rgbColor rgb="00000000"/>
      <rgbColor rgb="00FFFF00"/>
      <rgbColor rgb="00FF00FF"/>
      <rgbColor rgb="0000FFFF"/>
      <rgbColor rgb="00000000"/>
      <rgbColor rgb="00000000"/>
      <rgbColor rgb="00D5D3D0"/>
      <rgbColor rgb="00000000"/>
      <rgbColor rgb="00800080"/>
      <rgbColor rgb="00000000"/>
      <rgbColor rgb="00C0C0C0"/>
      <rgbColor rgb="00000000"/>
      <rgbColor rgb="0078695F"/>
      <rgbColor rgb="00E6E1D7"/>
      <rgbColor rgb="00928E86"/>
      <rgbColor rgb="00E2E1DF"/>
      <rgbColor rgb="0076665D"/>
      <rgbColor rgb="00D5D3D0"/>
      <rgbColor rgb="00AEABA2"/>
      <rgbColor rgb="00432E20"/>
      <rgbColor rgb="0078695F"/>
      <rgbColor rgb="00E6E1D7"/>
      <rgbColor rgb="00928E86"/>
      <rgbColor rgb="00E2E1DF"/>
      <rgbColor rgb="0076665D"/>
      <rgbColor rgb="00D5D3D0"/>
      <rgbColor rgb="00AEABA2"/>
      <rgbColor rgb="00432E2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000000"/>
      <rgbColor rgb="00000000"/>
      <rgbColor rgb="00969696"/>
      <rgbColor rgb="0076665D"/>
      <rgbColor rgb="00339966"/>
      <rgbColor rgb="00E2E1DF"/>
      <rgbColor rgb="00928E86"/>
      <rgbColor rgb="00E6E1D7"/>
      <rgbColor rgb="00993366"/>
      <rgbColor rgb="00AEABA2"/>
      <rgbColor rgb="00432E20"/>
    </indexedColors>
    <mruColors>
      <color rgb="FFCC00CC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5</xdr:row>
      <xdr:rowOff>114300</xdr:rowOff>
    </xdr:from>
    <xdr:to>
      <xdr:col>17</xdr:col>
      <xdr:colOff>641350</xdr:colOff>
      <xdr:row>10</xdr:row>
      <xdr:rowOff>95250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93EB5A2-0877-6ADD-BEEC-AAA515DF07C5}"/>
                </a:ext>
              </a:extLst>
            </xdr:cNvPr>
            <xdr:cNvSpPr txBox="1"/>
          </xdr:nvSpPr>
          <xdr:spPr>
            <a:xfrm>
              <a:off x="12700" y="647700"/>
              <a:ext cx="11195050" cy="8699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SE" sz="1000" kern="1200">
                  <a:latin typeface="+mj-lt"/>
                </a:rPr>
                <a:t>Where,</a:t>
              </a:r>
            </a:p>
            <a:p>
              <a:r>
                <a:rPr lang="en-SE" sz="1000" kern="1200">
                  <a:latin typeface="+mj-lt"/>
                </a:rPr>
                <a:t>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0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SE" sz="10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𝑹</m:t>
                      </m:r>
                    </m:e>
                    <m:sub>
                      <m:r>
                        <a:rPr lang="en-SE" sz="10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</m:sub>
                  </m:sSub>
                </m:oMath>
              </a14:m>
              <a:r>
                <a:rPr lang="en-SE" sz="1000" kern="1200">
                  <a:latin typeface="+mj-lt"/>
                </a:rPr>
                <a:t>   </a:t>
              </a:r>
              <a:r>
                <a:rPr lang="en-SE" sz="1000" kern="1200" baseline="0">
                  <a:latin typeface="+mj-lt"/>
                </a:rPr>
                <a:t> </a:t>
              </a:r>
              <a:r>
                <a:rPr lang="en-SE" sz="1000" kern="1200">
                  <a:latin typeface="+mj-lt"/>
                </a:rPr>
                <a:t> = Basic Reproduction Number</a:t>
              </a:r>
              <a:r>
                <a:rPr lang="en-SE" sz="1000" kern="1200" baseline="0">
                  <a:latin typeface="+mj-lt"/>
                </a:rPr>
                <a:t> (No of Secondary infections from primary case, Used to predict potential for an outbreak</a:t>
              </a:r>
              <a:r>
                <a:rPr lang="en-SE" sz="1000" kern="1200">
                  <a:latin typeface="+mj-lt"/>
                </a:rPr>
                <a:t> </a:t>
              </a:r>
            </a:p>
            <a:p>
              <a14:m>
                <m:oMath xmlns:m="http://schemas.openxmlformats.org/officeDocument/2006/math">
                  <m:r>
                    <a:rPr lang="en-SE" sz="1000" b="1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𝑴</m:t>
                  </m:r>
                </m:oMath>
              </a14:m>
              <a:r>
                <a:rPr lang="en-SE" sz="1000" kern="1200">
                  <a:latin typeface="+mj-lt"/>
                </a:rPr>
                <a:t>      = Number of Female Mosquitoes per Host (Human)</a:t>
              </a:r>
            </a:p>
            <a:p>
              <a14:m>
                <m:oMath xmlns:m="http://schemas.openxmlformats.org/officeDocument/2006/math">
                  <m:sSub>
                    <m:sSubPr>
                      <m:ctrlPr>
                        <a:rPr lang="en-SE" sz="10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SE" sz="10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𝑷</m:t>
                      </m:r>
                    </m:e>
                    <m:sub>
                      <m:r>
                        <a:rPr lang="en-SE" sz="10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r>
                        <a:rPr lang="en-SE" sz="10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𝒖</m:t>
                      </m:r>
                      <m:r>
                        <a:rPr lang="en-SE" sz="10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n-SE" sz="10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𝒕</m:t>
                      </m:r>
                      <m:r>
                        <a:rPr lang="en-SE" sz="10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sub>
                  </m:sSub>
                </m:oMath>
              </a14:m>
              <a:r>
                <a:rPr lang="en-SE" sz="1000" kern="1200">
                  <a:latin typeface="+mj-lt"/>
                </a:rPr>
                <a:t> = Transmission</a:t>
              </a:r>
              <a:r>
                <a:rPr lang="en-SE" sz="1000" kern="1200" baseline="0">
                  <a:latin typeface="+mj-lt"/>
                </a:rPr>
                <a:t> Potential  indicates suitability of environment for transmission of dengue virus by single (aedes) mosquito (calculated using Eq. 2) and is function of Temp (t) and Humidity (u)</a:t>
              </a:r>
            </a:p>
            <a:p>
              <a:r>
                <a:rPr lang="en-SE" sz="1000" kern="1200" baseline="0">
                  <a:latin typeface="+mj-lt"/>
                </a:rPr>
                <a:t>If M </a:t>
              </a:r>
              <a:r>
                <a:rPr lang="en-SE" sz="1000" kern="1200" baseline="0">
                  <a:latin typeface="+mj-lt"/>
                  <a:ea typeface="Calibri" panose="020F0502020204030204" pitchFamily="34" charset="0"/>
                  <a:cs typeface="Calibri" panose="020F0502020204030204" pitchFamily="34" charset="0"/>
                </a:rPr>
                <a:t>˃ = 1 and </a:t>
              </a:r>
              <a14:m>
                <m:oMath xmlns:m="http://schemas.openxmlformats.org/officeDocument/2006/math">
                  <m:sSub>
                    <m:sSubPr>
                      <m:ctrlPr>
                        <a:rPr lang="en-SE" sz="10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SE" sz="10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𝑷</m:t>
                      </m:r>
                    </m:e>
                    <m:sub>
                      <m:r>
                        <a:rPr lang="en-SE" sz="10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r>
                        <a:rPr lang="en-SE" sz="10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𝒖</m:t>
                      </m:r>
                      <m:r>
                        <a:rPr lang="en-SE" sz="10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n-SE" sz="10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𝒕</m:t>
                      </m:r>
                      <m:r>
                        <a:rPr lang="en-SE" sz="10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sub>
                  </m:sSub>
                </m:oMath>
              </a14:m>
              <a:r>
                <a:rPr lang="en-SE" sz="1000" kern="1200" baseline="0">
                  <a:latin typeface="+mj-lt"/>
                </a:rPr>
                <a:t> </a:t>
              </a:r>
              <a:r>
                <a:rPr lang="en-SE" sz="1000" kern="1200" baseline="0">
                  <a:latin typeface="+mj-lt"/>
                  <a:ea typeface="Calibri" panose="020F0502020204030204" pitchFamily="34" charset="0"/>
                  <a:cs typeface="Calibri" panose="020F0502020204030204" pitchFamily="34" charset="0"/>
                </a:rPr>
                <a:t>˃ 1, then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0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SE" sz="10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𝑹</m:t>
                      </m:r>
                    </m:e>
                    <m:sub>
                      <m:r>
                        <a:rPr lang="en-SE" sz="10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</m:sub>
                  </m:sSub>
                </m:oMath>
              </a14:m>
              <a:r>
                <a:rPr lang="en-SE" sz="1000">
                  <a:solidFill>
                    <a:schemeClr val="dk1"/>
                  </a:solidFill>
                  <a:effectLst/>
                  <a:latin typeface="+mj-lt"/>
                  <a:ea typeface="+mn-ea"/>
                  <a:cs typeface="+mn-cs"/>
                </a:rPr>
                <a:t> </a:t>
              </a:r>
              <a:r>
                <a:rPr lang="en-SE" sz="1000">
                  <a:solidFill>
                    <a:schemeClr val="dk1"/>
                  </a:solidFill>
                  <a:effectLst/>
                  <a:latin typeface="+mj-lt"/>
                  <a:ea typeface="Calibri" panose="020F0502020204030204" pitchFamily="34" charset="0"/>
                  <a:cs typeface="Calibri" panose="020F0502020204030204" pitchFamily="34" charset="0"/>
                </a:rPr>
                <a:t>˃</a:t>
              </a:r>
              <a:r>
                <a:rPr lang="en-SE" sz="1000" baseline="0">
                  <a:solidFill>
                    <a:schemeClr val="dk1"/>
                  </a:solidFill>
                  <a:effectLst/>
                  <a:latin typeface="+mj-lt"/>
                  <a:ea typeface="+mn-ea"/>
                  <a:cs typeface="+mn-cs"/>
                </a:rPr>
                <a:t> 1 which means increased dengue transmisison risk and therefore increase in number of dengue cases </a:t>
              </a:r>
              <a:endParaRPr lang="en-SE" sz="1000" kern="1200" baseline="0">
                <a:latin typeface="+mj-lt"/>
              </a:endParaRPr>
            </a:p>
            <a:p>
              <a:endParaRPr lang="en-US" sz="1000" kern="1200">
                <a:latin typeface="+mj-lt"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93EB5A2-0877-6ADD-BEEC-AAA515DF07C5}"/>
                </a:ext>
              </a:extLst>
            </xdr:cNvPr>
            <xdr:cNvSpPr txBox="1"/>
          </xdr:nvSpPr>
          <xdr:spPr>
            <a:xfrm>
              <a:off x="12700" y="647700"/>
              <a:ext cx="11195050" cy="8699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SE" sz="1000" kern="1200">
                  <a:latin typeface="+mj-lt"/>
                </a:rPr>
                <a:t>Where,</a:t>
              </a:r>
            </a:p>
            <a:p>
              <a:r>
                <a:rPr lang="en-SE" sz="1000" kern="1200">
                  <a:latin typeface="+mj-lt"/>
                </a:rPr>
                <a:t> </a:t>
              </a:r>
              <a:r>
                <a:rPr lang="en-SE" sz="1000" b="1" i="0">
                  <a:solidFill>
                    <a:schemeClr val="dk1"/>
                  </a:solidFill>
                  <a:effectLst/>
                  <a:latin typeface="+mj-lt"/>
                  <a:ea typeface="+mn-ea"/>
                  <a:cs typeface="+mn-cs"/>
                </a:rPr>
                <a:t>𝑹</a:t>
              </a:r>
              <a:r>
                <a:rPr lang="en-US" sz="1000" b="1" i="0">
                  <a:solidFill>
                    <a:schemeClr val="dk1"/>
                  </a:solidFill>
                  <a:effectLst/>
                  <a:latin typeface="+mj-lt"/>
                  <a:ea typeface="+mn-ea"/>
                  <a:cs typeface="+mn-cs"/>
                </a:rPr>
                <a:t>_</a:t>
              </a:r>
              <a:r>
                <a:rPr lang="en-SE" sz="1000" b="1" i="0">
                  <a:solidFill>
                    <a:schemeClr val="dk1"/>
                  </a:solidFill>
                  <a:effectLst/>
                  <a:latin typeface="+mj-lt"/>
                  <a:ea typeface="+mn-ea"/>
                  <a:cs typeface="+mn-cs"/>
                </a:rPr>
                <a:t>𝟎</a:t>
              </a:r>
              <a:r>
                <a:rPr lang="en-SE" sz="1000" kern="1200">
                  <a:latin typeface="+mj-lt"/>
                </a:rPr>
                <a:t>   </a:t>
              </a:r>
              <a:r>
                <a:rPr lang="en-SE" sz="1000" kern="1200" baseline="0">
                  <a:latin typeface="+mj-lt"/>
                </a:rPr>
                <a:t> </a:t>
              </a:r>
              <a:r>
                <a:rPr lang="en-SE" sz="1000" kern="1200">
                  <a:latin typeface="+mj-lt"/>
                </a:rPr>
                <a:t> = Basic Reproduction Number</a:t>
              </a:r>
              <a:r>
                <a:rPr lang="en-SE" sz="1000" kern="1200" baseline="0">
                  <a:latin typeface="+mj-lt"/>
                </a:rPr>
                <a:t> (No of Secondary infections from primary case, Used to predict potential for an outbreak</a:t>
              </a:r>
              <a:r>
                <a:rPr lang="en-SE" sz="1000" kern="1200">
                  <a:latin typeface="+mj-lt"/>
                </a:rPr>
                <a:t> </a:t>
              </a:r>
            </a:p>
            <a:p>
              <a:pPr/>
              <a:r>
                <a:rPr lang="en-SE" sz="1000" b="1" i="0">
                  <a:solidFill>
                    <a:schemeClr val="dk1"/>
                  </a:solidFill>
                  <a:effectLst/>
                  <a:latin typeface="+mj-lt"/>
                  <a:ea typeface="+mn-ea"/>
                  <a:cs typeface="+mn-cs"/>
                </a:rPr>
                <a:t>𝑴</a:t>
              </a:r>
              <a:r>
                <a:rPr lang="en-SE" sz="1000" kern="1200">
                  <a:latin typeface="+mj-lt"/>
                </a:rPr>
                <a:t>      = Number of Female Mosquitoes per Host (Human)</a:t>
              </a:r>
            </a:p>
            <a:p>
              <a:pPr/>
              <a:r>
                <a:rPr lang="en-SE" sz="1000" b="1" i="0">
                  <a:solidFill>
                    <a:schemeClr val="dk1"/>
                  </a:solidFill>
                  <a:effectLst/>
                  <a:latin typeface="+mj-lt"/>
                  <a:ea typeface="+mn-ea"/>
                  <a:cs typeface="+mn-cs"/>
                </a:rPr>
                <a:t>𝑷_((𝒖,𝒕))</a:t>
              </a:r>
              <a:r>
                <a:rPr lang="en-SE" sz="1000" kern="1200">
                  <a:latin typeface="+mj-lt"/>
                </a:rPr>
                <a:t> = Transmission</a:t>
              </a:r>
              <a:r>
                <a:rPr lang="en-SE" sz="1000" kern="1200" baseline="0">
                  <a:latin typeface="+mj-lt"/>
                </a:rPr>
                <a:t> Potential  indicates suitability of environment for transmission of dengue virus by single (aedes) mosquito (calculated using Eq. 2) and is function of Temp (t) and Humidity (u)</a:t>
              </a:r>
            </a:p>
            <a:p>
              <a:pPr/>
              <a:r>
                <a:rPr lang="en-SE" sz="1000" kern="1200" baseline="0">
                  <a:latin typeface="+mj-lt"/>
                </a:rPr>
                <a:t>If M </a:t>
              </a:r>
              <a:r>
                <a:rPr lang="en-SE" sz="1000" kern="1200" baseline="0">
                  <a:latin typeface="+mj-lt"/>
                  <a:ea typeface="Calibri" panose="020F0502020204030204" pitchFamily="34" charset="0"/>
                  <a:cs typeface="Calibri" panose="020F0502020204030204" pitchFamily="34" charset="0"/>
                </a:rPr>
                <a:t>˃ = 1 and </a:t>
              </a:r>
              <a:r>
                <a:rPr lang="en-SE" sz="1000" b="1" i="0">
                  <a:solidFill>
                    <a:schemeClr val="dk1"/>
                  </a:solidFill>
                  <a:effectLst/>
                  <a:latin typeface="+mj-lt"/>
                  <a:ea typeface="+mn-ea"/>
                  <a:cs typeface="+mn-cs"/>
                </a:rPr>
                <a:t>𝑷_((𝒖,𝒕))</a:t>
              </a:r>
              <a:r>
                <a:rPr lang="en-SE" sz="1000" kern="1200" baseline="0">
                  <a:latin typeface="+mj-lt"/>
                </a:rPr>
                <a:t> </a:t>
              </a:r>
              <a:r>
                <a:rPr lang="en-SE" sz="1000" kern="1200" baseline="0">
                  <a:latin typeface="+mj-lt"/>
                  <a:ea typeface="Calibri" panose="020F0502020204030204" pitchFamily="34" charset="0"/>
                  <a:cs typeface="Calibri" panose="020F0502020204030204" pitchFamily="34" charset="0"/>
                </a:rPr>
                <a:t>˃ 1, then </a:t>
              </a:r>
              <a:r>
                <a:rPr lang="en-SE" sz="1000" b="1" i="0">
                  <a:solidFill>
                    <a:schemeClr val="dk1"/>
                  </a:solidFill>
                  <a:effectLst/>
                  <a:latin typeface="+mj-lt"/>
                  <a:ea typeface="+mn-ea"/>
                  <a:cs typeface="+mn-cs"/>
                </a:rPr>
                <a:t>𝑹</a:t>
              </a:r>
              <a:r>
                <a:rPr lang="en-US" sz="1000" b="1" i="0">
                  <a:solidFill>
                    <a:schemeClr val="dk1"/>
                  </a:solidFill>
                  <a:effectLst/>
                  <a:latin typeface="+mj-lt"/>
                  <a:ea typeface="+mn-ea"/>
                  <a:cs typeface="+mn-cs"/>
                </a:rPr>
                <a:t>_</a:t>
              </a:r>
              <a:r>
                <a:rPr lang="en-SE" sz="1000" b="1" i="0">
                  <a:solidFill>
                    <a:schemeClr val="dk1"/>
                  </a:solidFill>
                  <a:effectLst/>
                  <a:latin typeface="+mj-lt"/>
                  <a:ea typeface="+mn-ea"/>
                  <a:cs typeface="+mn-cs"/>
                </a:rPr>
                <a:t>𝟎</a:t>
              </a:r>
              <a:r>
                <a:rPr lang="en-SE" sz="1000">
                  <a:solidFill>
                    <a:schemeClr val="dk1"/>
                  </a:solidFill>
                  <a:effectLst/>
                  <a:latin typeface="+mj-lt"/>
                  <a:ea typeface="+mn-ea"/>
                  <a:cs typeface="+mn-cs"/>
                </a:rPr>
                <a:t> </a:t>
              </a:r>
              <a:r>
                <a:rPr lang="en-SE" sz="1000">
                  <a:solidFill>
                    <a:schemeClr val="dk1"/>
                  </a:solidFill>
                  <a:effectLst/>
                  <a:latin typeface="+mj-lt"/>
                  <a:ea typeface="Calibri" panose="020F0502020204030204" pitchFamily="34" charset="0"/>
                  <a:cs typeface="Calibri" panose="020F0502020204030204" pitchFamily="34" charset="0"/>
                </a:rPr>
                <a:t>˃</a:t>
              </a:r>
              <a:r>
                <a:rPr lang="en-SE" sz="1000" baseline="0">
                  <a:solidFill>
                    <a:schemeClr val="dk1"/>
                  </a:solidFill>
                  <a:effectLst/>
                  <a:latin typeface="+mj-lt"/>
                  <a:ea typeface="+mn-ea"/>
                  <a:cs typeface="+mn-cs"/>
                </a:rPr>
                <a:t> 1 which means increased dengue transmisison risk and therefore increase in number of dengue cases </a:t>
              </a:r>
              <a:endParaRPr lang="en-SE" sz="1000" kern="1200" baseline="0">
                <a:latin typeface="+mj-lt"/>
              </a:endParaRPr>
            </a:p>
            <a:p>
              <a:pPr/>
              <a:endParaRPr lang="en-US" sz="1000" kern="1200">
                <a:latin typeface="+mj-lt"/>
              </a:endParaRPr>
            </a:p>
          </xdr:txBody>
        </xdr:sp>
      </mc:Fallback>
    </mc:AlternateContent>
    <xdr:clientData/>
  </xdr:twoCellAnchor>
  <xdr:oneCellAnchor>
    <xdr:from>
      <xdr:col>6</xdr:col>
      <xdr:colOff>380523</xdr:colOff>
      <xdr:row>4</xdr:row>
      <xdr:rowOff>94202</xdr:rowOff>
    </xdr:from>
    <xdr:ext cx="1331005" cy="1855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8B6BB75-C3AF-380B-1992-2254405242AB}"/>
                </a:ext>
              </a:extLst>
            </xdr:cNvPr>
            <xdr:cNvSpPr txBox="1"/>
          </xdr:nvSpPr>
          <xdr:spPr>
            <a:xfrm>
              <a:off x="3682523" y="449802"/>
              <a:ext cx="1331005" cy="1855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1" i="1" kern="120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SE" sz="1100" b="1" i="1" kern="1200">
                          <a:latin typeface="Cambria Math" panose="02040503050406030204" pitchFamily="18" charset="0"/>
                        </a:rPr>
                        <m:t>𝑹</m:t>
                      </m:r>
                    </m:e>
                    <m:sub>
                      <m:r>
                        <a:rPr lang="en-SE" sz="1100" b="1" i="1" kern="1200">
                          <a:latin typeface="Cambria Math" panose="02040503050406030204" pitchFamily="18" charset="0"/>
                        </a:rPr>
                        <m:t>𝟎</m:t>
                      </m:r>
                    </m:sub>
                  </m:sSub>
                  <m:r>
                    <a:rPr lang="en-US" sz="1100" b="1" i="1" kern="1200">
                      <a:latin typeface="Cambria Math" panose="02040503050406030204" pitchFamily="18" charset="0"/>
                    </a:rPr>
                    <m:t>=</m:t>
                  </m:r>
                  <m:r>
                    <a:rPr lang="en-SE" sz="1100" b="1" i="1" kern="1200">
                      <a:latin typeface="Cambria Math" panose="02040503050406030204" pitchFamily="18" charset="0"/>
                    </a:rPr>
                    <m:t>𝑴</m:t>
                  </m:r>
                  <m:r>
                    <a:rPr lang="en-SE" sz="1100" b="1" i="1" kern="120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∙</m:t>
                  </m:r>
                  <m:sSub>
                    <m:sSubPr>
                      <m:ctrlPr>
                        <a:rPr lang="en-SE" sz="1100" b="1" i="1" kern="120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SE" sz="1100" b="1" i="1" kern="120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𝑷</m:t>
                      </m:r>
                    </m:e>
                    <m:sub>
                      <m:r>
                        <a:rPr lang="en-SE" sz="1100" b="1" i="1" kern="120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(</m:t>
                      </m:r>
                      <m:r>
                        <a:rPr lang="en-SE" sz="1100" b="1" i="1" kern="120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𝒖</m:t>
                      </m:r>
                      <m:r>
                        <a:rPr lang="en-SE" sz="1100" b="1" i="1" kern="120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</m:t>
                      </m:r>
                      <m:r>
                        <a:rPr lang="en-SE" sz="1100" b="1" i="1" kern="120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  <m:r>
                        <a:rPr lang="en-SE" sz="1100" b="1" i="1" kern="120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)</m:t>
                      </m:r>
                    </m:sub>
                  </m:sSub>
                </m:oMath>
              </a14:m>
              <a:r>
                <a:rPr lang="en-SE" sz="1100" b="1" kern="1200"/>
                <a:t> </a:t>
              </a:r>
              <a:r>
                <a:rPr lang="en-SE" sz="1000" b="1" kern="1200"/>
                <a:t>(Eq 1)</a:t>
              </a:r>
              <a:endParaRPr lang="en-US" sz="1000" b="1" kern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8B6BB75-C3AF-380B-1992-2254405242AB}"/>
                </a:ext>
              </a:extLst>
            </xdr:cNvPr>
            <xdr:cNvSpPr txBox="1"/>
          </xdr:nvSpPr>
          <xdr:spPr>
            <a:xfrm>
              <a:off x="3682523" y="449802"/>
              <a:ext cx="1331005" cy="1855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SE" sz="1100" b="1" i="0" kern="1200">
                  <a:latin typeface="Cambria Math" panose="02040503050406030204" pitchFamily="18" charset="0"/>
                </a:rPr>
                <a:t>𝑹</a:t>
              </a:r>
              <a:r>
                <a:rPr lang="en-US" sz="1100" b="1" i="0" kern="1200">
                  <a:latin typeface="Cambria Math" panose="02040503050406030204" pitchFamily="18" charset="0"/>
                </a:rPr>
                <a:t>_</a:t>
              </a:r>
              <a:r>
                <a:rPr lang="en-SE" sz="1100" b="1" i="0" kern="1200">
                  <a:latin typeface="Cambria Math" panose="02040503050406030204" pitchFamily="18" charset="0"/>
                </a:rPr>
                <a:t>𝟎</a:t>
              </a:r>
              <a:r>
                <a:rPr lang="en-US" sz="1100" b="1" i="0" kern="1200">
                  <a:latin typeface="Cambria Math" panose="02040503050406030204" pitchFamily="18" charset="0"/>
                </a:rPr>
                <a:t>=</a:t>
              </a:r>
              <a:r>
                <a:rPr lang="en-SE" sz="1100" b="1" i="0" kern="1200">
                  <a:latin typeface="Cambria Math" panose="02040503050406030204" pitchFamily="18" charset="0"/>
                </a:rPr>
                <a:t>𝑴</a:t>
              </a:r>
              <a:r>
                <a:rPr lang="en-SE" sz="1100" b="1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∙𝑷_((𝒖,𝒕))</a:t>
              </a:r>
              <a:r>
                <a:rPr lang="en-SE" sz="1100" b="1" kern="1200"/>
                <a:t> </a:t>
              </a:r>
              <a:r>
                <a:rPr lang="en-SE" sz="1000" b="1" kern="1200"/>
                <a:t>(Eq 1)</a:t>
              </a:r>
              <a:endParaRPr lang="en-US" sz="1000" b="1" kern="1200"/>
            </a:p>
          </xdr:txBody>
        </xdr:sp>
      </mc:Fallback>
    </mc:AlternateContent>
    <xdr:clientData/>
  </xdr:oneCellAnchor>
  <xdr:oneCellAnchor>
    <xdr:from>
      <xdr:col>6</xdr:col>
      <xdr:colOff>184150</xdr:colOff>
      <xdr:row>12</xdr:row>
      <xdr:rowOff>76200</xdr:rowOff>
    </xdr:from>
    <xdr:ext cx="3841750" cy="5969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C5706D3-6DD7-4EAA-B678-9D96C4084190}"/>
                </a:ext>
              </a:extLst>
            </xdr:cNvPr>
            <xdr:cNvSpPr txBox="1"/>
          </xdr:nvSpPr>
          <xdr:spPr>
            <a:xfrm>
              <a:off x="3486150" y="1854200"/>
              <a:ext cx="3841750" cy="596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b="1" i="1" kern="120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SE" sz="1400" b="1" i="1" kern="1200">
                          <a:latin typeface="Cambria Math" panose="02040503050406030204" pitchFamily="18" charset="0"/>
                        </a:rPr>
                        <m:t>𝑷</m:t>
                      </m:r>
                    </m:e>
                    <m:sub>
                      <m:d>
                        <m:dPr>
                          <m:ctrlPr>
                            <a:rPr lang="en-US" sz="1400" b="1" i="1" kern="1200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r>
                            <a:rPr lang="en-SE" sz="1400" b="1" i="1" kern="1200">
                              <a:latin typeface="Cambria Math" panose="02040503050406030204" pitchFamily="18" charset="0"/>
                            </a:rPr>
                            <m:t>𝒖</m:t>
                          </m:r>
                          <m:r>
                            <a:rPr lang="en-SE" sz="1400" b="1" i="1" kern="1200">
                              <a:latin typeface="Cambria Math" panose="02040503050406030204" pitchFamily="18" charset="0"/>
                            </a:rPr>
                            <m:t>,</m:t>
                          </m:r>
                          <m:r>
                            <a:rPr lang="en-SE" sz="1400" b="1" i="1" kern="1200">
                              <a:latin typeface="Cambria Math" panose="02040503050406030204" pitchFamily="18" charset="0"/>
                            </a:rPr>
                            <m:t>𝒕</m:t>
                          </m:r>
                        </m:e>
                      </m:d>
                    </m:sub>
                  </m:sSub>
                  <m:r>
                    <a:rPr lang="en-US" sz="1400" b="1" i="1" kern="1200">
                      <a:latin typeface="Cambria Math" panose="02040503050406030204" pitchFamily="18" charset="0"/>
                    </a:rPr>
                    <m:t>=</m:t>
                  </m:r>
                  <m:r>
                    <a:rPr lang="en-SE" sz="1400" b="1" i="1" kern="1200">
                      <a:latin typeface="Cambria Math" panose="02040503050406030204" pitchFamily="18" charset="0"/>
                    </a:rPr>
                    <m:t> </m:t>
                  </m:r>
                  <m:f>
                    <m:fPr>
                      <m:ctrlPr>
                        <a:rPr lang="en-SE" sz="1400" b="1" i="1" kern="1200">
                          <a:latin typeface="Cambria Math" panose="02040503050406030204" pitchFamily="18" charset="0"/>
                        </a:rPr>
                      </m:ctrlPr>
                    </m:fPr>
                    <m:num>
                      <m:sSubSup>
                        <m:sSubSupPr>
                          <m:ctrlPr>
                            <a:rPr lang="en-SE" sz="1400" b="1" i="1" kern="1200">
                              <a:latin typeface="Cambria Math" panose="02040503050406030204" pitchFamily="18" charset="0"/>
                            </a:rPr>
                          </m:ctrlPr>
                        </m:sSubSupPr>
                        <m:e>
                          <m:sSubSup>
                            <m:sSubSupPr>
                              <m:ctrlPr>
                                <a:rPr lang="en-SE" sz="1400" b="1" i="1" kern="1200">
                                  <a:latin typeface="Cambria Math" panose="02040503050406030204" pitchFamily="18" charset="0"/>
                                </a:rPr>
                              </m:ctrlPr>
                            </m:sSubSupPr>
                            <m:e>
                              <m:r>
                                <a:rPr lang="en-SE" sz="1400" b="1" i="1" kern="1200">
                                  <a:latin typeface="Cambria Math" panose="02040503050406030204" pitchFamily="18" charset="0"/>
                                </a:rPr>
                                <m:t>𝒂</m:t>
                              </m:r>
                            </m:e>
                            <m:sub>
                              <m:d>
                                <m:dPr>
                                  <m:ctrlPr>
                                    <a:rPr lang="en-SE" sz="1400" b="1" i="1" kern="1200">
                                      <a:latin typeface="Cambria Math" panose="02040503050406030204" pitchFamily="18" charset="0"/>
                                    </a:rPr>
                                  </m:ctrlPr>
                                </m:dPr>
                                <m:e>
                                  <m:r>
                                    <a:rPr lang="en-SE" sz="1400" b="1" i="1" kern="1200">
                                      <a:latin typeface="Cambria Math" panose="02040503050406030204" pitchFamily="18" charset="0"/>
                                    </a:rPr>
                                    <m:t>𝒖</m:t>
                                  </m:r>
                                  <m:r>
                                    <a:rPr lang="en-SE" sz="1400" b="1" i="1" kern="1200">
                                      <a:latin typeface="Cambria Math" panose="02040503050406030204" pitchFamily="18" charset="0"/>
                                    </a:rPr>
                                    <m:t>,</m:t>
                                  </m:r>
                                  <m:r>
                                    <a:rPr lang="en-SE" sz="1400" b="1" i="1" kern="1200">
                                      <a:latin typeface="Cambria Math" panose="02040503050406030204" pitchFamily="18" charset="0"/>
                                    </a:rPr>
                                    <m:t>𝒕</m:t>
                                  </m:r>
                                </m:e>
                              </m:d>
                            </m:sub>
                            <m:sup>
                              <m: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𝝂</m:t>
                              </m:r>
                            </m:sup>
                          </m:sSubSup>
                        </m:e>
                        <m:sub>
                          <m:r>
                            <a:rPr lang="en-SE" sz="1400" b="1" i="1" kern="1200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∙ </m:t>
                          </m:r>
                          <m:sSubSup>
                            <m:sSubSupPr>
                              <m:ctrlP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sSubSupPr>
                            <m:e>
                              <m: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𝝓</m:t>
                              </m:r>
                            </m:e>
                            <m:sub>
                              <m:d>
                                <m:dPr>
                                  <m:ctrlPr>
                                    <a:rPr lang="en-SE" sz="1400" b="1" i="1" kern="1200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</m:ctrlPr>
                                </m:dPr>
                                <m:e>
                                  <m:r>
                                    <a:rPr lang="en-SE" sz="1400" b="1" i="1" kern="1200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𝒕</m:t>
                                  </m:r>
                                </m:e>
                              </m:d>
                            </m:sub>
                            <m:sup>
                              <m: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𝝂</m:t>
                              </m:r>
                              <m: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→</m:t>
                              </m:r>
                              <m: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𝒉</m:t>
                              </m:r>
                            </m:sup>
                          </m:sSubSup>
                          <m:r>
                            <a:rPr lang="en-SE" sz="1400" b="1" i="1" kern="1200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 ∙</m:t>
                          </m:r>
                          <m:sSubSup>
                            <m:sSubSupPr>
                              <m:ctrlP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sSubSupPr>
                            <m:e>
                              <m: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𝝓</m:t>
                              </m:r>
                            </m:e>
                            <m:sub>
                              <m:d>
                                <m:dPr>
                                  <m:ctrlPr>
                                    <a:rPr lang="en-SE" sz="1400" b="1" i="1" kern="1200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</m:ctrlPr>
                                </m:dPr>
                                <m:e>
                                  <m:r>
                                    <a:rPr lang="en-SE" sz="1400" b="1" i="1" kern="1200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𝒕</m:t>
                                  </m:r>
                                </m:e>
                              </m:d>
                            </m:sub>
                            <m:sup>
                              <m: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𝒉</m:t>
                              </m:r>
                              <m: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→</m:t>
                              </m:r>
                              <m: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𝝂</m:t>
                              </m:r>
                            </m:sup>
                          </m:sSubSup>
                          <m:r>
                            <a:rPr lang="en-SE" sz="1400" b="1" i="1" kern="1200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∙</m:t>
                          </m:r>
                          <m:sSubSup>
                            <m:sSubSupPr>
                              <m:ctrlP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sSubSupPr>
                            <m:e>
                              <m: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𝜸</m:t>
                              </m:r>
                            </m:e>
                            <m:sub>
                              <m:d>
                                <m:dPr>
                                  <m:ctrlPr>
                                    <a:rPr lang="en-SE" sz="1400" b="1" i="1" kern="1200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</m:ctrlPr>
                                </m:dPr>
                                <m:e>
                                  <m:r>
                                    <a:rPr lang="en-SE" sz="1400" b="1" i="1" kern="1200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𝒕</m:t>
                                  </m:r>
                                </m:e>
                              </m:d>
                            </m:sub>
                            <m:sup>
                              <m: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𝝂</m:t>
                              </m:r>
                            </m:sup>
                          </m:sSubSup>
                          <m:r>
                            <a:rPr lang="en-SE" sz="1400" b="1" i="1" kern="1200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∙ </m:t>
                          </m:r>
                          <m:sSup>
                            <m:sSupPr>
                              <m:ctrlP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𝜸</m:t>
                              </m:r>
                            </m:e>
                            <m:sup>
                              <m: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𝒉</m:t>
                              </m:r>
                            </m:sup>
                          </m:sSup>
                        </m:sub>
                        <m:sup>
                          <m:r>
                            <a:rPr lang="en-SE" sz="1400" b="1" i="1" kern="1200">
                              <a:latin typeface="Cambria Math" panose="02040503050406030204" pitchFamily="18" charset="0"/>
                            </a:rPr>
                            <m:t>𝟐</m:t>
                          </m:r>
                        </m:sup>
                      </m:sSubSup>
                    </m:num>
                    <m:den>
                      <m:sSubSup>
                        <m:sSubSupPr>
                          <m:ctrlPr>
                            <a:rPr lang="en-SE" sz="1400" b="1" i="1" kern="1200">
                              <a:latin typeface="Cambria Math" panose="02040503050406030204" pitchFamily="18" charset="0"/>
                            </a:rPr>
                          </m:ctrlPr>
                        </m:sSubSupPr>
                        <m:e>
                          <m:r>
                            <a:rPr lang="en-SE" sz="1400" b="1" i="1" kern="1200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𝝁</m:t>
                          </m:r>
                        </m:e>
                        <m:sub>
                          <m:d>
                            <m:dPr>
                              <m:ctrlPr>
                                <a:rPr lang="en-SE" sz="1400" b="1" i="1" kern="1200">
                                  <a:latin typeface="Cambria Math" panose="02040503050406030204" pitchFamily="18" charset="0"/>
                                </a:rPr>
                              </m:ctrlPr>
                            </m:dPr>
                            <m:e>
                              <m:r>
                                <a:rPr lang="en-SE" sz="1400" b="1" i="1" kern="1200">
                                  <a:latin typeface="Cambria Math" panose="02040503050406030204" pitchFamily="18" charset="0"/>
                                </a:rPr>
                                <m:t>𝒖</m:t>
                              </m:r>
                              <m:r>
                                <a:rPr lang="en-SE" sz="1400" b="1" i="1" kern="1200">
                                  <a:latin typeface="Cambria Math" panose="02040503050406030204" pitchFamily="18" charset="0"/>
                                </a:rPr>
                                <m:t>,</m:t>
                              </m:r>
                              <m:r>
                                <a:rPr lang="en-SE" sz="1400" b="1" i="1" kern="1200">
                                  <a:latin typeface="Cambria Math" panose="02040503050406030204" pitchFamily="18" charset="0"/>
                                </a:rPr>
                                <m:t>𝒕</m:t>
                              </m:r>
                            </m:e>
                          </m:d>
                        </m:sub>
                        <m:sup>
                          <m:r>
                            <a:rPr lang="en-SE" sz="1400" b="1" i="1" kern="1200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𝝂</m:t>
                          </m:r>
                        </m:sup>
                      </m:sSubSup>
                      <m:r>
                        <a:rPr lang="en-SE" sz="1400" b="1" i="1" kern="1200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SE" sz="1400" b="1" i="1" kern="120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∙ </m:t>
                      </m:r>
                      <m:d>
                        <m:dPr>
                          <m:ctrlPr>
                            <a:rPr lang="en-SE" sz="1400" b="1" i="1" kern="1200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dPr>
                        <m:e>
                          <m:sSub>
                            <m:sSubPr>
                              <m:ctrlP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𝝈</m:t>
                              </m:r>
                            </m:e>
                            <m:sub>
                              <m: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𝒉</m:t>
                              </m:r>
                            </m:sub>
                          </m:sSub>
                          <m:r>
                            <a:rPr lang="en-SE" sz="1400" b="1" i="1" kern="1200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+ </m:t>
                          </m:r>
                          <m:sSup>
                            <m:sSupPr>
                              <m:ctrlP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𝝁</m:t>
                              </m:r>
                            </m:e>
                            <m:sup>
                              <m: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𝒉</m:t>
                              </m:r>
                            </m:sup>
                          </m:sSup>
                        </m:e>
                      </m:d>
                      <m:r>
                        <a:rPr lang="en-SE" sz="1400" b="1" i="1" kern="120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∙ </m:t>
                      </m:r>
                      <m:d>
                        <m:dPr>
                          <m:ctrlPr>
                            <a:rPr lang="en-SE" sz="1400" b="1" i="1" kern="1200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dPr>
                        <m:e>
                          <m:sSup>
                            <m:sSupPr>
                              <m:ctrlP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𝜸</m:t>
                              </m:r>
                            </m:e>
                            <m:sup>
                              <m: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𝒉</m:t>
                              </m:r>
                            </m:sup>
                          </m:sSup>
                          <m:r>
                            <a:rPr lang="en-SE" sz="1400" b="1" i="1" kern="1200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+ </m:t>
                          </m:r>
                          <m:sSup>
                            <m:sSupPr>
                              <m:ctrlP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𝝁</m:t>
                              </m:r>
                            </m:e>
                            <m:sup>
                              <m: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𝒉</m:t>
                              </m:r>
                            </m:sup>
                          </m:sSup>
                        </m:e>
                      </m:d>
                      <m:r>
                        <a:rPr lang="en-SE" sz="1400" b="1" i="1" kern="120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∙</m:t>
                      </m:r>
                      <m:d>
                        <m:dPr>
                          <m:ctrlPr>
                            <a:rPr lang="en-SE" sz="1400" b="1" i="1" kern="1200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dPr>
                        <m:e>
                          <m:sSubSup>
                            <m:sSubSupPr>
                              <m:ctrlP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sSubSupPr>
                            <m:e>
                              <m: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𝜸</m:t>
                              </m:r>
                            </m:e>
                            <m:sub>
                              <m:d>
                                <m:dPr>
                                  <m:ctrlPr>
                                    <a:rPr lang="en-SE" sz="1400" b="1" i="1" kern="1200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</m:ctrlPr>
                                </m:dPr>
                                <m:e>
                                  <m:r>
                                    <a:rPr lang="en-SE" sz="1400" b="1" i="1" kern="1200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𝒕</m:t>
                                  </m:r>
                                </m:e>
                              </m:d>
                            </m:sub>
                            <m:sup>
                              <m: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𝝂</m:t>
                              </m:r>
                            </m:sup>
                          </m:sSubSup>
                          <m:r>
                            <a:rPr lang="en-SE" sz="1400" b="1" i="1" kern="1200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+ </m:t>
                          </m:r>
                          <m:sSubSup>
                            <m:sSubSupPr>
                              <m:ctrlP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sSubSupPr>
                            <m:e>
                              <m: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𝝁</m:t>
                              </m:r>
                            </m:e>
                            <m:sub>
                              <m:d>
                                <m:dPr>
                                  <m:ctrlPr>
                                    <a:rPr lang="en-SE" sz="1400" b="1" i="1" kern="1200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</m:ctrlPr>
                                </m:dPr>
                                <m:e>
                                  <m:r>
                                    <a:rPr lang="en-SE" sz="1400" b="1" i="1" kern="1200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𝒖</m:t>
                                  </m:r>
                                  <m:r>
                                    <a:rPr lang="en-SE" sz="1400" b="1" i="1" kern="1200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,</m:t>
                                  </m:r>
                                  <m:r>
                                    <a:rPr lang="en-SE" sz="1400" b="1" i="1" kern="1200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𝒕</m:t>
                                  </m:r>
                                </m:e>
                              </m:d>
                            </m:sub>
                            <m:sup>
                              <m:r>
                                <a:rPr lang="en-SE" sz="1400" b="1" i="1" kern="120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𝝂</m:t>
                              </m:r>
                            </m:sup>
                          </m:sSubSup>
                        </m:e>
                      </m:d>
                    </m:den>
                  </m:f>
                </m:oMath>
              </a14:m>
              <a:r>
                <a:rPr lang="en-SE" sz="1400" b="1" kern="1200"/>
                <a:t> (Eq 2)</a:t>
              </a:r>
              <a:endParaRPr lang="en-US" sz="1400" b="1" kern="12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C5706D3-6DD7-4EAA-B678-9D96C4084190}"/>
                </a:ext>
              </a:extLst>
            </xdr:cNvPr>
            <xdr:cNvSpPr txBox="1"/>
          </xdr:nvSpPr>
          <xdr:spPr>
            <a:xfrm>
              <a:off x="3486150" y="1854200"/>
              <a:ext cx="3841750" cy="596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SE" sz="1400" b="1" i="0" kern="1200">
                  <a:latin typeface="Cambria Math" panose="02040503050406030204" pitchFamily="18" charset="0"/>
                </a:rPr>
                <a:t>𝑷</a:t>
              </a:r>
              <a:r>
                <a:rPr lang="en-US" sz="1400" b="1" i="0" kern="1200">
                  <a:latin typeface="Cambria Math" panose="02040503050406030204" pitchFamily="18" charset="0"/>
                </a:rPr>
                <a:t>_((</a:t>
              </a:r>
              <a:r>
                <a:rPr lang="en-SE" sz="1400" b="1" i="0" kern="1200">
                  <a:latin typeface="Cambria Math" panose="02040503050406030204" pitchFamily="18" charset="0"/>
                </a:rPr>
                <a:t>𝒖,𝒕</a:t>
              </a:r>
              <a:r>
                <a:rPr lang="en-US" sz="1400" b="1" i="0" kern="1200">
                  <a:latin typeface="Cambria Math" panose="02040503050406030204" pitchFamily="18" charset="0"/>
                </a:rPr>
                <a:t>) )=</a:t>
              </a:r>
              <a:r>
                <a:rPr lang="en-SE" sz="1400" b="1" i="0" kern="1200">
                  <a:latin typeface="Cambria Math" panose="02040503050406030204" pitchFamily="18" charset="0"/>
                </a:rPr>
                <a:t>  (〖𝒂_((𝒖,𝒕))^</a:t>
              </a:r>
              <a:r>
                <a:rPr lang="en-SE" sz="1400" b="1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𝝂〗_(∙ 𝝓_((𝒕))^(𝝂→𝒉)  ∙𝝓_((𝒕))^(𝒉→𝝂)∙𝜸_((𝒕))^𝝂∙ 𝜸^𝒉)^</a:t>
              </a:r>
              <a:r>
                <a:rPr lang="en-SE" sz="1400" b="1" i="0" kern="1200">
                  <a:latin typeface="Cambria Math" panose="02040503050406030204" pitchFamily="18" charset="0"/>
                </a:rPr>
                <a:t>𝟐)/(</a:t>
              </a:r>
              <a:r>
                <a:rPr lang="en-SE" sz="1400" b="1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𝝁_((</a:t>
              </a:r>
              <a:r>
                <a:rPr lang="en-SE" sz="1400" b="1" i="0" kern="1200">
                  <a:latin typeface="Cambria Math" panose="02040503050406030204" pitchFamily="18" charset="0"/>
                </a:rPr>
                <a:t>𝒖,𝒕))^</a:t>
              </a:r>
              <a:r>
                <a:rPr lang="en-SE" sz="1400" b="1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𝝂 </a:t>
              </a:r>
              <a:r>
                <a:rPr lang="en-SE" sz="1400" b="1" i="0" kern="1200">
                  <a:latin typeface="Cambria Math" panose="02040503050406030204" pitchFamily="18" charset="0"/>
                </a:rPr>
                <a:t> </a:t>
              </a:r>
              <a:r>
                <a:rPr lang="en-SE" sz="1400" b="1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∙ (𝝈_𝒉+ 𝝁^𝒉 )  ∙ (𝜸^𝒉+ 𝝁^𝒉 )  ∙(𝜸_((𝒕))^𝝂+ 𝝁_((𝒖,𝒕))^𝝂 ) )</a:t>
              </a:r>
              <a:r>
                <a:rPr lang="en-SE" sz="1400" b="1" kern="1200"/>
                <a:t> (Eq 2)</a:t>
              </a:r>
              <a:endParaRPr lang="en-US" sz="1400" b="1" kern="1200"/>
            </a:p>
          </xdr:txBody>
        </xdr:sp>
      </mc:Fallback>
    </mc:AlternateContent>
    <xdr:clientData/>
  </xdr:oneCellAnchor>
  <xdr:twoCellAnchor>
    <xdr:from>
      <xdr:col>1</xdr:col>
      <xdr:colOff>12700</xdr:colOff>
      <xdr:row>16</xdr:row>
      <xdr:rowOff>38100</xdr:rowOff>
    </xdr:from>
    <xdr:to>
      <xdr:col>17</xdr:col>
      <xdr:colOff>641350</xdr:colOff>
      <xdr:row>65</xdr:row>
      <xdr:rowOff>120650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F946A59-3A0A-43BE-84B0-0B61AE551EDA}"/>
                </a:ext>
              </a:extLst>
            </xdr:cNvPr>
            <xdr:cNvSpPr txBox="1"/>
          </xdr:nvSpPr>
          <xdr:spPr>
            <a:xfrm>
              <a:off x="673100" y="2882900"/>
              <a:ext cx="11195050" cy="87947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SE" sz="1000" kern="1200">
                  <a:latin typeface="+mj-lt"/>
                </a:rPr>
                <a:t>Where,</a:t>
              </a:r>
            </a:p>
            <a:p>
              <a:r>
                <a:rPr lang="en-SE" sz="1000" kern="1200">
                  <a:latin typeface="+mj-lt"/>
                </a:rPr>
                <a:t>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𝑷</m:t>
                      </m:r>
                    </m:e>
                    <m:sub>
                      <m:d>
                        <m:dPr>
                          <m:ctrlPr>
                            <a:rPr lang="en-US" sz="11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r>
                            <a:rPr lang="en-SE" sz="11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𝒖</m:t>
                          </m:r>
                          <m:r>
                            <a:rPr lang="en-SE" sz="11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en-SE" sz="11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𝒕</m:t>
                          </m:r>
                        </m:e>
                      </m:d>
                    </m:sub>
                  </m:sSub>
                </m:oMath>
              </a14:m>
              <a:r>
                <a:rPr lang="en-SE" sz="1000" kern="1200">
                  <a:latin typeface="+mj-lt"/>
                </a:rPr>
                <a:t>= Transmission</a:t>
              </a:r>
              <a:r>
                <a:rPr lang="en-SE" sz="1000" kern="1200" baseline="0">
                  <a:latin typeface="+mj-lt"/>
                </a:rPr>
                <a:t> potential of virus for given environmental conditions (depends on temperature (t) and humidity (u))</a:t>
              </a:r>
              <a:endParaRPr lang="en-SE" sz="1000" kern="1200">
                <a:latin typeface="+mj-lt"/>
              </a:endParaRPr>
            </a:p>
            <a:p>
              <a:r>
                <a:rPr lang="en-SE" sz="1000" kern="1200">
                  <a:latin typeface="+mj-lt"/>
                </a:rPr>
                <a:t> </a:t>
              </a:r>
              <a14:m>
                <m:oMath xmlns:m="http://schemas.openxmlformats.org/officeDocument/2006/math">
                  <m:sSubSup>
                    <m:sSubSupPr>
                      <m:ctrlP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SupPr>
                    <m:e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𝒂</m:t>
                      </m:r>
                    </m:e>
                    <m:sub>
                      <m:d>
                        <m:dPr>
                          <m:ctrlPr>
                            <a:rPr lang="en-SE" sz="11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r>
                            <a:rPr lang="en-SE" sz="11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𝒖</m:t>
                          </m:r>
                        </m:e>
                      </m:d>
                    </m:sub>
                    <m:sup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𝝂</m:t>
                      </m:r>
                    </m:sup>
                  </m:sSubSup>
                </m:oMath>
              </a14:m>
              <a:r>
                <a:rPr lang="en-SE" sz="1000" kern="1200">
                  <a:latin typeface="+mj-lt"/>
                </a:rPr>
                <a:t>  =  Adult Aegypti biting rate (Mosquito</a:t>
              </a:r>
              <a:r>
                <a:rPr lang="en-SE" sz="1000" kern="1200" baseline="0">
                  <a:latin typeface="+mj-lt"/>
                </a:rPr>
                <a:t> bites/day)</a:t>
              </a:r>
              <a:endParaRPr lang="en-SE" sz="1000" kern="1200">
                <a:latin typeface="+mj-lt"/>
              </a:endParaRPr>
            </a:p>
            <a:p>
              <a14:m>
                <m:oMath xmlns:m="http://schemas.openxmlformats.org/officeDocument/2006/math">
                  <m:sSubSup>
                    <m:sSubSupPr>
                      <m:ctrlP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SupPr>
                    <m:e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𝝓</m:t>
                      </m:r>
                    </m:e>
                    <m:sub>
                      <m:d>
                        <m:dPr>
                          <m:ctrlPr>
                            <a:rPr lang="en-SE" sz="11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r>
                            <a:rPr lang="en-SE" sz="11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𝒕</m:t>
                          </m:r>
                        </m:e>
                      </m:d>
                    </m:sub>
                    <m:sup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𝝂</m:t>
                      </m:r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→</m:t>
                      </m:r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𝒉</m:t>
                      </m:r>
                    </m:sup>
                  </m:sSubSup>
                  <m:r>
                    <a:rPr lang="en-SE" sz="1100" b="1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</m:oMath>
              </a14:m>
              <a:r>
                <a:rPr lang="en-SE" sz="1000" kern="1200">
                  <a:latin typeface="+mj-lt"/>
                </a:rPr>
                <a:t> = Transmission</a:t>
              </a:r>
              <a:r>
                <a:rPr lang="en-SE" sz="1000" kern="1200" baseline="0">
                  <a:latin typeface="+mj-lt"/>
                </a:rPr>
                <a:t> probability from vector (mosquito) to human per bite (depends on temperature)</a:t>
              </a:r>
            </a:p>
            <a:p>
              <a14:m>
                <m:oMath xmlns:m="http://schemas.openxmlformats.org/officeDocument/2006/math">
                  <m:sSubSup>
                    <m:sSubSupPr>
                      <m:ctrlP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SupPr>
                    <m:e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𝝓</m:t>
                      </m:r>
                    </m:e>
                    <m:sub>
                      <m:d>
                        <m:dPr>
                          <m:ctrlPr>
                            <a:rPr lang="en-SE" sz="11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r>
                            <a:rPr lang="en-SE" sz="11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𝒕</m:t>
                          </m:r>
                        </m:e>
                      </m:d>
                    </m:sub>
                    <m:sup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𝒉</m:t>
                      </m:r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→</m:t>
                      </m:r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𝝂</m:t>
                      </m:r>
                    </m:sup>
                  </m:sSubSup>
                </m:oMath>
              </a14:m>
              <a:r>
                <a:rPr lang="en-SE" sz="1000" kern="1200" baseline="0">
                  <a:latin typeface="+mj-lt"/>
                </a:rPr>
                <a:t> = Transmisison probability from human to vector (mosquito) per bite (depends on temperature)</a:t>
              </a:r>
            </a:p>
            <a:p>
              <a14:m>
                <m:oMath xmlns:m="http://schemas.openxmlformats.org/officeDocument/2006/math">
                  <m:sSubSup>
                    <m:sSubSupPr>
                      <m:ctrlP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SupPr>
                    <m:e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𝜸</m:t>
                      </m:r>
                    </m:e>
                    <m:sub>
                      <m:d>
                        <m:dPr>
                          <m:ctrlPr>
                            <a:rPr lang="en-SE" sz="11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r>
                            <a:rPr lang="en-SE" sz="11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𝒕</m:t>
                          </m:r>
                        </m:e>
                      </m:d>
                    </m:sub>
                    <m:sup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𝝂</m:t>
                      </m:r>
                    </m:sup>
                  </m:sSubSup>
                </m:oMath>
              </a14:m>
              <a:r>
                <a:rPr lang="en-SE" sz="1000" kern="1200" baseline="0">
                  <a:latin typeface="+mj-lt"/>
                </a:rPr>
                <a:t> = Extrinsic Aedes Aegypti incubation period (per days) </a:t>
              </a:r>
            </a:p>
            <a:p>
              <a14:m>
                <m:oMath xmlns:m="http://schemas.openxmlformats.org/officeDocument/2006/math">
                  <m:sSup>
                    <m:sSupPr>
                      <m:ctrlP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𝜸</m:t>
                      </m:r>
                    </m:e>
                    <m:sup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𝒉</m:t>
                      </m:r>
                    </m:sup>
                  </m:sSup>
                </m:oMath>
              </a14:m>
              <a:r>
                <a:rPr lang="en-SE" sz="1000" kern="1200" baseline="0">
                  <a:latin typeface="+mj-lt"/>
                </a:rPr>
                <a:t> = Intrinsic Human Dengue Incubation Period (per days)</a:t>
              </a:r>
            </a:p>
            <a:p>
              <a14:m>
                <m:oMath xmlns:m="http://schemas.openxmlformats.org/officeDocument/2006/math">
                  <m:sSubSup>
                    <m:sSubSupPr>
                      <m:ctrlP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SupPr>
                    <m:e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𝝁</m:t>
                      </m:r>
                    </m:e>
                    <m:sub>
                      <m:d>
                        <m:dPr>
                          <m:ctrlPr>
                            <a:rPr lang="en-SE" sz="11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r>
                            <a:rPr lang="en-SE" sz="11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𝒖</m:t>
                          </m:r>
                          <m:r>
                            <a:rPr lang="en-SE" sz="11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en-SE" sz="11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𝒕</m:t>
                          </m:r>
                        </m:e>
                      </m:d>
                    </m:sub>
                    <m:sup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𝝂</m:t>
                      </m:r>
                    </m:sup>
                  </m:sSubSup>
                </m:oMath>
              </a14:m>
              <a:r>
                <a:rPr lang="en-SE" sz="1000" kern="1200" baseline="0">
                  <a:latin typeface="+mj-lt"/>
                </a:rPr>
                <a:t> = Adult mosquito (Aedes) mortality rate per days (dependent on temperature (t) and humidity (u))</a:t>
              </a:r>
            </a:p>
            <a:p>
              <a14:m>
                <m:oMath xmlns:m="http://schemas.openxmlformats.org/officeDocument/2006/math">
                  <m:sSub>
                    <m:sSubPr>
                      <m:ctrlP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𝝈</m:t>
                      </m:r>
                    </m:e>
                    <m:sub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𝒉</m:t>
                      </m:r>
                    </m:sub>
                  </m:sSub>
                  <m:r>
                    <a:rPr lang="en-SE" sz="1100" b="1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</m:oMath>
              </a14:m>
              <a:r>
                <a:rPr lang="en-SE" sz="1000" kern="1200" baseline="0">
                  <a:latin typeface="+mj-lt"/>
                </a:rPr>
                <a:t>= Human Dengue infectious period (per days)</a:t>
              </a:r>
            </a:p>
            <a:p>
              <a14:m>
                <m:oMath xmlns:m="http://schemas.openxmlformats.org/officeDocument/2006/math">
                  <m:sSup>
                    <m:sSupPr>
                      <m:ctrlP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𝝁</m:t>
                      </m:r>
                    </m:e>
                    <m:sup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𝒉</m:t>
                      </m:r>
                    </m:sup>
                  </m:sSup>
                </m:oMath>
              </a14:m>
              <a:r>
                <a:rPr lang="en-SE" sz="1000" kern="1200" baseline="0">
                  <a:latin typeface="+mj-lt"/>
                </a:rPr>
                <a:t> Human lifespan (in days)</a:t>
              </a:r>
            </a:p>
            <a:p>
              <a:endParaRPr lang="en-SE" sz="1000" kern="1200" baseline="0">
                <a:latin typeface="+mj-lt"/>
              </a:endParaRPr>
            </a:p>
            <a:p>
              <a:r>
                <a:rPr lang="en-SE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Vector Mortality as a Function of Temperature</a:t>
              </a:r>
            </a:p>
            <a:p>
              <a:endParaRPr lang="en-US" sz="1000">
                <a:effectLst/>
              </a:endParaRPr>
            </a:p>
            <a:p>
              <a14:m>
                <m:oMath xmlns:m="http://schemas.openxmlformats.org/officeDocument/2006/math">
                  <m:sSubSup>
                    <m:sSubSupPr>
                      <m:ctrlP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SupPr>
                    <m:e>
                      <m:acc>
                        <m:accPr>
                          <m:chr m:val="̌"/>
                          <m:ctrlPr>
                            <a:rPr lang="en-US" sz="11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accPr>
                        <m:e>
                          <m:r>
                            <a:rPr lang="en-US" sz="11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𝜇</m:t>
                          </m:r>
                        </m:e>
                      </m:acc>
                    </m:e>
                    <m:sub>
                      <m:d>
                        <m:dPr>
                          <m:ctrlPr>
                            <a:rPr lang="en-US" sz="11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r>
                            <a:rPr lang="en-SE" sz="11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𝑡</m:t>
                          </m:r>
                        </m:e>
                      </m:d>
                    </m:sub>
                    <m:sup>
                      <m: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𝜈</m:t>
                      </m:r>
                    </m:sup>
                  </m:sSubSup>
                  <m:r>
                    <a:rPr lang="en-SE" sz="11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=0.8692−0.159</m:t>
                  </m:r>
                  <m:r>
                    <a:rPr lang="en-SE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0∙</m:t>
                  </m:r>
                  <m:r>
                    <a:rPr lang="en-SE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𝑡</m:t>
                  </m:r>
                  <m:r>
                    <a:rPr lang="en-SE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+0.01116∙</m:t>
                  </m:r>
                  <m:sSup>
                    <m:sSupPr>
                      <m:ctrlP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</m:t>
                      </m:r>
                    </m:e>
                    <m:sup>
                      <m: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p>
                  </m:sSup>
                  <m:r>
                    <a:rPr lang="en-SE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−3.408</m:t>
                  </m:r>
                  <m:r>
                    <a:rPr lang="en-SE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∙</m:t>
                  </m:r>
                  <m:sSup>
                    <m:sSupPr>
                      <m:ctrlP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</m:ctrlPr>
                    </m:sSupPr>
                    <m:e>
                      <m: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10</m:t>
                      </m:r>
                    </m:e>
                    <m:sup>
                      <m: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−4</m:t>
                      </m:r>
                    </m:sup>
                  </m:sSup>
                  <m:r>
                    <a:rPr lang="en-SE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∙</m:t>
                  </m:r>
                  <m:sSup>
                    <m:sSupPr>
                      <m:ctrlP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</m:t>
                      </m:r>
                    </m:e>
                    <m:sup>
                      <m: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</m:t>
                      </m:r>
                    </m:sup>
                  </m:sSup>
                  <m:r>
                    <a:rPr lang="en-SE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+3.809</m:t>
                  </m:r>
                  <m:r>
                    <a:rPr lang="en-SE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∙</m:t>
                  </m:r>
                  <m:sSup>
                    <m:sSupPr>
                      <m:ctrlP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</m:ctrlPr>
                    </m:sSupPr>
                    <m:e>
                      <m: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10</m:t>
                      </m:r>
                    </m:e>
                    <m:sup>
                      <m: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−6</m:t>
                      </m:r>
                    </m:sup>
                  </m:sSup>
                  <m:r>
                    <a:rPr lang="en-SE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∙ </m:t>
                  </m:r>
                  <m:sSup>
                    <m:sSupPr>
                      <m:ctrlP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</m:t>
                      </m:r>
                    </m:e>
                    <m:sup>
                      <m: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4</m:t>
                      </m:r>
                    </m:sup>
                  </m:sSup>
                </m:oMath>
              </a14:m>
              <a:r>
                <a:rPr lang="en-SE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(t = Temperature ° C)</a:t>
              </a:r>
              <a:r>
                <a:rPr lang="en-SE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(Eq.3)</a:t>
              </a:r>
            </a:p>
            <a:p>
              <a:endParaRPr lang="en-US" sz="1000">
                <a:effectLst/>
              </a:endParaRPr>
            </a:p>
            <a:p>
              <a:pPr eaLnBrk="1" fontAlgn="auto" latinLnBrk="0" hangingPunct="1"/>
              <a:r>
                <a:rPr lang="en-SE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Vector Mortality as a Function of Humidity</a:t>
              </a:r>
              <a:r>
                <a:rPr lang="en-SE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</a:p>
            <a:p>
              <a:pPr eaLnBrk="1" fontAlgn="auto" latinLnBrk="0" hangingPunct="1"/>
              <a:endParaRPr lang="en-US" sz="1000">
                <a:effectLst/>
              </a:endParaRPr>
            </a:p>
            <a:p>
              <a:pPr eaLnBrk="1" fontAlgn="auto" latinLnBrk="0" hangingPunct="1"/>
              <a14:m>
                <m:oMath xmlns:m="http://schemas.openxmlformats.org/officeDocument/2006/math">
                  <m:sSubSup>
                    <m:sSubSupPr>
                      <m:ctrlPr>
                        <a:rPr lang="en-US" sz="12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SupPr>
                    <m:e>
                      <m:r>
                        <a:rPr lang="en-US" sz="12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𝜇</m:t>
                      </m:r>
                    </m:e>
                    <m:sub>
                      <m:d>
                        <m:dPr>
                          <m:ctrlPr>
                            <a:rPr lang="en-US" sz="12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r>
                            <a:rPr lang="en-SE" sz="12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𝑢</m:t>
                          </m:r>
                        </m:e>
                      </m:d>
                    </m:sub>
                    <m:sup>
                      <m:r>
                        <a:rPr lang="en-US" sz="12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𝜈</m:t>
                      </m:r>
                    </m:sup>
                  </m:sSubSup>
                  <m:r>
                    <a:rPr lang="en-US" sz="12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en-US" sz="12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acc>
                        <m:accPr>
                          <m:chr m:val="̅"/>
                          <m:ctrlPr>
                            <a:rPr lang="en-SE" sz="12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accPr>
                        <m:e>
                          <m:r>
                            <a:rPr lang="en-SE" sz="12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𝑢</m:t>
                          </m:r>
                        </m:e>
                      </m:acc>
                      <m:r>
                        <a:rPr lang="en-SE" sz="12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−</m:t>
                      </m:r>
                      <m:d>
                        <m:dPr>
                          <m:ctrlPr>
                            <a:rPr lang="en-SE" sz="12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r>
                            <a:rPr lang="en-SE" sz="12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𝑢</m:t>
                          </m:r>
                          <m:r>
                            <a:rPr lang="en-SE" sz="12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−</m:t>
                          </m:r>
                          <m:acc>
                            <m:accPr>
                              <m:chr m:val="̅"/>
                              <m:ctrlPr>
                                <a:rPr lang="en-SE" sz="1200" b="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accPr>
                            <m:e>
                              <m:r>
                                <a:rPr lang="en-SE" sz="1200" b="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𝑢</m:t>
                              </m:r>
                            </m:e>
                          </m:acc>
                        </m:e>
                      </m:d>
                    </m:num>
                    <m:den>
                      <m:rad>
                        <m:radPr>
                          <m:degHide m:val="on"/>
                          <m:ctrlPr>
                            <a:rPr lang="en-US" sz="12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radPr>
                        <m:deg/>
                        <m:e>
                          <m:r>
                            <a:rPr lang="en-SE" sz="12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1+</m:t>
                          </m:r>
                          <m:sSup>
                            <m:sSupPr>
                              <m:ctrlPr>
                                <a:rPr lang="en-SE" sz="1200" b="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d>
                                <m:dPr>
                                  <m:ctrlPr>
                                    <a:rPr lang="en-SE" sz="1200" b="0" i="1">
                                      <a:solidFill>
                                        <a:schemeClr val="dk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dPr>
                                <m:e>
                                  <m:r>
                                    <a:rPr lang="en-SE" sz="1200" b="0" i="1">
                                      <a:solidFill>
                                        <a:schemeClr val="dk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𝑢</m:t>
                                  </m:r>
                                  <m:r>
                                    <a:rPr lang="en-SE" sz="1200" b="0" i="1">
                                      <a:solidFill>
                                        <a:schemeClr val="dk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−</m:t>
                                  </m:r>
                                  <m:acc>
                                    <m:accPr>
                                      <m:chr m:val="̅"/>
                                      <m:ctrlPr>
                                        <a:rPr lang="en-SE" sz="1200" b="0" i="1">
                                          <a:solidFill>
                                            <a:schemeClr val="dk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accPr>
                                    <m:e>
                                      <m:r>
                                        <a:rPr lang="en-SE" sz="1200" b="0" i="1">
                                          <a:solidFill>
                                            <a:schemeClr val="dk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𝑢</m:t>
                                      </m:r>
                                    </m:e>
                                  </m:acc>
                                </m:e>
                              </m:d>
                            </m:e>
                            <m:sup>
                              <m:r>
                                <a:rPr lang="en-SE" sz="1200" b="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2</m:t>
                              </m:r>
                            </m:sup>
                          </m:sSup>
                        </m:e>
                      </m:rad>
                    </m:den>
                  </m:f>
                </m:oMath>
              </a14:m>
              <a:r>
                <a:rPr lang="en-SE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n-SE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(Eq.4) </a:t>
              </a:r>
              <a:r>
                <a:rPr lang="en-S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(u</a:t>
              </a:r>
              <a:r>
                <a:rPr lang="en-SE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= Normalized value varied from 0 to 1. It is 0 when no influence of humidity and 1 when influence is maximum, </a:t>
              </a: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𝒖</m:t>
                      </m:r>
                    </m:e>
                  </m:acc>
                </m:oMath>
              </a14:m>
              <a:r>
                <a:rPr lang="en-S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= Local average relative humidity)</a:t>
              </a:r>
              <a:endParaRPr lang="en-US" sz="1000">
                <a:effectLst/>
              </a:endParaRPr>
            </a:p>
            <a:p>
              <a:endParaRPr lang="en-SE" sz="1000" kern="1200" baseline="0">
                <a:latin typeface="+mj-lt"/>
              </a:endParaRPr>
            </a:p>
            <a:p>
              <a:pPr eaLnBrk="1" fontAlgn="auto" latinLnBrk="0" hangingPunct="1"/>
              <a:r>
                <a:rPr lang="en-SE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Vector Mortality as function of Both Temperature and Humidity </a:t>
              </a:r>
            </a:p>
            <a:p>
              <a:pPr eaLnBrk="1" fontAlgn="auto" latinLnBrk="0" hangingPunct="1"/>
              <a:endParaRPr lang="en-US" sz="1000">
                <a:effectLst/>
              </a:endParaRPr>
            </a:p>
            <a:p>
              <a:pPr eaLnBrk="1" fontAlgn="auto" latinLnBrk="0" hangingPunct="1"/>
              <a14:m>
                <m:oMath xmlns:m="http://schemas.openxmlformats.org/officeDocument/2006/math">
                  <m:sSubSup>
                    <m:sSubSupPr>
                      <m:ctrlPr>
                        <a:rPr lang="en-US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SupPr>
                    <m:e>
                      <m:r>
                        <a:rPr lang="en-US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𝝁</m:t>
                      </m:r>
                    </m:e>
                    <m:sub>
                      <m:d>
                        <m:dPr>
                          <m:ctrlPr>
                            <a:rPr lang="en-US" sz="11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r>
                            <a:rPr lang="en-SE" sz="11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𝒖</m:t>
                          </m:r>
                          <m:r>
                            <a:rPr lang="en-SE" sz="11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en-SE" sz="11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𝒕</m:t>
                          </m:r>
                        </m:e>
                      </m:d>
                    </m:sub>
                    <m:sup>
                      <m:r>
                        <a:rPr lang="en-US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𝝂</m:t>
                      </m:r>
                    </m:sup>
                  </m:sSubSup>
                  <m:r>
                    <a:rPr lang="en-SE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 </m:t>
                  </m:r>
                  <m:r>
                    <a:rPr lang="en-SE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𝜂</m:t>
                  </m:r>
                  <m:sSubSup>
                    <m:sSubSupPr>
                      <m:ctrlP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SupPr>
                    <m:e>
                      <m:acc>
                        <m:accPr>
                          <m:chr m:val="̌"/>
                          <m:ctrlPr>
                            <a:rPr lang="en-SE" sz="11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accPr>
                        <m:e>
                          <m:r>
                            <a:rPr lang="en-SE" sz="11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𝜇</m:t>
                          </m:r>
                        </m:e>
                      </m:acc>
                    </m:e>
                    <m:sub>
                      <m:d>
                        <m:dPr>
                          <m:ctrlPr>
                            <a:rPr lang="en-SE" sz="11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r>
                            <a:rPr lang="en-SE" sz="11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𝑡</m:t>
                          </m:r>
                        </m:e>
                      </m:d>
                    </m:sub>
                    <m:sup>
                      <m: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𝜈</m:t>
                      </m:r>
                    </m:sup>
                  </m:sSubSup>
                  <m:sSup>
                    <m:sSupPr>
                      <m:ctrlP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d>
                        <m:dPr>
                          <m:ctrlPr>
                            <a:rPr lang="en-SE" sz="11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r>
                            <a:rPr lang="en-SE" sz="11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1+</m:t>
                          </m:r>
                          <m:sSubSup>
                            <m:sSubSupPr>
                              <m:ctrlPr>
                                <a:rPr lang="en-SE" sz="1100" b="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SupPr>
                            <m:e>
                              <m:acc>
                                <m:accPr>
                                  <m:chr m:val="̌"/>
                                  <m:ctrlPr>
                                    <a:rPr lang="en-SE" sz="1100" b="0" i="1">
                                      <a:solidFill>
                                        <a:schemeClr val="dk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accPr>
                                <m:e>
                                  <m:r>
                                    <a:rPr lang="en-SE" sz="1100" b="0" i="1">
                                      <a:solidFill>
                                        <a:schemeClr val="dk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𝜇</m:t>
                                  </m:r>
                                </m:e>
                              </m:acc>
                            </m:e>
                            <m:sub>
                              <m:d>
                                <m:dPr>
                                  <m:ctrlPr>
                                    <a:rPr lang="en-SE" sz="1100" b="0" i="1">
                                      <a:solidFill>
                                        <a:schemeClr val="dk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dPr>
                                <m:e>
                                  <m:r>
                                    <a:rPr lang="en-SE" sz="1100" b="0" i="1">
                                      <a:solidFill>
                                        <a:schemeClr val="dk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𝑢</m:t>
                                  </m:r>
                                </m:e>
                              </m:d>
                            </m:sub>
                            <m:sup>
                              <m:r>
                                <a:rPr lang="en-SE" sz="1100" b="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𝜈</m:t>
                              </m:r>
                            </m:sup>
                          </m:sSubSup>
                        </m:e>
                      </m:d>
                    </m:e>
                    <m:sup>
                      <m: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𝜌</m:t>
                      </m:r>
                    </m:sup>
                  </m:sSup>
                </m:oMath>
              </a14:m>
              <a:r>
                <a:rPr lang="en-SE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SE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SE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(Eq.5) </a:t>
              </a:r>
              <a:r>
                <a:rPr lang="en-SE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14:m>
                <m:oMath xmlns:m="http://schemas.openxmlformats.org/officeDocument/2006/math">
                  <m:sSubSup>
                    <m:sSubSupPr>
                      <m:ctrlPr>
                        <a:rPr lang="en-US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SupPr>
                    <m:e>
                      <m:r>
                        <a:rPr lang="en-US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𝝁</m:t>
                      </m:r>
                    </m:e>
                    <m:sub>
                      <m:d>
                        <m:dPr>
                          <m:ctrlPr>
                            <a:rPr lang="en-US" sz="11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r>
                            <a:rPr lang="en-SE" sz="11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𝒖</m:t>
                          </m:r>
                          <m:r>
                            <a:rPr lang="en-SE" sz="11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en-SE" sz="11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𝒕</m:t>
                          </m:r>
                        </m:e>
                      </m:d>
                    </m:sub>
                    <m:sup>
                      <m:r>
                        <a:rPr lang="en-US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𝝂</m:t>
                      </m:r>
                    </m:sup>
                  </m:sSubSup>
                </m:oMath>
              </a14:m>
              <a:r>
                <a:rPr lang="en-S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= Vector Mortality Rate</a:t>
              </a:r>
              <a:r>
                <a:rPr lang="en-SE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with Combined Dependence on Temperature and Humidity; </a:t>
              </a:r>
              <a14:m>
                <m:oMath xmlns:m="http://schemas.openxmlformats.org/officeDocument/2006/math">
                  <m:r>
                    <a:rPr lang="en-SE" sz="1100" b="1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𝜼</m:t>
                  </m:r>
                  <m:r>
                    <a:rPr lang="en-SE" sz="1100" b="1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≈</m:t>
                  </m:r>
                  <m:r>
                    <a:rPr lang="en-SE" sz="1100" b="1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n-SE" sz="1100" b="1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SE" sz="11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</m:oMath>
              </a14:m>
              <a:r>
                <a:rPr lang="en-S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asuming</a:t>
              </a:r>
              <a:r>
                <a:rPr lang="en-SE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field conditions as same as lab</a:t>
              </a:r>
              <a:endParaRPr lang="en-US" sz="1000">
                <a:effectLst/>
              </a:endParaRPr>
            </a:p>
            <a:p>
              <a:pPr eaLnBrk="1" fontAlgn="auto" latinLnBrk="0" hangingPunct="1"/>
              <a:r>
                <a:rPr lang="en-SE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                                             conditions; </a:t>
              </a:r>
              <a14:m>
                <m:oMath xmlns:m="http://schemas.openxmlformats.org/officeDocument/2006/math">
                  <m:r>
                    <a:rPr lang="en-SE" sz="1100" b="1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𝝆</m:t>
                  </m:r>
                </m:oMath>
              </a14:m>
              <a:r>
                <a:rPr lang="en-S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= 1 (considering stronger</a:t>
              </a:r>
              <a:r>
                <a:rPr lang="en-SE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effect of humidity))</a:t>
              </a:r>
            </a:p>
            <a:p>
              <a:pPr eaLnBrk="1" fontAlgn="auto" latinLnBrk="0" hangingPunct="1"/>
              <a:endParaRPr lang="en-US" sz="1000">
                <a:effectLst/>
              </a:endParaRPr>
            </a:p>
            <a:p>
              <a:pPr eaLnBrk="1" fontAlgn="auto" latinLnBrk="0" hangingPunct="1"/>
              <a:r>
                <a:rPr lang="en-SE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Mosquito Biting Rate as Function of Humidity </a:t>
              </a:r>
            </a:p>
            <a:p>
              <a:pPr eaLnBrk="1" fontAlgn="auto" latinLnBrk="0" hangingPunct="1"/>
              <a:endParaRPr lang="en-US" sz="1000">
                <a:effectLst/>
              </a:endParaRPr>
            </a:p>
            <a:p>
              <a14:m>
                <m:oMath xmlns:m="http://schemas.openxmlformats.org/officeDocument/2006/math">
                  <m:sSubSup>
                    <m:sSubSupPr>
                      <m:ctrlP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SupPr>
                    <m:e>
                      <m: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𝑎</m:t>
                      </m:r>
                    </m:e>
                    <m:sub>
                      <m:d>
                        <m:dPr>
                          <m:ctrlPr>
                            <a:rPr lang="en-SE" sz="11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r>
                            <a:rPr lang="en-SE" sz="11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𝑢</m:t>
                          </m:r>
                          <m:r>
                            <a:rPr lang="en-SE" sz="11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en-SE" sz="11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𝑡</m:t>
                          </m:r>
                        </m:e>
                      </m:d>
                    </m:sub>
                    <m:sup>
                      <m: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𝜈</m:t>
                      </m:r>
                    </m:sup>
                  </m:sSubSup>
                  <m:r>
                    <a:rPr lang="en-SE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sSup>
                    <m:sSupPr>
                      <m:ctrlP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𝑎</m:t>
                      </m:r>
                    </m:e>
                    <m:sup>
                      <m: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𝜈</m:t>
                      </m:r>
                    </m:sup>
                  </m:sSup>
                  <m:r>
                    <a:rPr lang="en-SE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sSup>
                    <m:sSupPr>
                      <m:ctrlP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d>
                        <m:dPr>
                          <m:ctrlPr>
                            <a:rPr lang="en-SE" sz="11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r>
                            <a:rPr lang="en-SE" sz="11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1+</m:t>
                          </m:r>
                          <m:sSubSup>
                            <m:sSubSupPr>
                              <m:ctrlPr>
                                <a:rPr lang="en-US" sz="1100" b="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SupPr>
                            <m:e>
                              <m:r>
                                <a:rPr lang="en-SE" sz="1100" b="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𝑎</m:t>
                              </m:r>
                            </m:e>
                            <m:sub>
                              <m:d>
                                <m:dPr>
                                  <m:ctrlPr>
                                    <a:rPr lang="en-US" sz="1100" b="0" i="1">
                                      <a:solidFill>
                                        <a:schemeClr val="dk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dPr>
                                <m:e>
                                  <m:r>
                                    <a:rPr lang="en-SE" sz="1100" b="0" i="1">
                                      <a:solidFill>
                                        <a:schemeClr val="dk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𝑢</m:t>
                                  </m:r>
                                </m:e>
                              </m:d>
                            </m:sub>
                            <m:sup>
                              <m:r>
                                <a:rPr lang="en-US" sz="1100" b="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𝜈</m:t>
                              </m:r>
                            </m:sup>
                          </m:sSubSup>
                        </m:e>
                      </m:d>
                    </m:e>
                    <m:sup>
                      <m: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𝜌</m:t>
                      </m:r>
                    </m:sup>
                  </m:sSup>
                </m:oMath>
              </a14:m>
              <a:r>
                <a:rPr lang="en-SE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n-SE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(Eq.6)</a:t>
              </a:r>
              <a:r>
                <a:rPr lang="en-SE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SE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 </a:t>
              </a:r>
              <a14:m>
                <m:oMath xmlns:m="http://schemas.openxmlformats.org/officeDocument/2006/math">
                  <m:sSubSup>
                    <m:sSubSupPr>
                      <m:ctrlPr>
                        <a:rPr lang="en-US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SupPr>
                    <m:e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𝒂</m:t>
                      </m:r>
                    </m:e>
                    <m:sub>
                      <m:d>
                        <m:dPr>
                          <m:ctrlPr>
                            <a:rPr lang="en-US" sz="11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r>
                            <a:rPr lang="en-SE" sz="11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𝒖</m:t>
                          </m:r>
                          <m:r>
                            <a:rPr lang="en-SE" sz="11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en-SE" sz="11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𝒕</m:t>
                          </m:r>
                        </m:e>
                      </m:d>
                    </m:sub>
                    <m:sup>
                      <m:r>
                        <a:rPr lang="en-US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𝝂</m:t>
                      </m:r>
                    </m:sup>
                  </m:sSubSup>
                </m:oMath>
              </a14:m>
              <a:r>
                <a:rPr lang="en-SE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SE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 Mosquito biting</a:t>
              </a:r>
              <a:r>
                <a:rPr lang="en-SE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rate at given Temperature adjusted for humidity and </a:t>
              </a:r>
              <a14:m>
                <m:oMath xmlns:m="http://schemas.openxmlformats.org/officeDocument/2006/math">
                  <m:sSup>
                    <m:sSupPr>
                      <m:ctrlP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𝑎</m:t>
                      </m:r>
                    </m:e>
                    <m:sup>
                      <m: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𝜈</m:t>
                      </m:r>
                    </m:sup>
                  </m:sSup>
                  <m:r>
                    <a:rPr lang="en-SE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</m:oMath>
              </a14:m>
              <a:r>
                <a:rPr lang="en-SE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is average vector</a:t>
              </a:r>
              <a:r>
                <a:rPr lang="en-SE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biting rate for the region</a:t>
              </a:r>
              <a:r>
                <a:rPr lang="en-SE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endParaRPr lang="en-SE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14:m>
                <m:oMath xmlns:m="http://schemas.openxmlformats.org/officeDocument/2006/math">
                  <m:sSubSup>
                    <m:sSubSupPr>
                      <m:ctrlPr>
                        <a:rPr lang="en-US" sz="1000" i="1">
                          <a:effectLst/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SE" sz="1000" b="0" i="1">
                          <a:effectLst/>
                          <a:latin typeface="Cambria Math" panose="02040503050406030204" pitchFamily="18" charset="0"/>
                        </a:rPr>
                        <m:t>𝑎</m:t>
                      </m:r>
                    </m:e>
                    <m:sub>
                      <m:r>
                        <a:rPr lang="en-SE" sz="1000" b="0" i="1">
                          <a:effectLst/>
                          <a:latin typeface="Cambria Math" panose="02040503050406030204" pitchFamily="18" charset="0"/>
                        </a:rPr>
                        <m:t>(</m:t>
                      </m:r>
                      <m:r>
                        <a:rPr lang="en-SE" sz="1000" b="0" i="1">
                          <a:effectLst/>
                          <a:latin typeface="Cambria Math" panose="02040503050406030204" pitchFamily="18" charset="0"/>
                        </a:rPr>
                        <m:t>𝑢</m:t>
                      </m:r>
                      <m:r>
                        <a:rPr lang="en-SE" sz="1000" b="0" i="1">
                          <a:effectLst/>
                          <a:latin typeface="Cambria Math" panose="02040503050406030204" pitchFamily="18" charset="0"/>
                        </a:rPr>
                        <m:t>)</m:t>
                      </m:r>
                    </m:sub>
                    <m:sup>
                      <m:r>
                        <a:rPr lang="en-US" sz="1000" i="1"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𝜈</m:t>
                      </m:r>
                    </m:sup>
                  </m:sSubSup>
                  <m:r>
                    <a:rPr lang="en-SE" sz="1000" b="0" i="0">
                      <a:effectLst/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SE" sz="1000" b="0" i="1">
                          <a:effectLst/>
                          <a:latin typeface="Cambria Math" panose="02040503050406030204" pitchFamily="18" charset="0"/>
                        </a:rPr>
                      </m:ctrlPr>
                    </m:fPr>
                    <m:num>
                      <m:d>
                        <m:dPr>
                          <m:ctrlPr>
                            <a:rPr lang="en-SE" sz="1000" b="0" i="1">
                              <a:effectLst/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r>
                            <a:rPr lang="en-SE" sz="1000" b="0" i="1">
                              <a:effectLst/>
                              <a:latin typeface="Cambria Math" panose="02040503050406030204" pitchFamily="18" charset="0"/>
                            </a:rPr>
                            <m:t>𝑢</m:t>
                          </m:r>
                          <m:r>
                            <a:rPr lang="en-SE" sz="1000" b="0" i="1">
                              <a:effectLst/>
                              <a:latin typeface="Cambria Math" panose="02040503050406030204" pitchFamily="18" charset="0"/>
                            </a:rPr>
                            <m:t>−</m:t>
                          </m:r>
                          <m:acc>
                            <m:accPr>
                              <m:chr m:val="̅"/>
                              <m:ctrlPr>
                                <a:rPr lang="en-SE" sz="1000" b="0" i="1">
                                  <a:effectLst/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n-SE" sz="1000" b="0" i="1">
                                  <a:effectLst/>
                                  <a:latin typeface="Cambria Math" panose="02040503050406030204" pitchFamily="18" charset="0"/>
                                </a:rPr>
                                <m:t>𝑢</m:t>
                              </m:r>
                            </m:e>
                          </m:acc>
                        </m:e>
                      </m:d>
                    </m:num>
                    <m:den>
                      <m:rad>
                        <m:radPr>
                          <m:degHide m:val="on"/>
                          <m:ctrlPr>
                            <a:rPr lang="en-SE" sz="1000" b="0" i="1">
                              <a:effectLst/>
                              <a:latin typeface="Cambria Math" panose="02040503050406030204" pitchFamily="18" charset="0"/>
                            </a:rPr>
                          </m:ctrlPr>
                        </m:radPr>
                        <m:deg/>
                        <m:e>
                          <m:r>
                            <a:rPr lang="en-SE" sz="1000" b="0" i="1">
                              <a:effectLst/>
                              <a:latin typeface="Cambria Math" panose="02040503050406030204" pitchFamily="18" charset="0"/>
                            </a:rPr>
                            <m:t>1+</m:t>
                          </m:r>
                          <m:sSup>
                            <m:sSupPr>
                              <m:ctrlPr>
                                <a:rPr lang="en-SE" sz="1000" b="0" i="1">
                                  <a:effectLst/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d>
                                <m:dPr>
                                  <m:ctrlPr>
                                    <a:rPr lang="en-SE" sz="1000" b="0" i="1">
                                      <a:effectLst/>
                                      <a:latin typeface="Cambria Math" panose="02040503050406030204" pitchFamily="18" charset="0"/>
                                    </a:rPr>
                                  </m:ctrlPr>
                                </m:dPr>
                                <m:e>
                                  <m:r>
                                    <a:rPr lang="en-SE" sz="1000" b="0" i="1">
                                      <a:effectLst/>
                                      <a:latin typeface="Cambria Math" panose="02040503050406030204" pitchFamily="18" charset="0"/>
                                    </a:rPr>
                                    <m:t>𝑢</m:t>
                                  </m:r>
                                  <m:r>
                                    <a:rPr lang="en-SE" sz="1000" b="0" i="1">
                                      <a:effectLst/>
                                      <a:latin typeface="Cambria Math" panose="02040503050406030204" pitchFamily="18" charset="0"/>
                                    </a:rPr>
                                    <m:t>−</m:t>
                                  </m:r>
                                  <m:acc>
                                    <m:accPr>
                                      <m:chr m:val="̅"/>
                                      <m:ctrlPr>
                                        <a:rPr lang="en-SE" sz="1000" b="0" i="1">
                                          <a:effectLst/>
                                          <a:latin typeface="Cambria Math" panose="02040503050406030204" pitchFamily="18" charset="0"/>
                                        </a:rPr>
                                      </m:ctrlPr>
                                    </m:accPr>
                                    <m:e>
                                      <m:r>
                                        <a:rPr lang="en-SE" sz="1000" b="0" i="1">
                                          <a:effectLst/>
                                          <a:latin typeface="Cambria Math" panose="02040503050406030204" pitchFamily="18" charset="0"/>
                                        </a:rPr>
                                        <m:t>𝑢</m:t>
                                      </m:r>
                                    </m:e>
                                  </m:acc>
                                </m:e>
                              </m:d>
                            </m:e>
                            <m:sup>
                              <m:r>
                                <a:rPr lang="en-SE" sz="1000" b="0" i="1">
                                  <a:effectLst/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e>
                      </m:rad>
                    </m:den>
                  </m:f>
                  <m:r>
                    <a:rPr lang="en-SE" sz="1000" b="0" i="0">
                      <a:effectLst/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SE" sz="1000">
                  <a:effectLst/>
                </a:rPr>
                <a:t> </a:t>
              </a:r>
              <a:r>
                <a:rPr lang="en-SE" sz="1000" b="1">
                  <a:effectLst/>
                </a:rPr>
                <a:t>(Eq.7) </a:t>
              </a:r>
              <a:r>
                <a:rPr lang="en-SE" sz="1000">
                  <a:effectLst/>
                </a:rPr>
                <a:t>(u = humidity</a:t>
              </a:r>
              <a:r>
                <a:rPr lang="en-SE" sz="1000" baseline="0">
                  <a:effectLst/>
                </a:rPr>
                <a:t> of datapoint evaluated and </a:t>
              </a: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𝑢</m:t>
                      </m:r>
                    </m:e>
                  </m:acc>
                </m:oMath>
              </a14:m>
              <a:r>
                <a:rPr lang="en-SE" sz="1000">
                  <a:effectLst/>
                </a:rPr>
                <a:t> = local average annual humidity of the region) </a:t>
              </a:r>
              <a:endParaRPr lang="en-US" sz="1000">
                <a:effectLst/>
              </a:endParaRPr>
            </a:p>
            <a:p>
              <a:endParaRPr lang="en-SE" sz="1000" kern="1200" baseline="0">
                <a:latin typeface="+mj-lt"/>
              </a:endParaRPr>
            </a:p>
            <a:p>
              <a:r>
                <a:rPr lang="en-SE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Mosquito Transmission from Vector to Human </a:t>
              </a:r>
            </a:p>
            <a:p>
              <a:endParaRPr lang="en-US" sz="1000">
                <a:effectLst/>
              </a:endParaRPr>
            </a:p>
            <a:p>
              <a14:m>
                <m:oMath xmlns:m="http://schemas.openxmlformats.org/officeDocument/2006/math">
                  <m:sSubSup>
                    <m:sSubSupPr>
                      <m:ctrlP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SupPr>
                    <m:e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𝝓</m:t>
                      </m:r>
                    </m:e>
                    <m:sub>
                      <m:d>
                        <m:dPr>
                          <m:ctrlPr>
                            <a:rPr lang="en-SE" sz="11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r>
                            <a:rPr lang="en-SE" sz="11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𝒕</m:t>
                          </m:r>
                        </m:e>
                      </m:d>
                    </m:sub>
                    <m:sup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𝝂</m:t>
                      </m:r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→</m:t>
                      </m:r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𝒉</m:t>
                      </m:r>
                    </m:sup>
                  </m:sSubSup>
                  <m:r>
                    <a:rPr lang="en-SE" sz="11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=0.001044</m:t>
                  </m:r>
                  <m:r>
                    <a:rPr lang="en-SE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𝑡</m:t>
                  </m:r>
                  <m:r>
                    <a:rPr lang="en-SE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∙</m:t>
                  </m:r>
                  <m:d>
                    <m:dPr>
                      <m:ctrlP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</m:t>
                      </m:r>
                      <m: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−12.286</m:t>
                      </m:r>
                    </m:e>
                  </m:d>
                  <m:r>
                    <a:rPr lang="en-SE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∙</m:t>
                  </m:r>
                  <m:sSup>
                    <m:sSupPr>
                      <m:ctrlP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d>
                        <m:dPr>
                          <m:ctrlPr>
                            <a:rPr lang="en-SE" sz="11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r>
                            <a:rPr lang="en-SE" sz="11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32.461−</m:t>
                          </m:r>
                          <m:r>
                            <a:rPr lang="en-SE" sz="11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𝑡</m:t>
                          </m:r>
                        </m:e>
                      </m:d>
                    </m:e>
                    <m:sup>
                      <m: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0.5</m:t>
                      </m:r>
                    </m:sup>
                  </m:sSup>
                </m:oMath>
              </a14:m>
              <a:r>
                <a:rPr lang="en-S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SE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(Eq.8)</a:t>
              </a:r>
              <a:endParaRPr lang="en-US" sz="1000">
                <a:effectLst/>
              </a:endParaRPr>
            </a:p>
            <a:p>
              <a:r>
                <a:rPr lang="en-SE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endParaRPr lang="en-US" sz="1000">
                <a:effectLst/>
              </a:endParaRPr>
            </a:p>
            <a:p>
              <a:pPr eaLnBrk="1" fontAlgn="auto" latinLnBrk="0" hangingPunct="1"/>
              <a:r>
                <a:rPr lang="en-SE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Mosquito Transmission from Human to Vector  </a:t>
              </a:r>
            </a:p>
            <a:p>
              <a:pPr eaLnBrk="1" fontAlgn="auto" latinLnBrk="0" hangingPunct="1"/>
              <a:endParaRPr lang="en-US" sz="1000">
                <a:effectLst/>
              </a:endParaRPr>
            </a:p>
            <a:p>
              <a14:m>
                <m:oMath xmlns:m="http://schemas.openxmlformats.org/officeDocument/2006/math">
                  <m:sSubSup>
                    <m:sSubSupPr>
                      <m:ctrlP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SupPr>
                    <m:e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𝝓</m:t>
                      </m:r>
                    </m:e>
                    <m:sub>
                      <m:d>
                        <m:dPr>
                          <m:ctrlPr>
                            <a:rPr lang="en-SE" sz="11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r>
                            <a:rPr lang="en-SE" sz="11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𝒕</m:t>
                          </m:r>
                        </m:e>
                      </m:d>
                    </m:sub>
                    <m:sup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𝒉</m:t>
                      </m:r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→</m:t>
                      </m:r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𝝂</m:t>
                      </m:r>
                    </m:sup>
                  </m:sSubSup>
                  <m:r>
                    <a:rPr lang="en-SE" sz="11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=0 </m:t>
                  </m:r>
                  <m:r>
                    <m:rPr>
                      <m:sty m:val="p"/>
                    </m:rPr>
                    <a:rPr lang="en-SE" sz="11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for</m:t>
                  </m:r>
                  <m:r>
                    <a:rPr lang="en-SE" sz="11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m:rPr>
                      <m:sty m:val="p"/>
                    </m:rPr>
                    <a:rPr lang="en-SE" sz="11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t</m:t>
                  </m:r>
                  <m:r>
                    <a:rPr lang="en-SE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&lt;12.4;0.0729</m:t>
                  </m:r>
                  <m:r>
                    <a:rPr lang="en-SE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𝑡</m:t>
                  </m:r>
                  <m:r>
                    <a:rPr lang="en-SE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−0.9037 </m:t>
                  </m:r>
                  <m:r>
                    <a:rPr lang="en-SE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𝑓𝑜𝑟</m:t>
                  </m:r>
                  <m:r>
                    <a:rPr lang="en-SE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12.4 &lt;</m:t>
                  </m:r>
                  <m:r>
                    <a:rPr lang="en-SE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𝑡</m:t>
                  </m:r>
                  <m:r>
                    <a:rPr lang="en-SE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&lt;26.1;1 </m:t>
                  </m:r>
                  <m:r>
                    <a:rPr lang="en-SE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𝑓𝑜𝑟</m:t>
                  </m:r>
                  <m:r>
                    <a:rPr lang="en-SE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SE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𝑡</m:t>
                  </m:r>
                  <m:r>
                    <a:rPr lang="en-SE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&gt;26.1</m:t>
                  </m:r>
                </m:oMath>
              </a14:m>
              <a:r>
                <a:rPr lang="en-SE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SE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(Eq.9)</a:t>
              </a:r>
            </a:p>
            <a:p>
              <a:endParaRPr lang="en-SE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SE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Extrinsic Incubation Period   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SE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sSubSup>
                    <m:sSubSupPr>
                      <m:ctrlP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SupPr>
                    <m:e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𝟏</m:t>
                      </m:r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/</m:t>
                      </m:r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𝜸</m:t>
                      </m:r>
                    </m:e>
                    <m:sub>
                      <m:d>
                        <m:dPr>
                          <m:ctrlPr>
                            <a:rPr lang="en-SE" sz="11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r>
                            <a:rPr lang="en-SE" sz="11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𝒕</m:t>
                          </m:r>
                        </m:e>
                      </m:d>
                    </m:sub>
                    <m:sup>
                      <m:r>
                        <a:rPr lang="en-SE" sz="11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𝝂</m:t>
                      </m:r>
                    </m:sup>
                  </m:sSubSup>
                  <m:r>
                    <a:rPr lang="en-SE" sz="11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=4+</m:t>
                  </m:r>
                  <m:sSup>
                    <m:sSupPr>
                      <m:ctrlP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𝑒</m:t>
                      </m:r>
                    </m:e>
                    <m:sup>
                      <m: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5.15−0.123</m:t>
                      </m:r>
                      <m: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</m:t>
                      </m:r>
                      <m:r>
                        <a:rPr lang="en-SE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</m:sup>
                  </m:sSup>
                </m:oMath>
              </a14:m>
              <a:r>
                <a:rPr lang="en-SE" sz="1000" b="1">
                  <a:effectLst/>
                </a:rPr>
                <a:t>(Eq.10)</a:t>
              </a:r>
              <a:endParaRPr lang="en-US" sz="1000" b="1">
                <a:effectLst/>
              </a:endParaRPr>
            </a:p>
            <a:p>
              <a:endParaRPr lang="en-US" sz="1000">
                <a:effectLst/>
              </a:endParaRPr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F946A59-3A0A-43BE-84B0-0B61AE551EDA}"/>
                </a:ext>
              </a:extLst>
            </xdr:cNvPr>
            <xdr:cNvSpPr txBox="1"/>
          </xdr:nvSpPr>
          <xdr:spPr>
            <a:xfrm>
              <a:off x="673100" y="2882900"/>
              <a:ext cx="11195050" cy="87947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SE" sz="1000" kern="1200">
                  <a:latin typeface="+mj-lt"/>
                </a:rPr>
                <a:t>Where,</a:t>
              </a:r>
            </a:p>
            <a:p>
              <a:r>
                <a:rPr lang="en-SE" sz="1000" kern="1200">
                  <a:latin typeface="+mj-lt"/>
                </a:rPr>
                <a:t> </a:t>
              </a:r>
              <a:r>
                <a:rPr lang="en-SE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𝑷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_((</a:t>
              </a:r>
              <a:r>
                <a:rPr lang="en-SE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𝒖,𝒕) 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SE" sz="1000" kern="1200">
                  <a:latin typeface="+mj-lt"/>
                </a:rPr>
                <a:t>= Transmission</a:t>
              </a:r>
              <a:r>
                <a:rPr lang="en-SE" sz="1000" kern="1200" baseline="0">
                  <a:latin typeface="+mj-lt"/>
                </a:rPr>
                <a:t> potential of virus for given environmental conditions (depends on temperature (t) and humidity (u))</a:t>
              </a:r>
              <a:endParaRPr lang="en-SE" sz="1000" kern="1200">
                <a:latin typeface="+mj-lt"/>
              </a:endParaRPr>
            </a:p>
            <a:p>
              <a:r>
                <a:rPr lang="en-SE" sz="1000" kern="1200">
                  <a:latin typeface="+mj-lt"/>
                </a:rPr>
                <a:t> </a:t>
              </a:r>
              <a:r>
                <a:rPr lang="en-SE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𝒂_((𝒖))^𝝂</a:t>
              </a:r>
              <a:r>
                <a:rPr lang="en-SE" sz="1000" kern="1200">
                  <a:latin typeface="+mj-lt"/>
                </a:rPr>
                <a:t>  =  Adult Aegypti biting rate (Mosquito</a:t>
              </a:r>
              <a:r>
                <a:rPr lang="en-SE" sz="1000" kern="1200" baseline="0">
                  <a:latin typeface="+mj-lt"/>
                </a:rPr>
                <a:t> bites/day)</a:t>
              </a:r>
              <a:endParaRPr lang="en-SE" sz="1000" kern="1200">
                <a:latin typeface="+mj-lt"/>
              </a:endParaRPr>
            </a:p>
            <a:p>
              <a:r>
                <a:rPr lang="en-SE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𝝓_((𝒕))^(𝝂→𝒉)  </a:t>
              </a:r>
              <a:r>
                <a:rPr lang="en-SE" sz="1000" kern="1200">
                  <a:latin typeface="+mj-lt"/>
                </a:rPr>
                <a:t> = Transmission</a:t>
              </a:r>
              <a:r>
                <a:rPr lang="en-SE" sz="1000" kern="1200" baseline="0">
                  <a:latin typeface="+mj-lt"/>
                </a:rPr>
                <a:t> probability from vector (mosquito) to human per bite (depends on temperature)</a:t>
              </a:r>
            </a:p>
            <a:p>
              <a:r>
                <a:rPr lang="en-SE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𝝓_((𝒕))^(𝒉→𝝂)</a:t>
              </a:r>
              <a:r>
                <a:rPr lang="en-SE" sz="1000" kern="1200" baseline="0">
                  <a:latin typeface="+mj-lt"/>
                </a:rPr>
                <a:t> = Transmisison probability from human to vector (mosquito) per bite (depends on temperature)</a:t>
              </a:r>
            </a:p>
            <a:p>
              <a:r>
                <a:rPr lang="en-SE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𝜸_((𝒕))^𝝂</a:t>
              </a:r>
              <a:r>
                <a:rPr lang="en-SE" sz="1000" kern="1200" baseline="0">
                  <a:latin typeface="+mj-lt"/>
                </a:rPr>
                <a:t> = Extrinsic Aedes Aegypti incubation period (per days) </a:t>
              </a:r>
            </a:p>
            <a:p>
              <a:r>
                <a:rPr lang="en-SE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𝜸^𝒉</a:t>
              </a:r>
              <a:r>
                <a:rPr lang="en-SE" sz="1000" kern="1200" baseline="0">
                  <a:latin typeface="+mj-lt"/>
                </a:rPr>
                <a:t> = Intrinsic Human Dengue Incubation Period (per days)</a:t>
              </a:r>
            </a:p>
            <a:p>
              <a:r>
                <a:rPr lang="en-SE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𝝁_((𝒖,𝒕))^𝝂</a:t>
              </a:r>
              <a:r>
                <a:rPr lang="en-SE" sz="1000" kern="1200" baseline="0">
                  <a:latin typeface="+mj-lt"/>
                </a:rPr>
                <a:t> = Adult mosquito (Aedes) mortality rate per days (dependent on temperature (t) and humidity (u))</a:t>
              </a:r>
            </a:p>
            <a:p>
              <a:r>
                <a:rPr lang="en-SE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𝝈_𝒉  </a:t>
              </a:r>
              <a:r>
                <a:rPr lang="en-SE" sz="1000" kern="1200" baseline="0">
                  <a:latin typeface="+mj-lt"/>
                </a:rPr>
                <a:t>= Human Dengue infectious period (per days)</a:t>
              </a:r>
            </a:p>
            <a:p>
              <a:r>
                <a:rPr lang="en-SE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𝝁^𝒉</a:t>
              </a:r>
              <a:r>
                <a:rPr lang="en-SE" sz="1000" kern="1200" baseline="0">
                  <a:latin typeface="+mj-lt"/>
                </a:rPr>
                <a:t> Human lifespan (in days)</a:t>
              </a:r>
            </a:p>
            <a:p>
              <a:endParaRPr lang="en-SE" sz="1000" kern="1200" baseline="0">
                <a:latin typeface="+mj-lt"/>
              </a:endParaRPr>
            </a:p>
            <a:p>
              <a:r>
                <a:rPr lang="en-SE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Vector Mortality as a Function of Temperature</a:t>
              </a:r>
            </a:p>
            <a:p>
              <a:endParaRPr lang="en-US" sz="1000">
                <a:effectLst/>
              </a:endParaRPr>
            </a:p>
            <a:p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𝜇 ̌_((</a:t>
              </a:r>
              <a:r>
                <a:rPr lang="en-SE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𝑡)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SE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𝜈</a:t>
              </a:r>
              <a:r>
                <a:rPr lang="en-SE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=0.8692−0.1590∙𝑡+0.01116∙𝑡^2  −3.408</a:t>
              </a:r>
              <a:r>
                <a:rPr lang="en-SE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∙10^(−4)</a:t>
              </a:r>
              <a:r>
                <a:rPr lang="en-SE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∙𝑡^3+3.809</a:t>
              </a:r>
              <a:r>
                <a:rPr lang="en-SE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∙10^(−6)</a:t>
              </a:r>
              <a:r>
                <a:rPr lang="en-SE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∙ 𝑡^4</a:t>
              </a:r>
              <a:r>
                <a:rPr lang="en-SE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(t = Temperature ° C)</a:t>
              </a:r>
              <a:r>
                <a:rPr lang="en-SE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(Eq.3)</a:t>
              </a:r>
            </a:p>
            <a:p>
              <a:endParaRPr lang="en-US" sz="1000">
                <a:effectLst/>
              </a:endParaRPr>
            </a:p>
            <a:p>
              <a:pPr eaLnBrk="1" fontAlgn="auto" latinLnBrk="0" hangingPunct="1"/>
              <a:r>
                <a:rPr lang="en-SE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Vector Mortality as a Function of Humidity</a:t>
              </a:r>
              <a:r>
                <a:rPr lang="en-SE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</a:p>
            <a:p>
              <a:pPr eaLnBrk="1" fontAlgn="auto" latinLnBrk="0" hangingPunct="1"/>
              <a:endParaRPr lang="en-US" sz="1000">
                <a:effectLst/>
              </a:endParaRPr>
            </a:p>
            <a:p>
              <a:pPr eaLnBrk="1" fontAlgn="auto" latinLnBrk="0" hangingPunct="1"/>
              <a:r>
                <a:rPr lang="en-US" sz="12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𝜇_((</a:t>
              </a:r>
              <a:r>
                <a:rPr lang="en-SE" sz="12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𝑢)</a:t>
              </a:r>
              <a:r>
                <a:rPr lang="en-US" sz="12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SE" sz="12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2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𝜈=(</a:t>
              </a:r>
              <a:r>
                <a:rPr lang="en-SE" sz="12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𝑢 ̅−(𝑢−𝑢 ̅ )</a:t>
              </a:r>
              <a:r>
                <a:rPr lang="en-US" sz="12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)/√(</a:t>
              </a:r>
              <a:r>
                <a:rPr lang="en-SE" sz="12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1+(𝑢−𝑢 ̅ )^2 </a:t>
              </a:r>
              <a:r>
                <a:rPr lang="en-US" sz="12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SE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n-SE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(Eq.4) </a:t>
              </a:r>
              <a:r>
                <a:rPr lang="en-S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(u</a:t>
              </a:r>
              <a:r>
                <a:rPr lang="en-SE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= Normalized value varied from 0 to 1. It is 0 when no influence of humidity and 1 when influence is maximum, </a:t>
              </a:r>
              <a:r>
                <a:rPr lang="en-SE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𝒖 ̅</a:t>
              </a:r>
              <a:r>
                <a:rPr lang="en-S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= Local average relative humidity)</a:t>
              </a:r>
              <a:endParaRPr lang="en-US" sz="1000">
                <a:effectLst/>
              </a:endParaRPr>
            </a:p>
            <a:p>
              <a:endParaRPr lang="en-SE" sz="1000" kern="1200" baseline="0">
                <a:latin typeface="+mj-lt"/>
              </a:endParaRPr>
            </a:p>
            <a:p>
              <a:pPr eaLnBrk="1" fontAlgn="auto" latinLnBrk="0" hangingPunct="1"/>
              <a:r>
                <a:rPr lang="en-SE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Vector Mortality as function of Both Temperature and Humidity </a:t>
              </a:r>
            </a:p>
            <a:p>
              <a:pPr eaLnBrk="1" fontAlgn="auto" latinLnBrk="0" hangingPunct="1"/>
              <a:endParaRPr lang="en-US" sz="1000">
                <a:effectLst/>
              </a:endParaRPr>
            </a:p>
            <a:p>
              <a:pPr eaLnBrk="1" fontAlgn="auto" latinLnBrk="0" hangingPunct="1"/>
              <a:r>
                <a:rPr lang="en-US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𝝁_((</a:t>
              </a:r>
              <a:r>
                <a:rPr lang="en-SE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𝒖,𝒕)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SE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𝝂</a:t>
              </a:r>
              <a:r>
                <a:rPr lang="en-SE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 𝜂𝜇 ̌_((𝑡))^𝜈 (1+𝜇 ̌_((𝑢))^𝜈 )^𝜌</a:t>
              </a:r>
              <a:r>
                <a:rPr lang="en-SE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SE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SE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(Eq.5) </a:t>
              </a:r>
              <a:r>
                <a:rPr lang="en-SE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𝝁_((</a:t>
              </a:r>
              <a:r>
                <a:rPr lang="en-SE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𝒖,𝒕)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SE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𝝂</a:t>
              </a:r>
              <a:r>
                <a:rPr lang="en-S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= Vector Mortality Rate</a:t>
              </a:r>
              <a:r>
                <a:rPr lang="en-SE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with Combined Dependence on Temperature and Humidity; </a:t>
              </a:r>
              <a:r>
                <a:rPr lang="en-SE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𝜼 ≈𝟏 </a:t>
              </a:r>
              <a:r>
                <a:rPr lang="en-SE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S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asuming</a:t>
              </a:r>
              <a:r>
                <a:rPr lang="en-SE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field conditions as same as lab</a:t>
              </a:r>
              <a:endParaRPr lang="en-US" sz="1000">
                <a:effectLst/>
              </a:endParaRPr>
            </a:p>
            <a:p>
              <a:pPr eaLnBrk="1" fontAlgn="auto" latinLnBrk="0" hangingPunct="1"/>
              <a:r>
                <a:rPr lang="en-SE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                                             conditions; </a:t>
              </a:r>
              <a:r>
                <a:rPr lang="en-SE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𝝆</a:t>
              </a:r>
              <a:r>
                <a:rPr lang="en-S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= 1 (considering stronger</a:t>
              </a:r>
              <a:r>
                <a:rPr lang="en-SE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effect of humidity))</a:t>
              </a:r>
            </a:p>
            <a:p>
              <a:pPr eaLnBrk="1" fontAlgn="auto" latinLnBrk="0" hangingPunct="1"/>
              <a:endParaRPr lang="en-US" sz="1000">
                <a:effectLst/>
              </a:endParaRPr>
            </a:p>
            <a:p>
              <a:pPr eaLnBrk="1" fontAlgn="auto" latinLnBrk="0" hangingPunct="1"/>
              <a:r>
                <a:rPr lang="en-SE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Mosquito Biting Rate as Function of Humidity </a:t>
              </a:r>
            </a:p>
            <a:p>
              <a:pPr eaLnBrk="1" fontAlgn="auto" latinLnBrk="0" hangingPunct="1"/>
              <a:endParaRPr lang="en-US" sz="1000">
                <a:effectLst/>
              </a:endParaRPr>
            </a:p>
            <a:p>
              <a:r>
                <a:rPr lang="en-SE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SE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(𝑢,𝑡)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SE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𝜈</a:t>
              </a:r>
              <a:r>
                <a:rPr lang="en-SE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=𝑎^</a:t>
              </a:r>
              <a:r>
                <a:rPr lang="en-SE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𝜈</a:t>
              </a:r>
              <a:r>
                <a:rPr lang="en-SE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(1+𝑎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_((</a:t>
              </a:r>
              <a:r>
                <a:rPr lang="en-SE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𝑢)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SE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𝜈 )</a:t>
              </a:r>
              <a:r>
                <a:rPr lang="en-SE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^𝜌</a:t>
              </a:r>
              <a:r>
                <a:rPr lang="en-SE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n-SE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(Eq.6)</a:t>
              </a:r>
              <a:r>
                <a:rPr lang="en-SE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SE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 </a:t>
              </a:r>
              <a:r>
                <a:rPr lang="en-SE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𝒂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_((</a:t>
              </a:r>
              <a:r>
                <a:rPr lang="en-SE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𝒖,𝒕)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SE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𝝂</a:t>
              </a:r>
              <a:r>
                <a:rPr lang="en-SE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SE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 Mosquito biting</a:t>
              </a:r>
              <a:r>
                <a:rPr lang="en-SE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rate at given Temperature adjusted for humidity and </a:t>
              </a:r>
              <a:r>
                <a:rPr lang="en-SE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𝑎^𝜈  </a:t>
              </a:r>
              <a:r>
                <a:rPr lang="en-SE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is average vector</a:t>
              </a:r>
              <a:r>
                <a:rPr lang="en-SE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biting rate for the region</a:t>
              </a:r>
              <a:r>
                <a:rPr lang="en-SE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endParaRPr lang="en-SE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SE" sz="1000" b="0" i="0">
                  <a:effectLst/>
                  <a:latin typeface="Cambria Math" panose="02040503050406030204" pitchFamily="18" charset="0"/>
                </a:rPr>
                <a:t>𝑎</a:t>
              </a:r>
              <a:r>
                <a:rPr lang="en-US" sz="1000" b="0" i="0">
                  <a:effectLst/>
                  <a:latin typeface="Cambria Math" panose="02040503050406030204" pitchFamily="18" charset="0"/>
                </a:rPr>
                <a:t>_(</a:t>
              </a:r>
              <a:r>
                <a:rPr lang="en-SE" sz="1000" b="0" i="0">
                  <a:effectLst/>
                  <a:latin typeface="Cambria Math" panose="02040503050406030204" pitchFamily="18" charset="0"/>
                </a:rPr>
                <a:t>(𝑢)</a:t>
              </a:r>
              <a:r>
                <a:rPr lang="en-US" sz="1000" b="0" i="0">
                  <a:effectLst/>
                  <a:latin typeface="Cambria Math" panose="02040503050406030204" pitchFamily="18" charset="0"/>
                </a:rPr>
                <a:t>)</a:t>
              </a:r>
              <a:r>
                <a:rPr lang="en-SE" sz="1000" b="0" i="0">
                  <a:effectLst/>
                  <a:latin typeface="Cambria Math" panose="02040503050406030204" pitchFamily="18" charset="0"/>
                </a:rPr>
                <a:t>^</a:t>
              </a:r>
              <a:r>
                <a:rPr lang="en-US" sz="100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𝜈</a:t>
              </a:r>
              <a:r>
                <a:rPr lang="en-SE" sz="1000" b="0" i="0">
                  <a:effectLst/>
                  <a:latin typeface="Cambria Math" panose="02040503050406030204" pitchFamily="18" charset="0"/>
                </a:rPr>
                <a:t>=((𝑢−𝑢 ̅ ))/√(1+(𝑢−𝑢 ̅ )^2 )  </a:t>
              </a:r>
              <a:r>
                <a:rPr lang="en-SE" sz="1000">
                  <a:effectLst/>
                </a:rPr>
                <a:t> </a:t>
              </a:r>
              <a:r>
                <a:rPr lang="en-SE" sz="1000" b="1">
                  <a:effectLst/>
                </a:rPr>
                <a:t>(Eq.7) </a:t>
              </a:r>
              <a:r>
                <a:rPr lang="en-SE" sz="1000">
                  <a:effectLst/>
                </a:rPr>
                <a:t>(u = humidity</a:t>
              </a:r>
              <a:r>
                <a:rPr lang="en-SE" sz="1000" baseline="0">
                  <a:effectLst/>
                </a:rPr>
                <a:t> of datapoint evaluated and </a:t>
              </a:r>
              <a:r>
                <a:rPr lang="en-SE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𝑢 ̅</a:t>
              </a:r>
              <a:r>
                <a:rPr lang="en-SE" sz="1000">
                  <a:effectLst/>
                </a:rPr>
                <a:t> = local average annual humidity of the region) </a:t>
              </a:r>
              <a:endParaRPr lang="en-US" sz="1000">
                <a:effectLst/>
              </a:endParaRPr>
            </a:p>
            <a:p>
              <a:endParaRPr lang="en-SE" sz="1000" kern="1200" baseline="0">
                <a:latin typeface="+mj-lt"/>
              </a:endParaRPr>
            </a:p>
            <a:p>
              <a:r>
                <a:rPr lang="en-SE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Mosquito Transmission from Vector to Human </a:t>
              </a:r>
            </a:p>
            <a:p>
              <a:endParaRPr lang="en-US" sz="1000">
                <a:effectLst/>
              </a:endParaRPr>
            </a:p>
            <a:p>
              <a:r>
                <a:rPr lang="en-SE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𝝓_((𝒕))^(𝝂→𝒉)</a:t>
              </a:r>
              <a:r>
                <a:rPr lang="en-SE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=0.001044𝑡 ∙(𝑡−12.286)∙(32.461−𝑡)^0.5</a:t>
              </a:r>
              <a:r>
                <a:rPr lang="en-SE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SE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(Eq.8)</a:t>
              </a:r>
              <a:endParaRPr lang="en-US" sz="1000">
                <a:effectLst/>
              </a:endParaRPr>
            </a:p>
            <a:p>
              <a:r>
                <a:rPr lang="en-SE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endParaRPr lang="en-US" sz="1000">
                <a:effectLst/>
              </a:endParaRPr>
            </a:p>
            <a:p>
              <a:pPr eaLnBrk="1" fontAlgn="auto" latinLnBrk="0" hangingPunct="1"/>
              <a:r>
                <a:rPr lang="en-SE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Mosquito Transmission from Human to Vector  </a:t>
              </a:r>
            </a:p>
            <a:p>
              <a:pPr eaLnBrk="1" fontAlgn="auto" latinLnBrk="0" hangingPunct="1"/>
              <a:endParaRPr lang="en-US" sz="1000">
                <a:effectLst/>
              </a:endParaRPr>
            </a:p>
            <a:p>
              <a:r>
                <a:rPr lang="en-SE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𝝓_((𝒕))^(𝒉→𝝂)</a:t>
              </a:r>
              <a:r>
                <a:rPr lang="en-SE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=0 for t&lt;12.4;0.0729𝑡−0.9037 𝑓𝑜𝑟 12.4 &lt;𝑡&lt;26.1;1 𝑓𝑜𝑟 𝑡&gt;26.1</a:t>
              </a:r>
              <a:r>
                <a:rPr lang="en-SE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SE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(Eq.9)</a:t>
              </a:r>
            </a:p>
            <a:p>
              <a:endParaRPr lang="en-SE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SE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Extrinsic Incubation Period   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SE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SE" sz="11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〖𝟏/𝜸〗_((𝒕))^𝝂</a:t>
              </a:r>
              <a:r>
                <a:rPr lang="en-SE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=4+𝑒^(5.15−0.123𝑡 )</a:t>
              </a:r>
              <a:r>
                <a:rPr lang="en-SE" sz="1000" b="1">
                  <a:effectLst/>
                </a:rPr>
                <a:t>(Eq.10)</a:t>
              </a:r>
              <a:endParaRPr lang="en-US" sz="1000" b="1">
                <a:effectLst/>
              </a:endParaRPr>
            </a:p>
            <a:p>
              <a:endParaRPr lang="en-US" sz="1000">
                <a:effectLst/>
              </a:endParaRP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7</xdr:col>
      <xdr:colOff>804742</xdr:colOff>
      <xdr:row>2</xdr:row>
      <xdr:rowOff>182896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452E7C-6EAA-4397-AB3D-091A7E450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99200" y="361950"/>
          <a:ext cx="804742" cy="18289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518205</xdr:colOff>
      <xdr:row>2</xdr:row>
      <xdr:rowOff>164606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6E4758-0CFA-406D-9C6A-1833EDEDB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51400" y="361950"/>
          <a:ext cx="518205" cy="1646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249958</xdr:colOff>
      <xdr:row>3</xdr:row>
      <xdr:rowOff>28215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3CFC7D6-FE28-4370-8976-3DEE7C987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47200" y="361950"/>
          <a:ext cx="249958" cy="237765"/>
        </a:xfrm>
        <a:prstGeom prst="rect">
          <a:avLst/>
        </a:prstGeom>
      </xdr:spPr>
    </xdr:pic>
    <xdr:clientData/>
  </xdr:twoCellAnchor>
  <xdr:twoCellAnchor editAs="oneCell">
    <xdr:from>
      <xdr:col>9</xdr:col>
      <xdr:colOff>6350</xdr:colOff>
      <xdr:row>1</xdr:row>
      <xdr:rowOff>184150</xdr:rowOff>
    </xdr:from>
    <xdr:to>
      <xdr:col>9</xdr:col>
      <xdr:colOff>1079500</xdr:colOff>
      <xdr:row>3</xdr:row>
      <xdr:rowOff>83083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0D14B29-C181-49B5-8F6C-141FB41A5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48650" y="361950"/>
          <a:ext cx="1073150" cy="29263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1127858</xdr:colOff>
      <xdr:row>2</xdr:row>
      <xdr:rowOff>182896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3280E2C-5B4B-4600-AB82-B800AD314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05650" y="361950"/>
          <a:ext cx="1127858" cy="18289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743776</xdr:colOff>
      <xdr:row>2</xdr:row>
      <xdr:rowOff>170703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DC3F12B-3619-4B3C-BDCC-4E81DB836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11800" y="361950"/>
          <a:ext cx="743776" cy="170703"/>
        </a:xfrm>
        <a:prstGeom prst="rect">
          <a:avLst/>
        </a:prstGeom>
      </xdr:spPr>
    </xdr:pic>
    <xdr:clientData/>
  </xdr:twoCellAnchor>
  <xdr:twoCellAnchor editAs="oneCell">
    <xdr:from>
      <xdr:col>13</xdr:col>
      <xdr:colOff>577850</xdr:colOff>
      <xdr:row>3</xdr:row>
      <xdr:rowOff>12700</xdr:rowOff>
    </xdr:from>
    <xdr:to>
      <xdr:col>13</xdr:col>
      <xdr:colOff>730263</xdr:colOff>
      <xdr:row>3</xdr:row>
      <xdr:rowOff>146824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3A03FAF-B0B5-4F15-9057-65BA1FF00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573000" y="584200"/>
          <a:ext cx="152413" cy="134124"/>
        </a:xfrm>
        <a:prstGeom prst="rect">
          <a:avLst/>
        </a:prstGeom>
      </xdr:spPr>
    </xdr:pic>
    <xdr:clientData/>
  </xdr:twoCellAnchor>
  <xdr:twoCellAnchor editAs="oneCell">
    <xdr:from>
      <xdr:col>13</xdr:col>
      <xdr:colOff>825500</xdr:colOff>
      <xdr:row>2</xdr:row>
      <xdr:rowOff>44450</xdr:rowOff>
    </xdr:from>
    <xdr:to>
      <xdr:col>14</xdr:col>
      <xdr:colOff>850900</xdr:colOff>
      <xdr:row>3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2518E70-8362-4382-B5E8-A1342E077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820650" y="406400"/>
          <a:ext cx="857250" cy="234950"/>
        </a:xfrm>
        <a:prstGeom prst="rect">
          <a:avLst/>
        </a:prstGeom>
      </xdr:spPr>
    </xdr:pic>
    <xdr:clientData/>
  </xdr:twoCellAnchor>
  <xdr:twoCellAnchor editAs="oneCell">
    <xdr:from>
      <xdr:col>15</xdr:col>
      <xdr:colOff>57150</xdr:colOff>
      <xdr:row>2</xdr:row>
      <xdr:rowOff>63500</xdr:rowOff>
    </xdr:from>
    <xdr:to>
      <xdr:col>15</xdr:col>
      <xdr:colOff>953340</xdr:colOff>
      <xdr:row>3</xdr:row>
      <xdr:rowOff>133350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192BF7F-40E2-4904-8457-229F6938C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11250" y="425450"/>
          <a:ext cx="896190" cy="279400"/>
        </a:xfrm>
        <a:prstGeom prst="rect">
          <a:avLst/>
        </a:prstGeom>
      </xdr:spPr>
    </xdr:pic>
    <xdr:clientData/>
  </xdr:twoCellAnchor>
  <xdr:twoCellAnchor editAs="oneCell">
    <xdr:from>
      <xdr:col>16</xdr:col>
      <xdr:colOff>38100</xdr:colOff>
      <xdr:row>2</xdr:row>
      <xdr:rowOff>12700</xdr:rowOff>
    </xdr:from>
    <xdr:to>
      <xdr:col>16</xdr:col>
      <xdr:colOff>1238249</xdr:colOff>
      <xdr:row>3</xdr:row>
      <xdr:rowOff>146050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342C6D0-CDD1-414C-9811-B9055984A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884400" y="374650"/>
          <a:ext cx="1200149" cy="342900"/>
        </a:xfrm>
        <a:prstGeom prst="rect">
          <a:avLst/>
        </a:prstGeom>
      </xdr:spPr>
    </xdr:pic>
    <xdr:clientData/>
  </xdr:twoCellAnchor>
  <xdr:twoCellAnchor editAs="oneCell">
    <xdr:from>
      <xdr:col>19</xdr:col>
      <xdr:colOff>228600</xdr:colOff>
      <xdr:row>2</xdr:row>
      <xdr:rowOff>114300</xdr:rowOff>
    </xdr:from>
    <xdr:to>
      <xdr:col>19</xdr:col>
      <xdr:colOff>399303</xdr:colOff>
      <xdr:row>3</xdr:row>
      <xdr:rowOff>75453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0EBDEC7-B1A6-4482-886E-2A8A5FC08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376900" y="476250"/>
          <a:ext cx="170703" cy="170703"/>
        </a:xfrm>
        <a:prstGeom prst="rect">
          <a:avLst/>
        </a:prstGeom>
      </xdr:spPr>
    </xdr:pic>
    <xdr:clientData/>
  </xdr:twoCellAnchor>
  <xdr:twoCellAnchor editAs="oneCell">
    <xdr:from>
      <xdr:col>20</xdr:col>
      <xdr:colOff>196850</xdr:colOff>
      <xdr:row>2</xdr:row>
      <xdr:rowOff>57150</xdr:rowOff>
    </xdr:from>
    <xdr:to>
      <xdr:col>20</xdr:col>
      <xdr:colOff>446808</xdr:colOff>
      <xdr:row>3</xdr:row>
      <xdr:rowOff>85365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D0E9941-E7ED-4C45-8807-0AC3BB208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05550" y="419100"/>
          <a:ext cx="249958" cy="237765"/>
        </a:xfrm>
        <a:prstGeom prst="rect">
          <a:avLst/>
        </a:prstGeom>
      </xdr:spPr>
    </xdr:pic>
    <xdr:clientData/>
  </xdr:twoCellAnchor>
  <xdr:twoCellAnchor editAs="oneCell">
    <xdr:from>
      <xdr:col>21</xdr:col>
      <xdr:colOff>165100</xdr:colOff>
      <xdr:row>2</xdr:row>
      <xdr:rowOff>50800</xdr:rowOff>
    </xdr:from>
    <xdr:to>
      <xdr:col>21</xdr:col>
      <xdr:colOff>439444</xdr:colOff>
      <xdr:row>3</xdr:row>
      <xdr:rowOff>79015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AA0E1BA-603F-4AED-AC45-4B3457634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634200" y="412750"/>
          <a:ext cx="274344" cy="237765"/>
        </a:xfrm>
        <a:prstGeom prst="rect">
          <a:avLst/>
        </a:prstGeom>
      </xdr:spPr>
    </xdr:pic>
    <xdr:clientData/>
  </xdr:twoCellAnchor>
  <xdr:twoCellAnchor editAs="oneCell">
    <xdr:from>
      <xdr:col>22</xdr:col>
      <xdr:colOff>203200</xdr:colOff>
      <xdr:row>2</xdr:row>
      <xdr:rowOff>88900</xdr:rowOff>
    </xdr:from>
    <xdr:to>
      <xdr:col>22</xdr:col>
      <xdr:colOff>386096</xdr:colOff>
      <xdr:row>3</xdr:row>
      <xdr:rowOff>50053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290FF2B-F9E0-49ED-A9EF-FBA2CE4B6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0332700" y="450850"/>
          <a:ext cx="182896" cy="170703"/>
        </a:xfrm>
        <a:prstGeom prst="rect">
          <a:avLst/>
        </a:prstGeom>
      </xdr:spPr>
    </xdr:pic>
    <xdr:clientData/>
  </xdr:twoCellAnchor>
  <xdr:twoCellAnchor editAs="oneCell">
    <xdr:from>
      <xdr:col>23</xdr:col>
      <xdr:colOff>38100</xdr:colOff>
      <xdr:row>2</xdr:row>
      <xdr:rowOff>25401</xdr:rowOff>
    </xdr:from>
    <xdr:to>
      <xdr:col>23</xdr:col>
      <xdr:colOff>1314446</xdr:colOff>
      <xdr:row>3</xdr:row>
      <xdr:rowOff>69850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06B1C39-80C6-4827-B0A9-33736C911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828000" y="387351"/>
          <a:ext cx="1276346" cy="253999"/>
        </a:xfrm>
        <a:prstGeom prst="rect">
          <a:avLst/>
        </a:prstGeom>
      </xdr:spPr>
    </xdr:pic>
    <xdr:clientData/>
  </xdr:twoCellAnchor>
  <xdr:twoCellAnchor editAs="oneCell">
    <xdr:from>
      <xdr:col>25</xdr:col>
      <xdr:colOff>755650</xdr:colOff>
      <xdr:row>3</xdr:row>
      <xdr:rowOff>12700</xdr:rowOff>
    </xdr:from>
    <xdr:to>
      <xdr:col>25</xdr:col>
      <xdr:colOff>981222</xdr:colOff>
      <xdr:row>3</xdr:row>
      <xdr:rowOff>159017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B765CCE-DDDC-4FFC-BE4B-124A87706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657050" y="584200"/>
          <a:ext cx="225572" cy="146317"/>
        </a:xfrm>
        <a:prstGeom prst="rect">
          <a:avLst/>
        </a:prstGeom>
      </xdr:spPr>
    </xdr:pic>
    <xdr:clientData/>
  </xdr:twoCellAnchor>
  <xdr:twoCellAnchor editAs="oneCell">
    <xdr:from>
      <xdr:col>26</xdr:col>
      <xdr:colOff>88900</xdr:colOff>
      <xdr:row>2</xdr:row>
      <xdr:rowOff>146050</xdr:rowOff>
    </xdr:from>
    <xdr:to>
      <xdr:col>26</xdr:col>
      <xdr:colOff>479078</xdr:colOff>
      <xdr:row>3</xdr:row>
      <xdr:rowOff>64527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256B4A4-79AC-4E54-A223-EA560B9ED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5076150" y="508000"/>
          <a:ext cx="390178" cy="128027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</xdr:row>
      <xdr:rowOff>120650</xdr:rowOff>
    </xdr:from>
    <xdr:to>
      <xdr:col>28</xdr:col>
      <xdr:colOff>23438</xdr:colOff>
      <xdr:row>3</xdr:row>
      <xdr:rowOff>93996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E9B18D8-E6F9-4466-9904-2679BFBF5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5647650" y="482600"/>
          <a:ext cx="810838" cy="182896"/>
        </a:xfrm>
        <a:prstGeom prst="rect">
          <a:avLst/>
        </a:prstGeom>
      </xdr:spPr>
    </xdr:pic>
    <xdr:clientData/>
  </xdr:twoCellAnchor>
  <xdr:twoCellAnchor editAs="oneCell">
    <xdr:from>
      <xdr:col>28</xdr:col>
      <xdr:colOff>31750</xdr:colOff>
      <xdr:row>2</xdr:row>
      <xdr:rowOff>63500</xdr:rowOff>
    </xdr:from>
    <xdr:to>
      <xdr:col>28</xdr:col>
      <xdr:colOff>1003300</xdr:colOff>
      <xdr:row>3</xdr:row>
      <xdr:rowOff>143965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AB00631-4791-4D01-BA54-FDE7A2BC0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6466800" y="425450"/>
          <a:ext cx="971550" cy="290015"/>
        </a:xfrm>
        <a:prstGeom prst="rect">
          <a:avLst/>
        </a:prstGeom>
      </xdr:spPr>
    </xdr:pic>
    <xdr:clientData/>
  </xdr:twoCellAnchor>
  <xdr:twoCellAnchor editAs="oneCell">
    <xdr:from>
      <xdr:col>29</xdr:col>
      <xdr:colOff>69850</xdr:colOff>
      <xdr:row>2</xdr:row>
      <xdr:rowOff>76200</xdr:rowOff>
    </xdr:from>
    <xdr:to>
      <xdr:col>29</xdr:col>
      <xdr:colOff>252746</xdr:colOff>
      <xdr:row>3</xdr:row>
      <xdr:rowOff>37353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89B9CBD-9BD5-4CA2-A9B8-AD62F934C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628850" y="438150"/>
          <a:ext cx="182896" cy="170703"/>
        </a:xfrm>
        <a:prstGeom prst="rect">
          <a:avLst/>
        </a:prstGeom>
      </xdr:spPr>
    </xdr:pic>
    <xdr:clientData/>
  </xdr:twoCellAnchor>
  <xdr:twoCellAnchor editAs="oneCell">
    <xdr:from>
      <xdr:col>30</xdr:col>
      <xdr:colOff>57151</xdr:colOff>
      <xdr:row>2</xdr:row>
      <xdr:rowOff>69850</xdr:rowOff>
    </xdr:from>
    <xdr:to>
      <xdr:col>30</xdr:col>
      <xdr:colOff>1225551</xdr:colOff>
      <xdr:row>3</xdr:row>
      <xdr:rowOff>51676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AC5EB12-025B-499C-8F18-E71ADA6AB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990801" y="431800"/>
          <a:ext cx="1168400" cy="191376"/>
        </a:xfrm>
        <a:prstGeom prst="rect">
          <a:avLst/>
        </a:prstGeom>
      </xdr:spPr>
    </xdr:pic>
    <xdr:clientData/>
  </xdr:twoCellAnchor>
  <xdr:twoCellAnchor editAs="oneCell">
    <xdr:from>
      <xdr:col>33</xdr:col>
      <xdr:colOff>57150</xdr:colOff>
      <xdr:row>2</xdr:row>
      <xdr:rowOff>120650</xdr:rowOff>
    </xdr:from>
    <xdr:to>
      <xdr:col>33</xdr:col>
      <xdr:colOff>782637</xdr:colOff>
      <xdr:row>3</xdr:row>
      <xdr:rowOff>75706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5DF5161-E6D0-4CA2-9CBE-64C596655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1216600" y="482600"/>
          <a:ext cx="725487" cy="164606"/>
        </a:xfrm>
        <a:prstGeom prst="rect">
          <a:avLst/>
        </a:prstGeom>
      </xdr:spPr>
    </xdr:pic>
    <xdr:clientData/>
  </xdr:twoCellAnchor>
  <xdr:twoCellAnchor editAs="oneCell">
    <xdr:from>
      <xdr:col>34</xdr:col>
      <xdr:colOff>57150</xdr:colOff>
      <xdr:row>2</xdr:row>
      <xdr:rowOff>114300</xdr:rowOff>
    </xdr:from>
    <xdr:to>
      <xdr:col>34</xdr:col>
      <xdr:colOff>800926</xdr:colOff>
      <xdr:row>3</xdr:row>
      <xdr:rowOff>69356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5201FD6-6BF7-47C3-9572-5B718D310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2042100" y="476250"/>
          <a:ext cx="743776" cy="164606"/>
        </a:xfrm>
        <a:prstGeom prst="rect">
          <a:avLst/>
        </a:prstGeom>
      </xdr:spPr>
    </xdr:pic>
    <xdr:clientData/>
  </xdr:twoCellAnchor>
  <xdr:twoCellAnchor editAs="oneCell">
    <xdr:from>
      <xdr:col>35</xdr:col>
      <xdr:colOff>63500</xdr:colOff>
      <xdr:row>2</xdr:row>
      <xdr:rowOff>76200</xdr:rowOff>
    </xdr:from>
    <xdr:to>
      <xdr:col>35</xdr:col>
      <xdr:colOff>990172</xdr:colOff>
      <xdr:row>3</xdr:row>
      <xdr:rowOff>55642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D573E6-A214-4AD5-A41A-CC252EE15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886650" y="438150"/>
          <a:ext cx="926672" cy="188992"/>
        </a:xfrm>
        <a:prstGeom prst="rect">
          <a:avLst/>
        </a:prstGeom>
      </xdr:spPr>
    </xdr:pic>
    <xdr:clientData/>
  </xdr:twoCellAnchor>
  <xdr:twoCellAnchor editAs="oneCell">
    <xdr:from>
      <xdr:col>36</xdr:col>
      <xdr:colOff>88900</xdr:colOff>
      <xdr:row>2</xdr:row>
      <xdr:rowOff>57150</xdr:rowOff>
    </xdr:from>
    <xdr:to>
      <xdr:col>36</xdr:col>
      <xdr:colOff>521754</xdr:colOff>
      <xdr:row>3</xdr:row>
      <xdr:rowOff>103654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BE17A19-4008-4620-97CD-00C5885B8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3991550" y="419100"/>
          <a:ext cx="432854" cy="256054"/>
        </a:xfrm>
        <a:prstGeom prst="rect">
          <a:avLst/>
        </a:prstGeom>
      </xdr:spPr>
    </xdr:pic>
    <xdr:clientData/>
  </xdr:twoCellAnchor>
  <xdr:twoCellAnchor editAs="oneCell">
    <xdr:from>
      <xdr:col>38</xdr:col>
      <xdr:colOff>1454150</xdr:colOff>
      <xdr:row>2</xdr:row>
      <xdr:rowOff>57150</xdr:rowOff>
    </xdr:from>
    <xdr:to>
      <xdr:col>38</xdr:col>
      <xdr:colOff>1868714</xdr:colOff>
      <xdr:row>3</xdr:row>
      <xdr:rowOff>103654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98E24F01-02BA-4F2D-994A-6558B7749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299900" y="419100"/>
          <a:ext cx="414564" cy="256054"/>
        </a:xfrm>
        <a:prstGeom prst="rect">
          <a:avLst/>
        </a:prstGeom>
      </xdr:spPr>
    </xdr:pic>
    <xdr:clientData/>
  </xdr:twoCellAnchor>
  <xdr:twoCellAnchor>
    <xdr:from>
      <xdr:col>37</xdr:col>
      <xdr:colOff>685800</xdr:colOff>
      <xdr:row>11</xdr:row>
      <xdr:rowOff>76200</xdr:rowOff>
    </xdr:from>
    <xdr:to>
      <xdr:col>38</xdr:col>
      <xdr:colOff>25400</xdr:colOff>
      <xdr:row>21</xdr:row>
      <xdr:rowOff>114300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455CDB31-9C97-473A-984A-911269C3565C}"/>
            </a:ext>
          </a:extLst>
        </xdr:cNvPr>
        <xdr:cNvCxnSpPr/>
      </xdr:nvCxnSpPr>
      <xdr:spPr>
        <a:xfrm flipH="1">
          <a:off x="34810700" y="2171700"/>
          <a:ext cx="400050" cy="1822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42</xdr:col>
      <xdr:colOff>641350</xdr:colOff>
      <xdr:row>3</xdr:row>
      <xdr:rowOff>215900</xdr:rowOff>
    </xdr:from>
    <xdr:to>
      <xdr:col>43</xdr:col>
      <xdr:colOff>365031</xdr:colOff>
      <xdr:row>5</xdr:row>
      <xdr:rowOff>51333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CE230ED-F1F4-4270-AD33-88FD10F78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4977050" y="787400"/>
          <a:ext cx="384081" cy="292633"/>
        </a:xfrm>
        <a:prstGeom prst="rect">
          <a:avLst/>
        </a:prstGeom>
      </xdr:spPr>
    </xdr:pic>
    <xdr:clientData/>
  </xdr:twoCellAnchor>
  <xdr:twoCellAnchor editAs="oneCell">
    <xdr:from>
      <xdr:col>43</xdr:col>
      <xdr:colOff>31750</xdr:colOff>
      <xdr:row>5</xdr:row>
      <xdr:rowOff>57150</xdr:rowOff>
    </xdr:from>
    <xdr:to>
      <xdr:col>43</xdr:col>
      <xdr:colOff>312190</xdr:colOff>
      <xdr:row>5</xdr:row>
      <xdr:rowOff>252239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B4AA22F5-A5D8-404A-8F61-66524F9E7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4367450" y="1085850"/>
          <a:ext cx="280440" cy="195089"/>
        </a:xfrm>
        <a:prstGeom prst="rect">
          <a:avLst/>
        </a:prstGeom>
      </xdr:spPr>
    </xdr:pic>
    <xdr:clientData/>
  </xdr:twoCellAnchor>
  <xdr:twoCellAnchor editAs="oneCell">
    <xdr:from>
      <xdr:col>43</xdr:col>
      <xdr:colOff>50800</xdr:colOff>
      <xdr:row>5</xdr:row>
      <xdr:rowOff>215900</xdr:rowOff>
    </xdr:from>
    <xdr:to>
      <xdr:col>43</xdr:col>
      <xdr:colOff>349530</xdr:colOff>
      <xdr:row>7</xdr:row>
      <xdr:rowOff>19837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BC155CCC-C518-4EDE-8801-7FFBDDFA6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4386500" y="1244600"/>
          <a:ext cx="298730" cy="286537"/>
        </a:xfrm>
        <a:prstGeom prst="rect">
          <a:avLst/>
        </a:prstGeom>
      </xdr:spPr>
    </xdr:pic>
    <xdr:clientData/>
  </xdr:twoCellAnchor>
  <xdr:twoCellAnchor editAs="oneCell">
    <xdr:from>
      <xdr:col>56</xdr:col>
      <xdr:colOff>114301</xdr:colOff>
      <xdr:row>2</xdr:row>
      <xdr:rowOff>82550</xdr:rowOff>
    </xdr:from>
    <xdr:to>
      <xdr:col>56</xdr:col>
      <xdr:colOff>1524001</xdr:colOff>
      <xdr:row>3</xdr:row>
      <xdr:rowOff>197931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7B80B025-3636-4138-8BAC-9E489B42B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32301" y="444500"/>
          <a:ext cx="1409700" cy="324931"/>
        </a:xfrm>
        <a:prstGeom prst="rect">
          <a:avLst/>
        </a:prstGeom>
      </xdr:spPr>
    </xdr:pic>
    <xdr:clientData/>
  </xdr:twoCellAnchor>
  <xdr:twoCellAnchor editAs="oneCell">
    <xdr:from>
      <xdr:col>40</xdr:col>
      <xdr:colOff>723900</xdr:colOff>
      <xdr:row>2</xdr:row>
      <xdr:rowOff>76200</xdr:rowOff>
    </xdr:from>
    <xdr:to>
      <xdr:col>40</xdr:col>
      <xdr:colOff>2260225</xdr:colOff>
      <xdr:row>3</xdr:row>
      <xdr:rowOff>104415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EA80E408-5C95-414C-8EB4-F42488B75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0576500" y="438150"/>
          <a:ext cx="1536325" cy="237765"/>
        </a:xfrm>
        <a:prstGeom prst="rect">
          <a:avLst/>
        </a:prstGeom>
      </xdr:spPr>
    </xdr:pic>
    <xdr:clientData/>
  </xdr:twoCellAnchor>
  <xdr:twoCellAnchor editAs="oneCell">
    <xdr:from>
      <xdr:col>57</xdr:col>
      <xdr:colOff>44451</xdr:colOff>
      <xdr:row>2</xdr:row>
      <xdr:rowOff>146051</xdr:rowOff>
    </xdr:from>
    <xdr:to>
      <xdr:col>57</xdr:col>
      <xdr:colOff>1942928</xdr:colOff>
      <xdr:row>3</xdr:row>
      <xdr:rowOff>139701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46A253C-67C3-4E5B-BEC9-BC401ED92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6794401" y="508001"/>
          <a:ext cx="1898477" cy="203200"/>
        </a:xfrm>
        <a:prstGeom prst="rect">
          <a:avLst/>
        </a:prstGeom>
      </xdr:spPr>
    </xdr:pic>
    <xdr:clientData/>
  </xdr:twoCellAnchor>
  <xdr:twoCellAnchor editAs="oneCell">
    <xdr:from>
      <xdr:col>58</xdr:col>
      <xdr:colOff>95249</xdr:colOff>
      <xdr:row>2</xdr:row>
      <xdr:rowOff>69851</xdr:rowOff>
    </xdr:from>
    <xdr:to>
      <xdr:col>58</xdr:col>
      <xdr:colOff>2238912</xdr:colOff>
      <xdr:row>3</xdr:row>
      <xdr:rowOff>209550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32BD5398-5B25-4329-99F3-F0B28BD2E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8889899" y="431801"/>
          <a:ext cx="2143663" cy="349249"/>
        </a:xfrm>
        <a:prstGeom prst="rect">
          <a:avLst/>
        </a:prstGeom>
      </xdr:spPr>
    </xdr:pic>
    <xdr:clientData/>
  </xdr:twoCellAnchor>
  <xdr:twoCellAnchor editAs="oneCell">
    <xdr:from>
      <xdr:col>62</xdr:col>
      <xdr:colOff>1200150</xdr:colOff>
      <xdr:row>2</xdr:row>
      <xdr:rowOff>120650</xdr:rowOff>
    </xdr:from>
    <xdr:to>
      <xdr:col>62</xdr:col>
      <xdr:colOff>2181691</xdr:colOff>
      <xdr:row>3</xdr:row>
      <xdr:rowOff>130575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96F52267-E682-46FB-BB5B-5454CE204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5919350" y="482600"/>
          <a:ext cx="981541" cy="219475"/>
        </a:xfrm>
        <a:prstGeom prst="rect">
          <a:avLst/>
        </a:prstGeom>
      </xdr:spPr>
    </xdr:pic>
    <xdr:clientData/>
  </xdr:twoCellAnchor>
  <xdr:twoCellAnchor>
    <xdr:from>
      <xdr:col>18</xdr:col>
      <xdr:colOff>558800</xdr:colOff>
      <xdr:row>7</xdr:row>
      <xdr:rowOff>79375</xdr:rowOff>
    </xdr:from>
    <xdr:to>
      <xdr:col>22</xdr:col>
      <xdr:colOff>38100</xdr:colOff>
      <xdr:row>10</xdr:row>
      <xdr:rowOff>171450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FFA49697-6093-41D7-8A9D-BA9F3395D524}"/>
            </a:ext>
          </a:extLst>
        </xdr:cNvPr>
        <xdr:cNvCxnSpPr>
          <a:endCxn id="38" idx="3"/>
        </xdr:cNvCxnSpPr>
      </xdr:nvCxnSpPr>
      <xdr:spPr>
        <a:xfrm flipH="1" flipV="1">
          <a:off x="17386300" y="1463675"/>
          <a:ext cx="2120900" cy="625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133350</xdr:colOff>
      <xdr:row>4</xdr:row>
      <xdr:rowOff>158750</xdr:rowOff>
    </xdr:from>
    <xdr:to>
      <xdr:col>18</xdr:col>
      <xdr:colOff>558800</xdr:colOff>
      <xdr:row>10</xdr:row>
      <xdr:rowOff>31750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BFDCA917-BAA6-4477-8DE5-77B8A5CAC500}"/>
            </a:ext>
          </a:extLst>
        </xdr:cNvPr>
        <xdr:cNvSpPr txBox="1"/>
      </xdr:nvSpPr>
      <xdr:spPr>
        <a:xfrm>
          <a:off x="15640050" y="977900"/>
          <a:ext cx="1746250" cy="971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E" sz="1100" kern="1200"/>
            <a:t>1&lt;</a:t>
          </a:r>
          <a:r>
            <a:rPr lang="el-GR" sz="1100" kern="1200"/>
            <a:t>ρ&lt;</a:t>
          </a:r>
          <a:r>
            <a:rPr lang="en-SE" sz="1100" kern="1200"/>
            <a:t>2</a:t>
          </a:r>
          <a:r>
            <a:rPr lang="en-SE" sz="1100" kern="1200" baseline="0"/>
            <a:t> recommended for Tropical Cities Like Dhaka (1.5 Considered for Outdoor Conditions in August Month) </a:t>
          </a:r>
          <a:endParaRPr lang="en-US" sz="1100" kern="1200"/>
        </a:p>
      </xdr:txBody>
    </xdr:sp>
    <xdr:clientData/>
  </xdr:twoCellAnchor>
  <xdr:twoCellAnchor>
    <xdr:from>
      <xdr:col>29</xdr:col>
      <xdr:colOff>215900</xdr:colOff>
      <xdr:row>9</xdr:row>
      <xdr:rowOff>12700</xdr:rowOff>
    </xdr:from>
    <xdr:to>
      <xdr:col>31</xdr:col>
      <xdr:colOff>228600</xdr:colOff>
      <xdr:row>11</xdr:row>
      <xdr:rowOff>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6841ACB3-6106-4460-930A-D6CC5ED99F76}"/>
            </a:ext>
          </a:extLst>
        </xdr:cNvPr>
        <xdr:cNvCxnSpPr/>
      </xdr:nvCxnSpPr>
      <xdr:spPr>
        <a:xfrm flipV="1">
          <a:off x="27114500" y="1752600"/>
          <a:ext cx="167005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48</xdr:col>
      <xdr:colOff>76200</xdr:colOff>
      <xdr:row>2</xdr:row>
      <xdr:rowOff>76200</xdr:rowOff>
    </xdr:from>
    <xdr:to>
      <xdr:col>48</xdr:col>
      <xdr:colOff>509054</xdr:colOff>
      <xdr:row>3</xdr:row>
      <xdr:rowOff>122704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4AFC8071-CD31-4263-8DB9-2844CB657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0368200" y="438150"/>
          <a:ext cx="432854" cy="256054"/>
        </a:xfrm>
        <a:prstGeom prst="rect">
          <a:avLst/>
        </a:prstGeom>
      </xdr:spPr>
    </xdr:pic>
    <xdr:clientData/>
  </xdr:twoCellAnchor>
  <xdr:twoCellAnchor editAs="oneCell">
    <xdr:from>
      <xdr:col>49</xdr:col>
      <xdr:colOff>63500</xdr:colOff>
      <xdr:row>2</xdr:row>
      <xdr:rowOff>107950</xdr:rowOff>
    </xdr:from>
    <xdr:to>
      <xdr:col>49</xdr:col>
      <xdr:colOff>478064</xdr:colOff>
      <xdr:row>3</xdr:row>
      <xdr:rowOff>154454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A285B142-F9EB-4D6B-9DA3-DE1AD1B1A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0958750" y="469900"/>
          <a:ext cx="414564" cy="256054"/>
        </a:xfrm>
        <a:prstGeom prst="rect">
          <a:avLst/>
        </a:prstGeom>
      </xdr:spPr>
    </xdr:pic>
    <xdr:clientData/>
  </xdr:twoCellAnchor>
  <xdr:twoCellAnchor editAs="oneCell">
    <xdr:from>
      <xdr:col>50</xdr:col>
      <xdr:colOff>127000</xdr:colOff>
      <xdr:row>2</xdr:row>
      <xdr:rowOff>146050</xdr:rowOff>
    </xdr:from>
    <xdr:to>
      <xdr:col>50</xdr:col>
      <xdr:colOff>383054</xdr:colOff>
      <xdr:row>3</xdr:row>
      <xdr:rowOff>125492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4226EC78-B061-4CAD-A768-799220FE8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1625500" y="508000"/>
          <a:ext cx="256054" cy="188992"/>
        </a:xfrm>
        <a:prstGeom prst="rect">
          <a:avLst/>
        </a:prstGeom>
      </xdr:spPr>
    </xdr:pic>
    <xdr:clientData/>
  </xdr:twoCellAnchor>
  <xdr:twoCellAnchor editAs="oneCell">
    <xdr:from>
      <xdr:col>51</xdr:col>
      <xdr:colOff>50800</xdr:colOff>
      <xdr:row>2</xdr:row>
      <xdr:rowOff>76200</xdr:rowOff>
    </xdr:from>
    <xdr:to>
      <xdr:col>51</xdr:col>
      <xdr:colOff>434881</xdr:colOff>
      <xdr:row>3</xdr:row>
      <xdr:rowOff>159283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FB3D75D0-C6ED-4E59-B2A5-2A45F772E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2152550" y="438150"/>
          <a:ext cx="384081" cy="292633"/>
        </a:xfrm>
        <a:prstGeom prst="rect">
          <a:avLst/>
        </a:prstGeom>
      </xdr:spPr>
    </xdr:pic>
    <xdr:clientData/>
  </xdr:twoCellAnchor>
  <xdr:twoCellAnchor editAs="oneCell">
    <xdr:from>
      <xdr:col>47</xdr:col>
      <xdr:colOff>190500</xdr:colOff>
      <xdr:row>2</xdr:row>
      <xdr:rowOff>114300</xdr:rowOff>
    </xdr:from>
    <xdr:to>
      <xdr:col>47</xdr:col>
      <xdr:colOff>519713</xdr:colOff>
      <xdr:row>3</xdr:row>
      <xdr:rowOff>93742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EC10F94C-B8DD-4FF2-9492-E487F2037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9885600" y="476250"/>
          <a:ext cx="329213" cy="188992"/>
        </a:xfrm>
        <a:prstGeom prst="rect">
          <a:avLst/>
        </a:prstGeom>
      </xdr:spPr>
    </xdr:pic>
    <xdr:clientData/>
  </xdr:twoCellAnchor>
  <xdr:twoCellAnchor editAs="oneCell">
    <xdr:from>
      <xdr:col>52</xdr:col>
      <xdr:colOff>76200</xdr:colOff>
      <xdr:row>2</xdr:row>
      <xdr:rowOff>133350</xdr:rowOff>
    </xdr:from>
    <xdr:to>
      <xdr:col>52</xdr:col>
      <xdr:colOff>423702</xdr:colOff>
      <xdr:row>3</xdr:row>
      <xdr:rowOff>112792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CB265990-3704-49A4-A568-15DD37D32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2781200" y="495300"/>
          <a:ext cx="347502" cy="188992"/>
        </a:xfrm>
        <a:prstGeom prst="rect">
          <a:avLst/>
        </a:prstGeom>
      </xdr:spPr>
    </xdr:pic>
    <xdr:clientData/>
  </xdr:twoCellAnchor>
  <xdr:twoCellAnchor editAs="oneCell">
    <xdr:from>
      <xdr:col>53</xdr:col>
      <xdr:colOff>114300</xdr:colOff>
      <xdr:row>2</xdr:row>
      <xdr:rowOff>158750</xdr:rowOff>
    </xdr:from>
    <xdr:to>
      <xdr:col>53</xdr:col>
      <xdr:colOff>394740</xdr:colOff>
      <xdr:row>3</xdr:row>
      <xdr:rowOff>144289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84F342D5-212A-499B-A9C2-E810780BA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3422550" y="520700"/>
          <a:ext cx="280440" cy="195089"/>
        </a:xfrm>
        <a:prstGeom prst="rect">
          <a:avLst/>
        </a:prstGeom>
      </xdr:spPr>
    </xdr:pic>
    <xdr:clientData/>
  </xdr:twoCellAnchor>
  <xdr:twoCellAnchor editAs="oneCell">
    <xdr:from>
      <xdr:col>54</xdr:col>
      <xdr:colOff>139700</xdr:colOff>
      <xdr:row>2</xdr:row>
      <xdr:rowOff>82550</xdr:rowOff>
    </xdr:from>
    <xdr:to>
      <xdr:col>54</xdr:col>
      <xdr:colOff>438430</xdr:colOff>
      <xdr:row>3</xdr:row>
      <xdr:rowOff>159537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4AEC4442-74C4-4024-B1E3-E34266B65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4051200" y="444500"/>
          <a:ext cx="298730" cy="286537"/>
        </a:xfrm>
        <a:prstGeom prst="rect">
          <a:avLst/>
        </a:prstGeom>
      </xdr:spPr>
    </xdr:pic>
    <xdr:clientData/>
  </xdr:twoCellAnchor>
  <xdr:twoCellAnchor>
    <xdr:from>
      <xdr:col>31</xdr:col>
      <xdr:colOff>241300</xdr:colOff>
      <xdr:row>6</xdr:row>
      <xdr:rowOff>31750</xdr:rowOff>
    </xdr:from>
    <xdr:to>
      <xdr:col>32</xdr:col>
      <xdr:colOff>590550</xdr:colOff>
      <xdr:row>11</xdr:row>
      <xdr:rowOff>114300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60909932-A0D8-4F3D-ACDE-29F3BE7FF6FD}"/>
            </a:ext>
          </a:extLst>
        </xdr:cNvPr>
        <xdr:cNvSpPr txBox="1"/>
      </xdr:nvSpPr>
      <xdr:spPr>
        <a:xfrm>
          <a:off x="28797250" y="1238250"/>
          <a:ext cx="1631950" cy="971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E" sz="1100" kern="1200"/>
            <a:t>1&lt;</a:t>
          </a:r>
          <a:r>
            <a:rPr lang="el-GR" sz="1100" kern="1200"/>
            <a:t>ρ&lt;</a:t>
          </a:r>
          <a:r>
            <a:rPr lang="en-SE" sz="1100" kern="1200"/>
            <a:t>2</a:t>
          </a:r>
          <a:r>
            <a:rPr lang="en-SE" sz="1100" kern="1200" baseline="0"/>
            <a:t> recommended for Tropical Cities Like Dhaka (1.5 Considered for Outdoor Conditions in August Month) </a:t>
          </a:r>
          <a:endParaRPr lang="en-US" sz="1100" kern="1200"/>
        </a:p>
      </xdr:txBody>
    </xdr:sp>
    <xdr:clientData/>
  </xdr:twoCellAnchor>
  <xdr:twoCellAnchor>
    <xdr:from>
      <xdr:col>36</xdr:col>
      <xdr:colOff>806450</xdr:colOff>
      <xdr:row>21</xdr:row>
      <xdr:rowOff>127000</xdr:rowOff>
    </xdr:from>
    <xdr:to>
      <xdr:col>38</xdr:col>
      <xdr:colOff>495300</xdr:colOff>
      <xdr:row>25</xdr:row>
      <xdr:rowOff>171450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C55AF449-77FB-4070-A268-F82F16E7ABB1}"/>
            </a:ext>
          </a:extLst>
        </xdr:cNvPr>
        <xdr:cNvSpPr txBox="1"/>
      </xdr:nvSpPr>
      <xdr:spPr>
        <a:xfrm>
          <a:off x="34048700" y="4006850"/>
          <a:ext cx="1631950" cy="755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E" sz="1100" kern="1200"/>
            <a:t>0</a:t>
          </a:r>
          <a:r>
            <a:rPr lang="en-SE" sz="1100" kern="1200" baseline="0"/>
            <a:t> for t&lt; 12.4°C</a:t>
          </a:r>
        </a:p>
        <a:p>
          <a:r>
            <a:rPr lang="en-SE" sz="1100" kern="1200" baseline="0"/>
            <a:t>0.0729t-0.9037 for 12.4°C &lt; t &lt; 26.1°C</a:t>
          </a:r>
        </a:p>
        <a:p>
          <a:r>
            <a:rPr lang="en-SE" sz="1100" kern="1200" baseline="0"/>
            <a:t>1 for t </a:t>
          </a:r>
          <a:r>
            <a:rPr lang="en-SE" sz="1100" kern="12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˃ 26.1°C</a:t>
          </a:r>
          <a:r>
            <a:rPr lang="en-SE" sz="1100" kern="1200" baseline="0"/>
            <a:t> </a:t>
          </a:r>
          <a:endParaRPr lang="en-US" sz="1100" kern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8</xdr:col>
      <xdr:colOff>804742</xdr:colOff>
      <xdr:row>2</xdr:row>
      <xdr:rowOff>182896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891C4A-80D0-54C9-00AA-2936E1C7B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0" y="361950"/>
          <a:ext cx="804742" cy="18289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518205</xdr:colOff>
      <xdr:row>2</xdr:row>
      <xdr:rowOff>164606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1AF491C-3D8B-C180-6DA1-4367BE61C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51400" y="361950"/>
          <a:ext cx="518205" cy="16460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249958</xdr:colOff>
      <xdr:row>3</xdr:row>
      <xdr:rowOff>28215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0156727-7902-4FDF-9A55-5EFFD964E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02750" y="361950"/>
          <a:ext cx="249958" cy="237765"/>
        </a:xfrm>
        <a:prstGeom prst="rect">
          <a:avLst/>
        </a:prstGeom>
      </xdr:spPr>
    </xdr:pic>
    <xdr:clientData/>
  </xdr:twoCellAnchor>
  <xdr:twoCellAnchor editAs="oneCell">
    <xdr:from>
      <xdr:col>10</xdr:col>
      <xdr:colOff>6350</xdr:colOff>
      <xdr:row>1</xdr:row>
      <xdr:rowOff>184150</xdr:rowOff>
    </xdr:from>
    <xdr:to>
      <xdr:col>10</xdr:col>
      <xdr:colOff>1079500</xdr:colOff>
      <xdr:row>3</xdr:row>
      <xdr:rowOff>83083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758969F-2C8C-63F2-D83B-C10336669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04200" y="368300"/>
          <a:ext cx="1073150" cy="29263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1127858</xdr:colOff>
      <xdr:row>2</xdr:row>
      <xdr:rowOff>182896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291CC96-2FAA-E31A-2365-E31DE5FFF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05650" y="387350"/>
          <a:ext cx="1127858" cy="18289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743776</xdr:colOff>
      <xdr:row>2</xdr:row>
      <xdr:rowOff>170703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CE1F49-212C-63A4-2AC7-4CFCA7EBE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11800" y="387350"/>
          <a:ext cx="743776" cy="170703"/>
        </a:xfrm>
        <a:prstGeom prst="rect">
          <a:avLst/>
        </a:prstGeom>
      </xdr:spPr>
    </xdr:pic>
    <xdr:clientData/>
  </xdr:twoCellAnchor>
  <xdr:twoCellAnchor editAs="oneCell">
    <xdr:from>
      <xdr:col>14</xdr:col>
      <xdr:colOff>577850</xdr:colOff>
      <xdr:row>3</xdr:row>
      <xdr:rowOff>12700</xdr:rowOff>
    </xdr:from>
    <xdr:to>
      <xdr:col>14</xdr:col>
      <xdr:colOff>730263</xdr:colOff>
      <xdr:row>3</xdr:row>
      <xdr:rowOff>146824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708B024-EBA1-8FB7-758B-224C96093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573000" y="584200"/>
          <a:ext cx="152413" cy="134124"/>
        </a:xfrm>
        <a:prstGeom prst="rect">
          <a:avLst/>
        </a:prstGeom>
      </xdr:spPr>
    </xdr:pic>
    <xdr:clientData/>
  </xdr:twoCellAnchor>
  <xdr:twoCellAnchor editAs="oneCell">
    <xdr:from>
      <xdr:col>14</xdr:col>
      <xdr:colOff>825500</xdr:colOff>
      <xdr:row>2</xdr:row>
      <xdr:rowOff>44450</xdr:rowOff>
    </xdr:from>
    <xdr:to>
      <xdr:col>15</xdr:col>
      <xdr:colOff>850900</xdr:colOff>
      <xdr:row>3</xdr:row>
      <xdr:rowOff>69850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DD7406E-B6FA-8596-4F64-564409EB2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820650" y="406400"/>
          <a:ext cx="857250" cy="234950"/>
        </a:xfrm>
        <a:prstGeom prst="rect">
          <a:avLst/>
        </a:prstGeom>
      </xdr:spPr>
    </xdr:pic>
    <xdr:clientData/>
  </xdr:twoCellAnchor>
  <xdr:twoCellAnchor editAs="oneCell">
    <xdr:from>
      <xdr:col>16</xdr:col>
      <xdr:colOff>57150</xdr:colOff>
      <xdr:row>2</xdr:row>
      <xdr:rowOff>63500</xdr:rowOff>
    </xdr:from>
    <xdr:to>
      <xdr:col>16</xdr:col>
      <xdr:colOff>953340</xdr:colOff>
      <xdr:row>3</xdr:row>
      <xdr:rowOff>133350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030C5D3-E826-EC44-EC9D-0BEE89A24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11250" y="425450"/>
          <a:ext cx="896190" cy="279400"/>
        </a:xfrm>
        <a:prstGeom prst="rect">
          <a:avLst/>
        </a:prstGeom>
      </xdr:spPr>
    </xdr:pic>
    <xdr:clientData/>
  </xdr:twoCellAnchor>
  <xdr:twoCellAnchor editAs="oneCell">
    <xdr:from>
      <xdr:col>17</xdr:col>
      <xdr:colOff>38100</xdr:colOff>
      <xdr:row>2</xdr:row>
      <xdr:rowOff>12700</xdr:rowOff>
    </xdr:from>
    <xdr:to>
      <xdr:col>17</xdr:col>
      <xdr:colOff>1238249</xdr:colOff>
      <xdr:row>3</xdr:row>
      <xdr:rowOff>146050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6187D9B-348B-E57A-0A28-0931ADD79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884400" y="374650"/>
          <a:ext cx="1200149" cy="342900"/>
        </a:xfrm>
        <a:prstGeom prst="rect">
          <a:avLst/>
        </a:prstGeom>
      </xdr:spPr>
    </xdr:pic>
    <xdr:clientData/>
  </xdr:twoCellAnchor>
  <xdr:twoCellAnchor editAs="oneCell">
    <xdr:from>
      <xdr:col>20</xdr:col>
      <xdr:colOff>228600</xdr:colOff>
      <xdr:row>2</xdr:row>
      <xdr:rowOff>114300</xdr:rowOff>
    </xdr:from>
    <xdr:to>
      <xdr:col>20</xdr:col>
      <xdr:colOff>399303</xdr:colOff>
      <xdr:row>3</xdr:row>
      <xdr:rowOff>75453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8E95295-5A4B-F791-AA24-8E896B9BD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056100" y="476250"/>
          <a:ext cx="170703" cy="170703"/>
        </a:xfrm>
        <a:prstGeom prst="rect">
          <a:avLst/>
        </a:prstGeom>
      </xdr:spPr>
    </xdr:pic>
    <xdr:clientData/>
  </xdr:twoCellAnchor>
  <xdr:twoCellAnchor editAs="oneCell">
    <xdr:from>
      <xdr:col>21</xdr:col>
      <xdr:colOff>196850</xdr:colOff>
      <xdr:row>2</xdr:row>
      <xdr:rowOff>57150</xdr:rowOff>
    </xdr:from>
    <xdr:to>
      <xdr:col>21</xdr:col>
      <xdr:colOff>446808</xdr:colOff>
      <xdr:row>3</xdr:row>
      <xdr:rowOff>85365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2413FCE-EBB3-822A-FD06-A920F0C30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84750" y="419100"/>
          <a:ext cx="249958" cy="237765"/>
        </a:xfrm>
        <a:prstGeom prst="rect">
          <a:avLst/>
        </a:prstGeom>
      </xdr:spPr>
    </xdr:pic>
    <xdr:clientData/>
  </xdr:twoCellAnchor>
  <xdr:twoCellAnchor editAs="oneCell">
    <xdr:from>
      <xdr:col>22</xdr:col>
      <xdr:colOff>165100</xdr:colOff>
      <xdr:row>2</xdr:row>
      <xdr:rowOff>50800</xdr:rowOff>
    </xdr:from>
    <xdr:to>
      <xdr:col>22</xdr:col>
      <xdr:colOff>439444</xdr:colOff>
      <xdr:row>3</xdr:row>
      <xdr:rowOff>79015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63EC1B1-666B-FA88-F55E-B7C79E24F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313400" y="412750"/>
          <a:ext cx="274344" cy="237765"/>
        </a:xfrm>
        <a:prstGeom prst="rect">
          <a:avLst/>
        </a:prstGeom>
      </xdr:spPr>
    </xdr:pic>
    <xdr:clientData/>
  </xdr:twoCellAnchor>
  <xdr:twoCellAnchor editAs="oneCell">
    <xdr:from>
      <xdr:col>23</xdr:col>
      <xdr:colOff>203200</xdr:colOff>
      <xdr:row>2</xdr:row>
      <xdr:rowOff>88900</xdr:rowOff>
    </xdr:from>
    <xdr:to>
      <xdr:col>23</xdr:col>
      <xdr:colOff>386096</xdr:colOff>
      <xdr:row>3</xdr:row>
      <xdr:rowOff>50053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AF24481-3F83-55FA-B451-F3DE23063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11900" y="450850"/>
          <a:ext cx="182896" cy="170703"/>
        </a:xfrm>
        <a:prstGeom prst="rect">
          <a:avLst/>
        </a:prstGeom>
      </xdr:spPr>
    </xdr:pic>
    <xdr:clientData/>
  </xdr:twoCellAnchor>
  <xdr:twoCellAnchor editAs="oneCell">
    <xdr:from>
      <xdr:col>24</xdr:col>
      <xdr:colOff>38100</xdr:colOff>
      <xdr:row>2</xdr:row>
      <xdr:rowOff>25401</xdr:rowOff>
    </xdr:from>
    <xdr:to>
      <xdr:col>24</xdr:col>
      <xdr:colOff>1314446</xdr:colOff>
      <xdr:row>3</xdr:row>
      <xdr:rowOff>69850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BCA8127-2226-76F4-0496-6B838A78A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507200" y="387351"/>
          <a:ext cx="1276346" cy="253999"/>
        </a:xfrm>
        <a:prstGeom prst="rect">
          <a:avLst/>
        </a:prstGeom>
      </xdr:spPr>
    </xdr:pic>
    <xdr:clientData/>
  </xdr:twoCellAnchor>
  <xdr:twoCellAnchor editAs="oneCell">
    <xdr:from>
      <xdr:col>26</xdr:col>
      <xdr:colOff>755650</xdr:colOff>
      <xdr:row>3</xdr:row>
      <xdr:rowOff>12700</xdr:rowOff>
    </xdr:from>
    <xdr:to>
      <xdr:col>26</xdr:col>
      <xdr:colOff>981222</xdr:colOff>
      <xdr:row>3</xdr:row>
      <xdr:rowOff>159017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2B8811B-C538-E6C5-0B2B-C693A1A2C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3336250" y="584200"/>
          <a:ext cx="225572" cy="146317"/>
        </a:xfrm>
        <a:prstGeom prst="rect">
          <a:avLst/>
        </a:prstGeom>
      </xdr:spPr>
    </xdr:pic>
    <xdr:clientData/>
  </xdr:twoCellAnchor>
  <xdr:twoCellAnchor editAs="oneCell">
    <xdr:from>
      <xdr:col>27</xdr:col>
      <xdr:colOff>88900</xdr:colOff>
      <xdr:row>2</xdr:row>
      <xdr:rowOff>146050</xdr:rowOff>
    </xdr:from>
    <xdr:to>
      <xdr:col>27</xdr:col>
      <xdr:colOff>479078</xdr:colOff>
      <xdr:row>3</xdr:row>
      <xdr:rowOff>64527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CD07446-1342-CE71-1574-FBCD1EA9C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755350" y="508000"/>
          <a:ext cx="390178" cy="128027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</xdr:row>
      <xdr:rowOff>120650</xdr:rowOff>
    </xdr:from>
    <xdr:to>
      <xdr:col>29</xdr:col>
      <xdr:colOff>23438</xdr:colOff>
      <xdr:row>3</xdr:row>
      <xdr:rowOff>93996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4F2B30D-0B32-B390-D928-1B37FA673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26850" y="482600"/>
          <a:ext cx="810838" cy="182896"/>
        </a:xfrm>
        <a:prstGeom prst="rect">
          <a:avLst/>
        </a:prstGeom>
      </xdr:spPr>
    </xdr:pic>
    <xdr:clientData/>
  </xdr:twoCellAnchor>
  <xdr:twoCellAnchor editAs="oneCell">
    <xdr:from>
      <xdr:col>29</xdr:col>
      <xdr:colOff>31750</xdr:colOff>
      <xdr:row>2</xdr:row>
      <xdr:rowOff>63500</xdr:rowOff>
    </xdr:from>
    <xdr:to>
      <xdr:col>29</xdr:col>
      <xdr:colOff>1003300</xdr:colOff>
      <xdr:row>3</xdr:row>
      <xdr:rowOff>143965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BB3FE403-253A-5AE8-1965-FD0CFBA48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5146000" y="425450"/>
          <a:ext cx="971550" cy="290015"/>
        </a:xfrm>
        <a:prstGeom prst="rect">
          <a:avLst/>
        </a:prstGeom>
      </xdr:spPr>
    </xdr:pic>
    <xdr:clientData/>
  </xdr:twoCellAnchor>
  <xdr:twoCellAnchor editAs="oneCell">
    <xdr:from>
      <xdr:col>30</xdr:col>
      <xdr:colOff>69850</xdr:colOff>
      <xdr:row>2</xdr:row>
      <xdr:rowOff>76200</xdr:rowOff>
    </xdr:from>
    <xdr:to>
      <xdr:col>30</xdr:col>
      <xdr:colOff>252746</xdr:colOff>
      <xdr:row>3</xdr:row>
      <xdr:rowOff>37353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77F75D0-79FA-DA55-DF51-F7CA4F87F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6308050" y="438150"/>
          <a:ext cx="182896" cy="170703"/>
        </a:xfrm>
        <a:prstGeom prst="rect">
          <a:avLst/>
        </a:prstGeom>
      </xdr:spPr>
    </xdr:pic>
    <xdr:clientData/>
  </xdr:twoCellAnchor>
  <xdr:twoCellAnchor editAs="oneCell">
    <xdr:from>
      <xdr:col>31</xdr:col>
      <xdr:colOff>57151</xdr:colOff>
      <xdr:row>2</xdr:row>
      <xdr:rowOff>69850</xdr:rowOff>
    </xdr:from>
    <xdr:to>
      <xdr:col>31</xdr:col>
      <xdr:colOff>1225551</xdr:colOff>
      <xdr:row>3</xdr:row>
      <xdr:rowOff>51676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78E91E6-0790-46A6-90C4-3D651DD8F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6670001" y="431800"/>
          <a:ext cx="1168400" cy="191376"/>
        </a:xfrm>
        <a:prstGeom prst="rect">
          <a:avLst/>
        </a:prstGeom>
      </xdr:spPr>
    </xdr:pic>
    <xdr:clientData/>
  </xdr:twoCellAnchor>
  <xdr:twoCellAnchor editAs="oneCell">
    <xdr:from>
      <xdr:col>34</xdr:col>
      <xdr:colOff>57150</xdr:colOff>
      <xdr:row>2</xdr:row>
      <xdr:rowOff>120650</xdr:rowOff>
    </xdr:from>
    <xdr:to>
      <xdr:col>34</xdr:col>
      <xdr:colOff>782637</xdr:colOff>
      <xdr:row>3</xdr:row>
      <xdr:rowOff>75706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5580B20-A860-81E5-1192-FCB9D4A62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8613100" y="482600"/>
          <a:ext cx="725487" cy="164606"/>
        </a:xfrm>
        <a:prstGeom prst="rect">
          <a:avLst/>
        </a:prstGeom>
      </xdr:spPr>
    </xdr:pic>
    <xdr:clientData/>
  </xdr:twoCellAnchor>
  <xdr:twoCellAnchor editAs="oneCell">
    <xdr:from>
      <xdr:col>35</xdr:col>
      <xdr:colOff>57150</xdr:colOff>
      <xdr:row>2</xdr:row>
      <xdr:rowOff>114300</xdr:rowOff>
    </xdr:from>
    <xdr:to>
      <xdr:col>35</xdr:col>
      <xdr:colOff>800926</xdr:colOff>
      <xdr:row>3</xdr:row>
      <xdr:rowOff>69356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D75FA01-BD5C-1653-9F7D-CBF74ED73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9438600" y="476250"/>
          <a:ext cx="743776" cy="164606"/>
        </a:xfrm>
        <a:prstGeom prst="rect">
          <a:avLst/>
        </a:prstGeom>
      </xdr:spPr>
    </xdr:pic>
    <xdr:clientData/>
  </xdr:twoCellAnchor>
  <xdr:twoCellAnchor editAs="oneCell">
    <xdr:from>
      <xdr:col>36</xdr:col>
      <xdr:colOff>63500</xdr:colOff>
      <xdr:row>2</xdr:row>
      <xdr:rowOff>76200</xdr:rowOff>
    </xdr:from>
    <xdr:to>
      <xdr:col>36</xdr:col>
      <xdr:colOff>990172</xdr:colOff>
      <xdr:row>3</xdr:row>
      <xdr:rowOff>55642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223AB435-FFD4-A8D2-3811-93788189D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0283150" y="438150"/>
          <a:ext cx="926672" cy="188992"/>
        </a:xfrm>
        <a:prstGeom prst="rect">
          <a:avLst/>
        </a:prstGeom>
      </xdr:spPr>
    </xdr:pic>
    <xdr:clientData/>
  </xdr:twoCellAnchor>
  <xdr:twoCellAnchor editAs="oneCell">
    <xdr:from>
      <xdr:col>37</xdr:col>
      <xdr:colOff>88900</xdr:colOff>
      <xdr:row>2</xdr:row>
      <xdr:rowOff>57150</xdr:rowOff>
    </xdr:from>
    <xdr:to>
      <xdr:col>37</xdr:col>
      <xdr:colOff>521754</xdr:colOff>
      <xdr:row>3</xdr:row>
      <xdr:rowOff>103654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77F554F7-5EC5-A65B-74A8-1C9329F44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1388050" y="419100"/>
          <a:ext cx="432854" cy="256054"/>
        </a:xfrm>
        <a:prstGeom prst="rect">
          <a:avLst/>
        </a:prstGeom>
      </xdr:spPr>
    </xdr:pic>
    <xdr:clientData/>
  </xdr:twoCellAnchor>
  <xdr:twoCellAnchor editAs="oneCell">
    <xdr:from>
      <xdr:col>39</xdr:col>
      <xdr:colOff>1454150</xdr:colOff>
      <xdr:row>2</xdr:row>
      <xdr:rowOff>57150</xdr:rowOff>
    </xdr:from>
    <xdr:to>
      <xdr:col>39</xdr:col>
      <xdr:colOff>1868714</xdr:colOff>
      <xdr:row>3</xdr:row>
      <xdr:rowOff>103654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086E278-2BDA-2EEB-0843-CB9D60729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4296350" y="419100"/>
          <a:ext cx="414564" cy="256054"/>
        </a:xfrm>
        <a:prstGeom prst="rect">
          <a:avLst/>
        </a:prstGeom>
      </xdr:spPr>
    </xdr:pic>
    <xdr:clientData/>
  </xdr:twoCellAnchor>
  <xdr:twoCellAnchor>
    <xdr:from>
      <xdr:col>38</xdr:col>
      <xdr:colOff>495300</xdr:colOff>
      <xdr:row>33</xdr:row>
      <xdr:rowOff>44450</xdr:rowOff>
    </xdr:from>
    <xdr:to>
      <xdr:col>39</xdr:col>
      <xdr:colOff>50800</xdr:colOff>
      <xdr:row>35</xdr:row>
      <xdr:rowOff>25400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4C2502C5-7A61-EC0A-4420-49A96B70363F}"/>
            </a:ext>
          </a:extLst>
        </xdr:cNvPr>
        <xdr:cNvCxnSpPr/>
      </xdr:nvCxnSpPr>
      <xdr:spPr>
        <a:xfrm flipH="1" flipV="1">
          <a:off x="32677100" y="5949950"/>
          <a:ext cx="215900" cy="336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43</xdr:col>
      <xdr:colOff>641350</xdr:colOff>
      <xdr:row>3</xdr:row>
      <xdr:rowOff>215900</xdr:rowOff>
    </xdr:from>
    <xdr:to>
      <xdr:col>44</xdr:col>
      <xdr:colOff>365031</xdr:colOff>
      <xdr:row>5</xdr:row>
      <xdr:rowOff>51333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FEDAFF30-0CE4-6C09-742C-DA13C596D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4977050" y="787400"/>
          <a:ext cx="384081" cy="292633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</xdr:row>
      <xdr:rowOff>0</xdr:rowOff>
    </xdr:from>
    <xdr:to>
      <xdr:col>44</xdr:col>
      <xdr:colOff>280440</xdr:colOff>
      <xdr:row>6</xdr:row>
      <xdr:rowOff>17289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1CF6B09C-18DB-D6A5-766E-6415CF5A6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1535350" y="958850"/>
          <a:ext cx="280440" cy="195089"/>
        </a:xfrm>
        <a:prstGeom prst="rect">
          <a:avLst/>
        </a:prstGeom>
      </xdr:spPr>
    </xdr:pic>
    <xdr:clientData/>
  </xdr:twoCellAnchor>
  <xdr:twoCellAnchor editAs="oneCell">
    <xdr:from>
      <xdr:col>44</xdr:col>
      <xdr:colOff>31750</xdr:colOff>
      <xdr:row>5</xdr:row>
      <xdr:rowOff>127000</xdr:rowOff>
    </xdr:from>
    <xdr:to>
      <xdr:col>44</xdr:col>
      <xdr:colOff>330480</xdr:colOff>
      <xdr:row>7</xdr:row>
      <xdr:rowOff>57937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9B032442-9EA7-543B-3B13-35E258BCD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1567100" y="1085850"/>
          <a:ext cx="298730" cy="286537"/>
        </a:xfrm>
        <a:prstGeom prst="rect">
          <a:avLst/>
        </a:prstGeom>
      </xdr:spPr>
    </xdr:pic>
    <xdr:clientData/>
  </xdr:twoCellAnchor>
  <xdr:twoCellAnchor editAs="oneCell">
    <xdr:from>
      <xdr:col>57</xdr:col>
      <xdr:colOff>114301</xdr:colOff>
      <xdr:row>2</xdr:row>
      <xdr:rowOff>82550</xdr:rowOff>
    </xdr:from>
    <xdr:to>
      <xdr:col>57</xdr:col>
      <xdr:colOff>1524001</xdr:colOff>
      <xdr:row>3</xdr:row>
      <xdr:rowOff>197931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A0940716-4A97-34B0-B1B8-86786C650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4629051" y="444500"/>
          <a:ext cx="1409700" cy="324931"/>
        </a:xfrm>
        <a:prstGeom prst="rect">
          <a:avLst/>
        </a:prstGeom>
      </xdr:spPr>
    </xdr:pic>
    <xdr:clientData/>
  </xdr:twoCellAnchor>
  <xdr:twoCellAnchor editAs="oneCell">
    <xdr:from>
      <xdr:col>41</xdr:col>
      <xdr:colOff>723900</xdr:colOff>
      <xdr:row>2</xdr:row>
      <xdr:rowOff>76200</xdr:rowOff>
    </xdr:from>
    <xdr:to>
      <xdr:col>41</xdr:col>
      <xdr:colOff>2260225</xdr:colOff>
      <xdr:row>3</xdr:row>
      <xdr:rowOff>104415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26F9E3-3744-4F12-8893-9F440D4D9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7973000" y="438150"/>
          <a:ext cx="1536325" cy="237765"/>
        </a:xfrm>
        <a:prstGeom prst="rect">
          <a:avLst/>
        </a:prstGeom>
      </xdr:spPr>
    </xdr:pic>
    <xdr:clientData/>
  </xdr:twoCellAnchor>
  <xdr:twoCellAnchor editAs="oneCell">
    <xdr:from>
      <xdr:col>58</xdr:col>
      <xdr:colOff>44451</xdr:colOff>
      <xdr:row>2</xdr:row>
      <xdr:rowOff>146051</xdr:rowOff>
    </xdr:from>
    <xdr:to>
      <xdr:col>58</xdr:col>
      <xdr:colOff>1942928</xdr:colOff>
      <xdr:row>3</xdr:row>
      <xdr:rowOff>139701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C54E0F45-43B1-9C7F-E724-C4070C499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6191151" y="508001"/>
          <a:ext cx="1898477" cy="203200"/>
        </a:xfrm>
        <a:prstGeom prst="rect">
          <a:avLst/>
        </a:prstGeom>
      </xdr:spPr>
    </xdr:pic>
    <xdr:clientData/>
  </xdr:twoCellAnchor>
  <xdr:twoCellAnchor editAs="oneCell">
    <xdr:from>
      <xdr:col>59</xdr:col>
      <xdr:colOff>95249</xdr:colOff>
      <xdr:row>2</xdr:row>
      <xdr:rowOff>69851</xdr:rowOff>
    </xdr:from>
    <xdr:to>
      <xdr:col>59</xdr:col>
      <xdr:colOff>2238912</xdr:colOff>
      <xdr:row>3</xdr:row>
      <xdr:rowOff>209550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A2704EC-D5B3-0FB7-4016-B31A6C67F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8286649" y="431801"/>
          <a:ext cx="2143663" cy="349249"/>
        </a:xfrm>
        <a:prstGeom prst="rect">
          <a:avLst/>
        </a:prstGeom>
      </xdr:spPr>
    </xdr:pic>
    <xdr:clientData/>
  </xdr:twoCellAnchor>
  <xdr:twoCellAnchor editAs="oneCell">
    <xdr:from>
      <xdr:col>63</xdr:col>
      <xdr:colOff>1200150</xdr:colOff>
      <xdr:row>2</xdr:row>
      <xdr:rowOff>120650</xdr:rowOff>
    </xdr:from>
    <xdr:to>
      <xdr:col>63</xdr:col>
      <xdr:colOff>2181691</xdr:colOff>
      <xdr:row>3</xdr:row>
      <xdr:rowOff>130575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20B17C2-8C5F-B67D-40F3-4955F9A7D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9499500" y="482600"/>
          <a:ext cx="981541" cy="219475"/>
        </a:xfrm>
        <a:prstGeom prst="rect">
          <a:avLst/>
        </a:prstGeom>
      </xdr:spPr>
    </xdr:pic>
    <xdr:clientData/>
  </xdr:twoCellAnchor>
  <xdr:twoCellAnchor>
    <xdr:from>
      <xdr:col>19</xdr:col>
      <xdr:colOff>247650</xdr:colOff>
      <xdr:row>31</xdr:row>
      <xdr:rowOff>82550</xdr:rowOff>
    </xdr:from>
    <xdr:to>
      <xdr:col>23</xdr:col>
      <xdr:colOff>88900</xdr:colOff>
      <xdr:row>35</xdr:row>
      <xdr:rowOff>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2837AFD0-A9DF-4E88-B4D7-32B09BEFABC0}"/>
            </a:ext>
          </a:extLst>
        </xdr:cNvPr>
        <xdr:cNvCxnSpPr/>
      </xdr:nvCxnSpPr>
      <xdr:spPr>
        <a:xfrm flipH="1" flipV="1">
          <a:off x="17735550" y="5734050"/>
          <a:ext cx="2482850" cy="635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304800</xdr:colOff>
      <xdr:row>30</xdr:row>
      <xdr:rowOff>25400</xdr:rowOff>
    </xdr:from>
    <xdr:to>
      <xdr:col>19</xdr:col>
      <xdr:colOff>304800</xdr:colOff>
      <xdr:row>33</xdr:row>
      <xdr:rowOff>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30D09270-EC2A-A7B5-6CE4-6FABB1911B33}"/>
            </a:ext>
          </a:extLst>
        </xdr:cNvPr>
        <xdr:cNvSpPr txBox="1"/>
      </xdr:nvSpPr>
      <xdr:spPr>
        <a:xfrm>
          <a:off x="16471900" y="5499100"/>
          <a:ext cx="1320800" cy="514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E" sz="1100" kern="1200"/>
            <a:t>1.5</a:t>
          </a:r>
          <a:r>
            <a:rPr lang="en-SE" sz="1100" kern="1200" baseline="0"/>
            <a:t> recommended for Dhaka</a:t>
          </a:r>
          <a:endParaRPr lang="en-US" sz="1100" kern="1200"/>
        </a:p>
      </xdr:txBody>
    </xdr:sp>
    <xdr:clientData/>
  </xdr:twoCellAnchor>
  <xdr:twoCellAnchor>
    <xdr:from>
      <xdr:col>30</xdr:col>
      <xdr:colOff>215900</xdr:colOff>
      <xdr:row>31</xdr:row>
      <xdr:rowOff>152400</xdr:rowOff>
    </xdr:from>
    <xdr:to>
      <xdr:col>32</xdr:col>
      <xdr:colOff>450850</xdr:colOff>
      <xdr:row>35</xdr:row>
      <xdr:rowOff>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97DFDD3C-1AD4-4C13-B8FC-E54F87AE43C1}"/>
            </a:ext>
          </a:extLst>
        </xdr:cNvPr>
        <xdr:cNvCxnSpPr/>
      </xdr:nvCxnSpPr>
      <xdr:spPr>
        <a:xfrm flipV="1">
          <a:off x="27774900" y="5803900"/>
          <a:ext cx="1892300" cy="565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469900</xdr:colOff>
      <xdr:row>31</xdr:row>
      <xdr:rowOff>0</xdr:rowOff>
    </xdr:from>
    <xdr:to>
      <xdr:col>33</xdr:col>
      <xdr:colOff>628650</xdr:colOff>
      <xdr:row>36</xdr:row>
      <xdr:rowOff>120650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E0DDC24E-07BE-4BC1-BFA7-B484FDBB2B3D}"/>
            </a:ext>
          </a:extLst>
        </xdr:cNvPr>
        <xdr:cNvSpPr txBox="1"/>
      </xdr:nvSpPr>
      <xdr:spPr>
        <a:xfrm>
          <a:off x="29686250" y="5651500"/>
          <a:ext cx="1441450" cy="1016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E" sz="1100" kern="1200"/>
            <a:t>1.5</a:t>
          </a:r>
          <a:r>
            <a:rPr lang="en-SE" sz="1100" kern="1200" baseline="0"/>
            <a:t> recommended for Dhaka</a:t>
          </a:r>
          <a:endParaRPr lang="en-US" sz="1100" kern="1200"/>
        </a:p>
      </xdr:txBody>
    </xdr:sp>
    <xdr:clientData/>
  </xdr:twoCellAnchor>
  <xdr:twoCellAnchor editAs="oneCell">
    <xdr:from>
      <xdr:col>49</xdr:col>
      <xdr:colOff>76200</xdr:colOff>
      <xdr:row>2</xdr:row>
      <xdr:rowOff>76200</xdr:rowOff>
    </xdr:from>
    <xdr:to>
      <xdr:col>49</xdr:col>
      <xdr:colOff>509054</xdr:colOff>
      <xdr:row>3</xdr:row>
      <xdr:rowOff>122704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892621FF-7235-C0FB-8C52-78A513FEA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0546000" y="438150"/>
          <a:ext cx="432854" cy="256054"/>
        </a:xfrm>
        <a:prstGeom prst="rect">
          <a:avLst/>
        </a:prstGeom>
      </xdr:spPr>
    </xdr:pic>
    <xdr:clientData/>
  </xdr:twoCellAnchor>
  <xdr:twoCellAnchor editAs="oneCell">
    <xdr:from>
      <xdr:col>50</xdr:col>
      <xdr:colOff>63500</xdr:colOff>
      <xdr:row>2</xdr:row>
      <xdr:rowOff>107950</xdr:rowOff>
    </xdr:from>
    <xdr:to>
      <xdr:col>50</xdr:col>
      <xdr:colOff>478064</xdr:colOff>
      <xdr:row>3</xdr:row>
      <xdr:rowOff>154454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181DC48D-A001-7C63-8C71-BB388DD3A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1136550" y="469900"/>
          <a:ext cx="414564" cy="256054"/>
        </a:xfrm>
        <a:prstGeom prst="rect">
          <a:avLst/>
        </a:prstGeom>
      </xdr:spPr>
    </xdr:pic>
    <xdr:clientData/>
  </xdr:twoCellAnchor>
  <xdr:twoCellAnchor editAs="oneCell">
    <xdr:from>
      <xdr:col>51</xdr:col>
      <xdr:colOff>127000</xdr:colOff>
      <xdr:row>2</xdr:row>
      <xdr:rowOff>146050</xdr:rowOff>
    </xdr:from>
    <xdr:to>
      <xdr:col>51</xdr:col>
      <xdr:colOff>383054</xdr:colOff>
      <xdr:row>3</xdr:row>
      <xdr:rowOff>125492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35E3A65F-5C8B-9ACD-0399-08A9E319E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1803300" y="508000"/>
          <a:ext cx="256054" cy="188992"/>
        </a:xfrm>
        <a:prstGeom prst="rect">
          <a:avLst/>
        </a:prstGeom>
      </xdr:spPr>
    </xdr:pic>
    <xdr:clientData/>
  </xdr:twoCellAnchor>
  <xdr:twoCellAnchor editAs="oneCell">
    <xdr:from>
      <xdr:col>52</xdr:col>
      <xdr:colOff>50800</xdr:colOff>
      <xdr:row>2</xdr:row>
      <xdr:rowOff>76200</xdr:rowOff>
    </xdr:from>
    <xdr:to>
      <xdr:col>52</xdr:col>
      <xdr:colOff>434881</xdr:colOff>
      <xdr:row>3</xdr:row>
      <xdr:rowOff>159283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586EA355-CFA6-4984-CEAC-084299AEF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2330350" y="438150"/>
          <a:ext cx="384081" cy="292633"/>
        </a:xfrm>
        <a:prstGeom prst="rect">
          <a:avLst/>
        </a:prstGeom>
      </xdr:spPr>
    </xdr:pic>
    <xdr:clientData/>
  </xdr:twoCellAnchor>
  <xdr:twoCellAnchor editAs="oneCell">
    <xdr:from>
      <xdr:col>48</xdr:col>
      <xdr:colOff>190500</xdr:colOff>
      <xdr:row>2</xdr:row>
      <xdr:rowOff>114300</xdr:rowOff>
    </xdr:from>
    <xdr:to>
      <xdr:col>48</xdr:col>
      <xdr:colOff>519713</xdr:colOff>
      <xdr:row>3</xdr:row>
      <xdr:rowOff>93742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FCEC1D97-2026-7E45-3627-E47396FD9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9885600" y="476250"/>
          <a:ext cx="329213" cy="188992"/>
        </a:xfrm>
        <a:prstGeom prst="rect">
          <a:avLst/>
        </a:prstGeom>
      </xdr:spPr>
    </xdr:pic>
    <xdr:clientData/>
  </xdr:twoCellAnchor>
  <xdr:twoCellAnchor editAs="oneCell">
    <xdr:from>
      <xdr:col>53</xdr:col>
      <xdr:colOff>76200</xdr:colOff>
      <xdr:row>2</xdr:row>
      <xdr:rowOff>133350</xdr:rowOff>
    </xdr:from>
    <xdr:to>
      <xdr:col>53</xdr:col>
      <xdr:colOff>423702</xdr:colOff>
      <xdr:row>3</xdr:row>
      <xdr:rowOff>112792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19CC511E-7582-E366-AB4F-58CA974B2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2781200" y="495300"/>
          <a:ext cx="347502" cy="188992"/>
        </a:xfrm>
        <a:prstGeom prst="rect">
          <a:avLst/>
        </a:prstGeom>
      </xdr:spPr>
    </xdr:pic>
    <xdr:clientData/>
  </xdr:twoCellAnchor>
  <xdr:twoCellAnchor editAs="oneCell">
    <xdr:from>
      <xdr:col>54</xdr:col>
      <xdr:colOff>114300</xdr:colOff>
      <xdr:row>2</xdr:row>
      <xdr:rowOff>158750</xdr:rowOff>
    </xdr:from>
    <xdr:to>
      <xdr:col>54</xdr:col>
      <xdr:colOff>394740</xdr:colOff>
      <xdr:row>3</xdr:row>
      <xdr:rowOff>144289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EFBFBCDC-EDF8-9F77-53A1-ED875DC6F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3422550" y="520700"/>
          <a:ext cx="280440" cy="195089"/>
        </a:xfrm>
        <a:prstGeom prst="rect">
          <a:avLst/>
        </a:prstGeom>
      </xdr:spPr>
    </xdr:pic>
    <xdr:clientData/>
  </xdr:twoCellAnchor>
  <xdr:twoCellAnchor editAs="oneCell">
    <xdr:from>
      <xdr:col>55</xdr:col>
      <xdr:colOff>139700</xdr:colOff>
      <xdr:row>2</xdr:row>
      <xdr:rowOff>82550</xdr:rowOff>
    </xdr:from>
    <xdr:to>
      <xdr:col>55</xdr:col>
      <xdr:colOff>438430</xdr:colOff>
      <xdr:row>3</xdr:row>
      <xdr:rowOff>159537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1E75F229-BD39-D861-ED74-F9E69084B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4051200" y="444500"/>
          <a:ext cx="298730" cy="2865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Scania">
      <a:dk1>
        <a:sysClr val="windowText" lastClr="000000"/>
      </a:dk1>
      <a:lt1>
        <a:sysClr val="window" lastClr="FFFFFF"/>
      </a:lt1>
      <a:dk2>
        <a:srgbClr val="D6001C"/>
      </a:dk2>
      <a:lt2>
        <a:srgbClr val="CEB888"/>
      </a:lt2>
      <a:accent1>
        <a:srgbClr val="041E42"/>
      </a:accent1>
      <a:accent2>
        <a:srgbClr val="97999B"/>
      </a:accent2>
      <a:accent3>
        <a:srgbClr val="C8C9C7"/>
      </a:accent3>
      <a:accent4>
        <a:srgbClr val="E35205"/>
      </a:accent4>
      <a:accent5>
        <a:srgbClr val="94A596"/>
      </a:accent5>
      <a:accent6>
        <a:srgbClr val="2C5234"/>
      </a:accent6>
      <a:hlink>
        <a:srgbClr val="281E42"/>
      </a:hlink>
      <a:folHlink>
        <a:srgbClr val="281E42"/>
      </a:folHlink>
    </a:clrScheme>
    <a:fontScheme name="Gränge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E778D-272F-4769-8827-F160AE8C3D8F}">
  <dimension ref="B3:R66"/>
  <sheetViews>
    <sheetView topLeftCell="A52" workbookViewId="0">
      <selection activeCell="G69" sqref="G69"/>
    </sheetView>
  </sheetViews>
  <sheetFormatPr defaultRowHeight="14" x14ac:dyDescent="0.3"/>
  <sheetData>
    <row r="3" spans="2:18" ht="14" customHeight="1" x14ac:dyDescent="0.3">
      <c r="B3" s="82" t="s">
        <v>13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</row>
    <row r="4" spans="2:18" x14ac:dyDescent="0.3"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</row>
    <row r="5" spans="2:18" x14ac:dyDescent="0.3"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</row>
    <row r="6" spans="2:18" x14ac:dyDescent="0.3"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</row>
    <row r="7" spans="2:18" x14ac:dyDescent="0.3"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</row>
    <row r="8" spans="2:18" x14ac:dyDescent="0.3"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</row>
    <row r="9" spans="2:18" x14ac:dyDescent="0.3"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</row>
    <row r="10" spans="2:18" x14ac:dyDescent="0.3"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</row>
    <row r="11" spans="2:18" x14ac:dyDescent="0.3"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</row>
    <row r="12" spans="2:18" x14ac:dyDescent="0.3"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</row>
    <row r="13" spans="2:18" x14ac:dyDescent="0.3"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</row>
    <row r="14" spans="2:18" x14ac:dyDescent="0.3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</row>
    <row r="15" spans="2:18" x14ac:dyDescent="0.3"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</row>
    <row r="16" spans="2:18" x14ac:dyDescent="0.3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</row>
    <row r="17" spans="2:18" x14ac:dyDescent="0.3"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</row>
    <row r="18" spans="2:18" x14ac:dyDescent="0.3"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</row>
    <row r="19" spans="2:18" x14ac:dyDescent="0.3"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</row>
    <row r="20" spans="2:18" x14ac:dyDescent="0.3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</row>
    <row r="21" spans="2:18" x14ac:dyDescent="0.3"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</row>
    <row r="22" spans="2:18" x14ac:dyDescent="0.3"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</row>
    <row r="23" spans="2:18" x14ac:dyDescent="0.3"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</row>
    <row r="24" spans="2:18" x14ac:dyDescent="0.3"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</row>
    <row r="25" spans="2:18" x14ac:dyDescent="0.3"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</row>
    <row r="26" spans="2:18" x14ac:dyDescent="0.3"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</row>
    <row r="27" spans="2:18" x14ac:dyDescent="0.3"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</row>
    <row r="28" spans="2:18" x14ac:dyDescent="0.3"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</row>
    <row r="29" spans="2:18" x14ac:dyDescent="0.3"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</row>
    <row r="30" spans="2:18" x14ac:dyDescent="0.3"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</row>
    <row r="31" spans="2:18" x14ac:dyDescent="0.3"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</row>
    <row r="32" spans="2:18" x14ac:dyDescent="0.3"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</row>
    <row r="33" spans="2:18" x14ac:dyDescent="0.3"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</row>
    <row r="34" spans="2:18" x14ac:dyDescent="0.3"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</row>
    <row r="35" spans="2:18" x14ac:dyDescent="0.3"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</row>
    <row r="36" spans="2:18" x14ac:dyDescent="0.3"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</row>
    <row r="37" spans="2:18" x14ac:dyDescent="0.3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</row>
    <row r="38" spans="2:18" x14ac:dyDescent="0.3"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</row>
    <row r="39" spans="2:18" x14ac:dyDescent="0.3"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</row>
    <row r="40" spans="2:18" x14ac:dyDescent="0.3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</row>
    <row r="41" spans="2:18" x14ac:dyDescent="0.3"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</row>
    <row r="42" spans="2:18" x14ac:dyDescent="0.3"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</row>
    <row r="43" spans="2:18" x14ac:dyDescent="0.3"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</row>
    <row r="44" spans="2:18" x14ac:dyDescent="0.3"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</row>
    <row r="45" spans="2:18" x14ac:dyDescent="0.3"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</row>
    <row r="46" spans="2:18" x14ac:dyDescent="0.3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</row>
    <row r="47" spans="2:18" x14ac:dyDescent="0.3"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</row>
    <row r="48" spans="2:18" x14ac:dyDescent="0.3"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</row>
    <row r="49" spans="2:18" x14ac:dyDescent="0.3"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</row>
    <row r="50" spans="2:18" x14ac:dyDescent="0.3"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</row>
    <row r="51" spans="2:18" x14ac:dyDescent="0.3"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</row>
    <row r="52" spans="2:18" x14ac:dyDescent="0.3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</row>
    <row r="53" spans="2:18" x14ac:dyDescent="0.3"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</row>
    <row r="54" spans="2:18" x14ac:dyDescent="0.3"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</row>
    <row r="55" spans="2:18" x14ac:dyDescent="0.3"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</row>
    <row r="56" spans="2:18" x14ac:dyDescent="0.3"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</row>
    <row r="57" spans="2:18" x14ac:dyDescent="0.3"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</row>
    <row r="58" spans="2:18" x14ac:dyDescent="0.3"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</row>
    <row r="59" spans="2:18" x14ac:dyDescent="0.3"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</row>
    <row r="60" spans="2:18" x14ac:dyDescent="0.3"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</row>
    <row r="61" spans="2:18" x14ac:dyDescent="0.3"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</row>
    <row r="62" spans="2:18" x14ac:dyDescent="0.3"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</row>
    <row r="63" spans="2:18" x14ac:dyDescent="0.3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</row>
    <row r="64" spans="2:18" x14ac:dyDescent="0.3"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</row>
    <row r="65" spans="2:18" x14ac:dyDescent="0.3"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</row>
    <row r="66" spans="2:18" x14ac:dyDescent="0.3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</row>
  </sheetData>
  <mergeCells count="1">
    <mergeCell ref="B3:R6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503A-C6C5-4751-B312-159A24405159}">
  <dimension ref="B1:BK17"/>
  <sheetViews>
    <sheetView tabSelected="1" workbookViewId="0">
      <selection activeCell="D10" sqref="D10"/>
    </sheetView>
  </sheetViews>
  <sheetFormatPr defaultRowHeight="14" x14ac:dyDescent="0.3"/>
  <cols>
    <col min="2" max="2" width="9.5" style="19" customWidth="1"/>
    <col min="3" max="3" width="13.5" style="2" customWidth="1"/>
    <col min="4" max="4" width="14.6640625" style="2" customWidth="1"/>
    <col min="7" max="7" width="10.33203125" customWidth="1"/>
    <col min="8" max="8" width="10.58203125" customWidth="1"/>
    <col min="9" max="9" width="14.9140625" customWidth="1"/>
    <col min="10" max="10" width="14.5" customWidth="1"/>
    <col min="11" max="11" width="13.08203125" customWidth="1"/>
    <col min="13" max="13" width="13" style="2" customWidth="1"/>
    <col min="14" max="14" width="10.9140625" style="2" customWidth="1"/>
    <col min="15" max="15" width="12.1640625" style="2" customWidth="1"/>
    <col min="16" max="16" width="14.33203125" customWidth="1"/>
    <col min="17" max="18" width="17.33203125" customWidth="1"/>
    <col min="20" max="23" width="8.6640625" style="2"/>
    <col min="24" max="24" width="32.1640625" style="2" customWidth="1"/>
    <col min="25" max="25" width="8.6640625" style="2"/>
    <col min="26" max="26" width="14.25" style="1" customWidth="1"/>
    <col min="27" max="27" width="8.6640625" style="1"/>
    <col min="28" max="28" width="10.33203125" style="1" customWidth="1"/>
    <col min="29" max="29" width="14.75" style="1" customWidth="1"/>
    <col min="30" max="30" width="4.9140625" style="1" customWidth="1"/>
    <col min="31" max="32" width="16.83203125" style="1" customWidth="1"/>
    <col min="33" max="33" width="8.6640625" style="1"/>
    <col min="34" max="34" width="10.83203125" style="2" customWidth="1"/>
    <col min="35" max="35" width="11" style="2" customWidth="1"/>
    <col min="36" max="36" width="14.1640625" style="2" customWidth="1"/>
    <col min="37" max="37" width="11.58203125" customWidth="1"/>
    <col min="38" max="38" width="13.9140625" customWidth="1"/>
    <col min="39" max="39" width="43.9140625" customWidth="1"/>
    <col min="41" max="41" width="47.58203125" customWidth="1"/>
    <col min="42" max="42" width="11.25" customWidth="1"/>
    <col min="44" max="44" width="14.1640625" customWidth="1"/>
    <col min="45" max="45" width="21.5" customWidth="1"/>
    <col min="46" max="46" width="17.33203125" customWidth="1"/>
    <col min="48" max="48" width="7.83203125" customWidth="1"/>
    <col min="49" max="56" width="7.9140625" customWidth="1"/>
    <col min="57" max="57" width="21.4140625" customWidth="1"/>
    <col min="58" max="58" width="26.83203125" customWidth="1"/>
    <col min="59" max="59" width="29.9140625" customWidth="1"/>
    <col min="61" max="61" width="30.5" style="50" customWidth="1"/>
    <col min="63" max="63" width="46.25" style="10" customWidth="1"/>
  </cols>
  <sheetData>
    <row r="1" spans="2:63" ht="14.5" thickBot="1" x14ac:dyDescent="0.35">
      <c r="BD1" s="47"/>
    </row>
    <row r="2" spans="2:63" ht="14" customHeight="1" x14ac:dyDescent="0.3">
      <c r="B2" s="115" t="s">
        <v>42</v>
      </c>
      <c r="C2" s="116"/>
      <c r="D2" s="117"/>
      <c r="F2" s="123" t="s">
        <v>21</v>
      </c>
      <c r="G2" s="124"/>
      <c r="H2" s="124"/>
      <c r="I2" s="124"/>
      <c r="J2" s="124"/>
      <c r="K2" s="125"/>
      <c r="M2" s="115" t="s">
        <v>22</v>
      </c>
      <c r="N2" s="116"/>
      <c r="O2" s="116"/>
      <c r="P2" s="116"/>
      <c r="Q2" s="117"/>
      <c r="R2" s="60"/>
      <c r="T2" s="115" t="s">
        <v>23</v>
      </c>
      <c r="U2" s="116"/>
      <c r="V2" s="116"/>
      <c r="W2" s="116"/>
      <c r="X2" s="117"/>
      <c r="Z2" s="109" t="s">
        <v>25</v>
      </c>
      <c r="AA2" s="110"/>
      <c r="AB2" s="110"/>
      <c r="AC2" s="110"/>
      <c r="AD2" s="110"/>
      <c r="AE2" s="111"/>
      <c r="AF2" s="62"/>
      <c r="AH2" s="115" t="s">
        <v>26</v>
      </c>
      <c r="AI2" s="116"/>
      <c r="AJ2" s="116"/>
      <c r="AK2" s="117"/>
      <c r="AM2" s="39" t="s">
        <v>27</v>
      </c>
      <c r="AO2" s="39" t="s">
        <v>29</v>
      </c>
      <c r="AP2" s="45"/>
      <c r="AR2" s="109" t="s">
        <v>36</v>
      </c>
      <c r="AS2" s="110"/>
      <c r="AT2" s="111"/>
      <c r="AV2" s="123" t="s">
        <v>40</v>
      </c>
      <c r="AW2" s="124"/>
      <c r="AX2" s="124"/>
      <c r="AY2" s="124"/>
      <c r="AZ2" s="124"/>
      <c r="BA2" s="124"/>
      <c r="BB2" s="124"/>
      <c r="BC2" s="125"/>
      <c r="BD2" s="69"/>
      <c r="BE2" s="123" t="s">
        <v>41</v>
      </c>
      <c r="BF2" s="124"/>
      <c r="BG2" s="125"/>
      <c r="BI2" s="51" t="s">
        <v>38</v>
      </c>
      <c r="BK2" s="55" t="s">
        <v>39</v>
      </c>
    </row>
    <row r="3" spans="2:63" ht="16.5" customHeight="1" x14ac:dyDescent="0.3">
      <c r="B3" s="128" t="s">
        <v>0</v>
      </c>
      <c r="C3" s="126" t="s">
        <v>16</v>
      </c>
      <c r="D3" s="129" t="s">
        <v>15</v>
      </c>
      <c r="F3" s="97"/>
      <c r="G3" s="113"/>
      <c r="H3" s="113"/>
      <c r="I3" s="98"/>
      <c r="J3" s="98"/>
      <c r="K3" s="114" t="s">
        <v>18</v>
      </c>
      <c r="M3" s="120" t="s">
        <v>43</v>
      </c>
      <c r="N3" s="121" t="s">
        <v>20</v>
      </c>
      <c r="O3" s="122"/>
      <c r="P3" s="98"/>
      <c r="Q3" s="99"/>
      <c r="R3" s="46"/>
      <c r="T3" s="112"/>
      <c r="U3" s="113"/>
      <c r="V3" s="113"/>
      <c r="W3" s="113"/>
      <c r="X3" s="114"/>
      <c r="Z3" s="104" t="s">
        <v>24</v>
      </c>
      <c r="AA3" s="118"/>
      <c r="AB3" s="118"/>
      <c r="AC3" s="118"/>
      <c r="AD3" s="118"/>
      <c r="AE3" s="119"/>
      <c r="AF3" s="63"/>
      <c r="AH3" s="112"/>
      <c r="AI3" s="113"/>
      <c r="AJ3" s="113"/>
      <c r="AK3" s="114"/>
      <c r="AM3" s="103"/>
      <c r="AO3" s="103"/>
      <c r="AP3" s="46"/>
      <c r="AR3" s="104" t="s">
        <v>31</v>
      </c>
      <c r="AS3" s="106" t="s">
        <v>32</v>
      </c>
      <c r="AT3" s="108" t="s">
        <v>30</v>
      </c>
      <c r="AV3" s="97"/>
      <c r="AW3" s="98"/>
      <c r="AX3" s="98"/>
      <c r="AY3" s="98"/>
      <c r="AZ3" s="98"/>
      <c r="BA3" s="98"/>
      <c r="BB3" s="98"/>
      <c r="BC3" s="99"/>
      <c r="BD3" s="46"/>
      <c r="BE3" s="97"/>
      <c r="BF3" s="98"/>
      <c r="BG3" s="99"/>
      <c r="BI3" s="83" t="s">
        <v>37</v>
      </c>
      <c r="BK3" s="85"/>
    </row>
    <row r="4" spans="2:63" ht="19.5" customHeight="1" x14ac:dyDescent="0.3">
      <c r="B4" s="128"/>
      <c r="C4" s="127"/>
      <c r="D4" s="130"/>
      <c r="F4" s="97"/>
      <c r="G4" s="113"/>
      <c r="H4" s="113"/>
      <c r="I4" s="98"/>
      <c r="J4" s="98"/>
      <c r="K4" s="114"/>
      <c r="M4" s="120"/>
      <c r="N4" s="121"/>
      <c r="O4" s="122"/>
      <c r="P4" s="98"/>
      <c r="Q4" s="99"/>
      <c r="R4" s="46"/>
      <c r="T4" s="112"/>
      <c r="U4" s="113"/>
      <c r="V4" s="113"/>
      <c r="W4" s="113"/>
      <c r="X4" s="114"/>
      <c r="Z4" s="105"/>
      <c r="AA4" s="118"/>
      <c r="AB4" s="118"/>
      <c r="AC4" s="118"/>
      <c r="AD4" s="118"/>
      <c r="AE4" s="119"/>
      <c r="AF4" s="63"/>
      <c r="AH4" s="112"/>
      <c r="AI4" s="113"/>
      <c r="AJ4" s="113"/>
      <c r="AK4" s="114"/>
      <c r="AM4" s="103"/>
      <c r="AO4" s="103"/>
      <c r="AP4" s="46"/>
      <c r="AR4" s="105"/>
      <c r="AS4" s="107"/>
      <c r="AT4" s="108"/>
      <c r="AV4" s="97"/>
      <c r="AW4" s="98"/>
      <c r="AX4" s="98"/>
      <c r="AY4" s="98"/>
      <c r="AZ4" s="98"/>
      <c r="BA4" s="98"/>
      <c r="BB4" s="98"/>
      <c r="BC4" s="99"/>
      <c r="BD4" s="46"/>
      <c r="BE4" s="97"/>
      <c r="BF4" s="98"/>
      <c r="BG4" s="99"/>
      <c r="BI4" s="84"/>
      <c r="BK4" s="85"/>
    </row>
    <row r="5" spans="2:63" ht="16.5" customHeight="1" x14ac:dyDescent="0.3">
      <c r="B5" s="75" t="s">
        <v>5</v>
      </c>
      <c r="C5" s="11"/>
      <c r="D5" s="21"/>
      <c r="F5" s="15"/>
      <c r="G5" s="16"/>
      <c r="H5" s="16"/>
      <c r="I5" s="16"/>
      <c r="J5" s="16"/>
      <c r="K5" s="24"/>
      <c r="M5" s="20"/>
      <c r="N5" s="11"/>
      <c r="O5" s="11"/>
      <c r="P5" s="16"/>
      <c r="Q5" s="24"/>
      <c r="R5" s="47"/>
      <c r="T5" s="20"/>
      <c r="U5" s="11"/>
      <c r="V5" s="11"/>
      <c r="W5" s="11"/>
      <c r="X5" s="21"/>
      <c r="Z5" s="5"/>
      <c r="AA5" s="3"/>
      <c r="AB5" s="3"/>
      <c r="AC5" s="3"/>
      <c r="AD5" s="3"/>
      <c r="AE5" s="6"/>
      <c r="AF5" s="63"/>
      <c r="AH5" s="20"/>
      <c r="AI5" s="11"/>
      <c r="AJ5" s="11"/>
      <c r="AK5" s="24"/>
      <c r="AM5" s="40"/>
      <c r="AO5" s="40"/>
      <c r="AP5" s="47"/>
      <c r="AR5" s="13"/>
      <c r="AS5" s="14" t="s">
        <v>33</v>
      </c>
      <c r="AT5" s="6">
        <f>1/5.94</f>
        <v>0.16835016835016833</v>
      </c>
      <c r="AV5" s="15"/>
      <c r="AW5" s="16"/>
      <c r="AX5" s="16"/>
      <c r="AY5" s="16"/>
      <c r="AZ5" s="16"/>
      <c r="BA5" s="16"/>
      <c r="BB5" s="16"/>
      <c r="BC5" s="24"/>
      <c r="BD5" s="47"/>
      <c r="BE5" s="15"/>
      <c r="BF5" s="16"/>
      <c r="BG5" s="24"/>
      <c r="BI5" s="52"/>
      <c r="BK5" s="56"/>
    </row>
    <row r="6" spans="2:63" ht="20" customHeight="1" x14ac:dyDescent="0.3">
      <c r="B6" s="75" t="s">
        <v>6</v>
      </c>
      <c r="C6" s="11"/>
      <c r="D6" s="21"/>
      <c r="F6" s="15"/>
      <c r="G6" s="16"/>
      <c r="H6" s="16"/>
      <c r="I6" s="16"/>
      <c r="J6" s="16"/>
      <c r="K6" s="24"/>
      <c r="M6" s="20"/>
      <c r="N6" s="11"/>
      <c r="O6" s="11"/>
      <c r="P6" s="16"/>
      <c r="Q6" s="24"/>
      <c r="R6" s="47"/>
      <c r="T6" s="20"/>
      <c r="U6" s="11"/>
      <c r="V6" s="11"/>
      <c r="W6" s="11"/>
      <c r="X6" s="21"/>
      <c r="Z6" s="5"/>
      <c r="AA6" s="3"/>
      <c r="AB6" s="3"/>
      <c r="AC6" s="3"/>
      <c r="AD6" s="3"/>
      <c r="AE6" s="6"/>
      <c r="AF6" s="63"/>
      <c r="AH6" s="20"/>
      <c r="AI6" s="11"/>
      <c r="AJ6" s="11"/>
      <c r="AK6" s="24"/>
      <c r="AM6" s="40"/>
      <c r="AO6" s="40"/>
      <c r="AP6" s="47"/>
      <c r="AR6" s="77"/>
      <c r="AS6" s="14" t="s">
        <v>34</v>
      </c>
      <c r="AT6" s="6">
        <f>1/4</f>
        <v>0.25</v>
      </c>
      <c r="AV6" s="15"/>
      <c r="AW6" s="16"/>
      <c r="AX6" s="16"/>
      <c r="AY6" s="16"/>
      <c r="AZ6" s="16"/>
      <c r="BA6" s="16"/>
      <c r="BB6" s="16"/>
      <c r="BC6" s="24"/>
      <c r="BD6" s="47"/>
      <c r="BE6" s="15"/>
      <c r="BF6" s="16"/>
      <c r="BG6" s="24"/>
      <c r="BI6" s="49"/>
      <c r="BK6" s="56"/>
    </row>
    <row r="7" spans="2:63" ht="18" customHeight="1" thickBot="1" x14ac:dyDescent="0.35">
      <c r="B7" s="75" t="s">
        <v>7</v>
      </c>
      <c r="C7" s="11"/>
      <c r="D7" s="21"/>
      <c r="F7" s="15"/>
      <c r="G7" s="16"/>
      <c r="H7" s="16"/>
      <c r="I7" s="16"/>
      <c r="J7" s="16"/>
      <c r="K7" s="24"/>
      <c r="M7" s="20"/>
      <c r="N7" s="11"/>
      <c r="O7" s="11"/>
      <c r="P7" s="16"/>
      <c r="Q7" s="24"/>
      <c r="R7" s="47"/>
      <c r="T7" s="20"/>
      <c r="U7" s="11"/>
      <c r="V7" s="11"/>
      <c r="W7" s="11"/>
      <c r="X7" s="21"/>
      <c r="Z7" s="5"/>
      <c r="AA7" s="3"/>
      <c r="AB7" s="3"/>
      <c r="AC7" s="3"/>
      <c r="AD7" s="3"/>
      <c r="AE7" s="6"/>
      <c r="AF7" s="63"/>
      <c r="AH7" s="20"/>
      <c r="AI7" s="11"/>
      <c r="AJ7" s="11"/>
      <c r="AK7" s="24"/>
      <c r="AM7" s="40"/>
      <c r="AO7" s="40"/>
      <c r="AP7" s="47"/>
      <c r="AR7" s="78"/>
      <c r="AS7" s="44" t="s">
        <v>35</v>
      </c>
      <c r="AT7" s="79">
        <f>1/(75*365)</f>
        <v>3.6529680365296805E-5</v>
      </c>
      <c r="AV7" s="15"/>
      <c r="AW7" s="16"/>
      <c r="AX7" s="16"/>
      <c r="AY7" s="16"/>
      <c r="AZ7" s="16"/>
      <c r="BA7" s="16"/>
      <c r="BB7" s="16"/>
      <c r="BC7" s="24"/>
      <c r="BD7" s="47"/>
      <c r="BE7" s="15"/>
      <c r="BF7" s="16"/>
      <c r="BG7" s="24"/>
      <c r="BI7" s="49"/>
      <c r="BK7" s="56"/>
    </row>
    <row r="8" spans="2:63" x14ac:dyDescent="0.3">
      <c r="B8" s="75" t="s">
        <v>8</v>
      </c>
      <c r="C8" s="11"/>
      <c r="D8" s="21"/>
      <c r="F8" s="15"/>
      <c r="G8" s="16"/>
      <c r="H8" s="16"/>
      <c r="I8" s="16"/>
      <c r="J8" s="16"/>
      <c r="K8" s="24"/>
      <c r="M8" s="20"/>
      <c r="N8" s="11"/>
      <c r="O8" s="11"/>
      <c r="P8" s="16"/>
      <c r="Q8" s="24"/>
      <c r="R8" s="47"/>
      <c r="T8" s="20"/>
      <c r="U8" s="11"/>
      <c r="V8" s="11"/>
      <c r="W8" s="11"/>
      <c r="X8" s="21"/>
      <c r="Z8" s="5"/>
      <c r="AA8" s="3"/>
      <c r="AB8" s="3"/>
      <c r="AC8" s="3"/>
      <c r="AD8" s="3"/>
      <c r="AE8" s="6"/>
      <c r="AF8" s="63"/>
      <c r="AH8" s="20"/>
      <c r="AI8" s="11"/>
      <c r="AJ8" s="11"/>
      <c r="AK8" s="24"/>
      <c r="AM8" s="40"/>
      <c r="AO8" s="40"/>
      <c r="AP8" s="47"/>
      <c r="AR8" s="133"/>
      <c r="AS8" s="134"/>
      <c r="AT8" s="135"/>
      <c r="AV8" s="15"/>
      <c r="AW8" s="16"/>
      <c r="AX8" s="16"/>
      <c r="AY8" s="16"/>
      <c r="AZ8" s="16"/>
      <c r="BA8" s="16"/>
      <c r="BB8" s="16"/>
      <c r="BC8" s="24"/>
      <c r="BD8" s="47"/>
      <c r="BE8" s="15"/>
      <c r="BF8" s="16"/>
      <c r="BG8" s="24"/>
      <c r="BI8" s="49"/>
      <c r="BK8" s="56"/>
    </row>
    <row r="9" spans="2:63" x14ac:dyDescent="0.3">
      <c r="B9" s="75" t="s">
        <v>9</v>
      </c>
      <c r="C9" s="11"/>
      <c r="D9" s="21"/>
      <c r="F9" s="15"/>
      <c r="G9" s="16"/>
      <c r="H9" s="16"/>
      <c r="I9" s="16"/>
      <c r="J9" s="16"/>
      <c r="K9" s="24"/>
      <c r="M9" s="20"/>
      <c r="N9" s="11"/>
      <c r="O9" s="11"/>
      <c r="P9" s="16"/>
      <c r="Q9" s="24"/>
      <c r="R9" s="47"/>
      <c r="T9" s="20"/>
      <c r="U9" s="11"/>
      <c r="V9" s="11"/>
      <c r="W9" s="11"/>
      <c r="X9" s="21"/>
      <c r="Z9" s="5"/>
      <c r="AA9" s="3"/>
      <c r="AB9" s="3"/>
      <c r="AC9" s="3"/>
      <c r="AD9" s="3"/>
      <c r="AE9" s="6"/>
      <c r="AF9" s="63"/>
      <c r="AH9" s="20"/>
      <c r="AI9" s="11"/>
      <c r="AJ9" s="11"/>
      <c r="AK9" s="24"/>
      <c r="AM9" s="40"/>
      <c r="AO9" s="40"/>
      <c r="AP9" s="47"/>
      <c r="AR9" s="91"/>
      <c r="AS9" s="92"/>
      <c r="AT9" s="93"/>
      <c r="AV9" s="15"/>
      <c r="AW9" s="16"/>
      <c r="AX9" s="16"/>
      <c r="AY9" s="16"/>
      <c r="AZ9" s="16"/>
      <c r="BA9" s="16"/>
      <c r="BB9" s="16"/>
      <c r="BC9" s="24"/>
      <c r="BD9" s="47"/>
      <c r="BE9" s="15"/>
      <c r="BF9" s="16"/>
      <c r="BG9" s="24"/>
      <c r="BI9" s="49"/>
      <c r="BK9" s="56"/>
    </row>
    <row r="10" spans="2:63" x14ac:dyDescent="0.3">
      <c r="B10" s="75" t="s">
        <v>10</v>
      </c>
      <c r="C10" s="11"/>
      <c r="D10" s="21"/>
      <c r="F10" s="15"/>
      <c r="G10" s="16"/>
      <c r="H10" s="16"/>
      <c r="I10" s="16"/>
      <c r="J10" s="16"/>
      <c r="K10" s="24"/>
      <c r="M10" s="20"/>
      <c r="N10" s="11"/>
      <c r="O10" s="11"/>
      <c r="P10" s="16"/>
      <c r="Q10" s="24"/>
      <c r="R10" s="47"/>
      <c r="T10" s="20"/>
      <c r="U10" s="11"/>
      <c r="V10" s="11"/>
      <c r="W10" s="11"/>
      <c r="X10" s="21"/>
      <c r="Z10" s="5"/>
      <c r="AA10" s="3"/>
      <c r="AB10" s="3"/>
      <c r="AC10" s="3"/>
      <c r="AD10" s="3"/>
      <c r="AE10" s="6"/>
      <c r="AF10" s="63"/>
      <c r="AH10" s="20"/>
      <c r="AI10" s="11"/>
      <c r="AJ10" s="11"/>
      <c r="AK10" s="24"/>
      <c r="AM10" s="40"/>
      <c r="AO10" s="40"/>
      <c r="AP10" s="47"/>
      <c r="AR10" s="91"/>
      <c r="AS10" s="92"/>
      <c r="AT10" s="93"/>
      <c r="AV10" s="15"/>
      <c r="AW10" s="16"/>
      <c r="AX10" s="16"/>
      <c r="AY10" s="16"/>
      <c r="AZ10" s="16"/>
      <c r="BA10" s="16"/>
      <c r="BB10" s="16"/>
      <c r="BC10" s="24"/>
      <c r="BD10" s="47"/>
      <c r="BE10" s="15"/>
      <c r="BF10" s="16"/>
      <c r="BG10" s="24"/>
      <c r="BI10" s="49"/>
      <c r="BK10" s="56"/>
    </row>
    <row r="11" spans="2:63" x14ac:dyDescent="0.3">
      <c r="B11" s="75" t="s">
        <v>1</v>
      </c>
      <c r="C11" s="11"/>
      <c r="D11" s="21"/>
      <c r="F11" s="15"/>
      <c r="G11" s="16"/>
      <c r="H11" s="16"/>
      <c r="I11" s="16"/>
      <c r="J11" s="16"/>
      <c r="K11" s="24"/>
      <c r="M11" s="20"/>
      <c r="N11" s="11"/>
      <c r="O11" s="11"/>
      <c r="P11" s="16"/>
      <c r="Q11" s="24"/>
      <c r="R11" s="47"/>
      <c r="T11" s="20"/>
      <c r="U11" s="11"/>
      <c r="V11" s="11"/>
      <c r="W11" s="11"/>
      <c r="X11" s="21"/>
      <c r="Z11" s="5"/>
      <c r="AA11" s="3"/>
      <c r="AB11" s="3"/>
      <c r="AC11" s="3"/>
      <c r="AD11" s="3"/>
      <c r="AE11" s="6"/>
      <c r="AF11" s="63"/>
      <c r="AH11" s="20"/>
      <c r="AI11" s="11"/>
      <c r="AJ11" s="11"/>
      <c r="AK11" s="24"/>
      <c r="AM11" s="40"/>
      <c r="AO11" s="40"/>
      <c r="AP11" s="47"/>
      <c r="AR11" s="91"/>
      <c r="AS11" s="92"/>
      <c r="AT11" s="93"/>
      <c r="AV11" s="15"/>
      <c r="AW11" s="16"/>
      <c r="AX11" s="16"/>
      <c r="AY11" s="16"/>
      <c r="AZ11" s="16"/>
      <c r="BA11" s="16"/>
      <c r="BB11" s="16"/>
      <c r="BC11" s="24"/>
      <c r="BD11" s="47"/>
      <c r="BE11" s="15"/>
      <c r="BF11" s="16"/>
      <c r="BG11" s="24"/>
      <c r="BI11" s="49"/>
      <c r="BK11" s="56"/>
    </row>
    <row r="12" spans="2:63" x14ac:dyDescent="0.3">
      <c r="B12" s="75" t="s">
        <v>2</v>
      </c>
      <c r="C12" s="11">
        <v>28.56</v>
      </c>
      <c r="D12" s="21">
        <v>86.25</v>
      </c>
      <c r="F12" s="31">
        <v>0.86919999999999997</v>
      </c>
      <c r="G12" s="32">
        <f>-0.159*C12</f>
        <v>-4.5410399999999997</v>
      </c>
      <c r="H12" s="32">
        <f>0.01116*C12*C12</f>
        <v>9.1029173759999988</v>
      </c>
      <c r="I12" s="32">
        <f>-(3.408/10000)*C12*C12*C12</f>
        <v>-7.9391534358527993</v>
      </c>
      <c r="J12" s="32">
        <f>(3.809/1000000)*C12*C12*C12*C12</f>
        <v>2.5342169133960799</v>
      </c>
      <c r="K12" s="33">
        <f>SUM(F12:J12)</f>
        <v>2.6140853543279885E-2</v>
      </c>
      <c r="L12" s="29"/>
      <c r="M12" s="20">
        <v>0.86250000000000004</v>
      </c>
      <c r="N12" s="11">
        <f>0.75</f>
        <v>0.75</v>
      </c>
      <c r="O12" s="8">
        <f>(N12-(M12-N12))</f>
        <v>0.63749999999999996</v>
      </c>
      <c r="P12" s="3">
        <f>SQRT(1+(POWER((M12-N12),2)))</f>
        <v>1.0063082281289366</v>
      </c>
      <c r="Q12" s="28">
        <f>O12/P12</f>
        <v>0.63350371405123618</v>
      </c>
      <c r="R12" s="61"/>
      <c r="T12" s="20">
        <v>1</v>
      </c>
      <c r="U12" s="34">
        <f>K12</f>
        <v>2.6140853543279885E-2</v>
      </c>
      <c r="V12" s="35">
        <f>Q12</f>
        <v>0.63350371405123618</v>
      </c>
      <c r="W12" s="11">
        <v>1.25</v>
      </c>
      <c r="X12" s="36">
        <f>T12*U12*(POWER((1+V12),W12))</f>
        <v>4.8274737591337838E-2</v>
      </c>
      <c r="Z12" s="5">
        <v>0.25</v>
      </c>
      <c r="AA12" s="3">
        <f>M12-N12</f>
        <v>0.11250000000000004</v>
      </c>
      <c r="AB12" s="3">
        <f>SQRT(1+(POWER((M12-N12),2)))</f>
        <v>1.0063082281289366</v>
      </c>
      <c r="AC12" s="3">
        <f>AA12/AB12</f>
        <v>0.11179477306786526</v>
      </c>
      <c r="AD12" s="3">
        <v>1.25</v>
      </c>
      <c r="AE12" s="37">
        <f>Z12*(POWER((1+AC12),AD12))</f>
        <v>0.28541105677345197</v>
      </c>
      <c r="AF12" s="48"/>
      <c r="AH12" s="38">
        <f>0.001044*C12</f>
        <v>2.9816639999999998E-2</v>
      </c>
      <c r="AI12" s="11">
        <f>(C12-12.286)</f>
        <v>16.274000000000001</v>
      </c>
      <c r="AJ12" s="35">
        <f>POWER((32.461-C12),0.5)</f>
        <v>1.9750949344272035</v>
      </c>
      <c r="AK12" s="37">
        <f>AH12*AI12*AJ12</f>
        <v>0.9583871643376578</v>
      </c>
      <c r="AM12" s="43">
        <v>1</v>
      </c>
      <c r="AO12" s="42">
        <f>1/(4+EXP(5.15-0.123*C12))</f>
        <v>0.10940507292225966</v>
      </c>
      <c r="AP12" s="48"/>
      <c r="AR12" s="91"/>
      <c r="AS12" s="92"/>
      <c r="AT12" s="93"/>
      <c r="AV12" s="5">
        <f>AE12</f>
        <v>0.28541105677345197</v>
      </c>
      <c r="AW12" s="3">
        <f>AK12</f>
        <v>0.9583871643376578</v>
      </c>
      <c r="AX12" s="17">
        <f>AM12</f>
        <v>1</v>
      </c>
      <c r="AY12" s="3">
        <f>AO12</f>
        <v>0.10940507292225966</v>
      </c>
      <c r="AZ12" s="3">
        <f>AT5</f>
        <v>0.16835016835016833</v>
      </c>
      <c r="BA12" s="32">
        <f>X12</f>
        <v>4.8274737591337838E-2</v>
      </c>
      <c r="BB12" s="3">
        <f>AT6</f>
        <v>0.25</v>
      </c>
      <c r="BC12" s="71">
        <f>AT7</f>
        <v>3.6529680365296805E-5</v>
      </c>
      <c r="BD12" s="80"/>
      <c r="BE12" s="27">
        <f>AV12*AV12*AW12*AX12*AY12*AZ12</f>
        <v>1.4379162466982792E-3</v>
      </c>
      <c r="BF12" s="81">
        <f>BA12*(BB12+BC12)*(AZ12+BC12)*(AY12+BA12)</f>
        <v>3.2048466562091689E-4</v>
      </c>
      <c r="BG12" s="37">
        <f>BE12/BF12</f>
        <v>4.4866928154344476</v>
      </c>
      <c r="BI12" s="59">
        <v>1</v>
      </c>
      <c r="BK12" s="58">
        <f>BG12*BI12</f>
        <v>4.4866928154344476</v>
      </c>
    </row>
    <row r="13" spans="2:63" x14ac:dyDescent="0.3">
      <c r="B13" s="75" t="s">
        <v>3</v>
      </c>
      <c r="C13" s="11"/>
      <c r="D13" s="21"/>
      <c r="F13" s="15"/>
      <c r="G13" s="16"/>
      <c r="H13" s="16"/>
      <c r="I13" s="16"/>
      <c r="J13" s="16"/>
      <c r="K13" s="24"/>
      <c r="M13" s="20"/>
      <c r="N13" s="11"/>
      <c r="O13" s="11"/>
      <c r="P13" s="16"/>
      <c r="Q13" s="24"/>
      <c r="R13" s="47"/>
      <c r="T13" s="20"/>
      <c r="U13" s="11"/>
      <c r="V13" s="11"/>
      <c r="W13" s="11"/>
      <c r="X13" s="21"/>
      <c r="Z13" s="5"/>
      <c r="AA13" s="3"/>
      <c r="AB13" s="3"/>
      <c r="AC13" s="3"/>
      <c r="AD13" s="3"/>
      <c r="AE13" s="6"/>
      <c r="AF13" s="63"/>
      <c r="AH13" s="20"/>
      <c r="AI13" s="11"/>
      <c r="AJ13" s="11"/>
      <c r="AK13" s="24"/>
      <c r="AM13" s="40"/>
      <c r="AO13" s="40"/>
      <c r="AP13" s="47"/>
      <c r="AR13" s="91"/>
      <c r="AS13" s="92"/>
      <c r="AT13" s="93"/>
      <c r="AV13" s="15"/>
      <c r="AW13" s="16"/>
      <c r="AX13" s="16"/>
      <c r="AY13" s="16"/>
      <c r="AZ13" s="16"/>
      <c r="BA13" s="16"/>
      <c r="BB13" s="16"/>
      <c r="BC13" s="24"/>
      <c r="BD13" s="47"/>
      <c r="BE13" s="15"/>
      <c r="BF13" s="16"/>
      <c r="BG13" s="24"/>
      <c r="BI13" s="49"/>
      <c r="BK13" s="56"/>
    </row>
    <row r="14" spans="2:63" x14ac:dyDescent="0.3">
      <c r="B14" s="75" t="s">
        <v>4</v>
      </c>
      <c r="C14" s="11"/>
      <c r="D14" s="21"/>
      <c r="F14" s="15"/>
      <c r="G14" s="16"/>
      <c r="H14" s="16"/>
      <c r="I14" s="16"/>
      <c r="J14" s="16"/>
      <c r="K14" s="24"/>
      <c r="M14" s="20"/>
      <c r="N14" s="11"/>
      <c r="O14" s="11"/>
      <c r="P14" s="16"/>
      <c r="Q14" s="24"/>
      <c r="R14" s="47"/>
      <c r="T14" s="20"/>
      <c r="U14" s="11"/>
      <c r="V14" s="11"/>
      <c r="W14" s="11"/>
      <c r="X14" s="21"/>
      <c r="Z14" s="5"/>
      <c r="AA14" s="3"/>
      <c r="AB14" s="3"/>
      <c r="AC14" s="3"/>
      <c r="AD14" s="3"/>
      <c r="AE14" s="6"/>
      <c r="AF14" s="63"/>
      <c r="AH14" s="20"/>
      <c r="AI14" s="11"/>
      <c r="AJ14" s="11"/>
      <c r="AK14" s="24"/>
      <c r="AM14" s="40"/>
      <c r="AO14" s="40"/>
      <c r="AP14" s="47"/>
      <c r="AR14" s="91"/>
      <c r="AS14" s="92"/>
      <c r="AT14" s="93"/>
      <c r="AV14" s="15"/>
      <c r="AW14" s="16"/>
      <c r="AX14" s="16"/>
      <c r="AY14" s="16"/>
      <c r="AZ14" s="16"/>
      <c r="BA14" s="16"/>
      <c r="BB14" s="16"/>
      <c r="BC14" s="24"/>
      <c r="BD14" s="47"/>
      <c r="BE14" s="15"/>
      <c r="BF14" s="16"/>
      <c r="BG14" s="24"/>
      <c r="BI14" s="49"/>
      <c r="BK14" s="56"/>
    </row>
    <row r="15" spans="2:63" x14ac:dyDescent="0.3">
      <c r="B15" s="75" t="s">
        <v>11</v>
      </c>
      <c r="C15" s="11"/>
      <c r="D15" s="21"/>
      <c r="F15" s="15"/>
      <c r="G15" s="16"/>
      <c r="H15" s="16"/>
      <c r="I15" s="16"/>
      <c r="J15" s="16"/>
      <c r="K15" s="24"/>
      <c r="M15" s="20"/>
      <c r="N15" s="11"/>
      <c r="O15" s="11"/>
      <c r="P15" s="16"/>
      <c r="Q15" s="24"/>
      <c r="R15" s="47"/>
      <c r="T15" s="20"/>
      <c r="U15" s="11"/>
      <c r="V15" s="11"/>
      <c r="W15" s="11"/>
      <c r="X15" s="21"/>
      <c r="Z15" s="5"/>
      <c r="AA15" s="3"/>
      <c r="AB15" s="3"/>
      <c r="AC15" s="3"/>
      <c r="AD15" s="3"/>
      <c r="AE15" s="6"/>
      <c r="AF15" s="63"/>
      <c r="AH15" s="20"/>
      <c r="AI15" s="11"/>
      <c r="AJ15" s="11"/>
      <c r="AK15" s="24"/>
      <c r="AM15" s="40"/>
      <c r="AO15" s="40"/>
      <c r="AP15" s="47"/>
      <c r="AR15" s="91"/>
      <c r="AS15" s="92"/>
      <c r="AT15" s="93"/>
      <c r="AV15" s="15"/>
      <c r="AW15" s="16"/>
      <c r="AX15" s="16"/>
      <c r="AY15" s="16"/>
      <c r="AZ15" s="16"/>
      <c r="BA15" s="16"/>
      <c r="BB15" s="16"/>
      <c r="BC15" s="24"/>
      <c r="BD15" s="47"/>
      <c r="BE15" s="15"/>
      <c r="BF15" s="16"/>
      <c r="BG15" s="24"/>
      <c r="BI15" s="49"/>
      <c r="BK15" s="56"/>
    </row>
    <row r="16" spans="2:63" x14ac:dyDescent="0.3">
      <c r="B16" s="75" t="s">
        <v>12</v>
      </c>
      <c r="C16" s="11"/>
      <c r="D16" s="21"/>
      <c r="F16" s="15"/>
      <c r="G16" s="16"/>
      <c r="H16" s="16"/>
      <c r="I16" s="16"/>
      <c r="J16" s="16"/>
      <c r="K16" s="24"/>
      <c r="M16" s="20"/>
      <c r="N16" s="11"/>
      <c r="O16" s="11"/>
      <c r="P16" s="16"/>
      <c r="Q16" s="24"/>
      <c r="R16" s="47"/>
      <c r="T16" s="20"/>
      <c r="U16" s="11"/>
      <c r="V16" s="11"/>
      <c r="W16" s="11"/>
      <c r="X16" s="21"/>
      <c r="Z16" s="5"/>
      <c r="AA16" s="3"/>
      <c r="AB16" s="3"/>
      <c r="AC16" s="3"/>
      <c r="AD16" s="3"/>
      <c r="AE16" s="6"/>
      <c r="AF16" s="63"/>
      <c r="AH16" s="20"/>
      <c r="AI16" s="11"/>
      <c r="AJ16" s="11"/>
      <c r="AK16" s="24"/>
      <c r="AM16" s="40"/>
      <c r="AO16" s="40"/>
      <c r="AP16" s="47"/>
      <c r="AR16" s="91"/>
      <c r="AS16" s="92"/>
      <c r="AT16" s="93"/>
      <c r="AV16" s="15"/>
      <c r="AW16" s="16"/>
      <c r="AX16" s="16"/>
      <c r="AY16" s="16"/>
      <c r="AZ16" s="16"/>
      <c r="BA16" s="16"/>
      <c r="BB16" s="16"/>
      <c r="BC16" s="24"/>
      <c r="BD16" s="47"/>
      <c r="BE16" s="15"/>
      <c r="BF16" s="16"/>
      <c r="BG16" s="24"/>
      <c r="BI16" s="49"/>
      <c r="BK16" s="56"/>
    </row>
    <row r="17" spans="2:63" ht="14.5" thickBot="1" x14ac:dyDescent="0.35">
      <c r="B17" s="76"/>
      <c r="C17" s="12"/>
      <c r="D17" s="23"/>
      <c r="F17" s="18"/>
      <c r="G17" s="25"/>
      <c r="H17" s="25"/>
      <c r="I17" s="25"/>
      <c r="J17" s="25"/>
      <c r="K17" s="26"/>
      <c r="M17" s="22"/>
      <c r="N17" s="12"/>
      <c r="O17" s="12"/>
      <c r="P17" s="25"/>
      <c r="Q17" s="26"/>
      <c r="R17" s="47"/>
      <c r="T17" s="22"/>
      <c r="U17" s="12"/>
      <c r="V17" s="12"/>
      <c r="W17" s="12"/>
      <c r="X17" s="23"/>
      <c r="Z17" s="9"/>
      <c r="AA17" s="4"/>
      <c r="AB17" s="4"/>
      <c r="AC17" s="4"/>
      <c r="AD17" s="4"/>
      <c r="AE17" s="7"/>
      <c r="AF17" s="63"/>
      <c r="AH17" s="22"/>
      <c r="AI17" s="12"/>
      <c r="AJ17" s="12"/>
      <c r="AK17" s="26"/>
      <c r="AM17" s="41"/>
      <c r="AO17" s="41"/>
      <c r="AP17" s="47"/>
      <c r="AR17" s="94"/>
      <c r="AS17" s="95"/>
      <c r="AT17" s="96"/>
      <c r="AV17" s="18"/>
      <c r="AW17" s="25"/>
      <c r="AX17" s="25"/>
      <c r="AY17" s="25"/>
      <c r="AZ17" s="25"/>
      <c r="BA17" s="25"/>
      <c r="BB17" s="25"/>
      <c r="BC17" s="26"/>
      <c r="BD17" s="47"/>
      <c r="BE17" s="18"/>
      <c r="BF17" s="25"/>
      <c r="BG17" s="26"/>
      <c r="BI17" s="54"/>
      <c r="BK17" s="57"/>
    </row>
  </sheetData>
  <mergeCells count="57">
    <mergeCell ref="AR2:AT2"/>
    <mergeCell ref="AV2:BC2"/>
    <mergeCell ref="BE2:BG2"/>
    <mergeCell ref="B3:B4"/>
    <mergeCell ref="C3:C4"/>
    <mergeCell ref="D3:D4"/>
    <mergeCell ref="F3:F4"/>
    <mergeCell ref="G3:G4"/>
    <mergeCell ref="H3:H4"/>
    <mergeCell ref="B2:D2"/>
    <mergeCell ref="F2:K2"/>
    <mergeCell ref="M2:Q2"/>
    <mergeCell ref="T2:X2"/>
    <mergeCell ref="Z2:AE2"/>
    <mergeCell ref="AH2:AK2"/>
    <mergeCell ref="W3:W4"/>
    <mergeCell ref="I3:I4"/>
    <mergeCell ref="J3:J4"/>
    <mergeCell ref="K3:K4"/>
    <mergeCell ref="M3:M4"/>
    <mergeCell ref="N3:N4"/>
    <mergeCell ref="O3:O4"/>
    <mergeCell ref="P3:P4"/>
    <mergeCell ref="Q3:Q4"/>
    <mergeCell ref="T3:T4"/>
    <mergeCell ref="U3:U4"/>
    <mergeCell ref="V3:V4"/>
    <mergeCell ref="AM3:AM4"/>
    <mergeCell ref="X3:X4"/>
    <mergeCell ref="Z3:Z4"/>
    <mergeCell ref="AA3:AA4"/>
    <mergeCell ref="AB3:AB4"/>
    <mergeCell ref="AC3:AC4"/>
    <mergeCell ref="AD3:AD4"/>
    <mergeCell ref="AE3:AE4"/>
    <mergeCell ref="AH3:AH4"/>
    <mergeCell ref="AI3:AI4"/>
    <mergeCell ref="AJ3:AJ4"/>
    <mergeCell ref="AK3:AK4"/>
    <mergeCell ref="AO3:AO4"/>
    <mergeCell ref="AR3:AR4"/>
    <mergeCell ref="AS3:AS4"/>
    <mergeCell ref="AT3:AT4"/>
    <mergeCell ref="AV3:AV4"/>
    <mergeCell ref="BK3:BK4"/>
    <mergeCell ref="AX3:AX4"/>
    <mergeCell ref="AY3:AY4"/>
    <mergeCell ref="AZ3:AZ4"/>
    <mergeCell ref="BA3:BA4"/>
    <mergeCell ref="BB3:BB4"/>
    <mergeCell ref="BC3:BC4"/>
    <mergeCell ref="AR8:AT17"/>
    <mergeCell ref="BE3:BE4"/>
    <mergeCell ref="BF3:BF4"/>
    <mergeCell ref="BG3:BG4"/>
    <mergeCell ref="BI3:BI4"/>
    <mergeCell ref="AW3:AW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3AEB5-A9B1-4822-8C08-82D872CC77C3}">
  <dimension ref="B1:BL56"/>
  <sheetViews>
    <sheetView topLeftCell="A21" workbookViewId="0">
      <selection activeCell="AT7" sqref="AT7:AU7"/>
    </sheetView>
  </sheetViews>
  <sheetFormatPr defaultRowHeight="14" x14ac:dyDescent="0.3"/>
  <cols>
    <col min="2" max="2" width="8.6640625" style="2"/>
    <col min="3" max="3" width="9.5" style="19" customWidth="1"/>
    <col min="4" max="4" width="13.5" style="2" customWidth="1"/>
    <col min="5" max="5" width="14.6640625" style="2" customWidth="1"/>
    <col min="8" max="8" width="10.33203125" customWidth="1"/>
    <col min="9" max="9" width="10.58203125" customWidth="1"/>
    <col min="10" max="10" width="14.9140625" customWidth="1"/>
    <col min="11" max="11" width="14.5" customWidth="1"/>
    <col min="12" max="12" width="13.08203125" customWidth="1"/>
    <col min="14" max="14" width="13" style="2" customWidth="1"/>
    <col min="15" max="15" width="10.9140625" style="2" customWidth="1"/>
    <col min="16" max="16" width="12.1640625" style="2" customWidth="1"/>
    <col min="17" max="17" width="14.33203125" customWidth="1"/>
    <col min="18" max="19" width="17.33203125" customWidth="1"/>
    <col min="21" max="24" width="8.6640625" style="2"/>
    <col min="25" max="25" width="32.1640625" style="2" customWidth="1"/>
    <col min="26" max="26" width="8.6640625" style="2"/>
    <col min="27" max="27" width="14.25" style="1" customWidth="1"/>
    <col min="28" max="28" width="8.6640625" style="1"/>
    <col min="29" max="29" width="10.33203125" style="1" customWidth="1"/>
    <col min="30" max="30" width="14.75" style="1" customWidth="1"/>
    <col min="31" max="31" width="4.9140625" style="1" customWidth="1"/>
    <col min="32" max="33" width="16.83203125" style="1" customWidth="1"/>
    <col min="34" max="34" width="8.6640625" style="1"/>
    <col min="35" max="35" width="10.83203125" style="2" customWidth="1"/>
    <col min="36" max="36" width="11" style="2" customWidth="1"/>
    <col min="37" max="37" width="14.1640625" style="2" customWidth="1"/>
    <col min="38" max="38" width="11.58203125" customWidth="1"/>
    <col min="39" max="39" width="13.9140625" customWidth="1"/>
    <col min="40" max="40" width="43.9140625" customWidth="1"/>
    <col min="42" max="42" width="47.58203125" customWidth="1"/>
    <col min="43" max="43" width="11.25" customWidth="1"/>
    <col min="45" max="45" width="14.1640625" customWidth="1"/>
    <col min="46" max="46" width="21.5" customWidth="1"/>
    <col min="47" max="47" width="17.33203125" customWidth="1"/>
    <col min="49" max="49" width="7.83203125" customWidth="1"/>
    <col min="50" max="57" width="7.9140625" customWidth="1"/>
    <col min="58" max="58" width="21.4140625" customWidth="1"/>
    <col min="59" max="59" width="26.83203125" customWidth="1"/>
    <col min="60" max="60" width="29.9140625" customWidth="1"/>
    <col min="62" max="62" width="30.5" style="50" customWidth="1"/>
    <col min="64" max="64" width="46.25" style="10" customWidth="1"/>
  </cols>
  <sheetData>
    <row r="1" spans="2:64" ht="14.5" thickBot="1" x14ac:dyDescent="0.35"/>
    <row r="2" spans="2:64" ht="14" customHeight="1" x14ac:dyDescent="0.3">
      <c r="B2" s="115" t="s">
        <v>17</v>
      </c>
      <c r="C2" s="116"/>
      <c r="D2" s="116"/>
      <c r="E2" s="117"/>
      <c r="G2" s="123" t="s">
        <v>21</v>
      </c>
      <c r="H2" s="124"/>
      <c r="I2" s="124"/>
      <c r="J2" s="124"/>
      <c r="K2" s="124"/>
      <c r="L2" s="125"/>
      <c r="N2" s="115" t="s">
        <v>22</v>
      </c>
      <c r="O2" s="116"/>
      <c r="P2" s="116"/>
      <c r="Q2" s="116"/>
      <c r="R2" s="117"/>
      <c r="S2" s="60"/>
      <c r="U2" s="115" t="s">
        <v>23</v>
      </c>
      <c r="V2" s="116"/>
      <c r="W2" s="116"/>
      <c r="X2" s="116"/>
      <c r="Y2" s="117"/>
      <c r="AA2" s="109" t="s">
        <v>25</v>
      </c>
      <c r="AB2" s="110"/>
      <c r="AC2" s="110"/>
      <c r="AD2" s="110"/>
      <c r="AE2" s="110"/>
      <c r="AF2" s="111"/>
      <c r="AG2" s="62"/>
      <c r="AI2" s="115" t="s">
        <v>26</v>
      </c>
      <c r="AJ2" s="116"/>
      <c r="AK2" s="116"/>
      <c r="AL2" s="117"/>
      <c r="AN2" s="39" t="s">
        <v>27</v>
      </c>
      <c r="AP2" s="39" t="s">
        <v>29</v>
      </c>
      <c r="AQ2" s="45"/>
      <c r="AS2" s="109" t="s">
        <v>36</v>
      </c>
      <c r="AT2" s="110"/>
      <c r="AU2" s="111"/>
      <c r="AW2" s="100" t="s">
        <v>40</v>
      </c>
      <c r="AX2" s="101"/>
      <c r="AY2" s="101"/>
      <c r="AZ2" s="101"/>
      <c r="BA2" s="101"/>
      <c r="BB2" s="101"/>
      <c r="BC2" s="101"/>
      <c r="BD2" s="102"/>
      <c r="BE2" s="69"/>
      <c r="BF2" s="100" t="s">
        <v>41</v>
      </c>
      <c r="BG2" s="101"/>
      <c r="BH2" s="102"/>
      <c r="BJ2" s="51" t="s">
        <v>38</v>
      </c>
      <c r="BL2" s="55" t="s">
        <v>39</v>
      </c>
    </row>
    <row r="3" spans="2:64" ht="16.5" customHeight="1" x14ac:dyDescent="0.3">
      <c r="B3" s="128" t="s">
        <v>14</v>
      </c>
      <c r="C3" s="127" t="s">
        <v>0</v>
      </c>
      <c r="D3" s="126" t="s">
        <v>16</v>
      </c>
      <c r="E3" s="129" t="s">
        <v>15</v>
      </c>
      <c r="G3" s="97"/>
      <c r="H3" s="113"/>
      <c r="I3" s="113"/>
      <c r="J3" s="98"/>
      <c r="K3" s="98"/>
      <c r="L3" s="114" t="s">
        <v>18</v>
      </c>
      <c r="N3" s="120" t="s">
        <v>19</v>
      </c>
      <c r="O3" s="121" t="s">
        <v>20</v>
      </c>
      <c r="P3" s="122"/>
      <c r="Q3" s="98"/>
      <c r="R3" s="99"/>
      <c r="S3" s="46"/>
      <c r="U3" s="112"/>
      <c r="V3" s="113"/>
      <c r="W3" s="113"/>
      <c r="X3" s="113"/>
      <c r="Y3" s="114"/>
      <c r="AA3" s="104" t="s">
        <v>24</v>
      </c>
      <c r="AB3" s="118"/>
      <c r="AC3" s="118"/>
      <c r="AD3" s="118"/>
      <c r="AE3" s="118"/>
      <c r="AF3" s="119"/>
      <c r="AG3" s="63"/>
      <c r="AI3" s="112"/>
      <c r="AJ3" s="113"/>
      <c r="AK3" s="113"/>
      <c r="AL3" s="114"/>
      <c r="AN3" s="103"/>
      <c r="AP3" s="103"/>
      <c r="AQ3" s="46"/>
      <c r="AS3" s="104" t="s">
        <v>31</v>
      </c>
      <c r="AT3" s="106" t="s">
        <v>32</v>
      </c>
      <c r="AU3" s="108" t="s">
        <v>30</v>
      </c>
      <c r="AW3" s="97"/>
      <c r="AX3" s="98"/>
      <c r="AY3" s="86"/>
      <c r="AZ3" s="86"/>
      <c r="BA3" s="86"/>
      <c r="BB3" s="86"/>
      <c r="BC3" s="86"/>
      <c r="BD3" s="86"/>
      <c r="BE3" s="68"/>
      <c r="BF3" s="86"/>
      <c r="BG3" s="86"/>
      <c r="BH3" s="99"/>
      <c r="BJ3" s="83" t="s">
        <v>37</v>
      </c>
      <c r="BL3" s="85"/>
    </row>
    <row r="4" spans="2:64" ht="19.5" customHeight="1" x14ac:dyDescent="0.3">
      <c r="B4" s="128"/>
      <c r="C4" s="127"/>
      <c r="D4" s="127"/>
      <c r="E4" s="130"/>
      <c r="G4" s="97"/>
      <c r="H4" s="113"/>
      <c r="I4" s="113"/>
      <c r="J4" s="98"/>
      <c r="K4" s="98"/>
      <c r="L4" s="114"/>
      <c r="N4" s="120"/>
      <c r="O4" s="121"/>
      <c r="P4" s="122"/>
      <c r="Q4" s="98"/>
      <c r="R4" s="99"/>
      <c r="S4" s="46"/>
      <c r="U4" s="112"/>
      <c r="V4" s="113"/>
      <c r="W4" s="113"/>
      <c r="X4" s="113"/>
      <c r="Y4" s="114"/>
      <c r="AA4" s="105"/>
      <c r="AB4" s="118"/>
      <c r="AC4" s="118"/>
      <c r="AD4" s="118"/>
      <c r="AE4" s="118"/>
      <c r="AF4" s="119"/>
      <c r="AG4" s="63"/>
      <c r="AI4" s="112"/>
      <c r="AJ4" s="113"/>
      <c r="AK4" s="113"/>
      <c r="AL4" s="114"/>
      <c r="AN4" s="103"/>
      <c r="AP4" s="103"/>
      <c r="AQ4" s="46"/>
      <c r="AS4" s="105"/>
      <c r="AT4" s="107"/>
      <c r="AU4" s="108"/>
      <c r="AW4" s="97"/>
      <c r="AX4" s="98"/>
      <c r="AY4" s="87"/>
      <c r="AZ4" s="87"/>
      <c r="BA4" s="87"/>
      <c r="BB4" s="87"/>
      <c r="BC4" s="87"/>
      <c r="BD4" s="87"/>
      <c r="BE4" s="67"/>
      <c r="BF4" s="87"/>
      <c r="BG4" s="87"/>
      <c r="BH4" s="99"/>
      <c r="BJ4" s="84"/>
      <c r="BL4" s="85"/>
    </row>
    <row r="5" spans="2:64" ht="16.5" customHeight="1" x14ac:dyDescent="0.3">
      <c r="B5" s="20">
        <v>1</v>
      </c>
      <c r="C5" s="131" t="s">
        <v>5</v>
      </c>
      <c r="D5" s="11"/>
      <c r="E5" s="21"/>
      <c r="G5" s="15"/>
      <c r="H5" s="16"/>
      <c r="I5" s="16"/>
      <c r="J5" s="16"/>
      <c r="K5" s="16"/>
      <c r="L5" s="24"/>
      <c r="N5" s="20"/>
      <c r="O5" s="11"/>
      <c r="P5" s="11"/>
      <c r="Q5" s="16"/>
      <c r="R5" s="24"/>
      <c r="S5" s="47"/>
      <c r="U5" s="20"/>
      <c r="V5" s="11"/>
      <c r="W5" s="11"/>
      <c r="X5" s="11"/>
      <c r="Y5" s="21"/>
      <c r="AA5" s="5"/>
      <c r="AB5" s="3"/>
      <c r="AC5" s="3"/>
      <c r="AD5" s="3"/>
      <c r="AE5" s="3"/>
      <c r="AF5" s="6"/>
      <c r="AG5" s="63"/>
      <c r="AI5" s="20"/>
      <c r="AJ5" s="11"/>
      <c r="AK5" s="11"/>
      <c r="AL5" s="24"/>
      <c r="AN5" s="40"/>
      <c r="AP5" s="40"/>
      <c r="AQ5" s="47"/>
      <c r="AS5" s="13"/>
      <c r="AT5" s="14" t="s">
        <v>33</v>
      </c>
      <c r="AU5" s="6">
        <f>1/5.94</f>
        <v>0.16835016835016833</v>
      </c>
      <c r="AW5" s="15"/>
      <c r="AX5" s="16"/>
      <c r="AY5" s="64"/>
      <c r="AZ5" s="64"/>
      <c r="BA5" s="64"/>
      <c r="BB5" s="64"/>
      <c r="BC5" s="64"/>
      <c r="BD5" s="64"/>
      <c r="BE5" s="64"/>
      <c r="BF5" s="64"/>
      <c r="BG5" s="64"/>
      <c r="BH5" s="24"/>
      <c r="BJ5" s="52"/>
      <c r="BL5" s="56"/>
    </row>
    <row r="6" spans="2:64" x14ac:dyDescent="0.3">
      <c r="B6" s="20">
        <v>2</v>
      </c>
      <c r="C6" s="131"/>
      <c r="D6" s="11"/>
      <c r="E6" s="21"/>
      <c r="G6" s="15"/>
      <c r="H6" s="16"/>
      <c r="I6" s="16"/>
      <c r="J6" s="16"/>
      <c r="K6" s="16"/>
      <c r="L6" s="24"/>
      <c r="N6" s="20"/>
      <c r="O6" s="11"/>
      <c r="P6" s="11"/>
      <c r="Q6" s="16"/>
      <c r="R6" s="24"/>
      <c r="S6" s="47"/>
      <c r="U6" s="20"/>
      <c r="V6" s="11"/>
      <c r="W6" s="11"/>
      <c r="X6" s="11"/>
      <c r="Y6" s="21"/>
      <c r="AA6" s="5"/>
      <c r="AB6" s="3"/>
      <c r="AC6" s="3"/>
      <c r="AD6" s="3"/>
      <c r="AE6" s="3"/>
      <c r="AF6" s="6"/>
      <c r="AG6" s="63"/>
      <c r="AI6" s="20"/>
      <c r="AJ6" s="11"/>
      <c r="AK6" s="11"/>
      <c r="AL6" s="24"/>
      <c r="AN6" s="40"/>
      <c r="AP6" s="40"/>
      <c r="AQ6" s="47"/>
      <c r="AS6" s="13"/>
      <c r="AT6" s="14" t="s">
        <v>34</v>
      </c>
      <c r="AU6" s="6">
        <f>1/4</f>
        <v>0.25</v>
      </c>
      <c r="AW6" s="15"/>
      <c r="AX6" s="16"/>
      <c r="AY6" s="64"/>
      <c r="AZ6" s="64"/>
      <c r="BA6" s="64"/>
      <c r="BB6" s="64"/>
      <c r="BC6" s="64"/>
      <c r="BD6" s="64"/>
      <c r="BE6" s="64"/>
      <c r="BF6" s="64"/>
      <c r="BG6" s="64"/>
      <c r="BH6" s="24"/>
      <c r="BJ6" s="53"/>
      <c r="BL6" s="56"/>
    </row>
    <row r="7" spans="2:64" x14ac:dyDescent="0.3">
      <c r="B7" s="20">
        <v>3</v>
      </c>
      <c r="C7" s="131"/>
      <c r="D7" s="11"/>
      <c r="E7" s="21"/>
      <c r="G7" s="15"/>
      <c r="H7" s="16"/>
      <c r="I7" s="16"/>
      <c r="J7" s="16"/>
      <c r="K7" s="16"/>
      <c r="L7" s="24"/>
      <c r="N7" s="20"/>
      <c r="O7" s="11"/>
      <c r="P7" s="11"/>
      <c r="Q7" s="16"/>
      <c r="R7" s="24"/>
      <c r="S7" s="47"/>
      <c r="U7" s="20"/>
      <c r="V7" s="11"/>
      <c r="W7" s="11"/>
      <c r="X7" s="11"/>
      <c r="Y7" s="21"/>
      <c r="AA7" s="5"/>
      <c r="AB7" s="3"/>
      <c r="AC7" s="3"/>
      <c r="AD7" s="3"/>
      <c r="AE7" s="3"/>
      <c r="AF7" s="6"/>
      <c r="AG7" s="63"/>
      <c r="AI7" s="20"/>
      <c r="AJ7" s="11"/>
      <c r="AK7" s="11"/>
      <c r="AL7" s="24"/>
      <c r="AN7" s="40"/>
      <c r="AP7" s="40"/>
      <c r="AQ7" s="47"/>
      <c r="AS7" s="13"/>
      <c r="AT7" s="14" t="s">
        <v>35</v>
      </c>
      <c r="AU7" s="71">
        <f>1/(75*365)</f>
        <v>3.6529680365296805E-5</v>
      </c>
      <c r="AW7" s="15"/>
      <c r="AX7" s="16"/>
      <c r="AY7" s="64"/>
      <c r="AZ7" s="64"/>
      <c r="BA7" s="64"/>
      <c r="BB7" s="64"/>
      <c r="BC7" s="64"/>
      <c r="BD7" s="64"/>
      <c r="BE7" s="64"/>
      <c r="BF7" s="64"/>
      <c r="BG7" s="64"/>
      <c r="BH7" s="24"/>
      <c r="BJ7" s="53"/>
      <c r="BL7" s="56"/>
    </row>
    <row r="8" spans="2:64" x14ac:dyDescent="0.3">
      <c r="B8" s="20">
        <v>4</v>
      </c>
      <c r="C8" s="131"/>
      <c r="D8" s="11"/>
      <c r="E8" s="21"/>
      <c r="G8" s="15"/>
      <c r="H8" s="16"/>
      <c r="I8" s="16"/>
      <c r="J8" s="16"/>
      <c r="K8" s="16"/>
      <c r="L8" s="24"/>
      <c r="N8" s="20"/>
      <c r="O8" s="11"/>
      <c r="P8" s="11"/>
      <c r="Q8" s="16"/>
      <c r="R8" s="24"/>
      <c r="S8" s="47"/>
      <c r="U8" s="20"/>
      <c r="V8" s="11"/>
      <c r="W8" s="11"/>
      <c r="X8" s="11"/>
      <c r="Y8" s="21"/>
      <c r="AA8" s="5"/>
      <c r="AB8" s="3"/>
      <c r="AC8" s="3"/>
      <c r="AD8" s="3"/>
      <c r="AE8" s="3"/>
      <c r="AF8" s="6"/>
      <c r="AG8" s="63"/>
      <c r="AI8" s="20"/>
      <c r="AJ8" s="11"/>
      <c r="AK8" s="11"/>
      <c r="AL8" s="24"/>
      <c r="AN8" s="40"/>
      <c r="AP8" s="40"/>
      <c r="AQ8" s="47"/>
      <c r="AS8" s="88"/>
      <c r="AT8" s="89"/>
      <c r="AU8" s="90"/>
      <c r="AW8" s="15"/>
      <c r="AX8" s="16"/>
      <c r="AY8" s="64"/>
      <c r="AZ8" s="64"/>
      <c r="BA8" s="64"/>
      <c r="BB8" s="64"/>
      <c r="BC8" s="64"/>
      <c r="BD8" s="64"/>
      <c r="BE8" s="64"/>
      <c r="BF8" s="64"/>
      <c r="BG8" s="64"/>
      <c r="BH8" s="24"/>
      <c r="BJ8" s="53"/>
      <c r="BL8" s="56"/>
    </row>
    <row r="9" spans="2:64" x14ac:dyDescent="0.3">
      <c r="B9" s="20">
        <v>5</v>
      </c>
      <c r="C9" s="131"/>
      <c r="D9" s="11"/>
      <c r="E9" s="21"/>
      <c r="G9" s="15"/>
      <c r="H9" s="16"/>
      <c r="I9" s="16"/>
      <c r="J9" s="16"/>
      <c r="K9" s="16"/>
      <c r="L9" s="24"/>
      <c r="N9" s="20"/>
      <c r="O9" s="11"/>
      <c r="P9" s="11"/>
      <c r="Q9" s="16"/>
      <c r="R9" s="24"/>
      <c r="S9" s="47"/>
      <c r="U9" s="20"/>
      <c r="V9" s="11"/>
      <c r="W9" s="11"/>
      <c r="X9" s="11"/>
      <c r="Y9" s="21"/>
      <c r="AA9" s="5"/>
      <c r="AB9" s="3"/>
      <c r="AC9" s="3"/>
      <c r="AD9" s="3"/>
      <c r="AE9" s="3"/>
      <c r="AF9" s="6"/>
      <c r="AG9" s="63"/>
      <c r="AI9" s="20"/>
      <c r="AJ9" s="11"/>
      <c r="AK9" s="11"/>
      <c r="AL9" s="24"/>
      <c r="AN9" s="40"/>
      <c r="AP9" s="40"/>
      <c r="AQ9" s="47"/>
      <c r="AS9" s="91"/>
      <c r="AT9" s="92"/>
      <c r="AU9" s="93"/>
      <c r="AW9" s="15"/>
      <c r="AX9" s="16"/>
      <c r="AY9" s="64"/>
      <c r="AZ9" s="64"/>
      <c r="BA9" s="64"/>
      <c r="BB9" s="64"/>
      <c r="BC9" s="64"/>
      <c r="BD9" s="64"/>
      <c r="BE9" s="64"/>
      <c r="BF9" s="64"/>
      <c r="BG9" s="64"/>
      <c r="BH9" s="24"/>
      <c r="BJ9" s="49"/>
      <c r="BL9" s="56"/>
    </row>
    <row r="10" spans="2:64" x14ac:dyDescent="0.3">
      <c r="B10" s="20">
        <v>6</v>
      </c>
      <c r="C10" s="131" t="s">
        <v>6</v>
      </c>
      <c r="D10" s="11"/>
      <c r="E10" s="21"/>
      <c r="G10" s="15"/>
      <c r="H10" s="16"/>
      <c r="I10" s="16"/>
      <c r="J10" s="16"/>
      <c r="K10" s="16"/>
      <c r="L10" s="24"/>
      <c r="N10" s="20"/>
      <c r="O10" s="11"/>
      <c r="P10" s="11"/>
      <c r="Q10" s="16"/>
      <c r="R10" s="24"/>
      <c r="S10" s="47"/>
      <c r="U10" s="20"/>
      <c r="V10" s="11"/>
      <c r="W10" s="11"/>
      <c r="X10" s="11"/>
      <c r="Y10" s="21"/>
      <c r="AA10" s="5"/>
      <c r="AB10" s="3"/>
      <c r="AC10" s="3"/>
      <c r="AD10" s="3"/>
      <c r="AE10" s="3"/>
      <c r="AF10" s="6"/>
      <c r="AG10" s="63"/>
      <c r="AI10" s="20"/>
      <c r="AJ10" s="11"/>
      <c r="AK10" s="11"/>
      <c r="AL10" s="24"/>
      <c r="AN10" s="40"/>
      <c r="AP10" s="40"/>
      <c r="AQ10" s="47"/>
      <c r="AS10" s="91"/>
      <c r="AT10" s="92"/>
      <c r="AU10" s="93"/>
      <c r="AW10" s="15"/>
      <c r="AX10" s="16"/>
      <c r="AY10" s="64"/>
      <c r="AZ10" s="64"/>
      <c r="BA10" s="64"/>
      <c r="BB10" s="64"/>
      <c r="BC10" s="64"/>
      <c r="BD10" s="64"/>
      <c r="BE10" s="64"/>
      <c r="BF10" s="64"/>
      <c r="BG10" s="64"/>
      <c r="BH10" s="24"/>
      <c r="BJ10" s="49"/>
      <c r="BL10" s="56"/>
    </row>
    <row r="11" spans="2:64" x14ac:dyDescent="0.3">
      <c r="B11" s="20">
        <v>7</v>
      </c>
      <c r="C11" s="131"/>
      <c r="D11" s="11"/>
      <c r="E11" s="21"/>
      <c r="G11" s="15"/>
      <c r="H11" s="16"/>
      <c r="I11" s="16"/>
      <c r="J11" s="16"/>
      <c r="K11" s="16"/>
      <c r="L11" s="24"/>
      <c r="N11" s="20"/>
      <c r="O11" s="11"/>
      <c r="P11" s="11"/>
      <c r="Q11" s="16"/>
      <c r="R11" s="24"/>
      <c r="S11" s="47"/>
      <c r="U11" s="20"/>
      <c r="V11" s="11"/>
      <c r="W11" s="11"/>
      <c r="X11" s="11"/>
      <c r="Y11" s="21"/>
      <c r="AA11" s="5"/>
      <c r="AB11" s="3"/>
      <c r="AC11" s="3"/>
      <c r="AD11" s="3"/>
      <c r="AE11" s="3"/>
      <c r="AF11" s="6"/>
      <c r="AG11" s="63"/>
      <c r="AI11" s="20"/>
      <c r="AJ11" s="11"/>
      <c r="AK11" s="11"/>
      <c r="AL11" s="24"/>
      <c r="AN11" s="40"/>
      <c r="AP11" s="40"/>
      <c r="AQ11" s="47"/>
      <c r="AS11" s="91"/>
      <c r="AT11" s="92"/>
      <c r="AU11" s="93"/>
      <c r="AW11" s="15"/>
      <c r="AX11" s="16"/>
      <c r="AY11" s="64"/>
      <c r="AZ11" s="64"/>
      <c r="BA11" s="64"/>
      <c r="BB11" s="64"/>
      <c r="BC11" s="64"/>
      <c r="BD11" s="64"/>
      <c r="BE11" s="64"/>
      <c r="BF11" s="64"/>
      <c r="BG11" s="64"/>
      <c r="BH11" s="24"/>
      <c r="BJ11" s="49"/>
      <c r="BL11" s="56"/>
    </row>
    <row r="12" spans="2:64" x14ac:dyDescent="0.3">
      <c r="B12" s="20">
        <v>8</v>
      </c>
      <c r="C12" s="131"/>
      <c r="D12" s="11"/>
      <c r="E12" s="21"/>
      <c r="G12" s="15"/>
      <c r="H12" s="16"/>
      <c r="I12" s="16"/>
      <c r="J12" s="16"/>
      <c r="K12" s="16"/>
      <c r="L12" s="24"/>
      <c r="N12" s="20"/>
      <c r="O12" s="11"/>
      <c r="P12" s="11"/>
      <c r="Q12" s="16"/>
      <c r="R12" s="24"/>
      <c r="S12" s="47"/>
      <c r="U12" s="20"/>
      <c r="V12" s="11"/>
      <c r="W12" s="11"/>
      <c r="X12" s="11"/>
      <c r="Y12" s="21"/>
      <c r="AA12" s="5"/>
      <c r="AB12" s="3"/>
      <c r="AC12" s="3"/>
      <c r="AD12" s="3"/>
      <c r="AE12" s="3"/>
      <c r="AF12" s="6"/>
      <c r="AG12" s="63"/>
      <c r="AI12" s="20"/>
      <c r="AJ12" s="11"/>
      <c r="AK12" s="11"/>
      <c r="AL12" s="24"/>
      <c r="AN12" s="40"/>
      <c r="AP12" s="40"/>
      <c r="AQ12" s="47"/>
      <c r="AS12" s="91"/>
      <c r="AT12" s="92"/>
      <c r="AU12" s="93"/>
      <c r="AW12" s="15"/>
      <c r="AX12" s="16"/>
      <c r="AY12" s="64"/>
      <c r="AZ12" s="64"/>
      <c r="BA12" s="64"/>
      <c r="BB12" s="64"/>
      <c r="BC12" s="64"/>
      <c r="BD12" s="64"/>
      <c r="BE12" s="64"/>
      <c r="BF12" s="64"/>
      <c r="BG12" s="64"/>
      <c r="BH12" s="24"/>
      <c r="BJ12" s="49"/>
      <c r="BL12" s="56"/>
    </row>
    <row r="13" spans="2:64" x14ac:dyDescent="0.3">
      <c r="B13" s="20">
        <v>9</v>
      </c>
      <c r="C13" s="131"/>
      <c r="D13" s="11"/>
      <c r="E13" s="21"/>
      <c r="G13" s="15"/>
      <c r="H13" s="16"/>
      <c r="I13" s="16"/>
      <c r="J13" s="16"/>
      <c r="K13" s="16"/>
      <c r="L13" s="24"/>
      <c r="N13" s="20"/>
      <c r="O13" s="11"/>
      <c r="P13" s="11"/>
      <c r="Q13" s="16"/>
      <c r="R13" s="24"/>
      <c r="S13" s="47"/>
      <c r="U13" s="20"/>
      <c r="V13" s="11"/>
      <c r="W13" s="11"/>
      <c r="X13" s="11"/>
      <c r="Y13" s="21"/>
      <c r="AA13" s="5"/>
      <c r="AB13" s="3"/>
      <c r="AC13" s="3"/>
      <c r="AD13" s="3"/>
      <c r="AE13" s="3"/>
      <c r="AF13" s="6"/>
      <c r="AG13" s="63"/>
      <c r="AI13" s="20"/>
      <c r="AJ13" s="11"/>
      <c r="AK13" s="11"/>
      <c r="AL13" s="24"/>
      <c r="AN13" s="40"/>
      <c r="AP13" s="40"/>
      <c r="AQ13" s="47"/>
      <c r="AS13" s="91"/>
      <c r="AT13" s="92"/>
      <c r="AU13" s="93"/>
      <c r="AW13" s="15"/>
      <c r="AX13" s="16"/>
      <c r="AY13" s="64"/>
      <c r="AZ13" s="64"/>
      <c r="BA13" s="64"/>
      <c r="BB13" s="64"/>
      <c r="BC13" s="64"/>
      <c r="BD13" s="64"/>
      <c r="BE13" s="64"/>
      <c r="BF13" s="64"/>
      <c r="BG13" s="64"/>
      <c r="BH13" s="24"/>
      <c r="BJ13" s="49"/>
      <c r="BL13" s="56"/>
    </row>
    <row r="14" spans="2:64" x14ac:dyDescent="0.3">
      <c r="B14" s="20">
        <v>10</v>
      </c>
      <c r="C14" s="131" t="s">
        <v>7</v>
      </c>
      <c r="D14" s="11"/>
      <c r="E14" s="21"/>
      <c r="G14" s="15"/>
      <c r="H14" s="16"/>
      <c r="I14" s="16"/>
      <c r="J14" s="16"/>
      <c r="K14" s="16"/>
      <c r="L14" s="24"/>
      <c r="N14" s="20"/>
      <c r="O14" s="11"/>
      <c r="P14" s="11"/>
      <c r="Q14" s="16"/>
      <c r="R14" s="24"/>
      <c r="S14" s="47"/>
      <c r="U14" s="20"/>
      <c r="V14" s="11"/>
      <c r="W14" s="11"/>
      <c r="X14" s="11"/>
      <c r="Y14" s="21"/>
      <c r="AA14" s="5"/>
      <c r="AB14" s="3"/>
      <c r="AC14" s="3"/>
      <c r="AD14" s="3"/>
      <c r="AE14" s="3"/>
      <c r="AF14" s="6"/>
      <c r="AG14" s="63"/>
      <c r="AI14" s="20"/>
      <c r="AJ14" s="11"/>
      <c r="AK14" s="11"/>
      <c r="AL14" s="24"/>
      <c r="AN14" s="40"/>
      <c r="AP14" s="40"/>
      <c r="AQ14" s="47"/>
      <c r="AS14" s="91"/>
      <c r="AT14" s="92"/>
      <c r="AU14" s="93"/>
      <c r="AW14" s="15"/>
      <c r="AX14" s="16"/>
      <c r="AY14" s="64"/>
      <c r="AZ14" s="64"/>
      <c r="BA14" s="64"/>
      <c r="BB14" s="64"/>
      <c r="BC14" s="64"/>
      <c r="BD14" s="64"/>
      <c r="BE14" s="64"/>
      <c r="BF14" s="64"/>
      <c r="BG14" s="64"/>
      <c r="BH14" s="24"/>
      <c r="BJ14" s="49"/>
      <c r="BL14" s="56"/>
    </row>
    <row r="15" spans="2:64" x14ac:dyDescent="0.3">
      <c r="B15" s="20">
        <v>11</v>
      </c>
      <c r="C15" s="131"/>
      <c r="D15" s="11"/>
      <c r="E15" s="21"/>
      <c r="G15" s="15"/>
      <c r="H15" s="16"/>
      <c r="I15" s="16"/>
      <c r="J15" s="16"/>
      <c r="K15" s="16"/>
      <c r="L15" s="24"/>
      <c r="N15" s="20"/>
      <c r="O15" s="11"/>
      <c r="P15" s="11"/>
      <c r="Q15" s="16"/>
      <c r="R15" s="24"/>
      <c r="S15" s="47"/>
      <c r="U15" s="20"/>
      <c r="V15" s="11"/>
      <c r="W15" s="11"/>
      <c r="X15" s="11"/>
      <c r="Y15" s="21"/>
      <c r="AA15" s="5"/>
      <c r="AB15" s="3"/>
      <c r="AC15" s="3"/>
      <c r="AD15" s="3"/>
      <c r="AE15" s="3"/>
      <c r="AF15" s="6"/>
      <c r="AG15" s="63"/>
      <c r="AI15" s="20"/>
      <c r="AJ15" s="11"/>
      <c r="AK15" s="11"/>
      <c r="AL15" s="24"/>
      <c r="AN15" s="40"/>
      <c r="AP15" s="40"/>
      <c r="AQ15" s="47"/>
      <c r="AS15" s="91"/>
      <c r="AT15" s="92"/>
      <c r="AU15" s="93"/>
      <c r="AW15" s="15"/>
      <c r="AX15" s="16"/>
      <c r="AY15" s="64"/>
      <c r="AZ15" s="64"/>
      <c r="BA15" s="64"/>
      <c r="BB15" s="64"/>
      <c r="BC15" s="64"/>
      <c r="BD15" s="64"/>
      <c r="BE15" s="64"/>
      <c r="BF15" s="64"/>
      <c r="BG15" s="64"/>
      <c r="BH15" s="24"/>
      <c r="BJ15" s="49"/>
      <c r="BL15" s="56"/>
    </row>
    <row r="16" spans="2:64" x14ac:dyDescent="0.3">
      <c r="B16" s="20">
        <v>12</v>
      </c>
      <c r="C16" s="131"/>
      <c r="D16" s="11"/>
      <c r="E16" s="21"/>
      <c r="G16" s="15"/>
      <c r="H16" s="16"/>
      <c r="I16" s="16"/>
      <c r="J16" s="16"/>
      <c r="K16" s="16"/>
      <c r="L16" s="24"/>
      <c r="N16" s="20"/>
      <c r="O16" s="11"/>
      <c r="P16" s="11"/>
      <c r="Q16" s="16"/>
      <c r="R16" s="24"/>
      <c r="S16" s="47"/>
      <c r="U16" s="20"/>
      <c r="V16" s="11"/>
      <c r="W16" s="11"/>
      <c r="X16" s="11"/>
      <c r="Y16" s="21"/>
      <c r="AA16" s="5"/>
      <c r="AB16" s="3"/>
      <c r="AC16" s="3"/>
      <c r="AD16" s="3"/>
      <c r="AE16" s="3"/>
      <c r="AF16" s="6"/>
      <c r="AG16" s="63"/>
      <c r="AI16" s="20"/>
      <c r="AJ16" s="11"/>
      <c r="AK16" s="11"/>
      <c r="AL16" s="24"/>
      <c r="AN16" s="40"/>
      <c r="AP16" s="40"/>
      <c r="AQ16" s="47"/>
      <c r="AS16" s="91"/>
      <c r="AT16" s="92"/>
      <c r="AU16" s="93"/>
      <c r="AW16" s="15"/>
      <c r="AX16" s="16"/>
      <c r="AY16" s="64"/>
      <c r="AZ16" s="64"/>
      <c r="BA16" s="64"/>
      <c r="BB16" s="64"/>
      <c r="BC16" s="64"/>
      <c r="BD16" s="64"/>
      <c r="BE16" s="64"/>
      <c r="BF16" s="64"/>
      <c r="BG16" s="64"/>
      <c r="BH16" s="24"/>
      <c r="BJ16" s="49"/>
      <c r="BL16" s="56"/>
    </row>
    <row r="17" spans="2:64" x14ac:dyDescent="0.3">
      <c r="B17" s="20">
        <v>13</v>
      </c>
      <c r="C17" s="131"/>
      <c r="D17" s="11"/>
      <c r="E17" s="21"/>
      <c r="G17" s="15"/>
      <c r="H17" s="16"/>
      <c r="I17" s="16"/>
      <c r="J17" s="16"/>
      <c r="K17" s="16"/>
      <c r="L17" s="24"/>
      <c r="N17" s="20"/>
      <c r="O17" s="11"/>
      <c r="P17" s="11"/>
      <c r="Q17" s="16"/>
      <c r="R17" s="24"/>
      <c r="S17" s="47"/>
      <c r="U17" s="20"/>
      <c r="V17" s="11"/>
      <c r="W17" s="11"/>
      <c r="X17" s="11"/>
      <c r="Y17" s="21"/>
      <c r="AA17" s="5"/>
      <c r="AB17" s="3"/>
      <c r="AC17" s="3"/>
      <c r="AD17" s="3"/>
      <c r="AE17" s="3"/>
      <c r="AF17" s="6"/>
      <c r="AG17" s="63"/>
      <c r="AI17" s="20"/>
      <c r="AJ17" s="11"/>
      <c r="AK17" s="11"/>
      <c r="AL17" s="24"/>
      <c r="AN17" s="40"/>
      <c r="AP17" s="40"/>
      <c r="AQ17" s="47"/>
      <c r="AS17" s="91"/>
      <c r="AT17" s="92"/>
      <c r="AU17" s="93"/>
      <c r="AW17" s="15"/>
      <c r="AX17" s="16"/>
      <c r="AY17" s="64"/>
      <c r="AZ17" s="64"/>
      <c r="BA17" s="64"/>
      <c r="BB17" s="64"/>
      <c r="BC17" s="64"/>
      <c r="BD17" s="64"/>
      <c r="BE17" s="64"/>
      <c r="BF17" s="64"/>
      <c r="BG17" s="64"/>
      <c r="BH17" s="24"/>
      <c r="BJ17" s="49"/>
      <c r="BL17" s="56"/>
    </row>
    <row r="18" spans="2:64" x14ac:dyDescent="0.3">
      <c r="B18" s="20">
        <v>14</v>
      </c>
      <c r="C18" s="131"/>
      <c r="D18" s="11"/>
      <c r="E18" s="21"/>
      <c r="G18" s="15"/>
      <c r="H18" s="16"/>
      <c r="I18" s="16"/>
      <c r="J18" s="16"/>
      <c r="K18" s="16"/>
      <c r="L18" s="24"/>
      <c r="N18" s="20"/>
      <c r="O18" s="11"/>
      <c r="P18" s="11"/>
      <c r="Q18" s="16"/>
      <c r="R18" s="24"/>
      <c r="S18" s="47"/>
      <c r="U18" s="20"/>
      <c r="V18" s="11"/>
      <c r="W18" s="11"/>
      <c r="X18" s="11"/>
      <c r="Y18" s="21"/>
      <c r="AA18" s="5"/>
      <c r="AB18" s="3"/>
      <c r="AC18" s="3"/>
      <c r="AD18" s="3"/>
      <c r="AE18" s="3"/>
      <c r="AF18" s="6"/>
      <c r="AG18" s="63"/>
      <c r="AI18" s="20"/>
      <c r="AJ18" s="11"/>
      <c r="AK18" s="11"/>
      <c r="AL18" s="24"/>
      <c r="AN18" s="40"/>
      <c r="AP18" s="40"/>
      <c r="AQ18" s="47"/>
      <c r="AS18" s="91"/>
      <c r="AT18" s="92"/>
      <c r="AU18" s="93"/>
      <c r="AW18" s="15"/>
      <c r="AX18" s="16"/>
      <c r="AY18" s="64"/>
      <c r="AZ18" s="64"/>
      <c r="BA18" s="64"/>
      <c r="BB18" s="64"/>
      <c r="BC18" s="64"/>
      <c r="BD18" s="64"/>
      <c r="BE18" s="64"/>
      <c r="BF18" s="64"/>
      <c r="BG18" s="64"/>
      <c r="BH18" s="24"/>
      <c r="BJ18" s="49"/>
      <c r="BL18" s="56"/>
    </row>
    <row r="19" spans="2:64" x14ac:dyDescent="0.3">
      <c r="B19" s="20">
        <v>15</v>
      </c>
      <c r="C19" s="131" t="s">
        <v>8</v>
      </c>
      <c r="D19" s="11"/>
      <c r="E19" s="21"/>
      <c r="G19" s="15"/>
      <c r="H19" s="16"/>
      <c r="I19" s="16"/>
      <c r="J19" s="16"/>
      <c r="K19" s="16"/>
      <c r="L19" s="24"/>
      <c r="N19" s="20"/>
      <c r="O19" s="11"/>
      <c r="P19" s="11"/>
      <c r="Q19" s="16"/>
      <c r="R19" s="24"/>
      <c r="S19" s="47"/>
      <c r="U19" s="20"/>
      <c r="V19" s="11"/>
      <c r="W19" s="11"/>
      <c r="X19" s="11"/>
      <c r="Y19" s="21"/>
      <c r="AA19" s="5"/>
      <c r="AB19" s="3"/>
      <c r="AC19" s="3"/>
      <c r="AD19" s="3"/>
      <c r="AE19" s="3"/>
      <c r="AF19" s="6"/>
      <c r="AG19" s="63"/>
      <c r="AI19" s="20"/>
      <c r="AJ19" s="11"/>
      <c r="AK19" s="11"/>
      <c r="AL19" s="24"/>
      <c r="AN19" s="40"/>
      <c r="AP19" s="40"/>
      <c r="AQ19" s="47"/>
      <c r="AS19" s="91"/>
      <c r="AT19" s="92"/>
      <c r="AU19" s="93"/>
      <c r="AW19" s="15"/>
      <c r="AX19" s="16"/>
      <c r="AY19" s="64"/>
      <c r="AZ19" s="64"/>
      <c r="BA19" s="64"/>
      <c r="BB19" s="64"/>
      <c r="BC19" s="64"/>
      <c r="BD19" s="64"/>
      <c r="BE19" s="64"/>
      <c r="BF19" s="64"/>
      <c r="BG19" s="64"/>
      <c r="BH19" s="24"/>
      <c r="BJ19" s="49"/>
      <c r="BL19" s="56"/>
    </row>
    <row r="20" spans="2:64" x14ac:dyDescent="0.3">
      <c r="B20" s="20">
        <v>16</v>
      </c>
      <c r="C20" s="131"/>
      <c r="D20" s="11"/>
      <c r="E20" s="21"/>
      <c r="G20" s="15"/>
      <c r="H20" s="16"/>
      <c r="I20" s="16"/>
      <c r="J20" s="16"/>
      <c r="K20" s="16"/>
      <c r="L20" s="24"/>
      <c r="N20" s="20"/>
      <c r="O20" s="11"/>
      <c r="P20" s="11"/>
      <c r="Q20" s="16"/>
      <c r="R20" s="24"/>
      <c r="S20" s="47"/>
      <c r="U20" s="20"/>
      <c r="V20" s="11"/>
      <c r="W20" s="11"/>
      <c r="X20" s="11"/>
      <c r="Y20" s="21"/>
      <c r="AA20" s="5"/>
      <c r="AB20" s="3"/>
      <c r="AC20" s="3"/>
      <c r="AD20" s="3"/>
      <c r="AE20" s="3"/>
      <c r="AF20" s="6"/>
      <c r="AG20" s="63"/>
      <c r="AI20" s="20"/>
      <c r="AJ20" s="11"/>
      <c r="AK20" s="11"/>
      <c r="AL20" s="24"/>
      <c r="AN20" s="40"/>
      <c r="AP20" s="40"/>
      <c r="AQ20" s="47"/>
      <c r="AS20" s="91"/>
      <c r="AT20" s="92"/>
      <c r="AU20" s="93"/>
      <c r="AW20" s="15"/>
      <c r="AX20" s="16"/>
      <c r="AY20" s="64"/>
      <c r="AZ20" s="64"/>
      <c r="BA20" s="64"/>
      <c r="BB20" s="64"/>
      <c r="BC20" s="64"/>
      <c r="BD20" s="64"/>
      <c r="BE20" s="64"/>
      <c r="BF20" s="64"/>
      <c r="BG20" s="64"/>
      <c r="BH20" s="24"/>
      <c r="BJ20" s="49"/>
      <c r="BL20" s="56"/>
    </row>
    <row r="21" spans="2:64" x14ac:dyDescent="0.3">
      <c r="B21" s="20">
        <v>17</v>
      </c>
      <c r="C21" s="131"/>
      <c r="D21" s="11"/>
      <c r="E21" s="21"/>
      <c r="G21" s="15"/>
      <c r="H21" s="16"/>
      <c r="I21" s="16"/>
      <c r="J21" s="16"/>
      <c r="K21" s="16"/>
      <c r="L21" s="24"/>
      <c r="N21" s="20"/>
      <c r="O21" s="11"/>
      <c r="P21" s="11"/>
      <c r="Q21" s="16"/>
      <c r="R21" s="24"/>
      <c r="S21" s="47"/>
      <c r="U21" s="20"/>
      <c r="V21" s="11"/>
      <c r="W21" s="11"/>
      <c r="X21" s="11"/>
      <c r="Y21" s="21"/>
      <c r="AA21" s="5"/>
      <c r="AB21" s="3"/>
      <c r="AC21" s="3"/>
      <c r="AD21" s="3"/>
      <c r="AE21" s="3"/>
      <c r="AF21" s="6"/>
      <c r="AG21" s="63"/>
      <c r="AI21" s="20"/>
      <c r="AJ21" s="11"/>
      <c r="AK21" s="11"/>
      <c r="AL21" s="24"/>
      <c r="AN21" s="40"/>
      <c r="AP21" s="40"/>
      <c r="AQ21" s="47"/>
      <c r="AS21" s="91"/>
      <c r="AT21" s="92"/>
      <c r="AU21" s="93"/>
      <c r="AW21" s="15"/>
      <c r="AX21" s="16"/>
      <c r="AY21" s="64"/>
      <c r="AZ21" s="64"/>
      <c r="BA21" s="64"/>
      <c r="BB21" s="64"/>
      <c r="BC21" s="64"/>
      <c r="BD21" s="64"/>
      <c r="BE21" s="64"/>
      <c r="BF21" s="64"/>
      <c r="BG21" s="64"/>
      <c r="BH21" s="24"/>
      <c r="BJ21" s="49"/>
      <c r="BL21" s="56"/>
    </row>
    <row r="22" spans="2:64" x14ac:dyDescent="0.3">
      <c r="B22" s="20">
        <v>18</v>
      </c>
      <c r="C22" s="131"/>
      <c r="D22" s="11"/>
      <c r="E22" s="21"/>
      <c r="G22" s="15"/>
      <c r="H22" s="16"/>
      <c r="I22" s="16"/>
      <c r="J22" s="16"/>
      <c r="K22" s="16"/>
      <c r="L22" s="24"/>
      <c r="N22" s="20"/>
      <c r="O22" s="11"/>
      <c r="P22" s="11"/>
      <c r="Q22" s="16"/>
      <c r="R22" s="24"/>
      <c r="S22" s="47"/>
      <c r="U22" s="20"/>
      <c r="V22" s="11"/>
      <c r="W22" s="11"/>
      <c r="X22" s="11"/>
      <c r="Y22" s="21"/>
      <c r="AA22" s="5"/>
      <c r="AB22" s="3"/>
      <c r="AC22" s="3"/>
      <c r="AD22" s="3"/>
      <c r="AE22" s="3"/>
      <c r="AF22" s="6"/>
      <c r="AG22" s="63"/>
      <c r="AI22" s="20"/>
      <c r="AJ22" s="11"/>
      <c r="AK22" s="11"/>
      <c r="AL22" s="24"/>
      <c r="AN22" s="40"/>
      <c r="AP22" s="40"/>
      <c r="AQ22" s="47"/>
      <c r="AS22" s="91"/>
      <c r="AT22" s="92"/>
      <c r="AU22" s="93"/>
      <c r="AW22" s="15"/>
      <c r="AX22" s="16"/>
      <c r="AY22" s="64"/>
      <c r="AZ22" s="64"/>
      <c r="BA22" s="64"/>
      <c r="BB22" s="64"/>
      <c r="BC22" s="64"/>
      <c r="BD22" s="64"/>
      <c r="BE22" s="64"/>
      <c r="BF22" s="64"/>
      <c r="BG22" s="64"/>
      <c r="BH22" s="24"/>
      <c r="BJ22" s="49"/>
      <c r="BL22" s="56"/>
    </row>
    <row r="23" spans="2:64" x14ac:dyDescent="0.3">
      <c r="B23" s="20">
        <v>19</v>
      </c>
      <c r="C23" s="131" t="s">
        <v>9</v>
      </c>
      <c r="D23" s="11"/>
      <c r="E23" s="21"/>
      <c r="G23" s="15"/>
      <c r="H23" s="16"/>
      <c r="I23" s="16"/>
      <c r="J23" s="16"/>
      <c r="K23" s="16"/>
      <c r="L23" s="24"/>
      <c r="N23" s="20"/>
      <c r="O23" s="11"/>
      <c r="P23" s="11"/>
      <c r="Q23" s="16"/>
      <c r="R23" s="24"/>
      <c r="S23" s="47"/>
      <c r="U23" s="20"/>
      <c r="V23" s="11"/>
      <c r="W23" s="11"/>
      <c r="X23" s="11"/>
      <c r="Y23" s="21"/>
      <c r="AA23" s="5"/>
      <c r="AB23" s="3"/>
      <c r="AC23" s="3"/>
      <c r="AD23" s="3"/>
      <c r="AE23" s="3"/>
      <c r="AF23" s="6"/>
      <c r="AG23" s="63"/>
      <c r="AI23" s="20"/>
      <c r="AJ23" s="11"/>
      <c r="AK23" s="11"/>
      <c r="AL23" s="24"/>
      <c r="AN23" s="40"/>
      <c r="AP23" s="40"/>
      <c r="AQ23" s="47"/>
      <c r="AS23" s="91"/>
      <c r="AT23" s="92"/>
      <c r="AU23" s="93"/>
      <c r="AW23" s="15"/>
      <c r="AX23" s="16"/>
      <c r="AY23" s="64"/>
      <c r="AZ23" s="64"/>
      <c r="BA23" s="64"/>
      <c r="BB23" s="64"/>
      <c r="BC23" s="64"/>
      <c r="BD23" s="64"/>
      <c r="BE23" s="64"/>
      <c r="BF23" s="64"/>
      <c r="BG23" s="64"/>
      <c r="BH23" s="24"/>
      <c r="BJ23" s="49"/>
      <c r="BL23" s="56"/>
    </row>
    <row r="24" spans="2:64" x14ac:dyDescent="0.3">
      <c r="B24" s="20">
        <v>20</v>
      </c>
      <c r="C24" s="131"/>
      <c r="D24" s="11"/>
      <c r="E24" s="21"/>
      <c r="G24" s="15"/>
      <c r="H24" s="16"/>
      <c r="I24" s="16"/>
      <c r="J24" s="16"/>
      <c r="K24" s="16"/>
      <c r="L24" s="24"/>
      <c r="N24" s="20"/>
      <c r="O24" s="11"/>
      <c r="P24" s="11"/>
      <c r="Q24" s="16"/>
      <c r="R24" s="24"/>
      <c r="S24" s="47"/>
      <c r="U24" s="20"/>
      <c r="V24" s="11"/>
      <c r="W24" s="11"/>
      <c r="X24" s="11"/>
      <c r="Y24" s="21"/>
      <c r="AA24" s="5"/>
      <c r="AB24" s="3"/>
      <c r="AC24" s="3"/>
      <c r="AD24" s="3"/>
      <c r="AE24" s="3"/>
      <c r="AF24" s="6"/>
      <c r="AG24" s="63"/>
      <c r="AI24" s="20"/>
      <c r="AJ24" s="11"/>
      <c r="AK24" s="11"/>
      <c r="AL24" s="24"/>
      <c r="AN24" s="40"/>
      <c r="AP24" s="40"/>
      <c r="AQ24" s="47"/>
      <c r="AS24" s="91"/>
      <c r="AT24" s="92"/>
      <c r="AU24" s="93"/>
      <c r="AW24" s="15"/>
      <c r="AX24" s="16"/>
      <c r="AY24" s="64"/>
      <c r="AZ24" s="64"/>
      <c r="BA24" s="64"/>
      <c r="BB24" s="64"/>
      <c r="BC24" s="64"/>
      <c r="BD24" s="64"/>
      <c r="BE24" s="64"/>
      <c r="BF24" s="64"/>
      <c r="BG24" s="64"/>
      <c r="BH24" s="24"/>
      <c r="BJ24" s="49"/>
      <c r="BL24" s="56"/>
    </row>
    <row r="25" spans="2:64" x14ac:dyDescent="0.3">
      <c r="B25" s="20">
        <v>21</v>
      </c>
      <c r="C25" s="131"/>
      <c r="D25" s="11"/>
      <c r="E25" s="21"/>
      <c r="G25" s="15"/>
      <c r="H25" s="16"/>
      <c r="I25" s="16"/>
      <c r="J25" s="16"/>
      <c r="K25" s="16"/>
      <c r="L25" s="24"/>
      <c r="N25" s="20"/>
      <c r="O25" s="11"/>
      <c r="P25" s="11"/>
      <c r="Q25" s="16"/>
      <c r="R25" s="24"/>
      <c r="S25" s="47"/>
      <c r="U25" s="20"/>
      <c r="V25" s="11"/>
      <c r="W25" s="11"/>
      <c r="X25" s="11"/>
      <c r="Y25" s="21"/>
      <c r="AA25" s="5"/>
      <c r="AB25" s="3"/>
      <c r="AC25" s="3"/>
      <c r="AD25" s="3"/>
      <c r="AE25" s="3"/>
      <c r="AF25" s="6"/>
      <c r="AG25" s="63"/>
      <c r="AI25" s="20"/>
      <c r="AJ25" s="11"/>
      <c r="AK25" s="11"/>
      <c r="AL25" s="24"/>
      <c r="AN25" s="40"/>
      <c r="AP25" s="40"/>
      <c r="AQ25" s="47"/>
      <c r="AS25" s="91"/>
      <c r="AT25" s="92"/>
      <c r="AU25" s="93"/>
      <c r="AW25" s="15"/>
      <c r="AX25" s="16"/>
      <c r="AY25" s="64"/>
      <c r="AZ25" s="64"/>
      <c r="BA25" s="64"/>
      <c r="BB25" s="64"/>
      <c r="BC25" s="64"/>
      <c r="BD25" s="64"/>
      <c r="BE25" s="64"/>
      <c r="BF25" s="64"/>
      <c r="BG25" s="64"/>
      <c r="BH25" s="24"/>
      <c r="BJ25" s="49"/>
      <c r="BL25" s="56"/>
    </row>
    <row r="26" spans="2:64" x14ac:dyDescent="0.3">
      <c r="B26" s="20">
        <v>22</v>
      </c>
      <c r="C26" s="131"/>
      <c r="D26" s="11"/>
      <c r="E26" s="21"/>
      <c r="G26" s="15"/>
      <c r="H26" s="16"/>
      <c r="I26" s="16"/>
      <c r="J26" s="16"/>
      <c r="K26" s="16"/>
      <c r="L26" s="24"/>
      <c r="N26" s="20"/>
      <c r="O26" s="11"/>
      <c r="P26" s="11"/>
      <c r="Q26" s="16"/>
      <c r="R26" s="24"/>
      <c r="S26" s="47"/>
      <c r="U26" s="20"/>
      <c r="V26" s="11"/>
      <c r="W26" s="11"/>
      <c r="X26" s="11"/>
      <c r="Y26" s="21"/>
      <c r="AA26" s="5"/>
      <c r="AB26" s="3"/>
      <c r="AC26" s="3"/>
      <c r="AD26" s="3"/>
      <c r="AE26" s="3"/>
      <c r="AF26" s="6"/>
      <c r="AG26" s="63"/>
      <c r="AI26" s="20"/>
      <c r="AJ26" s="11"/>
      <c r="AK26" s="11"/>
      <c r="AL26" s="24"/>
      <c r="AN26" s="40"/>
      <c r="AP26" s="40"/>
      <c r="AQ26" s="47"/>
      <c r="AS26" s="91"/>
      <c r="AT26" s="92"/>
      <c r="AU26" s="93"/>
      <c r="AW26" s="15"/>
      <c r="AX26" s="16"/>
      <c r="AY26" s="64"/>
      <c r="AZ26" s="64"/>
      <c r="BA26" s="64"/>
      <c r="BB26" s="64"/>
      <c r="BC26" s="64"/>
      <c r="BD26" s="64"/>
      <c r="BE26" s="64"/>
      <c r="BF26" s="64"/>
      <c r="BG26" s="64"/>
      <c r="BH26" s="24"/>
      <c r="BJ26" s="49"/>
      <c r="BL26" s="56"/>
    </row>
    <row r="27" spans="2:64" x14ac:dyDescent="0.3">
      <c r="B27" s="20">
        <v>23</v>
      </c>
      <c r="C27" s="131" t="s">
        <v>10</v>
      </c>
      <c r="D27" s="11"/>
      <c r="E27" s="21"/>
      <c r="G27" s="15"/>
      <c r="H27" s="16"/>
      <c r="I27" s="16"/>
      <c r="J27" s="16"/>
      <c r="K27" s="16"/>
      <c r="L27" s="24"/>
      <c r="N27" s="20"/>
      <c r="O27" s="11"/>
      <c r="P27" s="11"/>
      <c r="Q27" s="16"/>
      <c r="R27" s="24"/>
      <c r="S27" s="47"/>
      <c r="U27" s="20"/>
      <c r="V27" s="11"/>
      <c r="W27" s="11"/>
      <c r="X27" s="11"/>
      <c r="Y27" s="21"/>
      <c r="AA27" s="5"/>
      <c r="AB27" s="3"/>
      <c r="AC27" s="3"/>
      <c r="AD27" s="3"/>
      <c r="AE27" s="3"/>
      <c r="AF27" s="6"/>
      <c r="AG27" s="63"/>
      <c r="AI27" s="20"/>
      <c r="AJ27" s="11"/>
      <c r="AK27" s="11"/>
      <c r="AL27" s="24"/>
      <c r="AN27" s="40"/>
      <c r="AP27" s="40"/>
      <c r="AQ27" s="47"/>
      <c r="AS27" s="91"/>
      <c r="AT27" s="92"/>
      <c r="AU27" s="93"/>
      <c r="AW27" s="15"/>
      <c r="AX27" s="16"/>
      <c r="AY27" s="64"/>
      <c r="AZ27" s="64"/>
      <c r="BA27" s="64"/>
      <c r="BB27" s="64"/>
      <c r="BC27" s="64"/>
      <c r="BD27" s="64"/>
      <c r="BE27" s="64"/>
      <c r="BF27" s="64"/>
      <c r="BG27" s="64"/>
      <c r="BH27" s="24"/>
      <c r="BJ27" s="49"/>
      <c r="BL27" s="56"/>
    </row>
    <row r="28" spans="2:64" x14ac:dyDescent="0.3">
      <c r="B28" s="20">
        <v>24</v>
      </c>
      <c r="C28" s="131"/>
      <c r="D28" s="11"/>
      <c r="E28" s="21"/>
      <c r="G28" s="15"/>
      <c r="H28" s="16"/>
      <c r="I28" s="16"/>
      <c r="J28" s="16"/>
      <c r="K28" s="16"/>
      <c r="L28" s="24"/>
      <c r="N28" s="20"/>
      <c r="O28" s="11"/>
      <c r="P28" s="11"/>
      <c r="Q28" s="16"/>
      <c r="R28" s="24"/>
      <c r="S28" s="47"/>
      <c r="U28" s="20"/>
      <c r="V28" s="11"/>
      <c r="W28" s="11"/>
      <c r="X28" s="11"/>
      <c r="Y28" s="21"/>
      <c r="AA28" s="5"/>
      <c r="AB28" s="3"/>
      <c r="AC28" s="3"/>
      <c r="AD28" s="3"/>
      <c r="AE28" s="3"/>
      <c r="AF28" s="6"/>
      <c r="AG28" s="63"/>
      <c r="AI28" s="20"/>
      <c r="AJ28" s="11"/>
      <c r="AK28" s="11"/>
      <c r="AL28" s="24"/>
      <c r="AN28" s="40"/>
      <c r="AP28" s="40"/>
      <c r="AQ28" s="47"/>
      <c r="AS28" s="91"/>
      <c r="AT28" s="92"/>
      <c r="AU28" s="93"/>
      <c r="AW28" s="15"/>
      <c r="AX28" s="16"/>
      <c r="AY28" s="64"/>
      <c r="AZ28" s="64"/>
      <c r="BA28" s="64"/>
      <c r="BB28" s="64"/>
      <c r="BC28" s="64"/>
      <c r="BD28" s="64"/>
      <c r="BE28" s="64"/>
      <c r="BF28" s="64"/>
      <c r="BG28" s="64"/>
      <c r="BH28" s="24"/>
      <c r="BJ28" s="49"/>
      <c r="BL28" s="56"/>
    </row>
    <row r="29" spans="2:64" x14ac:dyDescent="0.3">
      <c r="B29" s="20">
        <v>25</v>
      </c>
      <c r="C29" s="131"/>
      <c r="D29" s="11"/>
      <c r="E29" s="21"/>
      <c r="G29" s="15"/>
      <c r="H29" s="16"/>
      <c r="I29" s="16"/>
      <c r="J29" s="16"/>
      <c r="K29" s="16"/>
      <c r="L29" s="24"/>
      <c r="N29" s="20"/>
      <c r="O29" s="11"/>
      <c r="P29" s="11"/>
      <c r="Q29" s="16"/>
      <c r="R29" s="24"/>
      <c r="S29" s="47"/>
      <c r="U29" s="20"/>
      <c r="V29" s="11"/>
      <c r="W29" s="11"/>
      <c r="X29" s="11"/>
      <c r="Y29" s="21"/>
      <c r="AA29" s="5"/>
      <c r="AB29" s="3"/>
      <c r="AC29" s="3"/>
      <c r="AD29" s="3"/>
      <c r="AE29" s="3"/>
      <c r="AF29" s="6"/>
      <c r="AG29" s="63"/>
      <c r="AI29" s="20"/>
      <c r="AJ29" s="11"/>
      <c r="AK29" s="11"/>
      <c r="AL29" s="24"/>
      <c r="AN29" s="40"/>
      <c r="AP29" s="40"/>
      <c r="AQ29" s="47"/>
      <c r="AS29" s="91"/>
      <c r="AT29" s="92"/>
      <c r="AU29" s="93"/>
      <c r="AW29" s="15"/>
      <c r="AX29" s="16"/>
      <c r="AY29" s="64"/>
      <c r="AZ29" s="64"/>
      <c r="BA29" s="64"/>
      <c r="BB29" s="64"/>
      <c r="BC29" s="64"/>
      <c r="BD29" s="64"/>
      <c r="BE29" s="64"/>
      <c r="BF29" s="64"/>
      <c r="BG29" s="64"/>
      <c r="BH29" s="24"/>
      <c r="BJ29" s="49"/>
      <c r="BL29" s="56"/>
    </row>
    <row r="30" spans="2:64" x14ac:dyDescent="0.3">
      <c r="B30" s="20">
        <v>26</v>
      </c>
      <c r="C30" s="131"/>
      <c r="D30" s="11"/>
      <c r="E30" s="21"/>
      <c r="G30" s="15"/>
      <c r="H30" s="16"/>
      <c r="I30" s="16"/>
      <c r="J30" s="16"/>
      <c r="K30" s="16"/>
      <c r="L30" s="24"/>
      <c r="N30" s="20"/>
      <c r="O30" s="11"/>
      <c r="P30" s="11"/>
      <c r="Q30" s="16"/>
      <c r="R30" s="24"/>
      <c r="S30" s="47"/>
      <c r="U30" s="20"/>
      <c r="V30" s="11"/>
      <c r="W30" s="11"/>
      <c r="X30" s="11"/>
      <c r="Y30" s="21"/>
      <c r="AA30" s="5"/>
      <c r="AB30" s="3"/>
      <c r="AC30" s="3"/>
      <c r="AD30" s="3"/>
      <c r="AE30" s="3"/>
      <c r="AF30" s="6"/>
      <c r="AG30" s="63"/>
      <c r="AI30" s="20"/>
      <c r="AJ30" s="11"/>
      <c r="AK30" s="11"/>
      <c r="AL30" s="24"/>
      <c r="AN30" s="40"/>
      <c r="AP30" s="40"/>
      <c r="AQ30" s="47"/>
      <c r="AS30" s="91"/>
      <c r="AT30" s="92"/>
      <c r="AU30" s="93"/>
      <c r="AW30" s="15"/>
      <c r="AX30" s="16"/>
      <c r="AY30" s="64"/>
      <c r="AZ30" s="64"/>
      <c r="BA30" s="64"/>
      <c r="BB30" s="64"/>
      <c r="BC30" s="64"/>
      <c r="BD30" s="64"/>
      <c r="BE30" s="64"/>
      <c r="BF30" s="64"/>
      <c r="BG30" s="64"/>
      <c r="BH30" s="24"/>
      <c r="BJ30" s="49"/>
      <c r="BL30" s="56"/>
    </row>
    <row r="31" spans="2:64" x14ac:dyDescent="0.3">
      <c r="B31" s="20">
        <v>27</v>
      </c>
      <c r="C31" s="131"/>
      <c r="D31" s="11"/>
      <c r="E31" s="21"/>
      <c r="G31" s="15"/>
      <c r="H31" s="16"/>
      <c r="I31" s="16"/>
      <c r="J31" s="16"/>
      <c r="K31" s="16"/>
      <c r="L31" s="24"/>
      <c r="N31" s="20"/>
      <c r="O31" s="11"/>
      <c r="P31" s="11"/>
      <c r="Q31" s="16"/>
      <c r="R31" s="24"/>
      <c r="S31" s="47"/>
      <c r="U31" s="20"/>
      <c r="V31" s="11"/>
      <c r="W31" s="11"/>
      <c r="X31" s="11"/>
      <c r="Y31" s="21"/>
      <c r="AA31" s="5"/>
      <c r="AB31" s="3"/>
      <c r="AC31" s="3"/>
      <c r="AD31" s="3"/>
      <c r="AE31" s="3"/>
      <c r="AF31" s="6"/>
      <c r="AG31" s="63"/>
      <c r="AI31" s="20"/>
      <c r="AJ31" s="11"/>
      <c r="AK31" s="11"/>
      <c r="AL31" s="24"/>
      <c r="AN31" s="40"/>
      <c r="AP31" s="40"/>
      <c r="AQ31" s="47"/>
      <c r="AS31" s="91"/>
      <c r="AT31" s="92"/>
      <c r="AU31" s="93"/>
      <c r="AW31" s="15"/>
      <c r="AX31" s="16"/>
      <c r="AY31" s="64"/>
      <c r="AZ31" s="64"/>
      <c r="BA31" s="64"/>
      <c r="BB31" s="64"/>
      <c r="BC31" s="64"/>
      <c r="BD31" s="64"/>
      <c r="BE31" s="64"/>
      <c r="BF31" s="64"/>
      <c r="BG31" s="64"/>
      <c r="BH31" s="24"/>
      <c r="BJ31" s="49"/>
      <c r="BL31" s="56"/>
    </row>
    <row r="32" spans="2:64" x14ac:dyDescent="0.3">
      <c r="B32" s="20">
        <v>28</v>
      </c>
      <c r="C32" s="131" t="s">
        <v>1</v>
      </c>
      <c r="D32" s="11"/>
      <c r="E32" s="21"/>
      <c r="G32" s="15"/>
      <c r="H32" s="16"/>
      <c r="I32" s="16"/>
      <c r="J32" s="16"/>
      <c r="K32" s="16"/>
      <c r="L32" s="24"/>
      <c r="N32" s="20"/>
      <c r="O32" s="11"/>
      <c r="P32" s="11"/>
      <c r="Q32" s="16"/>
      <c r="R32" s="24"/>
      <c r="S32" s="47"/>
      <c r="U32" s="20"/>
      <c r="V32" s="11"/>
      <c r="W32" s="11"/>
      <c r="X32" s="11"/>
      <c r="Y32" s="21"/>
      <c r="AA32" s="5"/>
      <c r="AB32" s="3"/>
      <c r="AC32" s="3"/>
      <c r="AD32" s="3"/>
      <c r="AE32" s="3"/>
      <c r="AF32" s="6"/>
      <c r="AG32" s="63"/>
      <c r="AI32" s="20"/>
      <c r="AJ32" s="11"/>
      <c r="AK32" s="11"/>
      <c r="AL32" s="24"/>
      <c r="AN32" s="40"/>
      <c r="AP32" s="40"/>
      <c r="AQ32" s="47"/>
      <c r="AS32" s="91"/>
      <c r="AT32" s="92"/>
      <c r="AU32" s="93"/>
      <c r="AW32" s="15"/>
      <c r="AX32" s="16"/>
      <c r="AY32" s="64"/>
      <c r="AZ32" s="64"/>
      <c r="BA32" s="64"/>
      <c r="BB32" s="64"/>
      <c r="BC32" s="64"/>
      <c r="BD32" s="64"/>
      <c r="BE32" s="64"/>
      <c r="BF32" s="64"/>
      <c r="BG32" s="64"/>
      <c r="BH32" s="24"/>
      <c r="BJ32" s="49"/>
      <c r="BL32" s="56"/>
    </row>
    <row r="33" spans="2:64" ht="14.5" x14ac:dyDescent="0.35">
      <c r="B33" s="20">
        <v>29</v>
      </c>
      <c r="C33" s="131"/>
      <c r="D33" s="11"/>
      <c r="E33" s="21"/>
      <c r="G33" s="15"/>
      <c r="H33" s="16"/>
      <c r="I33" s="16"/>
      <c r="J33" s="16"/>
      <c r="K33" s="16"/>
      <c r="L33" s="24"/>
      <c r="N33" s="20"/>
      <c r="O33" s="11"/>
      <c r="P33" s="11"/>
      <c r="Q33" s="16"/>
      <c r="R33" s="24"/>
      <c r="S33" s="47"/>
      <c r="U33" s="20"/>
      <c r="V33" s="11"/>
      <c r="W33" s="11"/>
      <c r="X33" s="11"/>
      <c r="Y33" s="21"/>
      <c r="AA33" s="5"/>
      <c r="AB33" s="3"/>
      <c r="AC33" s="3"/>
      <c r="AD33" s="3"/>
      <c r="AE33" s="3"/>
      <c r="AF33" s="6"/>
      <c r="AG33" s="63"/>
      <c r="AI33" s="20"/>
      <c r="AJ33" s="11"/>
      <c r="AK33" s="11"/>
      <c r="AL33" s="24"/>
      <c r="AM33" t="s">
        <v>28</v>
      </c>
      <c r="AN33" s="40"/>
      <c r="AP33" s="40"/>
      <c r="AQ33" s="47"/>
      <c r="AS33" s="91"/>
      <c r="AT33" s="92"/>
      <c r="AU33" s="93"/>
      <c r="AW33" s="15"/>
      <c r="AX33" s="16"/>
      <c r="AY33" s="64"/>
      <c r="AZ33" s="64"/>
      <c r="BA33" s="64"/>
      <c r="BB33" s="64"/>
      <c r="BC33" s="64"/>
      <c r="BD33" s="64"/>
      <c r="BE33" s="64"/>
      <c r="BF33" s="64"/>
      <c r="BG33" s="64"/>
      <c r="BH33" s="24"/>
      <c r="BJ33" s="49"/>
      <c r="BL33" s="56"/>
    </row>
    <row r="34" spans="2:64" x14ac:dyDescent="0.3">
      <c r="B34" s="20">
        <v>30</v>
      </c>
      <c r="C34" s="131"/>
      <c r="D34" s="11"/>
      <c r="E34" s="21"/>
      <c r="G34" s="15"/>
      <c r="H34" s="16"/>
      <c r="I34" s="16"/>
      <c r="J34" s="16"/>
      <c r="K34" s="16"/>
      <c r="L34" s="24"/>
      <c r="N34" s="20"/>
      <c r="O34" s="11"/>
      <c r="P34" s="11"/>
      <c r="Q34" s="16"/>
      <c r="R34" s="24"/>
      <c r="S34" s="47"/>
      <c r="U34" s="20"/>
      <c r="V34" s="11"/>
      <c r="W34" s="11"/>
      <c r="X34" s="11"/>
      <c r="Y34" s="21"/>
      <c r="AA34" s="5"/>
      <c r="AB34" s="3"/>
      <c r="AC34" s="3"/>
      <c r="AD34" s="3"/>
      <c r="AE34" s="3"/>
      <c r="AF34" s="6"/>
      <c r="AG34" s="63"/>
      <c r="AI34" s="20"/>
      <c r="AJ34" s="11"/>
      <c r="AK34" s="11"/>
      <c r="AL34" s="24"/>
      <c r="AN34" s="40"/>
      <c r="AP34" s="40"/>
      <c r="AQ34" s="47"/>
      <c r="AS34" s="91"/>
      <c r="AT34" s="92"/>
      <c r="AU34" s="93"/>
      <c r="AW34" s="15"/>
      <c r="AX34" s="16"/>
      <c r="AY34" s="64"/>
      <c r="AZ34" s="64"/>
      <c r="BA34" s="64"/>
      <c r="BB34" s="64"/>
      <c r="BC34" s="64"/>
      <c r="BD34" s="64"/>
      <c r="BE34" s="64"/>
      <c r="BF34" s="64"/>
      <c r="BG34" s="64"/>
      <c r="BH34" s="24"/>
      <c r="BJ34" s="49"/>
      <c r="BL34" s="56"/>
    </row>
    <row r="35" spans="2:64" x14ac:dyDescent="0.3">
      <c r="B35" s="20">
        <v>31</v>
      </c>
      <c r="C35" s="131"/>
      <c r="D35" s="11"/>
      <c r="E35" s="21"/>
      <c r="G35" s="15"/>
      <c r="H35" s="16"/>
      <c r="I35" s="16"/>
      <c r="J35" s="16"/>
      <c r="K35" s="16"/>
      <c r="L35" s="24"/>
      <c r="N35" s="20"/>
      <c r="O35" s="11"/>
      <c r="P35" s="11"/>
      <c r="Q35" s="16"/>
      <c r="R35" s="24"/>
      <c r="S35" s="47"/>
      <c r="U35" s="20"/>
      <c r="V35" s="11"/>
      <c r="W35" s="11"/>
      <c r="X35" s="11"/>
      <c r="Y35" s="21"/>
      <c r="AA35" s="5"/>
      <c r="AB35" s="3"/>
      <c r="AC35" s="3"/>
      <c r="AD35" s="3"/>
      <c r="AE35" s="3"/>
      <c r="AF35" s="6"/>
      <c r="AG35" s="63"/>
      <c r="AI35" s="20"/>
      <c r="AJ35" s="11"/>
      <c r="AK35" s="11"/>
      <c r="AL35" s="24"/>
      <c r="AN35" s="40"/>
      <c r="AP35" s="40"/>
      <c r="AQ35" s="47"/>
      <c r="AS35" s="91"/>
      <c r="AT35" s="92"/>
      <c r="AU35" s="93"/>
      <c r="AW35" s="15"/>
      <c r="AX35" s="16"/>
      <c r="AY35" s="64"/>
      <c r="AZ35" s="64"/>
      <c r="BA35" s="64"/>
      <c r="BB35" s="64"/>
      <c r="BC35" s="64"/>
      <c r="BD35" s="64"/>
      <c r="BE35" s="64"/>
      <c r="BF35" s="64"/>
      <c r="BG35" s="64"/>
      <c r="BH35" s="24"/>
      <c r="BJ35" s="49"/>
      <c r="BL35" s="56"/>
    </row>
    <row r="36" spans="2:64" x14ac:dyDescent="0.3">
      <c r="B36" s="20">
        <v>32</v>
      </c>
      <c r="C36" s="131" t="s">
        <v>2</v>
      </c>
      <c r="D36" s="11">
        <v>28.21</v>
      </c>
      <c r="E36" s="21">
        <v>89.85</v>
      </c>
      <c r="G36" s="31">
        <v>0.86919999999999997</v>
      </c>
      <c r="H36" s="32">
        <f>-0.159*D36</f>
        <v>-4.4853899999999998</v>
      </c>
      <c r="I36" s="32">
        <f>0.01116*D36*D36</f>
        <v>8.881173755999999</v>
      </c>
      <c r="J36" s="32">
        <f>-(3.408/10000)*D36*D36*D36</f>
        <v>-7.6508351516688009</v>
      </c>
      <c r="K36" s="32">
        <f>(3.809/1000000)*D36*D36*D36*D36</f>
        <v>2.4122555666820698</v>
      </c>
      <c r="L36" s="33">
        <f>SUM(G36:K36)</f>
        <v>2.6404171013268307E-2</v>
      </c>
      <c r="M36" s="29"/>
      <c r="N36" s="20">
        <v>0.85</v>
      </c>
      <c r="O36" s="11">
        <f>0.75</f>
        <v>0.75</v>
      </c>
      <c r="P36" s="8">
        <f>(O36-(N36-O36))</f>
        <v>0.65</v>
      </c>
      <c r="Q36" s="3">
        <f>SQRT(1+(POWER((N36-O36),2)))</f>
        <v>1.004987562112089</v>
      </c>
      <c r="R36" s="28">
        <f>P36/Q36</f>
        <v>0.64677417363649303</v>
      </c>
      <c r="S36" s="61"/>
      <c r="U36" s="20">
        <v>1</v>
      </c>
      <c r="V36" s="34">
        <f>L36</f>
        <v>2.6404171013268307E-2</v>
      </c>
      <c r="W36" s="35">
        <f>R36</f>
        <v>0.64677417363649303</v>
      </c>
      <c r="X36" s="11">
        <v>1</v>
      </c>
      <c r="Y36" s="36">
        <f>U36*V36*(POWER((1+W36),X36))</f>
        <v>4.3481706900931553E-2</v>
      </c>
      <c r="AA36" s="5">
        <v>0.25</v>
      </c>
      <c r="AB36" s="3">
        <f>N36-O36</f>
        <v>9.9999999999999978E-2</v>
      </c>
      <c r="AC36" s="3">
        <f>SQRT(1+(POWER((N36-O36),2)))</f>
        <v>1.004987562112089</v>
      </c>
      <c r="AD36" s="3">
        <f>AB36/AC36</f>
        <v>9.9503719020998901E-2</v>
      </c>
      <c r="AE36" s="3">
        <v>1</v>
      </c>
      <c r="AF36" s="37">
        <f>AA36*(POWER((1+AD36),AE36))</f>
        <v>0.27487592975524971</v>
      </c>
      <c r="AG36" s="48"/>
      <c r="AI36" s="38">
        <f>0.001044*D36</f>
        <v>2.945124E-2</v>
      </c>
      <c r="AJ36" s="11">
        <f>(D36-12.286)</f>
        <v>15.924000000000001</v>
      </c>
      <c r="AK36" s="35">
        <f>POWER((32.461-D36),0.5)</f>
        <v>2.0617953341687429</v>
      </c>
      <c r="AL36" s="37">
        <f>AI36*AJ36*AK36</f>
        <v>0.96694396285921291</v>
      </c>
      <c r="AN36" s="43">
        <v>1</v>
      </c>
      <c r="AP36" s="42">
        <f>1/(4+EXP(5.15-0.123*D36))</f>
        <v>0.10676382809144616</v>
      </c>
      <c r="AQ36" s="48"/>
      <c r="AS36" s="91"/>
      <c r="AT36" s="92"/>
      <c r="AU36" s="93"/>
      <c r="AW36" s="5">
        <f>AF36</f>
        <v>0.27487592975524971</v>
      </c>
      <c r="AX36" s="3">
        <f>AL36</f>
        <v>0.96694396285921291</v>
      </c>
      <c r="AY36" s="65">
        <f>AN36</f>
        <v>1</v>
      </c>
      <c r="AZ36" s="70">
        <f>AP36</f>
        <v>0.10676382809144616</v>
      </c>
      <c r="BA36" s="70">
        <f>AU5</f>
        <v>0.16835016835016833</v>
      </c>
      <c r="BB36" s="73">
        <f>Y36</f>
        <v>4.3481706900931553E-2</v>
      </c>
      <c r="BC36" s="70">
        <f>AU6</f>
        <v>0.25</v>
      </c>
      <c r="BD36" s="72">
        <f>AU7</f>
        <v>3.6529680365296805E-5</v>
      </c>
      <c r="BE36" s="65"/>
      <c r="BF36" s="65">
        <f>AW36*AW36*AX36*AY36*AZ36*BA36</f>
        <v>1.3131442044731713E-3</v>
      </c>
      <c r="BG36" s="74">
        <f>BB36*(BC36+BD36)*(BA36+BD36)*(AZ36+BB36)</f>
        <v>2.750549100749774E-4</v>
      </c>
      <c r="BH36" s="37">
        <f>BF36/BG36</f>
        <v>4.7741165722699535</v>
      </c>
      <c r="BJ36" s="59">
        <v>1</v>
      </c>
      <c r="BL36" s="58">
        <f>BH36*BJ36</f>
        <v>4.7741165722699535</v>
      </c>
    </row>
    <row r="37" spans="2:64" x14ac:dyDescent="0.3">
      <c r="B37" s="20">
        <v>33</v>
      </c>
      <c r="C37" s="131"/>
      <c r="D37" s="11"/>
      <c r="E37" s="21"/>
      <c r="G37" s="15"/>
      <c r="H37" s="16"/>
      <c r="I37" s="17"/>
      <c r="J37" s="16"/>
      <c r="K37" s="16"/>
      <c r="L37" s="24"/>
      <c r="N37" s="20"/>
      <c r="O37" s="11"/>
      <c r="P37" s="11"/>
      <c r="Q37" s="16"/>
      <c r="R37" s="24"/>
      <c r="S37" s="47"/>
      <c r="U37" s="20"/>
      <c r="V37" s="11"/>
      <c r="W37" s="11"/>
      <c r="X37" s="11"/>
      <c r="Y37" s="21"/>
      <c r="AA37" s="5"/>
      <c r="AB37" s="3"/>
      <c r="AC37" s="3"/>
      <c r="AD37" s="3"/>
      <c r="AE37" s="3"/>
      <c r="AF37" s="6"/>
      <c r="AG37" s="63"/>
      <c r="AI37" s="20"/>
      <c r="AJ37" s="11"/>
      <c r="AK37" s="11"/>
      <c r="AL37" s="24"/>
      <c r="AN37" s="40"/>
      <c r="AP37" s="40"/>
      <c r="AQ37" s="47"/>
      <c r="AS37" s="91"/>
      <c r="AT37" s="92"/>
      <c r="AU37" s="93"/>
      <c r="AW37" s="15"/>
      <c r="AX37" s="16"/>
      <c r="AY37" s="64"/>
      <c r="AZ37" s="64"/>
      <c r="BA37" s="64"/>
      <c r="BB37" s="64"/>
      <c r="BC37" s="64"/>
      <c r="BD37" s="64"/>
      <c r="BE37" s="64"/>
      <c r="BF37" s="64"/>
      <c r="BG37" s="64"/>
      <c r="BH37" s="24"/>
      <c r="BJ37" s="49"/>
      <c r="BL37" s="56"/>
    </row>
    <row r="38" spans="2:64" x14ac:dyDescent="0.3">
      <c r="B38" s="20">
        <v>34</v>
      </c>
      <c r="C38" s="131"/>
      <c r="D38" s="11"/>
      <c r="E38" s="21"/>
      <c r="G38" s="15"/>
      <c r="H38" s="16"/>
      <c r="I38" s="30"/>
      <c r="J38" s="16"/>
      <c r="K38" s="16"/>
      <c r="L38" s="24"/>
      <c r="N38" s="20"/>
      <c r="O38" s="11"/>
      <c r="P38" s="11"/>
      <c r="Q38" s="16"/>
      <c r="R38" s="24"/>
      <c r="S38" s="47"/>
      <c r="U38" s="20"/>
      <c r="V38" s="11"/>
      <c r="W38" s="11"/>
      <c r="X38" s="11"/>
      <c r="Y38" s="21"/>
      <c r="AA38" s="5"/>
      <c r="AB38" s="3"/>
      <c r="AC38" s="3"/>
      <c r="AD38" s="3"/>
      <c r="AE38" s="3"/>
      <c r="AF38" s="6"/>
      <c r="AG38" s="63"/>
      <c r="AI38" s="20"/>
      <c r="AJ38" s="11"/>
      <c r="AK38" s="11"/>
      <c r="AL38" s="24"/>
      <c r="AN38" s="40"/>
      <c r="AP38" s="40"/>
      <c r="AQ38" s="47"/>
      <c r="AS38" s="91"/>
      <c r="AT38" s="92"/>
      <c r="AU38" s="93"/>
      <c r="AW38" s="15"/>
      <c r="AX38" s="16"/>
      <c r="AY38" s="64"/>
      <c r="AZ38" s="64"/>
      <c r="BA38" s="64"/>
      <c r="BB38" s="64"/>
      <c r="BC38" s="64"/>
      <c r="BD38" s="64"/>
      <c r="BE38" s="64"/>
      <c r="BF38" s="64"/>
      <c r="BG38" s="64"/>
      <c r="BH38" s="24"/>
      <c r="BJ38" s="49"/>
      <c r="BL38" s="56"/>
    </row>
    <row r="39" spans="2:64" x14ac:dyDescent="0.3">
      <c r="B39" s="20">
        <v>35</v>
      </c>
      <c r="C39" s="131"/>
      <c r="D39" s="11"/>
      <c r="E39" s="21"/>
      <c r="G39" s="15"/>
      <c r="H39" s="16"/>
      <c r="I39" s="16"/>
      <c r="J39" s="16"/>
      <c r="K39" s="16"/>
      <c r="L39" s="24"/>
      <c r="N39" s="20"/>
      <c r="O39" s="11"/>
      <c r="P39" s="11"/>
      <c r="Q39" s="16"/>
      <c r="R39" s="24"/>
      <c r="S39" s="47"/>
      <c r="U39" s="20"/>
      <c r="V39" s="11"/>
      <c r="W39" s="11"/>
      <c r="X39" s="11"/>
      <c r="Y39" s="21"/>
      <c r="AA39" s="5"/>
      <c r="AB39" s="3"/>
      <c r="AC39" s="3"/>
      <c r="AD39" s="3"/>
      <c r="AE39" s="3"/>
      <c r="AF39" s="6"/>
      <c r="AG39" s="63"/>
      <c r="AI39" s="20"/>
      <c r="AJ39" s="11"/>
      <c r="AK39" s="11"/>
      <c r="AL39" s="24"/>
      <c r="AN39" s="40"/>
      <c r="AP39" s="40"/>
      <c r="AQ39" s="47"/>
      <c r="AS39" s="91"/>
      <c r="AT39" s="92"/>
      <c r="AU39" s="93"/>
      <c r="AW39" s="15"/>
      <c r="AX39" s="16"/>
      <c r="AY39" s="64"/>
      <c r="AZ39" s="64"/>
      <c r="BA39" s="64"/>
      <c r="BB39" s="64"/>
      <c r="BC39" s="64"/>
      <c r="BD39" s="64"/>
      <c r="BE39" s="64"/>
      <c r="BF39" s="64"/>
      <c r="BG39" s="64"/>
      <c r="BH39" s="24"/>
      <c r="BJ39" s="49"/>
      <c r="BL39" s="56"/>
    </row>
    <row r="40" spans="2:64" x14ac:dyDescent="0.3">
      <c r="B40" s="20">
        <v>36</v>
      </c>
      <c r="C40" s="131" t="s">
        <v>3</v>
      </c>
      <c r="D40" s="11"/>
      <c r="E40" s="21"/>
      <c r="G40" s="15"/>
      <c r="H40" s="16"/>
      <c r="I40" s="16"/>
      <c r="J40" s="16"/>
      <c r="K40" s="16"/>
      <c r="L40" s="24"/>
      <c r="N40" s="20"/>
      <c r="O40" s="11"/>
      <c r="P40" s="11"/>
      <c r="Q40" s="16"/>
      <c r="R40" s="24"/>
      <c r="S40" s="47"/>
      <c r="U40" s="20"/>
      <c r="V40" s="11"/>
      <c r="W40" s="11"/>
      <c r="X40" s="11"/>
      <c r="Y40" s="21"/>
      <c r="AA40" s="5"/>
      <c r="AB40" s="3"/>
      <c r="AC40" s="3"/>
      <c r="AD40" s="3"/>
      <c r="AE40" s="3"/>
      <c r="AF40" s="6"/>
      <c r="AG40" s="63"/>
      <c r="AI40" s="20"/>
      <c r="AJ40" s="11"/>
      <c r="AK40" s="11"/>
      <c r="AL40" s="24"/>
      <c r="AN40" s="40"/>
      <c r="AP40" s="40"/>
      <c r="AQ40" s="47"/>
      <c r="AS40" s="91"/>
      <c r="AT40" s="92"/>
      <c r="AU40" s="93"/>
      <c r="AW40" s="15"/>
      <c r="AX40" s="16"/>
      <c r="AY40" s="64"/>
      <c r="AZ40" s="64"/>
      <c r="BA40" s="64"/>
      <c r="BB40" s="64"/>
      <c r="BC40" s="64"/>
      <c r="BD40" s="64"/>
      <c r="BE40" s="64"/>
      <c r="BF40" s="64"/>
      <c r="BG40" s="64"/>
      <c r="BH40" s="24"/>
      <c r="BJ40" s="49"/>
      <c r="BL40" s="56"/>
    </row>
    <row r="41" spans="2:64" x14ac:dyDescent="0.3">
      <c r="B41" s="20">
        <v>37</v>
      </c>
      <c r="C41" s="131"/>
      <c r="D41" s="11"/>
      <c r="E41" s="21"/>
      <c r="G41" s="15"/>
      <c r="H41" s="16"/>
      <c r="I41" s="16"/>
      <c r="J41" s="16"/>
      <c r="K41" s="16"/>
      <c r="L41" s="24"/>
      <c r="N41" s="20"/>
      <c r="O41" s="11"/>
      <c r="P41" s="11"/>
      <c r="Q41" s="16"/>
      <c r="R41" s="24"/>
      <c r="S41" s="47"/>
      <c r="U41" s="20"/>
      <c r="V41" s="11"/>
      <c r="W41" s="11"/>
      <c r="X41" s="11"/>
      <c r="Y41" s="21"/>
      <c r="AA41" s="5"/>
      <c r="AB41" s="3"/>
      <c r="AC41" s="3"/>
      <c r="AD41" s="3"/>
      <c r="AE41" s="3"/>
      <c r="AF41" s="6"/>
      <c r="AG41" s="63"/>
      <c r="AI41" s="20"/>
      <c r="AJ41" s="11"/>
      <c r="AK41" s="11"/>
      <c r="AL41" s="24"/>
      <c r="AN41" s="40"/>
      <c r="AP41" s="40"/>
      <c r="AQ41" s="47"/>
      <c r="AS41" s="91"/>
      <c r="AT41" s="92"/>
      <c r="AU41" s="93"/>
      <c r="AW41" s="15"/>
      <c r="AX41" s="16"/>
      <c r="AY41" s="64"/>
      <c r="AZ41" s="64"/>
      <c r="BA41" s="64"/>
      <c r="BB41" s="64"/>
      <c r="BC41" s="64"/>
      <c r="BD41" s="64"/>
      <c r="BE41" s="64"/>
      <c r="BF41" s="64"/>
      <c r="BG41" s="64"/>
      <c r="BH41" s="24"/>
      <c r="BJ41" s="49"/>
      <c r="BL41" s="56"/>
    </row>
    <row r="42" spans="2:64" x14ac:dyDescent="0.3">
      <c r="B42" s="20">
        <v>38</v>
      </c>
      <c r="C42" s="131"/>
      <c r="D42" s="11"/>
      <c r="E42" s="21"/>
      <c r="G42" s="15"/>
      <c r="H42" s="16"/>
      <c r="I42" s="16"/>
      <c r="J42" s="16"/>
      <c r="K42" s="16"/>
      <c r="L42" s="24"/>
      <c r="N42" s="20"/>
      <c r="O42" s="11"/>
      <c r="P42" s="11"/>
      <c r="Q42" s="16"/>
      <c r="R42" s="24"/>
      <c r="S42" s="47"/>
      <c r="U42" s="20"/>
      <c r="V42" s="11"/>
      <c r="W42" s="11"/>
      <c r="X42" s="11"/>
      <c r="Y42" s="21"/>
      <c r="AA42" s="5"/>
      <c r="AB42" s="3"/>
      <c r="AC42" s="3"/>
      <c r="AD42" s="3"/>
      <c r="AE42" s="3"/>
      <c r="AF42" s="6"/>
      <c r="AG42" s="63"/>
      <c r="AI42" s="20"/>
      <c r="AJ42" s="11"/>
      <c r="AK42" s="11"/>
      <c r="AL42" s="24"/>
      <c r="AN42" s="40"/>
      <c r="AP42" s="40"/>
      <c r="AQ42" s="47"/>
      <c r="AS42" s="91"/>
      <c r="AT42" s="92"/>
      <c r="AU42" s="93"/>
      <c r="AW42" s="15"/>
      <c r="AX42" s="16"/>
      <c r="AY42" s="64"/>
      <c r="AZ42" s="64"/>
      <c r="BA42" s="64"/>
      <c r="BB42" s="64"/>
      <c r="BC42" s="64"/>
      <c r="BD42" s="64"/>
      <c r="BE42" s="64"/>
      <c r="BF42" s="64"/>
      <c r="BG42" s="64"/>
      <c r="BH42" s="24"/>
      <c r="BJ42" s="49"/>
      <c r="BL42" s="56"/>
    </row>
    <row r="43" spans="2:64" x14ac:dyDescent="0.3">
      <c r="B43" s="20">
        <v>39</v>
      </c>
      <c r="C43" s="131"/>
      <c r="D43" s="11"/>
      <c r="E43" s="21"/>
      <c r="G43" s="15"/>
      <c r="H43" s="16"/>
      <c r="I43" s="16"/>
      <c r="J43" s="16"/>
      <c r="K43" s="16"/>
      <c r="L43" s="24"/>
      <c r="N43" s="20"/>
      <c r="O43" s="11"/>
      <c r="P43" s="11"/>
      <c r="Q43" s="16"/>
      <c r="R43" s="24"/>
      <c r="S43" s="47"/>
      <c r="U43" s="20"/>
      <c r="V43" s="11"/>
      <c r="W43" s="11"/>
      <c r="X43" s="11"/>
      <c r="Y43" s="21"/>
      <c r="AA43" s="5"/>
      <c r="AB43" s="3"/>
      <c r="AC43" s="3"/>
      <c r="AD43" s="3"/>
      <c r="AE43" s="3"/>
      <c r="AF43" s="6"/>
      <c r="AG43" s="63"/>
      <c r="AI43" s="20"/>
      <c r="AJ43" s="11"/>
      <c r="AK43" s="11"/>
      <c r="AL43" s="24"/>
      <c r="AN43" s="40"/>
      <c r="AP43" s="40"/>
      <c r="AQ43" s="47"/>
      <c r="AS43" s="91"/>
      <c r="AT43" s="92"/>
      <c r="AU43" s="93"/>
      <c r="AW43" s="15"/>
      <c r="AX43" s="16"/>
      <c r="AY43" s="64"/>
      <c r="AZ43" s="64"/>
      <c r="BA43" s="64"/>
      <c r="BB43" s="64"/>
      <c r="BC43" s="64"/>
      <c r="BD43" s="64"/>
      <c r="BE43" s="64"/>
      <c r="BF43" s="64"/>
      <c r="BG43" s="64"/>
      <c r="BH43" s="24"/>
      <c r="BJ43" s="49"/>
      <c r="BL43" s="56"/>
    </row>
    <row r="44" spans="2:64" x14ac:dyDescent="0.3">
      <c r="B44" s="20">
        <v>40</v>
      </c>
      <c r="C44" s="131"/>
      <c r="D44" s="11"/>
      <c r="E44" s="21"/>
      <c r="G44" s="15"/>
      <c r="H44" s="16"/>
      <c r="I44" s="16"/>
      <c r="J44" s="16"/>
      <c r="K44" s="16"/>
      <c r="L44" s="24"/>
      <c r="N44" s="20"/>
      <c r="O44" s="11"/>
      <c r="P44" s="11"/>
      <c r="Q44" s="16"/>
      <c r="R44" s="24"/>
      <c r="S44" s="47"/>
      <c r="U44" s="20"/>
      <c r="V44" s="11"/>
      <c r="W44" s="11"/>
      <c r="X44" s="11"/>
      <c r="Y44" s="21"/>
      <c r="AA44" s="5"/>
      <c r="AB44" s="3"/>
      <c r="AC44" s="3"/>
      <c r="AD44" s="3"/>
      <c r="AE44" s="3"/>
      <c r="AF44" s="6"/>
      <c r="AG44" s="63"/>
      <c r="AI44" s="20"/>
      <c r="AJ44" s="11"/>
      <c r="AK44" s="11"/>
      <c r="AL44" s="24"/>
      <c r="AN44" s="40"/>
      <c r="AP44" s="40"/>
      <c r="AQ44" s="47"/>
      <c r="AS44" s="91"/>
      <c r="AT44" s="92"/>
      <c r="AU44" s="93"/>
      <c r="AW44" s="15"/>
      <c r="AX44" s="16"/>
      <c r="AY44" s="64"/>
      <c r="AZ44" s="64"/>
      <c r="BA44" s="64"/>
      <c r="BB44" s="64"/>
      <c r="BC44" s="64"/>
      <c r="BD44" s="64"/>
      <c r="BE44" s="64"/>
      <c r="BF44" s="64"/>
      <c r="BG44" s="64"/>
      <c r="BH44" s="24"/>
      <c r="BJ44" s="49"/>
      <c r="BL44" s="56"/>
    </row>
    <row r="45" spans="2:64" x14ac:dyDescent="0.3">
      <c r="B45" s="20">
        <v>41</v>
      </c>
      <c r="C45" s="131" t="s">
        <v>4</v>
      </c>
      <c r="D45" s="11"/>
      <c r="E45" s="21"/>
      <c r="G45" s="15"/>
      <c r="H45" s="16"/>
      <c r="I45" s="16"/>
      <c r="J45" s="16"/>
      <c r="K45" s="16"/>
      <c r="L45" s="24"/>
      <c r="N45" s="20"/>
      <c r="O45" s="11"/>
      <c r="P45" s="11"/>
      <c r="Q45" s="16"/>
      <c r="R45" s="24"/>
      <c r="S45" s="47"/>
      <c r="U45" s="20"/>
      <c r="V45" s="11"/>
      <c r="W45" s="11"/>
      <c r="X45" s="11"/>
      <c r="Y45" s="21"/>
      <c r="AA45" s="5"/>
      <c r="AB45" s="3"/>
      <c r="AC45" s="3"/>
      <c r="AD45" s="3"/>
      <c r="AE45" s="3"/>
      <c r="AF45" s="6"/>
      <c r="AG45" s="63"/>
      <c r="AI45" s="20"/>
      <c r="AJ45" s="11"/>
      <c r="AK45" s="11"/>
      <c r="AL45" s="24"/>
      <c r="AN45" s="40"/>
      <c r="AP45" s="40"/>
      <c r="AQ45" s="47"/>
      <c r="AS45" s="91"/>
      <c r="AT45" s="92"/>
      <c r="AU45" s="93"/>
      <c r="AW45" s="15"/>
      <c r="AX45" s="16"/>
      <c r="AY45" s="64"/>
      <c r="AZ45" s="64"/>
      <c r="BA45" s="64"/>
      <c r="BB45" s="64"/>
      <c r="BC45" s="64"/>
      <c r="BD45" s="64"/>
      <c r="BE45" s="64"/>
      <c r="BF45" s="64"/>
      <c r="BG45" s="64"/>
      <c r="BH45" s="24"/>
      <c r="BJ45" s="49"/>
      <c r="BL45" s="56"/>
    </row>
    <row r="46" spans="2:64" x14ac:dyDescent="0.3">
      <c r="B46" s="20">
        <v>42</v>
      </c>
      <c r="C46" s="131"/>
      <c r="D46" s="11"/>
      <c r="E46" s="21"/>
      <c r="G46" s="15"/>
      <c r="H46" s="16"/>
      <c r="I46" s="16"/>
      <c r="J46" s="16"/>
      <c r="K46" s="16"/>
      <c r="L46" s="24"/>
      <c r="N46" s="20"/>
      <c r="O46" s="11"/>
      <c r="P46" s="11"/>
      <c r="Q46" s="16"/>
      <c r="R46" s="24"/>
      <c r="S46" s="47"/>
      <c r="U46" s="20"/>
      <c r="V46" s="11"/>
      <c r="W46" s="11"/>
      <c r="X46" s="11"/>
      <c r="Y46" s="21"/>
      <c r="AA46" s="5"/>
      <c r="AB46" s="3"/>
      <c r="AC46" s="3"/>
      <c r="AD46" s="3"/>
      <c r="AE46" s="3"/>
      <c r="AF46" s="6"/>
      <c r="AG46" s="63"/>
      <c r="AI46" s="20"/>
      <c r="AJ46" s="11"/>
      <c r="AK46" s="11"/>
      <c r="AL46" s="24"/>
      <c r="AN46" s="40"/>
      <c r="AP46" s="40"/>
      <c r="AQ46" s="47"/>
      <c r="AS46" s="91"/>
      <c r="AT46" s="92"/>
      <c r="AU46" s="93"/>
      <c r="AW46" s="15"/>
      <c r="AX46" s="16"/>
      <c r="AY46" s="64"/>
      <c r="AZ46" s="64"/>
      <c r="BA46" s="64"/>
      <c r="BB46" s="64"/>
      <c r="BC46" s="64"/>
      <c r="BD46" s="64"/>
      <c r="BE46" s="64"/>
      <c r="BF46" s="64"/>
      <c r="BG46" s="64"/>
      <c r="BH46" s="24"/>
      <c r="BJ46" s="49"/>
      <c r="BL46" s="56"/>
    </row>
    <row r="47" spans="2:64" x14ac:dyDescent="0.3">
      <c r="B47" s="20">
        <v>43</v>
      </c>
      <c r="C47" s="131"/>
      <c r="D47" s="11"/>
      <c r="E47" s="21"/>
      <c r="G47" s="15"/>
      <c r="H47" s="16"/>
      <c r="I47" s="16"/>
      <c r="J47" s="16"/>
      <c r="K47" s="16"/>
      <c r="L47" s="24"/>
      <c r="N47" s="20"/>
      <c r="O47" s="11"/>
      <c r="P47" s="11"/>
      <c r="Q47" s="16"/>
      <c r="R47" s="24"/>
      <c r="S47" s="47"/>
      <c r="U47" s="20"/>
      <c r="V47" s="11"/>
      <c r="W47" s="11"/>
      <c r="X47" s="11"/>
      <c r="Y47" s="21"/>
      <c r="AA47" s="5"/>
      <c r="AB47" s="3"/>
      <c r="AC47" s="3"/>
      <c r="AD47" s="3"/>
      <c r="AE47" s="3"/>
      <c r="AF47" s="6"/>
      <c r="AG47" s="63"/>
      <c r="AI47" s="20"/>
      <c r="AJ47" s="11"/>
      <c r="AK47" s="11"/>
      <c r="AL47" s="24"/>
      <c r="AN47" s="40"/>
      <c r="AP47" s="40"/>
      <c r="AQ47" s="47"/>
      <c r="AS47" s="91"/>
      <c r="AT47" s="92"/>
      <c r="AU47" s="93"/>
      <c r="AW47" s="15"/>
      <c r="AX47" s="16"/>
      <c r="AY47" s="64"/>
      <c r="AZ47" s="64"/>
      <c r="BA47" s="64"/>
      <c r="BB47" s="64"/>
      <c r="BC47" s="64"/>
      <c r="BD47" s="64"/>
      <c r="BE47" s="64"/>
      <c r="BF47" s="64"/>
      <c r="BG47" s="64"/>
      <c r="BH47" s="24"/>
      <c r="BJ47" s="49"/>
      <c r="BL47" s="56"/>
    </row>
    <row r="48" spans="2:64" x14ac:dyDescent="0.3">
      <c r="B48" s="20">
        <v>44</v>
      </c>
      <c r="C48" s="131"/>
      <c r="D48" s="11"/>
      <c r="E48" s="21"/>
      <c r="G48" s="15"/>
      <c r="H48" s="16"/>
      <c r="I48" s="16"/>
      <c r="J48" s="16"/>
      <c r="K48" s="16"/>
      <c r="L48" s="24"/>
      <c r="N48" s="20"/>
      <c r="O48" s="11"/>
      <c r="P48" s="11"/>
      <c r="Q48" s="16"/>
      <c r="R48" s="24"/>
      <c r="S48" s="47"/>
      <c r="U48" s="20"/>
      <c r="V48" s="11"/>
      <c r="W48" s="11"/>
      <c r="X48" s="11"/>
      <c r="Y48" s="21"/>
      <c r="AA48" s="5"/>
      <c r="AB48" s="3"/>
      <c r="AC48" s="3"/>
      <c r="AD48" s="3"/>
      <c r="AE48" s="3"/>
      <c r="AF48" s="6"/>
      <c r="AG48" s="63"/>
      <c r="AI48" s="20"/>
      <c r="AJ48" s="11"/>
      <c r="AK48" s="11"/>
      <c r="AL48" s="24"/>
      <c r="AN48" s="40"/>
      <c r="AP48" s="40"/>
      <c r="AQ48" s="47"/>
      <c r="AS48" s="91"/>
      <c r="AT48" s="92"/>
      <c r="AU48" s="93"/>
      <c r="AW48" s="15"/>
      <c r="AX48" s="16"/>
      <c r="AY48" s="64"/>
      <c r="AZ48" s="64"/>
      <c r="BA48" s="64"/>
      <c r="BB48" s="64"/>
      <c r="BC48" s="64"/>
      <c r="BD48" s="64"/>
      <c r="BE48" s="64"/>
      <c r="BF48" s="64"/>
      <c r="BG48" s="64"/>
      <c r="BH48" s="24"/>
      <c r="BJ48" s="49"/>
      <c r="BL48" s="56"/>
    </row>
    <row r="49" spans="2:64" x14ac:dyDescent="0.3">
      <c r="B49" s="20">
        <v>45</v>
      </c>
      <c r="C49" s="131" t="s">
        <v>11</v>
      </c>
      <c r="D49" s="11"/>
      <c r="E49" s="21"/>
      <c r="G49" s="15"/>
      <c r="H49" s="16"/>
      <c r="I49" s="16"/>
      <c r="J49" s="16"/>
      <c r="K49" s="16"/>
      <c r="L49" s="24"/>
      <c r="N49" s="20"/>
      <c r="O49" s="11"/>
      <c r="P49" s="11"/>
      <c r="Q49" s="16"/>
      <c r="R49" s="24"/>
      <c r="S49" s="47"/>
      <c r="U49" s="20"/>
      <c r="V49" s="11"/>
      <c r="W49" s="11"/>
      <c r="X49" s="11"/>
      <c r="Y49" s="21"/>
      <c r="AA49" s="5"/>
      <c r="AB49" s="3"/>
      <c r="AC49" s="3"/>
      <c r="AD49" s="3"/>
      <c r="AE49" s="3"/>
      <c r="AF49" s="6"/>
      <c r="AG49" s="63"/>
      <c r="AI49" s="20"/>
      <c r="AJ49" s="11"/>
      <c r="AK49" s="11"/>
      <c r="AL49" s="24"/>
      <c r="AN49" s="40"/>
      <c r="AP49" s="40"/>
      <c r="AQ49" s="47"/>
      <c r="AS49" s="91"/>
      <c r="AT49" s="92"/>
      <c r="AU49" s="93"/>
      <c r="AW49" s="15"/>
      <c r="AX49" s="16"/>
      <c r="AY49" s="64"/>
      <c r="AZ49" s="64"/>
      <c r="BA49" s="64"/>
      <c r="BB49" s="64"/>
      <c r="BC49" s="64"/>
      <c r="BD49" s="64"/>
      <c r="BE49" s="64"/>
      <c r="BF49" s="64"/>
      <c r="BG49" s="64"/>
      <c r="BH49" s="24"/>
      <c r="BJ49" s="49"/>
      <c r="BL49" s="56"/>
    </row>
    <row r="50" spans="2:64" x14ac:dyDescent="0.3">
      <c r="B50" s="20">
        <v>46</v>
      </c>
      <c r="C50" s="131"/>
      <c r="D50" s="11"/>
      <c r="E50" s="21"/>
      <c r="G50" s="15"/>
      <c r="H50" s="16"/>
      <c r="I50" s="16"/>
      <c r="J50" s="16"/>
      <c r="K50" s="16"/>
      <c r="L50" s="24"/>
      <c r="N50" s="20"/>
      <c r="O50" s="11"/>
      <c r="P50" s="11"/>
      <c r="Q50" s="16"/>
      <c r="R50" s="24"/>
      <c r="S50" s="47"/>
      <c r="U50" s="20"/>
      <c r="V50" s="11"/>
      <c r="W50" s="11"/>
      <c r="X50" s="11"/>
      <c r="Y50" s="21"/>
      <c r="AA50" s="5"/>
      <c r="AB50" s="3"/>
      <c r="AC50" s="3"/>
      <c r="AD50" s="3"/>
      <c r="AE50" s="3"/>
      <c r="AF50" s="6"/>
      <c r="AG50" s="63"/>
      <c r="AI50" s="20"/>
      <c r="AJ50" s="11"/>
      <c r="AK50" s="11"/>
      <c r="AL50" s="24"/>
      <c r="AN50" s="40"/>
      <c r="AP50" s="40"/>
      <c r="AQ50" s="47"/>
      <c r="AS50" s="91"/>
      <c r="AT50" s="92"/>
      <c r="AU50" s="93"/>
      <c r="AW50" s="15"/>
      <c r="AX50" s="16"/>
      <c r="AY50" s="64"/>
      <c r="AZ50" s="64"/>
      <c r="BA50" s="64"/>
      <c r="BB50" s="64"/>
      <c r="BC50" s="64"/>
      <c r="BD50" s="64"/>
      <c r="BE50" s="64"/>
      <c r="BF50" s="64"/>
      <c r="BG50" s="64"/>
      <c r="BH50" s="24"/>
      <c r="BJ50" s="49"/>
      <c r="BL50" s="56"/>
    </row>
    <row r="51" spans="2:64" x14ac:dyDescent="0.3">
      <c r="B51" s="20">
        <v>47</v>
      </c>
      <c r="C51" s="131"/>
      <c r="D51" s="11"/>
      <c r="E51" s="21"/>
      <c r="G51" s="15"/>
      <c r="H51" s="16"/>
      <c r="I51" s="16"/>
      <c r="J51" s="16"/>
      <c r="K51" s="16"/>
      <c r="L51" s="24"/>
      <c r="N51" s="20"/>
      <c r="O51" s="11"/>
      <c r="P51" s="11"/>
      <c r="Q51" s="16"/>
      <c r="R51" s="24"/>
      <c r="S51" s="47"/>
      <c r="U51" s="20"/>
      <c r="V51" s="11"/>
      <c r="W51" s="11"/>
      <c r="X51" s="11"/>
      <c r="Y51" s="21"/>
      <c r="AA51" s="5"/>
      <c r="AB51" s="3"/>
      <c r="AC51" s="3"/>
      <c r="AD51" s="3"/>
      <c r="AE51" s="3"/>
      <c r="AF51" s="6"/>
      <c r="AG51" s="63"/>
      <c r="AI51" s="20"/>
      <c r="AJ51" s="11"/>
      <c r="AK51" s="11"/>
      <c r="AL51" s="24"/>
      <c r="AN51" s="40"/>
      <c r="AP51" s="40"/>
      <c r="AQ51" s="47"/>
      <c r="AS51" s="91"/>
      <c r="AT51" s="92"/>
      <c r="AU51" s="93"/>
      <c r="AW51" s="15"/>
      <c r="AX51" s="16"/>
      <c r="AY51" s="64"/>
      <c r="AZ51" s="64"/>
      <c r="BA51" s="64"/>
      <c r="BB51" s="64"/>
      <c r="BC51" s="64"/>
      <c r="BD51" s="64"/>
      <c r="BE51" s="64"/>
      <c r="BF51" s="64"/>
      <c r="BG51" s="64"/>
      <c r="BH51" s="24"/>
      <c r="BJ51" s="49"/>
      <c r="BL51" s="56"/>
    </row>
    <row r="52" spans="2:64" x14ac:dyDescent="0.3">
      <c r="B52" s="20">
        <v>48</v>
      </c>
      <c r="C52" s="131"/>
      <c r="D52" s="11"/>
      <c r="E52" s="21"/>
      <c r="G52" s="15"/>
      <c r="H52" s="16"/>
      <c r="I52" s="16"/>
      <c r="J52" s="16"/>
      <c r="K52" s="16"/>
      <c r="L52" s="24"/>
      <c r="N52" s="20"/>
      <c r="O52" s="11"/>
      <c r="P52" s="11"/>
      <c r="Q52" s="16"/>
      <c r="R52" s="24"/>
      <c r="S52" s="47"/>
      <c r="U52" s="20"/>
      <c r="V52" s="11"/>
      <c r="W52" s="11"/>
      <c r="X52" s="11"/>
      <c r="Y52" s="21"/>
      <c r="AA52" s="5"/>
      <c r="AB52" s="3"/>
      <c r="AC52" s="3"/>
      <c r="AD52" s="3"/>
      <c r="AE52" s="3"/>
      <c r="AF52" s="6"/>
      <c r="AG52" s="63"/>
      <c r="AI52" s="20"/>
      <c r="AJ52" s="11"/>
      <c r="AK52" s="11"/>
      <c r="AL52" s="24"/>
      <c r="AN52" s="40"/>
      <c r="AP52" s="40"/>
      <c r="AQ52" s="47"/>
      <c r="AS52" s="91"/>
      <c r="AT52" s="92"/>
      <c r="AU52" s="93"/>
      <c r="AW52" s="15"/>
      <c r="AX52" s="16"/>
      <c r="AY52" s="64"/>
      <c r="AZ52" s="64"/>
      <c r="BA52" s="64"/>
      <c r="BB52" s="64"/>
      <c r="BC52" s="64"/>
      <c r="BD52" s="64"/>
      <c r="BE52" s="64"/>
      <c r="BF52" s="64"/>
      <c r="BG52" s="64"/>
      <c r="BH52" s="24"/>
      <c r="BJ52" s="49"/>
      <c r="BL52" s="56"/>
    </row>
    <row r="53" spans="2:64" x14ac:dyDescent="0.3">
      <c r="B53" s="20">
        <v>49</v>
      </c>
      <c r="C53" s="131" t="s">
        <v>12</v>
      </c>
      <c r="D53" s="11"/>
      <c r="E53" s="21"/>
      <c r="G53" s="15"/>
      <c r="H53" s="16"/>
      <c r="I53" s="16"/>
      <c r="J53" s="16"/>
      <c r="K53" s="16"/>
      <c r="L53" s="24"/>
      <c r="N53" s="20"/>
      <c r="O53" s="11"/>
      <c r="P53" s="11"/>
      <c r="Q53" s="16"/>
      <c r="R53" s="24"/>
      <c r="S53" s="47"/>
      <c r="U53" s="20"/>
      <c r="V53" s="11"/>
      <c r="W53" s="11"/>
      <c r="X53" s="11"/>
      <c r="Y53" s="21"/>
      <c r="AA53" s="5"/>
      <c r="AB53" s="3"/>
      <c r="AC53" s="3"/>
      <c r="AD53" s="3"/>
      <c r="AE53" s="3"/>
      <c r="AF53" s="6"/>
      <c r="AG53" s="63"/>
      <c r="AI53" s="20"/>
      <c r="AJ53" s="11"/>
      <c r="AK53" s="11"/>
      <c r="AL53" s="24"/>
      <c r="AN53" s="40"/>
      <c r="AP53" s="40"/>
      <c r="AQ53" s="47"/>
      <c r="AS53" s="91"/>
      <c r="AT53" s="92"/>
      <c r="AU53" s="93"/>
      <c r="AW53" s="15"/>
      <c r="AX53" s="16"/>
      <c r="AY53" s="64"/>
      <c r="AZ53" s="64"/>
      <c r="BA53" s="64"/>
      <c r="BB53" s="64"/>
      <c r="BC53" s="64"/>
      <c r="BD53" s="64"/>
      <c r="BE53" s="64"/>
      <c r="BF53" s="64"/>
      <c r="BG53" s="64"/>
      <c r="BH53" s="24"/>
      <c r="BJ53" s="49"/>
      <c r="BL53" s="56"/>
    </row>
    <row r="54" spans="2:64" x14ac:dyDescent="0.3">
      <c r="B54" s="20">
        <v>50</v>
      </c>
      <c r="C54" s="131"/>
      <c r="D54" s="11"/>
      <c r="E54" s="21"/>
      <c r="G54" s="15"/>
      <c r="H54" s="16"/>
      <c r="I54" s="16"/>
      <c r="J54" s="16"/>
      <c r="K54" s="16"/>
      <c r="L54" s="24"/>
      <c r="N54" s="20"/>
      <c r="O54" s="11"/>
      <c r="P54" s="11"/>
      <c r="Q54" s="16"/>
      <c r="R54" s="24"/>
      <c r="S54" s="47"/>
      <c r="U54" s="20"/>
      <c r="V54" s="11"/>
      <c r="W54" s="11"/>
      <c r="X54" s="11"/>
      <c r="Y54" s="21"/>
      <c r="AA54" s="5"/>
      <c r="AB54" s="3"/>
      <c r="AC54" s="3"/>
      <c r="AD54" s="3"/>
      <c r="AE54" s="3"/>
      <c r="AF54" s="6"/>
      <c r="AG54" s="63"/>
      <c r="AI54" s="20"/>
      <c r="AJ54" s="11"/>
      <c r="AK54" s="11"/>
      <c r="AL54" s="24"/>
      <c r="AN54" s="40"/>
      <c r="AP54" s="40"/>
      <c r="AQ54" s="47"/>
      <c r="AS54" s="91"/>
      <c r="AT54" s="92"/>
      <c r="AU54" s="93"/>
      <c r="AW54" s="15"/>
      <c r="AX54" s="16"/>
      <c r="AY54" s="64"/>
      <c r="AZ54" s="64"/>
      <c r="BA54" s="64"/>
      <c r="BB54" s="64"/>
      <c r="BC54" s="64"/>
      <c r="BD54" s="64"/>
      <c r="BE54" s="64"/>
      <c r="BF54" s="64"/>
      <c r="BG54" s="64"/>
      <c r="BH54" s="24"/>
      <c r="BJ54" s="49"/>
      <c r="BL54" s="56"/>
    </row>
    <row r="55" spans="2:64" x14ac:dyDescent="0.3">
      <c r="B55" s="20">
        <v>51</v>
      </c>
      <c r="C55" s="131"/>
      <c r="D55" s="11"/>
      <c r="E55" s="21"/>
      <c r="G55" s="15"/>
      <c r="H55" s="16"/>
      <c r="I55" s="16"/>
      <c r="J55" s="16"/>
      <c r="K55" s="16"/>
      <c r="L55" s="24"/>
      <c r="N55" s="20"/>
      <c r="O55" s="11"/>
      <c r="P55" s="11"/>
      <c r="Q55" s="16"/>
      <c r="R55" s="24"/>
      <c r="S55" s="47"/>
      <c r="U55" s="20"/>
      <c r="V55" s="11"/>
      <c r="W55" s="11"/>
      <c r="X55" s="11"/>
      <c r="Y55" s="21"/>
      <c r="AA55" s="5"/>
      <c r="AB55" s="3"/>
      <c r="AC55" s="3"/>
      <c r="AD55" s="3"/>
      <c r="AE55" s="3"/>
      <c r="AF55" s="6"/>
      <c r="AG55" s="63"/>
      <c r="AI55" s="20"/>
      <c r="AJ55" s="11"/>
      <c r="AK55" s="11"/>
      <c r="AL55" s="24"/>
      <c r="AN55" s="40"/>
      <c r="AP55" s="40"/>
      <c r="AQ55" s="47"/>
      <c r="AS55" s="91"/>
      <c r="AT55" s="92"/>
      <c r="AU55" s="93"/>
      <c r="AW55" s="15"/>
      <c r="AX55" s="16"/>
      <c r="AY55" s="64"/>
      <c r="AZ55" s="64"/>
      <c r="BA55" s="64"/>
      <c r="BB55" s="64"/>
      <c r="BC55" s="64"/>
      <c r="BD55" s="64"/>
      <c r="BE55" s="64"/>
      <c r="BF55" s="64"/>
      <c r="BG55" s="64"/>
      <c r="BH55" s="24"/>
      <c r="BJ55" s="49"/>
      <c r="BL55" s="56"/>
    </row>
    <row r="56" spans="2:64" ht="14.5" thickBot="1" x14ac:dyDescent="0.35">
      <c r="B56" s="22">
        <v>52</v>
      </c>
      <c r="C56" s="132"/>
      <c r="D56" s="12"/>
      <c r="E56" s="23"/>
      <c r="G56" s="18"/>
      <c r="H56" s="25"/>
      <c r="I56" s="25"/>
      <c r="J56" s="25"/>
      <c r="K56" s="25"/>
      <c r="L56" s="26"/>
      <c r="N56" s="22"/>
      <c r="O56" s="12"/>
      <c r="P56" s="12"/>
      <c r="Q56" s="25"/>
      <c r="R56" s="26"/>
      <c r="S56" s="47"/>
      <c r="U56" s="22"/>
      <c r="V56" s="12"/>
      <c r="W56" s="12"/>
      <c r="X56" s="12"/>
      <c r="Y56" s="23"/>
      <c r="AA56" s="9"/>
      <c r="AB56" s="4"/>
      <c r="AC56" s="4"/>
      <c r="AD56" s="4"/>
      <c r="AE56" s="4"/>
      <c r="AF56" s="7"/>
      <c r="AG56" s="63"/>
      <c r="AI56" s="22"/>
      <c r="AJ56" s="12"/>
      <c r="AK56" s="12"/>
      <c r="AL56" s="26"/>
      <c r="AN56" s="41"/>
      <c r="AP56" s="41"/>
      <c r="AQ56" s="47"/>
      <c r="AS56" s="94"/>
      <c r="AT56" s="95"/>
      <c r="AU56" s="96"/>
      <c r="AW56" s="18"/>
      <c r="AX56" s="25"/>
      <c r="AY56" s="66"/>
      <c r="AZ56" s="66"/>
      <c r="BA56" s="66"/>
      <c r="BB56" s="66"/>
      <c r="BC56" s="66"/>
      <c r="BD56" s="66"/>
      <c r="BE56" s="66"/>
      <c r="BF56" s="66"/>
      <c r="BG56" s="66"/>
      <c r="BH56" s="26"/>
      <c r="BJ56" s="54"/>
      <c r="BL56" s="57"/>
    </row>
  </sheetData>
  <mergeCells count="70">
    <mergeCell ref="C53:C56"/>
    <mergeCell ref="C5:C9"/>
    <mergeCell ref="C10:C13"/>
    <mergeCell ref="C14:C18"/>
    <mergeCell ref="C19:C22"/>
    <mergeCell ref="C23:C26"/>
    <mergeCell ref="C27:C31"/>
    <mergeCell ref="C32:C35"/>
    <mergeCell ref="C36:C39"/>
    <mergeCell ref="C40:C44"/>
    <mergeCell ref="C45:C48"/>
    <mergeCell ref="C49:C52"/>
    <mergeCell ref="G2:L2"/>
    <mergeCell ref="D3:D4"/>
    <mergeCell ref="C3:C4"/>
    <mergeCell ref="B3:B4"/>
    <mergeCell ref="E3:E4"/>
    <mergeCell ref="B2:E2"/>
    <mergeCell ref="G3:G4"/>
    <mergeCell ref="H3:H4"/>
    <mergeCell ref="I3:I4"/>
    <mergeCell ref="J3:J4"/>
    <mergeCell ref="K3:K4"/>
    <mergeCell ref="L3:L4"/>
    <mergeCell ref="Y3:Y4"/>
    <mergeCell ref="U2:Y2"/>
    <mergeCell ref="N3:N4"/>
    <mergeCell ref="O3:O4"/>
    <mergeCell ref="P3:P4"/>
    <mergeCell ref="Q3:Q4"/>
    <mergeCell ref="R3:R4"/>
    <mergeCell ref="N2:R2"/>
    <mergeCell ref="U3:U4"/>
    <mergeCell ref="V3:V4"/>
    <mergeCell ref="W3:W4"/>
    <mergeCell ref="X3:X4"/>
    <mergeCell ref="AA2:AF2"/>
    <mergeCell ref="AI3:AI4"/>
    <mergeCell ref="AJ3:AJ4"/>
    <mergeCell ref="AK3:AK4"/>
    <mergeCell ref="AL3:AL4"/>
    <mergeCell ref="AI2:AL2"/>
    <mergeCell ref="AA3:AA4"/>
    <mergeCell ref="AB3:AB4"/>
    <mergeCell ref="AC3:AC4"/>
    <mergeCell ref="AD3:AD4"/>
    <mergeCell ref="AE3:AE4"/>
    <mergeCell ref="AF3:AF4"/>
    <mergeCell ref="AW2:BD2"/>
    <mergeCell ref="BF2:BH2"/>
    <mergeCell ref="AN3:AN4"/>
    <mergeCell ref="AP3:AP4"/>
    <mergeCell ref="AS3:AS4"/>
    <mergeCell ref="AT3:AT4"/>
    <mergeCell ref="AU3:AU4"/>
    <mergeCell ref="AS2:AU2"/>
    <mergeCell ref="AS8:AU56"/>
    <mergeCell ref="AW3:AW4"/>
    <mergeCell ref="AX3:AX4"/>
    <mergeCell ref="BH3:BH4"/>
    <mergeCell ref="BG3:BG4"/>
    <mergeCell ref="BJ3:BJ4"/>
    <mergeCell ref="BL3:BL4"/>
    <mergeCell ref="AY3:AY4"/>
    <mergeCell ref="AZ3:AZ4"/>
    <mergeCell ref="BA3:BA4"/>
    <mergeCell ref="BB3:BB4"/>
    <mergeCell ref="BC3:BC4"/>
    <mergeCell ref="BD3:BD4"/>
    <mergeCell ref="BF3:BF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BC19EEA7BEA643B48870DE151668CF" ma:contentTypeVersion="9" ma:contentTypeDescription="Create a new document." ma:contentTypeScope="" ma:versionID="ee5488b7e9ec987e53a33d1c27811ef4">
  <xsd:schema xmlns:xsd="http://www.w3.org/2001/XMLSchema" xmlns:xs="http://www.w3.org/2001/XMLSchema" xmlns:p="http://schemas.microsoft.com/office/2006/metadata/properties" xmlns:ns2="cca70cec-037e-4d6b-b364-e13b3d220459" targetNamespace="http://schemas.microsoft.com/office/2006/metadata/properties" ma:root="true" ma:fieldsID="c403b980ef359aed4af62331e4f214fa" ns2:_="">
    <xsd:import namespace="cca70cec-037e-4d6b-b364-e13b3d2204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a70cec-037e-4d6b-b364-e13b3d2204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6fc9167-13b6-4b8b-8581-53d9a82f86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a70cec-037e-4d6b-b364-e13b3d2204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520BDD-E805-4D4A-9665-D63DDD689D0C}"/>
</file>

<file path=customXml/itemProps2.xml><?xml version="1.0" encoding="utf-8"?>
<ds:datastoreItem xmlns:ds="http://schemas.openxmlformats.org/officeDocument/2006/customXml" ds:itemID="{17F5CB51-92DF-49E9-A8A1-C4D9C5F216B2}"/>
</file>

<file path=customXml/itemProps3.xml><?xml version="1.0" encoding="utf-8"?>
<ds:datastoreItem xmlns:ds="http://schemas.openxmlformats.org/officeDocument/2006/customXml" ds:itemID="{D6F66A21-16E7-46B3-8ECF-D2AEAF5CFC45}"/>
</file>

<file path=docMetadata/LabelInfo.xml><?xml version="1.0" encoding="utf-8"?>
<clbl:labelList xmlns:clbl="http://schemas.microsoft.com/office/2020/mipLabelMetadata">
  <clbl:label id="{a7f2ec83-e677-438d-afb7-4c7c0dbc872b}" enabled="1" method="Standard" siteId="{3bc062e4-ac9d-4c17-b4dd-3aad637ff1a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R0 Formula</vt:lpstr>
      <vt:lpstr>Outdoor R0 Calc_Dhaka_Month</vt:lpstr>
      <vt:lpstr>Outdoor R0 Calc_Dhaka_Week</vt:lpstr>
    </vt:vector>
  </TitlesOfParts>
  <Company>Rabarber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Upadhyayula Venkata Krishna Kumar</dc:creator>
  <cp:lastModifiedBy>Upadhyayula Venkata Krishna Kumar</cp:lastModifiedBy>
  <dcterms:created xsi:type="dcterms:W3CDTF">2008-11-06T20:09:30Z</dcterms:created>
  <dcterms:modified xsi:type="dcterms:W3CDTF">2026-02-13T13:15:29Z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f2ec83-e677-438d-afb7-4c7c0dbc872b_Enabled">
    <vt:lpwstr>true</vt:lpwstr>
  </property>
  <property fmtid="{D5CDD505-2E9C-101B-9397-08002B2CF9AE}" pid="3" name="MSIP_Label_a7f2ec83-e677-438d-afb7-4c7c0dbc872b_SetDate">
    <vt:lpwstr>2024-04-23T11:54:03Z</vt:lpwstr>
  </property>
  <property fmtid="{D5CDD505-2E9C-101B-9397-08002B2CF9AE}" pid="4" name="MSIP_Label_a7f2ec83-e677-438d-afb7-4c7c0dbc872b_Method">
    <vt:lpwstr>Standard</vt:lpwstr>
  </property>
  <property fmtid="{D5CDD505-2E9C-101B-9397-08002B2CF9AE}" pid="5" name="MSIP_Label_a7f2ec83-e677-438d-afb7-4c7c0dbc872b_Name">
    <vt:lpwstr>a7f2ec83-e677-438d-afb7-4c7c0dbc872b</vt:lpwstr>
  </property>
  <property fmtid="{D5CDD505-2E9C-101B-9397-08002B2CF9AE}" pid="6" name="MSIP_Label_a7f2ec83-e677-438d-afb7-4c7c0dbc872b_SiteId">
    <vt:lpwstr>3bc062e4-ac9d-4c17-b4dd-3aad637ff1ac</vt:lpwstr>
  </property>
  <property fmtid="{D5CDD505-2E9C-101B-9397-08002B2CF9AE}" pid="7" name="MSIP_Label_a7f2ec83-e677-438d-afb7-4c7c0dbc872b_ActionId">
    <vt:lpwstr>d1e72b19-ac24-4bd6-8334-50ea259b67c0</vt:lpwstr>
  </property>
  <property fmtid="{D5CDD505-2E9C-101B-9397-08002B2CF9AE}" pid="8" name="MSIP_Label_a7f2ec83-e677-438d-afb7-4c7c0dbc872b_ContentBits">
    <vt:lpwstr>0</vt:lpwstr>
  </property>
  <property fmtid="{D5CDD505-2E9C-101B-9397-08002B2CF9AE}" pid="9" name="ContentTypeId">
    <vt:lpwstr>0x010100F9BC19EEA7BEA643B48870DE151668CF</vt:lpwstr>
  </property>
</Properties>
</file>