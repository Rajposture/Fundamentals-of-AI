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VUP3WO\Desktop\Nature Sustainability Paper Documents\"/>
    </mc:Choice>
  </mc:AlternateContent>
  <xr:revisionPtr revIDLastSave="0" documentId="8_{B9B13579-EDA4-4CA7-BACF-D6F42BF7FFC3}" xr6:coauthVersionLast="47" xr6:coauthVersionMax="47" xr10:uidLastSave="{00000000-0000-0000-0000-000000000000}"/>
  <bookViews>
    <workbookView xWindow="-110" yWindow="-110" windowWidth="19420" windowHeight="10300" tabRatio="816" xr2:uid="{F56B5A2E-FE10-450A-8B51-96FBE5947BAA}"/>
  </bookViews>
  <sheets>
    <sheet name="Hourly Solar Gains" sheetId="8" r:id="rId1"/>
    <sheet name="India Dengue Season ugr&amp; uso_" sheetId="35" r:id="rId2"/>
    <sheet name="India Dengue Season igr" sheetId="34" r:id="rId3"/>
    <sheet name="All Season Dengue Endemic_IN" sheetId="17" r:id="rId4"/>
    <sheet name="All Season Dengue Endemic_TH" sheetId="25" r:id="rId5"/>
    <sheet name="All Season Dengue Endemic_IK" sheetId="27" r:id="rId6"/>
    <sheet name="All Season Dengue Endemic_BD" sheetId="29" r:id="rId7"/>
    <sheet name="All Season Dengue Endemic_VN" sheetId="30" r:id="rId8"/>
    <sheet name="All Season Dengue Endemic_PH" sheetId="31" r:id="rId9"/>
    <sheet name="All Season Dengue Endemic_ID" sheetId="32" r:id="rId10"/>
    <sheet name="All Season Dengue Endemic_MM" sheetId="3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3" i="34" l="1"/>
  <c r="AL55" i="35"/>
  <c r="AR13" i="35"/>
  <c r="AS6" i="35" s="1"/>
  <c r="AL104" i="27"/>
  <c r="AL54" i="27"/>
  <c r="AK104" i="31"/>
  <c r="AL53" i="31"/>
  <c r="AL103" i="32"/>
  <c r="AL59" i="32"/>
  <c r="AL102" i="33"/>
  <c r="AL51" i="33"/>
  <c r="AI102" i="33"/>
  <c r="AI60" i="33"/>
  <c r="AI46" i="33"/>
  <c r="F359" i="33"/>
  <c r="F358" i="33"/>
  <c r="F357" i="33"/>
  <c r="F356" i="33"/>
  <c r="F355" i="33"/>
  <c r="F354" i="33"/>
  <c r="F353" i="33"/>
  <c r="AR9" i="33"/>
  <c r="AR8" i="33"/>
  <c r="AR7" i="33"/>
  <c r="AQ10" i="33"/>
  <c r="AI102" i="32"/>
  <c r="AI60" i="32"/>
  <c r="AQ9" i="32"/>
  <c r="AQ8" i="32"/>
  <c r="AQ7" i="32"/>
  <c r="AP10" i="32"/>
  <c r="F359" i="32"/>
  <c r="F358" i="32"/>
  <c r="F357" i="32"/>
  <c r="F356" i="32"/>
  <c r="F355" i="32"/>
  <c r="F354" i="32"/>
  <c r="F353" i="32"/>
  <c r="L361" i="31"/>
  <c r="F361" i="31"/>
  <c r="F360" i="31"/>
  <c r="F359" i="31"/>
  <c r="F358" i="31"/>
  <c r="F357" i="31"/>
  <c r="F356" i="31"/>
  <c r="F355" i="31"/>
  <c r="F361" i="30"/>
  <c r="F360" i="30"/>
  <c r="F359" i="30"/>
  <c r="F358" i="30"/>
  <c r="F357" i="30"/>
  <c r="F356" i="30"/>
  <c r="F355" i="30"/>
  <c r="AD17" i="29"/>
  <c r="AE17" i="29"/>
  <c r="F361" i="29"/>
  <c r="F360" i="29"/>
  <c r="F359" i="29"/>
  <c r="F358" i="29"/>
  <c r="F357" i="29"/>
  <c r="F356" i="29"/>
  <c r="F355" i="29"/>
  <c r="F361" i="27"/>
  <c r="F360" i="27"/>
  <c r="F358" i="27"/>
  <c r="F359" i="27"/>
  <c r="F357" i="27"/>
  <c r="F356" i="27"/>
  <c r="F355" i="27"/>
  <c r="F355" i="17"/>
  <c r="AH61" i="17"/>
  <c r="AH46" i="17"/>
  <c r="R122" i="17"/>
  <c r="S200" i="35"/>
  <c r="S155" i="34"/>
  <c r="AP10" i="31"/>
  <c r="AQ10" i="30"/>
  <c r="AP10" i="29"/>
  <c r="AO9" i="27"/>
  <c r="AO9" i="25"/>
  <c r="AS12" i="35" l="1"/>
  <c r="AS11" i="35"/>
  <c r="AS10" i="35"/>
  <c r="AS9" i="35"/>
  <c r="AS8" i="35"/>
  <c r="AS7" i="35"/>
  <c r="AM8" i="17"/>
  <c r="AN5" i="17" s="1"/>
  <c r="Q137" i="34"/>
  <c r="AD137" i="34" s="1"/>
  <c r="Q130" i="34"/>
  <c r="V130" i="34" s="1"/>
  <c r="Q123" i="34"/>
  <c r="AD123" i="34" s="1"/>
  <c r="Q116" i="34"/>
  <c r="AD116" i="34" s="1"/>
  <c r="Q85" i="34"/>
  <c r="AD85" i="34" s="1"/>
  <c r="Q78" i="34"/>
  <c r="AD78" i="34" s="1"/>
  <c r="Q71" i="34"/>
  <c r="AD71" i="34" s="1"/>
  <c r="Q64" i="34"/>
  <c r="Z64" i="34" s="1"/>
  <c r="Q12" i="34"/>
  <c r="AD12" i="34" s="1"/>
  <c r="Q19" i="34"/>
  <c r="AD19" i="34" s="1"/>
  <c r="Q26" i="34"/>
  <c r="Z26" i="34" s="1"/>
  <c r="Q33" i="34"/>
  <c r="AD33" i="34" s="1"/>
  <c r="R534" i="34"/>
  <c r="N534" i="34"/>
  <c r="O534" i="34" s="1"/>
  <c r="Q534" i="34" s="1"/>
  <c r="R533" i="34"/>
  <c r="N533" i="34"/>
  <c r="O533" i="34" s="1"/>
  <c r="Q533" i="34" s="1"/>
  <c r="R532" i="34"/>
  <c r="N532" i="34"/>
  <c r="O532" i="34" s="1"/>
  <c r="Q532" i="34" s="1"/>
  <c r="R531" i="34"/>
  <c r="N531" i="34"/>
  <c r="O531" i="34" s="1"/>
  <c r="Q531" i="34" s="1"/>
  <c r="S531" i="34" s="1"/>
  <c r="R530" i="34"/>
  <c r="N530" i="34"/>
  <c r="O530" i="34" s="1"/>
  <c r="Q530" i="34" s="1"/>
  <c r="R529" i="34"/>
  <c r="N529" i="34"/>
  <c r="O529" i="34" s="1"/>
  <c r="Q529" i="34" s="1"/>
  <c r="R541" i="34"/>
  <c r="N541" i="34"/>
  <c r="O541" i="34" s="1"/>
  <c r="Q541" i="34" s="1"/>
  <c r="R540" i="34"/>
  <c r="N540" i="34"/>
  <c r="O540" i="34" s="1"/>
  <c r="Q540" i="34" s="1"/>
  <c r="R539" i="34"/>
  <c r="N539" i="34"/>
  <c r="O539" i="34" s="1"/>
  <c r="Q539" i="34" s="1"/>
  <c r="R538" i="34"/>
  <c r="N538" i="34"/>
  <c r="O538" i="34" s="1"/>
  <c r="Q538" i="34" s="1"/>
  <c r="R537" i="34"/>
  <c r="N537" i="34"/>
  <c r="O537" i="34" s="1"/>
  <c r="Q537" i="34" s="1"/>
  <c r="R536" i="34"/>
  <c r="N536" i="34"/>
  <c r="O536" i="34" s="1"/>
  <c r="Q536" i="34" s="1"/>
  <c r="R548" i="34"/>
  <c r="N548" i="34"/>
  <c r="O548" i="34" s="1"/>
  <c r="Q548" i="34" s="1"/>
  <c r="R547" i="34"/>
  <c r="N547" i="34"/>
  <c r="O547" i="34" s="1"/>
  <c r="Q547" i="34" s="1"/>
  <c r="R546" i="34"/>
  <c r="N546" i="34"/>
  <c r="O546" i="34" s="1"/>
  <c r="Q546" i="34" s="1"/>
  <c r="R545" i="34"/>
  <c r="N545" i="34"/>
  <c r="O545" i="34" s="1"/>
  <c r="Q545" i="34" s="1"/>
  <c r="R544" i="34"/>
  <c r="N544" i="34"/>
  <c r="O544" i="34" s="1"/>
  <c r="Q544" i="34" s="1"/>
  <c r="R543" i="34"/>
  <c r="N543" i="34"/>
  <c r="O543" i="34" s="1"/>
  <c r="Q543" i="34" s="1"/>
  <c r="R555" i="34"/>
  <c r="N555" i="34"/>
  <c r="O555" i="34" s="1"/>
  <c r="Q555" i="34" s="1"/>
  <c r="R554" i="34"/>
  <c r="N554" i="34"/>
  <c r="O554" i="34" s="1"/>
  <c r="Q554" i="34" s="1"/>
  <c r="R553" i="34"/>
  <c r="N553" i="34"/>
  <c r="O553" i="34" s="1"/>
  <c r="Q553" i="34" s="1"/>
  <c r="R552" i="34"/>
  <c r="N552" i="34"/>
  <c r="O552" i="34" s="1"/>
  <c r="Q552" i="34" s="1"/>
  <c r="R551" i="34"/>
  <c r="N551" i="34"/>
  <c r="O551" i="34" s="1"/>
  <c r="Q551" i="34" s="1"/>
  <c r="R550" i="34"/>
  <c r="N550" i="34"/>
  <c r="O550" i="34" s="1"/>
  <c r="Q550" i="34" s="1"/>
  <c r="S462" i="34"/>
  <c r="N462" i="34"/>
  <c r="S461" i="34"/>
  <c r="N461" i="34"/>
  <c r="S460" i="34"/>
  <c r="N460" i="34"/>
  <c r="S459" i="34"/>
  <c r="N459" i="34"/>
  <c r="S458" i="34"/>
  <c r="N458" i="34"/>
  <c r="S457" i="34"/>
  <c r="N457" i="34"/>
  <c r="S469" i="34"/>
  <c r="N469" i="34"/>
  <c r="S468" i="34"/>
  <c r="N468" i="34"/>
  <c r="S467" i="34"/>
  <c r="N467" i="34"/>
  <c r="S466" i="34"/>
  <c r="N466" i="34"/>
  <c r="S465" i="34"/>
  <c r="N465" i="34"/>
  <c r="S464" i="34"/>
  <c r="N464" i="34"/>
  <c r="S476" i="34"/>
  <c r="N476" i="34"/>
  <c r="S475" i="34"/>
  <c r="N475" i="34"/>
  <c r="S474" i="34"/>
  <c r="N474" i="34"/>
  <c r="S473" i="34"/>
  <c r="N473" i="34"/>
  <c r="S472" i="34"/>
  <c r="N472" i="34"/>
  <c r="S471" i="34"/>
  <c r="N471" i="34"/>
  <c r="S483" i="34"/>
  <c r="N483" i="34"/>
  <c r="S482" i="34"/>
  <c r="N482" i="34"/>
  <c r="S481" i="34"/>
  <c r="N481" i="34"/>
  <c r="S480" i="34"/>
  <c r="N480" i="34"/>
  <c r="S479" i="34"/>
  <c r="N479" i="34"/>
  <c r="S478" i="34"/>
  <c r="N478" i="34"/>
  <c r="J462" i="34"/>
  <c r="K462" i="34" s="1"/>
  <c r="O462" i="34" s="1"/>
  <c r="J461" i="34"/>
  <c r="K461" i="34" s="1"/>
  <c r="O461" i="34" s="1"/>
  <c r="J460" i="34"/>
  <c r="K460" i="34" s="1"/>
  <c r="O460" i="34" s="1"/>
  <c r="J459" i="34"/>
  <c r="K459" i="34" s="1"/>
  <c r="O459" i="34" s="1"/>
  <c r="J458" i="34"/>
  <c r="K458" i="34" s="1"/>
  <c r="O458" i="34" s="1"/>
  <c r="J457" i="34"/>
  <c r="K457" i="34" s="1"/>
  <c r="O457" i="34" s="1"/>
  <c r="J469" i="34"/>
  <c r="K469" i="34" s="1"/>
  <c r="O469" i="34" s="1"/>
  <c r="J468" i="34"/>
  <c r="K468" i="34" s="1"/>
  <c r="O468" i="34" s="1"/>
  <c r="J467" i="34"/>
  <c r="K467" i="34" s="1"/>
  <c r="O467" i="34" s="1"/>
  <c r="J466" i="34"/>
  <c r="K466" i="34" s="1"/>
  <c r="O466" i="34" s="1"/>
  <c r="J465" i="34"/>
  <c r="K465" i="34" s="1"/>
  <c r="O465" i="34" s="1"/>
  <c r="J464" i="34"/>
  <c r="K464" i="34" s="1"/>
  <c r="O464" i="34" s="1"/>
  <c r="J476" i="34"/>
  <c r="K476" i="34" s="1"/>
  <c r="O476" i="34" s="1"/>
  <c r="J475" i="34"/>
  <c r="K475" i="34" s="1"/>
  <c r="O475" i="34" s="1"/>
  <c r="J474" i="34"/>
  <c r="K474" i="34" s="1"/>
  <c r="O474" i="34" s="1"/>
  <c r="J473" i="34"/>
  <c r="K473" i="34" s="1"/>
  <c r="O473" i="34" s="1"/>
  <c r="J472" i="34"/>
  <c r="K472" i="34" s="1"/>
  <c r="O472" i="34" s="1"/>
  <c r="J471" i="34"/>
  <c r="K471" i="34" s="1"/>
  <c r="O471" i="34" s="1"/>
  <c r="J483" i="34"/>
  <c r="K483" i="34" s="1"/>
  <c r="O483" i="34" s="1"/>
  <c r="J482" i="34"/>
  <c r="K482" i="34" s="1"/>
  <c r="O482" i="34" s="1"/>
  <c r="J481" i="34"/>
  <c r="K481" i="34" s="1"/>
  <c r="O481" i="34" s="1"/>
  <c r="J480" i="34"/>
  <c r="K480" i="34" s="1"/>
  <c r="O480" i="34" s="1"/>
  <c r="J479" i="34"/>
  <c r="K479" i="34" s="1"/>
  <c r="O479" i="34" s="1"/>
  <c r="J478" i="34"/>
  <c r="K478" i="34" s="1"/>
  <c r="O478" i="34" s="1"/>
  <c r="R393" i="34"/>
  <c r="N393" i="34"/>
  <c r="O393" i="34" s="1"/>
  <c r="Q393" i="34" s="1"/>
  <c r="R392" i="34"/>
  <c r="N392" i="34"/>
  <c r="O392" i="34" s="1"/>
  <c r="Q392" i="34" s="1"/>
  <c r="R391" i="34"/>
  <c r="N391" i="34"/>
  <c r="O391" i="34" s="1"/>
  <c r="Q391" i="34" s="1"/>
  <c r="R390" i="34"/>
  <c r="N390" i="34"/>
  <c r="O390" i="34" s="1"/>
  <c r="Q390" i="34" s="1"/>
  <c r="R389" i="34"/>
  <c r="N389" i="34"/>
  <c r="O389" i="34" s="1"/>
  <c r="Q389" i="34" s="1"/>
  <c r="R388" i="34"/>
  <c r="N388" i="34"/>
  <c r="O388" i="34" s="1"/>
  <c r="Q388" i="34" s="1"/>
  <c r="R400" i="34"/>
  <c r="N400" i="34"/>
  <c r="O400" i="34" s="1"/>
  <c r="Q400" i="34" s="1"/>
  <c r="R399" i="34"/>
  <c r="N399" i="34"/>
  <c r="O399" i="34" s="1"/>
  <c r="Q399" i="34" s="1"/>
  <c r="R398" i="34"/>
  <c r="N398" i="34"/>
  <c r="O398" i="34" s="1"/>
  <c r="Q398" i="34" s="1"/>
  <c r="R397" i="34"/>
  <c r="N397" i="34"/>
  <c r="O397" i="34" s="1"/>
  <c r="Q397" i="34" s="1"/>
  <c r="R396" i="34"/>
  <c r="N396" i="34"/>
  <c r="O396" i="34" s="1"/>
  <c r="Q396" i="34" s="1"/>
  <c r="R395" i="34"/>
  <c r="N395" i="34"/>
  <c r="O395" i="34" s="1"/>
  <c r="Q395" i="34" s="1"/>
  <c r="R407" i="34"/>
  <c r="N407" i="34"/>
  <c r="O407" i="34" s="1"/>
  <c r="Q407" i="34" s="1"/>
  <c r="R406" i="34"/>
  <c r="N406" i="34"/>
  <c r="O406" i="34" s="1"/>
  <c r="Q406" i="34" s="1"/>
  <c r="R405" i="34"/>
  <c r="N405" i="34"/>
  <c r="O405" i="34" s="1"/>
  <c r="Q405" i="34" s="1"/>
  <c r="R404" i="34"/>
  <c r="N404" i="34"/>
  <c r="O404" i="34" s="1"/>
  <c r="Q404" i="34" s="1"/>
  <c r="R403" i="34"/>
  <c r="N403" i="34"/>
  <c r="O403" i="34" s="1"/>
  <c r="Q403" i="34" s="1"/>
  <c r="R402" i="34"/>
  <c r="N402" i="34"/>
  <c r="O402" i="34" s="1"/>
  <c r="Q402" i="34" s="1"/>
  <c r="R414" i="34"/>
  <c r="N414" i="34"/>
  <c r="O414" i="34" s="1"/>
  <c r="Q414" i="34" s="1"/>
  <c r="R413" i="34"/>
  <c r="N413" i="34"/>
  <c r="O413" i="34" s="1"/>
  <c r="Q413" i="34" s="1"/>
  <c r="R412" i="34"/>
  <c r="N412" i="34"/>
  <c r="O412" i="34" s="1"/>
  <c r="Q412" i="34" s="1"/>
  <c r="R411" i="34"/>
  <c r="N411" i="34"/>
  <c r="O411" i="34" s="1"/>
  <c r="Q411" i="34" s="1"/>
  <c r="R410" i="34"/>
  <c r="N410" i="34"/>
  <c r="O410" i="34" s="1"/>
  <c r="Q410" i="34" s="1"/>
  <c r="R409" i="34"/>
  <c r="N409" i="34"/>
  <c r="O409" i="34" s="1"/>
  <c r="Q409" i="34" s="1"/>
  <c r="S335" i="34"/>
  <c r="N335" i="34"/>
  <c r="S334" i="34"/>
  <c r="N334" i="34"/>
  <c r="S333" i="34"/>
  <c r="N333" i="34"/>
  <c r="S332" i="34"/>
  <c r="N332" i="34"/>
  <c r="S331" i="34"/>
  <c r="N331" i="34"/>
  <c r="S330" i="34"/>
  <c r="N330" i="34"/>
  <c r="S328" i="34"/>
  <c r="N328" i="34"/>
  <c r="S327" i="34"/>
  <c r="N327" i="34"/>
  <c r="S326" i="34"/>
  <c r="N326" i="34"/>
  <c r="S325" i="34"/>
  <c r="N325" i="34"/>
  <c r="S324" i="34"/>
  <c r="N324" i="34"/>
  <c r="S323" i="34"/>
  <c r="N323" i="34"/>
  <c r="S342" i="34"/>
  <c r="N342" i="34"/>
  <c r="S341" i="34"/>
  <c r="N341" i="34"/>
  <c r="S340" i="34"/>
  <c r="N340" i="34"/>
  <c r="S339" i="34"/>
  <c r="N339" i="34"/>
  <c r="S338" i="34"/>
  <c r="N338" i="34"/>
  <c r="S337" i="34"/>
  <c r="N337" i="34"/>
  <c r="S349" i="34"/>
  <c r="N349" i="34"/>
  <c r="S348" i="34"/>
  <c r="N348" i="34"/>
  <c r="S347" i="34"/>
  <c r="N347" i="34"/>
  <c r="S346" i="34"/>
  <c r="N346" i="34"/>
  <c r="S345" i="34"/>
  <c r="N345" i="34"/>
  <c r="S344" i="34"/>
  <c r="N344" i="34"/>
  <c r="J328" i="34"/>
  <c r="K328" i="34" s="1"/>
  <c r="O328" i="34" s="1"/>
  <c r="J327" i="34"/>
  <c r="K327" i="34" s="1"/>
  <c r="O327" i="34" s="1"/>
  <c r="J326" i="34"/>
  <c r="K326" i="34" s="1"/>
  <c r="O326" i="34" s="1"/>
  <c r="J325" i="34"/>
  <c r="K325" i="34" s="1"/>
  <c r="O325" i="34" s="1"/>
  <c r="J324" i="34"/>
  <c r="K324" i="34" s="1"/>
  <c r="O324" i="34" s="1"/>
  <c r="J323" i="34"/>
  <c r="K323" i="34" s="1"/>
  <c r="O323" i="34" s="1"/>
  <c r="J335" i="34"/>
  <c r="K335" i="34" s="1"/>
  <c r="O335" i="34" s="1"/>
  <c r="J334" i="34"/>
  <c r="K334" i="34" s="1"/>
  <c r="O334" i="34" s="1"/>
  <c r="J333" i="34"/>
  <c r="K333" i="34" s="1"/>
  <c r="O333" i="34" s="1"/>
  <c r="J332" i="34"/>
  <c r="K332" i="34" s="1"/>
  <c r="O332" i="34" s="1"/>
  <c r="J331" i="34"/>
  <c r="K331" i="34" s="1"/>
  <c r="O331" i="34" s="1"/>
  <c r="J330" i="34"/>
  <c r="K330" i="34" s="1"/>
  <c r="O330" i="34" s="1"/>
  <c r="J342" i="34"/>
  <c r="K342" i="34" s="1"/>
  <c r="O342" i="34" s="1"/>
  <c r="J341" i="34"/>
  <c r="K341" i="34" s="1"/>
  <c r="O341" i="34" s="1"/>
  <c r="J340" i="34"/>
  <c r="K340" i="34" s="1"/>
  <c r="O340" i="34" s="1"/>
  <c r="J339" i="34"/>
  <c r="K339" i="34" s="1"/>
  <c r="O339" i="34" s="1"/>
  <c r="J338" i="34"/>
  <c r="K338" i="34" s="1"/>
  <c r="O338" i="34" s="1"/>
  <c r="J337" i="34"/>
  <c r="K337" i="34" s="1"/>
  <c r="O337" i="34" s="1"/>
  <c r="J349" i="34"/>
  <c r="K349" i="34" s="1"/>
  <c r="O349" i="34" s="1"/>
  <c r="J348" i="34"/>
  <c r="K348" i="34" s="1"/>
  <c r="O348" i="34" s="1"/>
  <c r="J347" i="34"/>
  <c r="K347" i="34" s="1"/>
  <c r="O347" i="34" s="1"/>
  <c r="J346" i="34"/>
  <c r="K346" i="34" s="1"/>
  <c r="O346" i="34" s="1"/>
  <c r="J345" i="34"/>
  <c r="K345" i="34" s="1"/>
  <c r="O345" i="34" s="1"/>
  <c r="J344" i="34"/>
  <c r="K344" i="34" s="1"/>
  <c r="O344" i="34" s="1"/>
  <c r="V116" i="34"/>
  <c r="S116" i="34"/>
  <c r="R116" i="34"/>
  <c r="S123" i="34"/>
  <c r="R123" i="34"/>
  <c r="S130" i="34"/>
  <c r="R130" i="34"/>
  <c r="S137" i="34"/>
  <c r="R137" i="34"/>
  <c r="S64" i="34"/>
  <c r="R64" i="34"/>
  <c r="S71" i="34"/>
  <c r="R71" i="34"/>
  <c r="S78" i="34"/>
  <c r="R78" i="34"/>
  <c r="S85" i="34"/>
  <c r="R85" i="34"/>
  <c r="S12" i="34"/>
  <c r="R12" i="34"/>
  <c r="S19" i="34"/>
  <c r="R19" i="34"/>
  <c r="S26" i="34"/>
  <c r="R26" i="34"/>
  <c r="S33" i="34"/>
  <c r="R33" i="34"/>
  <c r="R237" i="34"/>
  <c r="N237" i="34"/>
  <c r="O237" i="34" s="1"/>
  <c r="Q237" i="34" s="1"/>
  <c r="R236" i="34"/>
  <c r="N236" i="34"/>
  <c r="O236" i="34" s="1"/>
  <c r="Q236" i="34" s="1"/>
  <c r="R235" i="34"/>
  <c r="N235" i="34"/>
  <c r="O235" i="34" s="1"/>
  <c r="Q235" i="34" s="1"/>
  <c r="R234" i="34"/>
  <c r="N234" i="34"/>
  <c r="O234" i="34" s="1"/>
  <c r="Q234" i="34" s="1"/>
  <c r="R233" i="34"/>
  <c r="N233" i="34"/>
  <c r="O233" i="34" s="1"/>
  <c r="Q233" i="34" s="1"/>
  <c r="R232" i="34"/>
  <c r="N232" i="34"/>
  <c r="O232" i="34" s="1"/>
  <c r="Q232" i="34" s="1"/>
  <c r="R244" i="34"/>
  <c r="N244" i="34"/>
  <c r="O244" i="34" s="1"/>
  <c r="Q244" i="34" s="1"/>
  <c r="R243" i="34"/>
  <c r="N243" i="34"/>
  <c r="O243" i="34" s="1"/>
  <c r="Q243" i="34" s="1"/>
  <c r="R242" i="34"/>
  <c r="N242" i="34"/>
  <c r="O242" i="34" s="1"/>
  <c r="Q242" i="34" s="1"/>
  <c r="R241" i="34"/>
  <c r="N241" i="34"/>
  <c r="O241" i="34" s="1"/>
  <c r="Q241" i="34" s="1"/>
  <c r="R240" i="34"/>
  <c r="N240" i="34"/>
  <c r="O240" i="34" s="1"/>
  <c r="Q240" i="34" s="1"/>
  <c r="R239" i="34"/>
  <c r="N239" i="34"/>
  <c r="O239" i="34" s="1"/>
  <c r="Q239" i="34" s="1"/>
  <c r="R251" i="34"/>
  <c r="N251" i="34"/>
  <c r="O251" i="34" s="1"/>
  <c r="Q251" i="34" s="1"/>
  <c r="R250" i="34"/>
  <c r="N250" i="34"/>
  <c r="O250" i="34" s="1"/>
  <c r="Q250" i="34" s="1"/>
  <c r="R249" i="34"/>
  <c r="N249" i="34"/>
  <c r="O249" i="34" s="1"/>
  <c r="Q249" i="34" s="1"/>
  <c r="R248" i="34"/>
  <c r="N248" i="34"/>
  <c r="O248" i="34" s="1"/>
  <c r="Q248" i="34" s="1"/>
  <c r="R247" i="34"/>
  <c r="N247" i="34"/>
  <c r="O247" i="34" s="1"/>
  <c r="Q247" i="34" s="1"/>
  <c r="R246" i="34"/>
  <c r="N246" i="34"/>
  <c r="O246" i="34" s="1"/>
  <c r="Q246" i="34" s="1"/>
  <c r="R258" i="34"/>
  <c r="N258" i="34"/>
  <c r="O258" i="34" s="1"/>
  <c r="Q258" i="34" s="1"/>
  <c r="R257" i="34"/>
  <c r="N257" i="34"/>
  <c r="O257" i="34" s="1"/>
  <c r="Q257" i="34" s="1"/>
  <c r="R256" i="34"/>
  <c r="N256" i="34"/>
  <c r="O256" i="34" s="1"/>
  <c r="Q256" i="34" s="1"/>
  <c r="R255" i="34"/>
  <c r="N255" i="34"/>
  <c r="O255" i="34" s="1"/>
  <c r="Q255" i="34" s="1"/>
  <c r="R254" i="34"/>
  <c r="N254" i="34"/>
  <c r="O254" i="34" s="1"/>
  <c r="Q254" i="34" s="1"/>
  <c r="R253" i="34"/>
  <c r="N253" i="34"/>
  <c r="O253" i="34" s="1"/>
  <c r="Q253" i="34" s="1"/>
  <c r="S170" i="34"/>
  <c r="N170" i="34"/>
  <c r="S169" i="34"/>
  <c r="N169" i="34"/>
  <c r="S168" i="34"/>
  <c r="N168" i="34"/>
  <c r="S167" i="34"/>
  <c r="N167" i="34"/>
  <c r="S166" i="34"/>
  <c r="N166" i="34"/>
  <c r="S165" i="34"/>
  <c r="N165" i="34"/>
  <c r="S177" i="34"/>
  <c r="N177" i="34"/>
  <c r="S176" i="34"/>
  <c r="N176" i="34"/>
  <c r="S175" i="34"/>
  <c r="N175" i="34"/>
  <c r="S174" i="34"/>
  <c r="N174" i="34"/>
  <c r="S173" i="34"/>
  <c r="N173" i="34"/>
  <c r="S172" i="34"/>
  <c r="N172" i="34"/>
  <c r="S184" i="34"/>
  <c r="N184" i="34"/>
  <c r="S183" i="34"/>
  <c r="N183" i="34"/>
  <c r="S182" i="34"/>
  <c r="N182" i="34"/>
  <c r="S181" i="34"/>
  <c r="N181" i="34"/>
  <c r="S180" i="34"/>
  <c r="N180" i="34"/>
  <c r="S179" i="34"/>
  <c r="N179" i="34"/>
  <c r="S191" i="34"/>
  <c r="N191" i="34"/>
  <c r="S190" i="34"/>
  <c r="N190" i="34"/>
  <c r="S189" i="34"/>
  <c r="N189" i="34"/>
  <c r="S188" i="34"/>
  <c r="N188" i="34"/>
  <c r="S187" i="34"/>
  <c r="N187" i="34"/>
  <c r="S186" i="34"/>
  <c r="N186" i="34"/>
  <c r="J170" i="34"/>
  <c r="K170" i="34" s="1"/>
  <c r="O170" i="34" s="1"/>
  <c r="J169" i="34"/>
  <c r="K169" i="34" s="1"/>
  <c r="O169" i="34" s="1"/>
  <c r="J168" i="34"/>
  <c r="K168" i="34" s="1"/>
  <c r="O168" i="34" s="1"/>
  <c r="J167" i="34"/>
  <c r="K167" i="34" s="1"/>
  <c r="O167" i="34" s="1"/>
  <c r="J166" i="34"/>
  <c r="K166" i="34" s="1"/>
  <c r="O166" i="34" s="1"/>
  <c r="J165" i="34"/>
  <c r="K165" i="34" s="1"/>
  <c r="O165" i="34" s="1"/>
  <c r="J177" i="34"/>
  <c r="K177" i="34" s="1"/>
  <c r="O177" i="34" s="1"/>
  <c r="J176" i="34"/>
  <c r="K176" i="34" s="1"/>
  <c r="O176" i="34" s="1"/>
  <c r="J175" i="34"/>
  <c r="K175" i="34" s="1"/>
  <c r="O175" i="34" s="1"/>
  <c r="J174" i="34"/>
  <c r="K174" i="34" s="1"/>
  <c r="O174" i="34" s="1"/>
  <c r="J173" i="34"/>
  <c r="K173" i="34" s="1"/>
  <c r="O173" i="34" s="1"/>
  <c r="J172" i="34"/>
  <c r="K172" i="34" s="1"/>
  <c r="O172" i="34" s="1"/>
  <c r="J184" i="34"/>
  <c r="K184" i="34" s="1"/>
  <c r="O184" i="34" s="1"/>
  <c r="J183" i="34"/>
  <c r="K183" i="34" s="1"/>
  <c r="O183" i="34" s="1"/>
  <c r="J182" i="34"/>
  <c r="K182" i="34" s="1"/>
  <c r="O182" i="34" s="1"/>
  <c r="J181" i="34"/>
  <c r="K181" i="34" s="1"/>
  <c r="O181" i="34" s="1"/>
  <c r="J180" i="34"/>
  <c r="K180" i="34" s="1"/>
  <c r="O180" i="34" s="1"/>
  <c r="J179" i="34"/>
  <c r="K179" i="34" s="1"/>
  <c r="O179" i="34" s="1"/>
  <c r="J191" i="34"/>
  <c r="K191" i="34" s="1"/>
  <c r="O191" i="34" s="1"/>
  <c r="J190" i="34"/>
  <c r="K190" i="34" s="1"/>
  <c r="O190" i="34" s="1"/>
  <c r="J189" i="34"/>
  <c r="K189" i="34" s="1"/>
  <c r="O189" i="34" s="1"/>
  <c r="J188" i="34"/>
  <c r="K188" i="34" s="1"/>
  <c r="O188" i="34" s="1"/>
  <c r="J187" i="34"/>
  <c r="K187" i="34" s="1"/>
  <c r="O187" i="34" s="1"/>
  <c r="J186" i="34"/>
  <c r="K186" i="34" s="1"/>
  <c r="O186" i="34" s="1"/>
  <c r="O115" i="34"/>
  <c r="O114" i="34"/>
  <c r="O113" i="34"/>
  <c r="O112" i="34"/>
  <c r="O111" i="34"/>
  <c r="O110" i="34"/>
  <c r="O122" i="34"/>
  <c r="O121" i="34"/>
  <c r="O120" i="34"/>
  <c r="O119" i="34"/>
  <c r="O118" i="34"/>
  <c r="O117" i="34"/>
  <c r="O129" i="34"/>
  <c r="O128" i="34"/>
  <c r="O127" i="34"/>
  <c r="O126" i="34"/>
  <c r="O125" i="34"/>
  <c r="O124" i="34"/>
  <c r="O136" i="34"/>
  <c r="O135" i="34"/>
  <c r="O134" i="34"/>
  <c r="O133" i="34"/>
  <c r="O132" i="34"/>
  <c r="O131" i="34"/>
  <c r="O63" i="34"/>
  <c r="O62" i="34"/>
  <c r="O61" i="34"/>
  <c r="O60" i="34"/>
  <c r="O59" i="34"/>
  <c r="O58" i="34"/>
  <c r="O70" i="34"/>
  <c r="O69" i="34"/>
  <c r="O68" i="34"/>
  <c r="O67" i="34"/>
  <c r="O66" i="34"/>
  <c r="O65" i="34"/>
  <c r="O77" i="34"/>
  <c r="O76" i="34"/>
  <c r="O75" i="34"/>
  <c r="O74" i="34"/>
  <c r="O73" i="34"/>
  <c r="O72" i="34"/>
  <c r="O84" i="34"/>
  <c r="O83" i="34"/>
  <c r="O82" i="34"/>
  <c r="O81" i="34"/>
  <c r="O80" i="34"/>
  <c r="O79" i="34"/>
  <c r="O11" i="34"/>
  <c r="O10" i="34"/>
  <c r="O9" i="34"/>
  <c r="O8" i="34"/>
  <c r="O7" i="34"/>
  <c r="O6" i="34"/>
  <c r="O18" i="34"/>
  <c r="O17" i="34"/>
  <c r="O16" i="34"/>
  <c r="O15" i="34"/>
  <c r="O14" i="34"/>
  <c r="O13" i="34"/>
  <c r="O25" i="34"/>
  <c r="O24" i="34"/>
  <c r="O23" i="34"/>
  <c r="O22" i="34"/>
  <c r="O21" i="34"/>
  <c r="O20" i="34"/>
  <c r="O32" i="34"/>
  <c r="O31" i="34"/>
  <c r="O30" i="34"/>
  <c r="O29" i="34"/>
  <c r="O28" i="34"/>
  <c r="O27" i="34"/>
  <c r="AT13" i="34"/>
  <c r="AU12" i="34" s="1"/>
  <c r="AQ80" i="33"/>
  <c r="AR79" i="33" s="1"/>
  <c r="AR78" i="33"/>
  <c r="AR77" i="33"/>
  <c r="AP80" i="32"/>
  <c r="AQ79" i="32" s="1"/>
  <c r="AP82" i="31"/>
  <c r="AQ81" i="31" s="1"/>
  <c r="AQ82" i="30"/>
  <c r="AR81" i="30" s="1"/>
  <c r="AP82" i="29"/>
  <c r="AQ81" i="29" s="1"/>
  <c r="AQ80" i="29"/>
  <c r="AO81" i="27"/>
  <c r="AP80" i="27" s="1"/>
  <c r="AO81" i="25"/>
  <c r="AP80" i="25" s="1"/>
  <c r="AM80" i="17"/>
  <c r="AN79" i="17" s="1"/>
  <c r="Q123" i="35"/>
  <c r="Z123" i="35" s="1"/>
  <c r="Q116" i="35"/>
  <c r="AD116" i="35" s="1"/>
  <c r="Q71" i="35"/>
  <c r="V71" i="35" s="1"/>
  <c r="Q64" i="35"/>
  <c r="AD64" i="35" s="1"/>
  <c r="Q19" i="35"/>
  <c r="AD19" i="35" s="1"/>
  <c r="Q12" i="35"/>
  <c r="V12" i="35" s="1"/>
  <c r="R527" i="35"/>
  <c r="N527" i="35"/>
  <c r="O527" i="35" s="1"/>
  <c r="Q527" i="35" s="1"/>
  <c r="R526" i="35"/>
  <c r="N526" i="35"/>
  <c r="O526" i="35" s="1"/>
  <c r="Q526" i="35" s="1"/>
  <c r="R525" i="35"/>
  <c r="N525" i="35"/>
  <c r="O525" i="35" s="1"/>
  <c r="Q525" i="35" s="1"/>
  <c r="R524" i="35"/>
  <c r="N524" i="35"/>
  <c r="O524" i="35" s="1"/>
  <c r="Q524" i="35" s="1"/>
  <c r="R523" i="35"/>
  <c r="N523" i="35"/>
  <c r="O523" i="35" s="1"/>
  <c r="Q523" i="35" s="1"/>
  <c r="R522" i="35"/>
  <c r="N522" i="35"/>
  <c r="O522" i="35" s="1"/>
  <c r="Q522" i="35" s="1"/>
  <c r="R534" i="35"/>
  <c r="N534" i="35"/>
  <c r="O534" i="35" s="1"/>
  <c r="Q534" i="35" s="1"/>
  <c r="R533" i="35"/>
  <c r="N533" i="35"/>
  <c r="O533" i="35" s="1"/>
  <c r="Q533" i="35" s="1"/>
  <c r="R532" i="35"/>
  <c r="N532" i="35"/>
  <c r="O532" i="35" s="1"/>
  <c r="Q532" i="35" s="1"/>
  <c r="R531" i="35"/>
  <c r="N531" i="35"/>
  <c r="O531" i="35" s="1"/>
  <c r="Q531" i="35" s="1"/>
  <c r="R530" i="35"/>
  <c r="N530" i="35"/>
  <c r="O530" i="35" s="1"/>
  <c r="Q530" i="35" s="1"/>
  <c r="R529" i="35"/>
  <c r="N529" i="35"/>
  <c r="O529" i="35" s="1"/>
  <c r="Q529" i="35" s="1"/>
  <c r="S462" i="35"/>
  <c r="N462" i="35"/>
  <c r="S461" i="35"/>
  <c r="N461" i="35"/>
  <c r="S460" i="35"/>
  <c r="N460" i="35"/>
  <c r="S459" i="35"/>
  <c r="N459" i="35"/>
  <c r="S458" i="35"/>
  <c r="S457" i="35"/>
  <c r="S469" i="35"/>
  <c r="N469" i="35"/>
  <c r="S468" i="35"/>
  <c r="N468" i="35"/>
  <c r="S467" i="35"/>
  <c r="N467" i="35"/>
  <c r="S466" i="35"/>
  <c r="N466" i="35"/>
  <c r="S465" i="35"/>
  <c r="S464" i="35"/>
  <c r="J462" i="35"/>
  <c r="K462" i="35" s="1"/>
  <c r="O462" i="35" s="1"/>
  <c r="J461" i="35"/>
  <c r="K461" i="35" s="1"/>
  <c r="O461" i="35" s="1"/>
  <c r="J460" i="35"/>
  <c r="K460" i="35" s="1"/>
  <c r="O460" i="35" s="1"/>
  <c r="J459" i="35"/>
  <c r="K459" i="35" s="1"/>
  <c r="O459" i="35" s="1"/>
  <c r="J458" i="35"/>
  <c r="K458" i="35" s="1"/>
  <c r="O458" i="35" s="1"/>
  <c r="J457" i="35"/>
  <c r="K457" i="35" s="1"/>
  <c r="O457" i="35" s="1"/>
  <c r="J469" i="35"/>
  <c r="K469" i="35" s="1"/>
  <c r="O469" i="35" s="1"/>
  <c r="J468" i="35"/>
  <c r="K468" i="35" s="1"/>
  <c r="O468" i="35" s="1"/>
  <c r="J467" i="35"/>
  <c r="K467" i="35" s="1"/>
  <c r="O467" i="35" s="1"/>
  <c r="J466" i="35"/>
  <c r="K466" i="35" s="1"/>
  <c r="O466" i="35" s="1"/>
  <c r="J465" i="35"/>
  <c r="K465" i="35" s="1"/>
  <c r="O465" i="35" s="1"/>
  <c r="J464" i="35"/>
  <c r="K464" i="35" s="1"/>
  <c r="O464" i="35" s="1"/>
  <c r="D441" i="35"/>
  <c r="R393" i="35"/>
  <c r="N393" i="35"/>
  <c r="O393" i="35" s="1"/>
  <c r="Q393" i="35" s="1"/>
  <c r="R392" i="35"/>
  <c r="N392" i="35"/>
  <c r="O392" i="35" s="1"/>
  <c r="Q392" i="35" s="1"/>
  <c r="R391" i="35"/>
  <c r="N391" i="35"/>
  <c r="O391" i="35" s="1"/>
  <c r="Q391" i="35" s="1"/>
  <c r="R390" i="35"/>
  <c r="N390" i="35"/>
  <c r="O390" i="35" s="1"/>
  <c r="Q390" i="35" s="1"/>
  <c r="R389" i="35"/>
  <c r="N389" i="35"/>
  <c r="O389" i="35" s="1"/>
  <c r="Q389" i="35" s="1"/>
  <c r="R388" i="35"/>
  <c r="N388" i="35"/>
  <c r="O388" i="35" s="1"/>
  <c r="Q388" i="35" s="1"/>
  <c r="R400" i="35"/>
  <c r="N400" i="35"/>
  <c r="O400" i="35" s="1"/>
  <c r="Q400" i="35" s="1"/>
  <c r="R399" i="35"/>
  <c r="N399" i="35"/>
  <c r="O399" i="35" s="1"/>
  <c r="Q399" i="35" s="1"/>
  <c r="R398" i="35"/>
  <c r="N398" i="35"/>
  <c r="O398" i="35" s="1"/>
  <c r="Q398" i="35" s="1"/>
  <c r="R397" i="35"/>
  <c r="N397" i="35"/>
  <c r="O397" i="35" s="1"/>
  <c r="Q397" i="35" s="1"/>
  <c r="R396" i="35"/>
  <c r="N396" i="35"/>
  <c r="O396" i="35" s="1"/>
  <c r="Q396" i="35" s="1"/>
  <c r="R395" i="35"/>
  <c r="N395" i="35"/>
  <c r="O395" i="35" s="1"/>
  <c r="Q395" i="35" s="1"/>
  <c r="S328" i="35"/>
  <c r="N328" i="35"/>
  <c r="S327" i="35"/>
  <c r="N327" i="35"/>
  <c r="S326" i="35"/>
  <c r="N326" i="35"/>
  <c r="S325" i="35"/>
  <c r="N325" i="35"/>
  <c r="S324" i="35"/>
  <c r="N324" i="35"/>
  <c r="S323" i="35"/>
  <c r="N323" i="35"/>
  <c r="S335" i="35"/>
  <c r="N335" i="35"/>
  <c r="S334" i="35"/>
  <c r="N334" i="35"/>
  <c r="S333" i="35"/>
  <c r="N333" i="35"/>
  <c r="S332" i="35"/>
  <c r="N332" i="35"/>
  <c r="S331" i="35"/>
  <c r="N331" i="35"/>
  <c r="S330" i="35"/>
  <c r="N330" i="35"/>
  <c r="J328" i="35"/>
  <c r="K328" i="35" s="1"/>
  <c r="O328" i="35" s="1"/>
  <c r="J327" i="35"/>
  <c r="K327" i="35" s="1"/>
  <c r="O327" i="35" s="1"/>
  <c r="J326" i="35"/>
  <c r="K326" i="35" s="1"/>
  <c r="O326" i="35" s="1"/>
  <c r="J325" i="35"/>
  <c r="K325" i="35" s="1"/>
  <c r="O325" i="35" s="1"/>
  <c r="J324" i="35"/>
  <c r="K324" i="35" s="1"/>
  <c r="O324" i="35" s="1"/>
  <c r="J323" i="35"/>
  <c r="K323" i="35" s="1"/>
  <c r="O323" i="35" s="1"/>
  <c r="J335" i="35"/>
  <c r="K335" i="35" s="1"/>
  <c r="O335" i="35" s="1"/>
  <c r="J334" i="35"/>
  <c r="K334" i="35" s="1"/>
  <c r="O334" i="35" s="1"/>
  <c r="J333" i="35"/>
  <c r="K333" i="35" s="1"/>
  <c r="O333" i="35" s="1"/>
  <c r="J332" i="35"/>
  <c r="K332" i="35" s="1"/>
  <c r="O332" i="35" s="1"/>
  <c r="J331" i="35"/>
  <c r="K331" i="35" s="1"/>
  <c r="O331" i="35" s="1"/>
  <c r="J330" i="35"/>
  <c r="K330" i="35" s="1"/>
  <c r="O330" i="35" s="1"/>
  <c r="S123" i="35"/>
  <c r="R123" i="35"/>
  <c r="S116" i="35"/>
  <c r="R116" i="35"/>
  <c r="O115" i="35"/>
  <c r="O114" i="35"/>
  <c r="O113" i="35"/>
  <c r="O112" i="35"/>
  <c r="O111" i="35"/>
  <c r="O110" i="35"/>
  <c r="O122" i="35"/>
  <c r="O121" i="35"/>
  <c r="O120" i="35"/>
  <c r="O119" i="35"/>
  <c r="O118" i="35"/>
  <c r="O117" i="35"/>
  <c r="S64" i="35"/>
  <c r="R64" i="35"/>
  <c r="S71" i="35"/>
  <c r="R71" i="35"/>
  <c r="O63" i="35"/>
  <c r="O62" i="35"/>
  <c r="O61" i="35"/>
  <c r="O60" i="35"/>
  <c r="O59" i="35"/>
  <c r="O58" i="35"/>
  <c r="O70" i="35"/>
  <c r="O69" i="35"/>
  <c r="O68" i="35"/>
  <c r="O67" i="35"/>
  <c r="O66" i="35"/>
  <c r="O65" i="35"/>
  <c r="S12" i="35"/>
  <c r="R12" i="35"/>
  <c r="S19" i="35"/>
  <c r="R19" i="35"/>
  <c r="R244" i="35"/>
  <c r="N244" i="35"/>
  <c r="O244" i="35" s="1"/>
  <c r="Q244" i="35" s="1"/>
  <c r="R243" i="35"/>
  <c r="N243" i="35"/>
  <c r="O243" i="35" s="1"/>
  <c r="Q243" i="35" s="1"/>
  <c r="R242" i="35"/>
  <c r="N242" i="35"/>
  <c r="O242" i="35" s="1"/>
  <c r="Q242" i="35" s="1"/>
  <c r="R241" i="35"/>
  <c r="N241" i="35"/>
  <c r="O241" i="35" s="1"/>
  <c r="Q241" i="35" s="1"/>
  <c r="R240" i="35"/>
  <c r="N240" i="35"/>
  <c r="O240" i="35" s="1"/>
  <c r="Q240" i="35" s="1"/>
  <c r="R239" i="35"/>
  <c r="N239" i="35"/>
  <c r="O239" i="35" s="1"/>
  <c r="Q239" i="35" s="1"/>
  <c r="R237" i="35"/>
  <c r="N237" i="35"/>
  <c r="O237" i="35" s="1"/>
  <c r="Q237" i="35" s="1"/>
  <c r="R236" i="35"/>
  <c r="N236" i="35"/>
  <c r="O236" i="35" s="1"/>
  <c r="Q236" i="35" s="1"/>
  <c r="R235" i="35"/>
  <c r="N235" i="35"/>
  <c r="O235" i="35" s="1"/>
  <c r="Q235" i="35" s="1"/>
  <c r="R234" i="35"/>
  <c r="N234" i="35"/>
  <c r="O234" i="35" s="1"/>
  <c r="Q234" i="35" s="1"/>
  <c r="R233" i="35"/>
  <c r="N233" i="35"/>
  <c r="O233" i="35" s="1"/>
  <c r="Q233" i="35" s="1"/>
  <c r="R232" i="35"/>
  <c r="N232" i="35"/>
  <c r="O232" i="35" s="1"/>
  <c r="Q232" i="35" s="1"/>
  <c r="S177" i="35"/>
  <c r="N177" i="35"/>
  <c r="S176" i="35"/>
  <c r="N176" i="35"/>
  <c r="S175" i="35"/>
  <c r="N175" i="35"/>
  <c r="S174" i="35"/>
  <c r="N174" i="35"/>
  <c r="S173" i="35"/>
  <c r="N173" i="35"/>
  <c r="S172" i="35"/>
  <c r="N172" i="35"/>
  <c r="S170" i="35"/>
  <c r="N170" i="35"/>
  <c r="S169" i="35"/>
  <c r="N169" i="35"/>
  <c r="S168" i="35"/>
  <c r="N168" i="35"/>
  <c r="S167" i="35"/>
  <c r="N167" i="35"/>
  <c r="S166" i="35"/>
  <c r="N166" i="35"/>
  <c r="S165" i="35"/>
  <c r="N165" i="35"/>
  <c r="J170" i="35"/>
  <c r="K170" i="35" s="1"/>
  <c r="O170" i="35" s="1"/>
  <c r="J169" i="35"/>
  <c r="K169" i="35" s="1"/>
  <c r="O169" i="35" s="1"/>
  <c r="J168" i="35"/>
  <c r="K168" i="35" s="1"/>
  <c r="O168" i="35" s="1"/>
  <c r="J167" i="35"/>
  <c r="K167" i="35" s="1"/>
  <c r="O167" i="35" s="1"/>
  <c r="J166" i="35"/>
  <c r="K166" i="35" s="1"/>
  <c r="O166" i="35" s="1"/>
  <c r="J165" i="35"/>
  <c r="K165" i="35" s="1"/>
  <c r="O165" i="35" s="1"/>
  <c r="J177" i="35"/>
  <c r="K177" i="35" s="1"/>
  <c r="O177" i="35" s="1"/>
  <c r="J176" i="35"/>
  <c r="K176" i="35" s="1"/>
  <c r="O176" i="35" s="1"/>
  <c r="J175" i="35"/>
  <c r="K175" i="35" s="1"/>
  <c r="O175" i="35" s="1"/>
  <c r="J174" i="35"/>
  <c r="K174" i="35" s="1"/>
  <c r="O174" i="35" s="1"/>
  <c r="J173" i="35"/>
  <c r="K173" i="35" s="1"/>
  <c r="O173" i="35" s="1"/>
  <c r="J172" i="35"/>
  <c r="K172" i="35" s="1"/>
  <c r="O172" i="35" s="1"/>
  <c r="O14" i="35"/>
  <c r="O15" i="35"/>
  <c r="O16" i="35"/>
  <c r="O17" i="35"/>
  <c r="O18" i="35"/>
  <c r="O13" i="35"/>
  <c r="O7" i="35"/>
  <c r="O8" i="35"/>
  <c r="O9" i="35"/>
  <c r="O10" i="35"/>
  <c r="O11" i="35"/>
  <c r="O6" i="35"/>
  <c r="S26" i="35"/>
  <c r="R26" i="35"/>
  <c r="Q26" i="35"/>
  <c r="V26" i="35" s="1"/>
  <c r="Z123" i="34" l="1"/>
  <c r="AA123" i="34" s="1"/>
  <c r="V123" i="34"/>
  <c r="V19" i="34"/>
  <c r="Z19" i="34"/>
  <c r="S392" i="35"/>
  <c r="Z130" i="34"/>
  <c r="AA130" i="34" s="1"/>
  <c r="AD130" i="34"/>
  <c r="AE130" i="34" s="1"/>
  <c r="V78" i="34"/>
  <c r="W78" i="34" s="1"/>
  <c r="V71" i="34"/>
  <c r="W71" i="34" s="1"/>
  <c r="Z71" i="34"/>
  <c r="AA71" i="34" s="1"/>
  <c r="V64" i="34"/>
  <c r="W64" i="34" s="1"/>
  <c r="AD64" i="34"/>
  <c r="AE64" i="34" s="1"/>
  <c r="AD26" i="34"/>
  <c r="AE26" i="34" s="1"/>
  <c r="V26" i="34"/>
  <c r="Z12" i="35"/>
  <c r="AA12" i="35" s="1"/>
  <c r="AQ80" i="31"/>
  <c r="AR79" i="30"/>
  <c r="AR80" i="30"/>
  <c r="AQ79" i="29"/>
  <c r="AP78" i="27"/>
  <c r="AN77" i="17"/>
  <c r="AN78" i="17"/>
  <c r="V137" i="34"/>
  <c r="W137" i="34" s="1"/>
  <c r="Z137" i="34"/>
  <c r="AA137" i="34" s="1"/>
  <c r="Z116" i="34"/>
  <c r="AA116" i="34" s="1"/>
  <c r="V85" i="34"/>
  <c r="W85" i="34" s="1"/>
  <c r="Z85" i="34"/>
  <c r="Z78" i="34"/>
  <c r="AA78" i="34" s="1"/>
  <c r="V12" i="34"/>
  <c r="W12" i="34" s="1"/>
  <c r="Z12" i="34"/>
  <c r="AA12" i="34" s="1"/>
  <c r="V33" i="34"/>
  <c r="W33" i="34" s="1"/>
  <c r="Z33" i="34"/>
  <c r="AA33" i="34" s="1"/>
  <c r="S553" i="34"/>
  <c r="S544" i="34"/>
  <c r="S548" i="34"/>
  <c r="S546" i="34"/>
  <c r="S532" i="34"/>
  <c r="S552" i="34"/>
  <c r="S537" i="34"/>
  <c r="S541" i="34"/>
  <c r="S547" i="34"/>
  <c r="S538" i="34"/>
  <c r="S529" i="34"/>
  <c r="S550" i="34"/>
  <c r="S539" i="34"/>
  <c r="S554" i="34"/>
  <c r="S545" i="34"/>
  <c r="S530" i="34"/>
  <c r="S551" i="34"/>
  <c r="S536" i="34"/>
  <c r="S540" i="34"/>
  <c r="S543" i="34"/>
  <c r="S534" i="34"/>
  <c r="S555" i="34"/>
  <c r="S533" i="34"/>
  <c r="S414" i="34"/>
  <c r="S405" i="34"/>
  <c r="S400" i="34"/>
  <c r="S391" i="34"/>
  <c r="S399" i="34"/>
  <c r="S406" i="34"/>
  <c r="S403" i="34"/>
  <c r="S398" i="34"/>
  <c r="S389" i="34"/>
  <c r="S393" i="34"/>
  <c r="S413" i="34"/>
  <c r="S404" i="34"/>
  <c r="S411" i="34"/>
  <c r="S396" i="34"/>
  <c r="S397" i="34"/>
  <c r="S410" i="34"/>
  <c r="S395" i="34"/>
  <c r="S390" i="34"/>
  <c r="S407" i="34"/>
  <c r="S388" i="34"/>
  <c r="S409" i="34"/>
  <c r="S412" i="34"/>
  <c r="S402" i="34"/>
  <c r="S392" i="34"/>
  <c r="AE71" i="34"/>
  <c r="AE78" i="34"/>
  <c r="AA85" i="34"/>
  <c r="AA26" i="34"/>
  <c r="W19" i="34"/>
  <c r="W123" i="34"/>
  <c r="S253" i="34"/>
  <c r="S257" i="34"/>
  <c r="S248" i="34"/>
  <c r="S239" i="34"/>
  <c r="S243" i="34"/>
  <c r="AE85" i="34"/>
  <c r="AA19" i="34"/>
  <c r="S234" i="34"/>
  <c r="AE33" i="34"/>
  <c r="AE19" i="34"/>
  <c r="W130" i="34"/>
  <c r="S254" i="34"/>
  <c r="S249" i="34"/>
  <c r="S240" i="34"/>
  <c r="S244" i="34"/>
  <c r="S256" i="34"/>
  <c r="S247" i="34"/>
  <c r="S242" i="34"/>
  <c r="S233" i="34"/>
  <c r="AE12" i="34"/>
  <c r="AE137" i="34"/>
  <c r="W116" i="34"/>
  <c r="S235" i="34"/>
  <c r="W26" i="34"/>
  <c r="AE116" i="34"/>
  <c r="AE123" i="34"/>
  <c r="AA64" i="34"/>
  <c r="S255" i="34"/>
  <c r="S250" i="34"/>
  <c r="S241" i="34"/>
  <c r="S236" i="34"/>
  <c r="S237" i="34"/>
  <c r="S258" i="34"/>
  <c r="S246" i="34"/>
  <c r="S251" i="34"/>
  <c r="S232" i="34"/>
  <c r="AU6" i="34"/>
  <c r="AU7" i="34"/>
  <c r="AU8" i="34"/>
  <c r="AU9" i="34"/>
  <c r="AU10" i="34"/>
  <c r="AU11" i="34"/>
  <c r="AQ77" i="32"/>
  <c r="AQ78" i="32"/>
  <c r="AQ79" i="31"/>
  <c r="AP79" i="27"/>
  <c r="AP78" i="25"/>
  <c r="AP79" i="25"/>
  <c r="S522" i="35"/>
  <c r="S526" i="35"/>
  <c r="V19" i="35"/>
  <c r="AD12" i="35"/>
  <c r="AE12" i="35" s="1"/>
  <c r="S530" i="35"/>
  <c r="S534" i="35"/>
  <c r="S525" i="35"/>
  <c r="S523" i="35"/>
  <c r="V123" i="35"/>
  <c r="W123" i="35" s="1"/>
  <c r="AD123" i="35"/>
  <c r="V116" i="35"/>
  <c r="W116" i="35" s="1"/>
  <c r="Z116" i="35"/>
  <c r="AA116" i="35" s="1"/>
  <c r="Z71" i="35"/>
  <c r="AA71" i="35" s="1"/>
  <c r="AD71" i="35"/>
  <c r="AE71" i="35" s="1"/>
  <c r="V64" i="35"/>
  <c r="W64" i="35" s="1"/>
  <c r="Z64" i="35"/>
  <c r="AA64" i="35" s="1"/>
  <c r="Z19" i="35"/>
  <c r="AA19" i="35" s="1"/>
  <c r="S531" i="35"/>
  <c r="S532" i="35"/>
  <c r="S529" i="35"/>
  <c r="S533" i="35"/>
  <c r="S527" i="35"/>
  <c r="S524" i="35"/>
  <c r="S400" i="35"/>
  <c r="S391" i="35"/>
  <c r="S395" i="35"/>
  <c r="S398" i="35"/>
  <c r="S389" i="35"/>
  <c r="S234" i="35"/>
  <c r="S388" i="35"/>
  <c r="S399" i="35"/>
  <c r="S393" i="35"/>
  <c r="S396" i="35"/>
  <c r="S390" i="35"/>
  <c r="S397" i="35"/>
  <c r="S244" i="35"/>
  <c r="AE64" i="35"/>
  <c r="W71" i="35"/>
  <c r="AA123" i="35"/>
  <c r="AE116" i="35"/>
  <c r="AE123" i="35"/>
  <c r="W12" i="35"/>
  <c r="S236" i="35"/>
  <c r="W19" i="35"/>
  <c r="S233" i="35"/>
  <c r="S237" i="35"/>
  <c r="S235" i="35"/>
  <c r="AE19" i="35"/>
  <c r="S240" i="35"/>
  <c r="S243" i="35"/>
  <c r="S241" i="35"/>
  <c r="S232" i="35"/>
  <c r="S239" i="35"/>
  <c r="S242" i="35"/>
  <c r="Z26" i="35"/>
  <c r="AA26" i="35" s="1"/>
  <c r="AD26" i="35"/>
  <c r="AE26" i="35" s="1"/>
  <c r="W26" i="35"/>
  <c r="S528" i="35" l="1"/>
  <c r="J577" i="35" s="1"/>
  <c r="S535" i="34"/>
  <c r="J584" i="34" s="1"/>
  <c r="S556" i="34"/>
  <c r="J587" i="34" s="1"/>
  <c r="S542" i="34"/>
  <c r="J585" i="34" s="1"/>
  <c r="S549" i="34"/>
  <c r="J586" i="34" s="1"/>
  <c r="S401" i="34"/>
  <c r="J444" i="34" s="1"/>
  <c r="S408" i="34"/>
  <c r="J445" i="34" s="1"/>
  <c r="S415" i="34"/>
  <c r="J446" i="34" s="1"/>
  <c r="S394" i="34"/>
  <c r="J443" i="34" s="1"/>
  <c r="S245" i="34"/>
  <c r="J311" i="34" s="1"/>
  <c r="S259" i="34"/>
  <c r="J313" i="34" s="1"/>
  <c r="S238" i="34"/>
  <c r="J310" i="34" s="1"/>
  <c r="S252" i="34"/>
  <c r="J312" i="34" s="1"/>
  <c r="S535" i="35"/>
  <c r="J578" i="35" s="1"/>
  <c r="S394" i="35"/>
  <c r="J443" i="35" s="1"/>
  <c r="S401" i="35"/>
  <c r="J444" i="35" s="1"/>
  <c r="S238" i="35"/>
  <c r="J310" i="35" s="1"/>
  <c r="S245" i="35"/>
  <c r="J311" i="35" s="1"/>
  <c r="Q137" i="35" l="1"/>
  <c r="AD137" i="35" s="1"/>
  <c r="Q130" i="35"/>
  <c r="Z130" i="35" s="1"/>
  <c r="Q85" i="35"/>
  <c r="V85" i="35" s="1"/>
  <c r="Q78" i="35"/>
  <c r="AD78" i="35" s="1"/>
  <c r="Q33" i="35"/>
  <c r="AD33" i="35" s="1"/>
  <c r="S130" i="35"/>
  <c r="R130" i="35"/>
  <c r="S137" i="35"/>
  <c r="R137" i="35"/>
  <c r="R541" i="35"/>
  <c r="N541" i="35"/>
  <c r="O541" i="35" s="1"/>
  <c r="Q541" i="35" s="1"/>
  <c r="R540" i="35"/>
  <c r="N540" i="35"/>
  <c r="O540" i="35" s="1"/>
  <c r="Q540" i="35" s="1"/>
  <c r="R539" i="35"/>
  <c r="N539" i="35"/>
  <c r="O539" i="35" s="1"/>
  <c r="Q539" i="35" s="1"/>
  <c r="R538" i="35"/>
  <c r="N538" i="35"/>
  <c r="O538" i="35" s="1"/>
  <c r="Q538" i="35" s="1"/>
  <c r="R537" i="35"/>
  <c r="N537" i="35"/>
  <c r="O537" i="35" s="1"/>
  <c r="Q537" i="35" s="1"/>
  <c r="R536" i="35"/>
  <c r="N536" i="35"/>
  <c r="O536" i="35" s="1"/>
  <c r="Q536" i="35" s="1"/>
  <c r="R548" i="35"/>
  <c r="N548" i="35"/>
  <c r="O548" i="35" s="1"/>
  <c r="Q548" i="35" s="1"/>
  <c r="R547" i="35"/>
  <c r="N547" i="35"/>
  <c r="O547" i="35" s="1"/>
  <c r="Q547" i="35" s="1"/>
  <c r="R546" i="35"/>
  <c r="N546" i="35"/>
  <c r="O546" i="35" s="1"/>
  <c r="Q546" i="35" s="1"/>
  <c r="R545" i="35"/>
  <c r="N545" i="35"/>
  <c r="O545" i="35" s="1"/>
  <c r="Q545" i="35" s="1"/>
  <c r="R544" i="35"/>
  <c r="N544" i="35"/>
  <c r="O544" i="35" s="1"/>
  <c r="Q544" i="35" s="1"/>
  <c r="R543" i="35"/>
  <c r="N543" i="35"/>
  <c r="O543" i="35" s="1"/>
  <c r="Q543" i="35" s="1"/>
  <c r="S476" i="35"/>
  <c r="N476" i="35"/>
  <c r="S475" i="35"/>
  <c r="N475" i="35"/>
  <c r="S474" i="35"/>
  <c r="N474" i="35"/>
  <c r="S473" i="35"/>
  <c r="N473" i="35"/>
  <c r="S472" i="35"/>
  <c r="S471" i="35"/>
  <c r="S483" i="35"/>
  <c r="N483" i="35"/>
  <c r="S482" i="35"/>
  <c r="N482" i="35"/>
  <c r="S481" i="35"/>
  <c r="N481" i="35"/>
  <c r="S480" i="35"/>
  <c r="N480" i="35"/>
  <c r="S479" i="35"/>
  <c r="N479" i="35"/>
  <c r="S478" i="35"/>
  <c r="N478" i="35"/>
  <c r="J476" i="35"/>
  <c r="K476" i="35" s="1"/>
  <c r="O476" i="35" s="1"/>
  <c r="J475" i="35"/>
  <c r="K475" i="35" s="1"/>
  <c r="O475" i="35" s="1"/>
  <c r="J474" i="35"/>
  <c r="K474" i="35" s="1"/>
  <c r="O474" i="35" s="1"/>
  <c r="J473" i="35"/>
  <c r="K473" i="35" s="1"/>
  <c r="O473" i="35" s="1"/>
  <c r="J472" i="35"/>
  <c r="K472" i="35" s="1"/>
  <c r="O472" i="35" s="1"/>
  <c r="J471" i="35"/>
  <c r="K471" i="35" s="1"/>
  <c r="O471" i="35" s="1"/>
  <c r="J483" i="35"/>
  <c r="K483" i="35" s="1"/>
  <c r="O483" i="35" s="1"/>
  <c r="J482" i="35"/>
  <c r="K482" i="35" s="1"/>
  <c r="O482" i="35" s="1"/>
  <c r="J481" i="35"/>
  <c r="K481" i="35" s="1"/>
  <c r="O481" i="35" s="1"/>
  <c r="J480" i="35"/>
  <c r="K480" i="35" s="1"/>
  <c r="O480" i="35" s="1"/>
  <c r="J479" i="35"/>
  <c r="K479" i="35" s="1"/>
  <c r="O479" i="35" s="1"/>
  <c r="J478" i="35"/>
  <c r="K478" i="35" s="1"/>
  <c r="O478" i="35" s="1"/>
  <c r="S78" i="35"/>
  <c r="R78" i="35"/>
  <c r="S85" i="35"/>
  <c r="R85" i="35"/>
  <c r="R407" i="35"/>
  <c r="N407" i="35"/>
  <c r="O407" i="35" s="1"/>
  <c r="Q407" i="35" s="1"/>
  <c r="R406" i="35"/>
  <c r="N406" i="35"/>
  <c r="O406" i="35" s="1"/>
  <c r="Q406" i="35" s="1"/>
  <c r="R405" i="35"/>
  <c r="N405" i="35"/>
  <c r="O405" i="35" s="1"/>
  <c r="Q405" i="35" s="1"/>
  <c r="R404" i="35"/>
  <c r="N404" i="35"/>
  <c r="O404" i="35" s="1"/>
  <c r="Q404" i="35" s="1"/>
  <c r="R403" i="35"/>
  <c r="N403" i="35"/>
  <c r="O403" i="35" s="1"/>
  <c r="Q403" i="35" s="1"/>
  <c r="R402" i="35"/>
  <c r="N402" i="35"/>
  <c r="O402" i="35" s="1"/>
  <c r="Q402" i="35" s="1"/>
  <c r="R414" i="35"/>
  <c r="N414" i="35"/>
  <c r="O414" i="35" s="1"/>
  <c r="Q414" i="35" s="1"/>
  <c r="R413" i="35"/>
  <c r="N413" i="35"/>
  <c r="O413" i="35" s="1"/>
  <c r="Q413" i="35" s="1"/>
  <c r="R412" i="35"/>
  <c r="N412" i="35"/>
  <c r="O412" i="35" s="1"/>
  <c r="Q412" i="35" s="1"/>
  <c r="R411" i="35"/>
  <c r="N411" i="35"/>
  <c r="O411" i="35" s="1"/>
  <c r="Q411" i="35" s="1"/>
  <c r="R410" i="35"/>
  <c r="N410" i="35"/>
  <c r="O410" i="35" s="1"/>
  <c r="Q410" i="35" s="1"/>
  <c r="R409" i="35"/>
  <c r="N409" i="35"/>
  <c r="O409" i="35" s="1"/>
  <c r="Q409" i="35" s="1"/>
  <c r="S342" i="35"/>
  <c r="N342" i="35"/>
  <c r="S341" i="35"/>
  <c r="N341" i="35"/>
  <c r="S340" i="35"/>
  <c r="N340" i="35"/>
  <c r="S339" i="35"/>
  <c r="N339" i="35"/>
  <c r="S338" i="35"/>
  <c r="N338" i="35"/>
  <c r="S337" i="35"/>
  <c r="N337" i="35"/>
  <c r="S349" i="35"/>
  <c r="N349" i="35"/>
  <c r="S348" i="35"/>
  <c r="N348" i="35"/>
  <c r="S347" i="35"/>
  <c r="N347" i="35"/>
  <c r="S346" i="35"/>
  <c r="N346" i="35"/>
  <c r="S345" i="35"/>
  <c r="N345" i="35"/>
  <c r="S344" i="35"/>
  <c r="N344" i="35"/>
  <c r="J342" i="35"/>
  <c r="K342" i="35" s="1"/>
  <c r="O342" i="35" s="1"/>
  <c r="J341" i="35"/>
  <c r="K341" i="35" s="1"/>
  <c r="O341" i="35" s="1"/>
  <c r="J340" i="35"/>
  <c r="K340" i="35" s="1"/>
  <c r="O340" i="35" s="1"/>
  <c r="J339" i="35"/>
  <c r="K339" i="35" s="1"/>
  <c r="O339" i="35" s="1"/>
  <c r="J338" i="35"/>
  <c r="K338" i="35" s="1"/>
  <c r="O338" i="35" s="1"/>
  <c r="J337" i="35"/>
  <c r="K337" i="35" s="1"/>
  <c r="O337" i="35" s="1"/>
  <c r="J349" i="35"/>
  <c r="K349" i="35" s="1"/>
  <c r="O349" i="35" s="1"/>
  <c r="J348" i="35"/>
  <c r="K348" i="35" s="1"/>
  <c r="O348" i="35" s="1"/>
  <c r="J347" i="35"/>
  <c r="K347" i="35" s="1"/>
  <c r="O347" i="35" s="1"/>
  <c r="J346" i="35"/>
  <c r="K346" i="35" s="1"/>
  <c r="O346" i="35" s="1"/>
  <c r="J345" i="35"/>
  <c r="K345" i="35" s="1"/>
  <c r="O345" i="35" s="1"/>
  <c r="J344" i="35"/>
  <c r="K344" i="35" s="1"/>
  <c r="O344" i="35" s="1"/>
  <c r="S33" i="35"/>
  <c r="R33" i="35"/>
  <c r="R251" i="35"/>
  <c r="N251" i="35"/>
  <c r="O251" i="35" s="1"/>
  <c r="Q251" i="35" s="1"/>
  <c r="R250" i="35"/>
  <c r="N250" i="35"/>
  <c r="O250" i="35" s="1"/>
  <c r="Q250" i="35" s="1"/>
  <c r="R249" i="35"/>
  <c r="N249" i="35"/>
  <c r="O249" i="35" s="1"/>
  <c r="Q249" i="35" s="1"/>
  <c r="R248" i="35"/>
  <c r="N248" i="35"/>
  <c r="O248" i="35" s="1"/>
  <c r="Q248" i="35" s="1"/>
  <c r="R247" i="35"/>
  <c r="N247" i="35"/>
  <c r="O247" i="35" s="1"/>
  <c r="Q247" i="35" s="1"/>
  <c r="R246" i="35"/>
  <c r="N246" i="35"/>
  <c r="O246" i="35" s="1"/>
  <c r="Q246" i="35" s="1"/>
  <c r="R258" i="35"/>
  <c r="N258" i="35"/>
  <c r="O258" i="35" s="1"/>
  <c r="Q258" i="35" s="1"/>
  <c r="R257" i="35"/>
  <c r="N257" i="35"/>
  <c r="O257" i="35" s="1"/>
  <c r="Q257" i="35" s="1"/>
  <c r="R256" i="35"/>
  <c r="N256" i="35"/>
  <c r="O256" i="35" s="1"/>
  <c r="Q256" i="35" s="1"/>
  <c r="R255" i="35"/>
  <c r="N255" i="35"/>
  <c r="O255" i="35" s="1"/>
  <c r="Q255" i="35" s="1"/>
  <c r="R254" i="35"/>
  <c r="N254" i="35"/>
  <c r="O254" i="35" s="1"/>
  <c r="Q254" i="35" s="1"/>
  <c r="R253" i="35"/>
  <c r="N253" i="35"/>
  <c r="O253" i="35" s="1"/>
  <c r="Q253" i="35" s="1"/>
  <c r="S184" i="35"/>
  <c r="N184" i="35"/>
  <c r="S183" i="35"/>
  <c r="N183" i="35"/>
  <c r="S182" i="35"/>
  <c r="N182" i="35"/>
  <c r="S181" i="35"/>
  <c r="N181" i="35"/>
  <c r="S180" i="35"/>
  <c r="N180" i="35"/>
  <c r="S179" i="35"/>
  <c r="N179" i="35"/>
  <c r="S191" i="35"/>
  <c r="N191" i="35"/>
  <c r="S190" i="35"/>
  <c r="N190" i="35"/>
  <c r="S189" i="35"/>
  <c r="N189" i="35"/>
  <c r="S188" i="35"/>
  <c r="N188" i="35"/>
  <c r="S187" i="35"/>
  <c r="N187" i="35"/>
  <c r="S186" i="35"/>
  <c r="N186" i="35"/>
  <c r="J184" i="35"/>
  <c r="K184" i="35" s="1"/>
  <c r="O184" i="35" s="1"/>
  <c r="J183" i="35"/>
  <c r="K183" i="35" s="1"/>
  <c r="O183" i="35" s="1"/>
  <c r="J182" i="35"/>
  <c r="K182" i="35" s="1"/>
  <c r="O182" i="35" s="1"/>
  <c r="J181" i="35"/>
  <c r="K181" i="35" s="1"/>
  <c r="O181" i="35" s="1"/>
  <c r="J180" i="35"/>
  <c r="K180" i="35" s="1"/>
  <c r="O180" i="35" s="1"/>
  <c r="J179" i="35"/>
  <c r="K179" i="35" s="1"/>
  <c r="O179" i="35" s="1"/>
  <c r="J191" i="35"/>
  <c r="K191" i="35" s="1"/>
  <c r="O191" i="35" s="1"/>
  <c r="J190" i="35"/>
  <c r="K190" i="35" s="1"/>
  <c r="O190" i="35" s="1"/>
  <c r="J189" i="35"/>
  <c r="K189" i="35" s="1"/>
  <c r="O189" i="35" s="1"/>
  <c r="J188" i="35"/>
  <c r="K188" i="35" s="1"/>
  <c r="O188" i="35" s="1"/>
  <c r="J187" i="35"/>
  <c r="K187" i="35" s="1"/>
  <c r="O187" i="35" s="1"/>
  <c r="J186" i="35"/>
  <c r="K186" i="35" s="1"/>
  <c r="O186" i="35" s="1"/>
  <c r="O132" i="35"/>
  <c r="O133" i="35"/>
  <c r="O134" i="35"/>
  <c r="O135" i="35"/>
  <c r="O136" i="35"/>
  <c r="O131" i="35"/>
  <c r="O125" i="35"/>
  <c r="O126" i="35"/>
  <c r="O127" i="35"/>
  <c r="O128" i="35"/>
  <c r="O129" i="35"/>
  <c r="O124" i="35"/>
  <c r="O80" i="35"/>
  <c r="O81" i="35"/>
  <c r="O82" i="35"/>
  <c r="O83" i="35"/>
  <c r="O84" i="35"/>
  <c r="O79" i="35"/>
  <c r="O73" i="35"/>
  <c r="O74" i="35"/>
  <c r="O75" i="35"/>
  <c r="O76" i="35"/>
  <c r="O77" i="35"/>
  <c r="O72" i="35"/>
  <c r="O21" i="35"/>
  <c r="O22" i="35"/>
  <c r="O23" i="35"/>
  <c r="O24" i="35"/>
  <c r="O25" i="35"/>
  <c r="O20" i="35"/>
  <c r="O29" i="35"/>
  <c r="O30" i="35"/>
  <c r="O31" i="35"/>
  <c r="O32" i="35"/>
  <c r="O28" i="35"/>
  <c r="O27" i="35"/>
  <c r="S248" i="35" l="1"/>
  <c r="S538" i="35"/>
  <c r="S548" i="35"/>
  <c r="S537" i="35"/>
  <c r="S536" i="35"/>
  <c r="S541" i="35"/>
  <c r="AD130" i="35"/>
  <c r="AE130" i="35" s="1"/>
  <c r="S543" i="35"/>
  <c r="S546" i="35"/>
  <c r="Z85" i="35"/>
  <c r="AA85" i="35" s="1"/>
  <c r="V137" i="35"/>
  <c r="W137" i="35" s="1"/>
  <c r="S544" i="35"/>
  <c r="Z137" i="35"/>
  <c r="AA137" i="35" s="1"/>
  <c r="S545" i="35"/>
  <c r="V130" i="35"/>
  <c r="W130" i="35" s="1"/>
  <c r="AD85" i="35"/>
  <c r="AE85" i="35" s="1"/>
  <c r="V78" i="35"/>
  <c r="W78" i="35" s="1"/>
  <c r="Z78" i="35"/>
  <c r="AA78" i="35" s="1"/>
  <c r="V33" i="35"/>
  <c r="W33" i="35" s="1"/>
  <c r="Z33" i="35"/>
  <c r="AA33" i="35" s="1"/>
  <c r="AA130" i="35"/>
  <c r="AE137" i="35"/>
  <c r="S540" i="35"/>
  <c r="S547" i="35"/>
  <c r="S539" i="35"/>
  <c r="S411" i="35"/>
  <c r="S402" i="35"/>
  <c r="S406" i="35"/>
  <c r="S407" i="35"/>
  <c r="W85" i="35"/>
  <c r="S409" i="35"/>
  <c r="S414" i="35"/>
  <c r="S405" i="35"/>
  <c r="AE78" i="35"/>
  <c r="S410" i="35"/>
  <c r="S412" i="35"/>
  <c r="S403" i="35"/>
  <c r="S413" i="35"/>
  <c r="S404" i="35"/>
  <c r="S254" i="35"/>
  <c r="S255" i="35"/>
  <c r="S246" i="35"/>
  <c r="S250" i="35"/>
  <c r="S253" i="35"/>
  <c r="S257" i="35"/>
  <c r="S256" i="35"/>
  <c r="S247" i="35"/>
  <c r="S251" i="35"/>
  <c r="AE33" i="35"/>
  <c r="S258" i="35"/>
  <c r="S249" i="35"/>
  <c r="S549" i="35" l="1"/>
  <c r="J580" i="35" s="1"/>
  <c r="S542" i="35"/>
  <c r="J579" i="35" s="1"/>
  <c r="S408" i="35"/>
  <c r="J445" i="35" s="1"/>
  <c r="S415" i="35"/>
  <c r="J446" i="35" s="1"/>
  <c r="S259" i="35"/>
  <c r="J313" i="35" s="1"/>
  <c r="S252" i="35"/>
  <c r="J312" i="35" s="1"/>
  <c r="R569" i="35" l="1"/>
  <c r="N569" i="35"/>
  <c r="O569" i="35" s="1"/>
  <c r="Q569" i="35" s="1"/>
  <c r="R568" i="35"/>
  <c r="N568" i="35"/>
  <c r="O568" i="35" s="1"/>
  <c r="Q568" i="35" s="1"/>
  <c r="R567" i="35"/>
  <c r="N567" i="35"/>
  <c r="O567" i="35" s="1"/>
  <c r="Q567" i="35" s="1"/>
  <c r="R566" i="35"/>
  <c r="N566" i="35"/>
  <c r="O566" i="35" s="1"/>
  <c r="Q566" i="35" s="1"/>
  <c r="R565" i="35"/>
  <c r="N565" i="35"/>
  <c r="O565" i="35" s="1"/>
  <c r="Q565" i="35" s="1"/>
  <c r="R564" i="35"/>
  <c r="N564" i="35"/>
  <c r="O564" i="35" s="1"/>
  <c r="Q564" i="35" s="1"/>
  <c r="R562" i="35"/>
  <c r="N562" i="35"/>
  <c r="O562" i="35" s="1"/>
  <c r="Q562" i="35" s="1"/>
  <c r="R561" i="35"/>
  <c r="N561" i="35"/>
  <c r="O561" i="35" s="1"/>
  <c r="Q561" i="35" s="1"/>
  <c r="R560" i="35"/>
  <c r="N560" i="35"/>
  <c r="O560" i="35" s="1"/>
  <c r="Q560" i="35" s="1"/>
  <c r="R559" i="35"/>
  <c r="N559" i="35"/>
  <c r="O559" i="35" s="1"/>
  <c r="Q559" i="35" s="1"/>
  <c r="R558" i="35"/>
  <c r="N558" i="35"/>
  <c r="O558" i="35" s="1"/>
  <c r="Q558" i="35" s="1"/>
  <c r="R557" i="35"/>
  <c r="N557" i="35"/>
  <c r="O557" i="35" s="1"/>
  <c r="Q557" i="35" s="1"/>
  <c r="R555" i="35"/>
  <c r="N555" i="35"/>
  <c r="O555" i="35" s="1"/>
  <c r="Q555" i="35" s="1"/>
  <c r="R554" i="35"/>
  <c r="N554" i="35"/>
  <c r="O554" i="35" s="1"/>
  <c r="Q554" i="35" s="1"/>
  <c r="R553" i="35"/>
  <c r="N553" i="35"/>
  <c r="O553" i="35" s="1"/>
  <c r="Q553" i="35" s="1"/>
  <c r="R552" i="35"/>
  <c r="N552" i="35"/>
  <c r="O552" i="35" s="1"/>
  <c r="Q552" i="35" s="1"/>
  <c r="R551" i="35"/>
  <c r="N551" i="35"/>
  <c r="O551" i="35" s="1"/>
  <c r="Q551" i="35" s="1"/>
  <c r="R550" i="35"/>
  <c r="N550" i="35"/>
  <c r="O550" i="35" s="1"/>
  <c r="Q550" i="35" s="1"/>
  <c r="L515" i="35"/>
  <c r="M515" i="35" s="1"/>
  <c r="L514" i="35"/>
  <c r="M514" i="35" s="1"/>
  <c r="L513" i="35"/>
  <c r="M513" i="35" s="1"/>
  <c r="L512" i="35"/>
  <c r="M512" i="35" s="1"/>
  <c r="L511" i="35"/>
  <c r="M511" i="35" s="1"/>
  <c r="L510" i="35"/>
  <c r="M510" i="35" s="1"/>
  <c r="S504" i="35"/>
  <c r="N504" i="35"/>
  <c r="J504" i="35"/>
  <c r="K504" i="35" s="1"/>
  <c r="O504" i="35" s="1"/>
  <c r="S503" i="35"/>
  <c r="N503" i="35"/>
  <c r="J503" i="35"/>
  <c r="K503" i="35" s="1"/>
  <c r="O503" i="35" s="1"/>
  <c r="S502" i="35"/>
  <c r="N502" i="35"/>
  <c r="J502" i="35"/>
  <c r="K502" i="35" s="1"/>
  <c r="O502" i="35" s="1"/>
  <c r="S501" i="35"/>
  <c r="N501" i="35"/>
  <c r="J501" i="35"/>
  <c r="K501" i="35" s="1"/>
  <c r="O501" i="35" s="1"/>
  <c r="S500" i="35"/>
  <c r="N500" i="35"/>
  <c r="J500" i="35"/>
  <c r="K500" i="35" s="1"/>
  <c r="O500" i="35" s="1"/>
  <c r="S499" i="35"/>
  <c r="N499" i="35"/>
  <c r="J499" i="35"/>
  <c r="K499" i="35" s="1"/>
  <c r="O499" i="35" s="1"/>
  <c r="S497" i="35"/>
  <c r="N497" i="35"/>
  <c r="J497" i="35"/>
  <c r="K497" i="35" s="1"/>
  <c r="O497" i="35" s="1"/>
  <c r="S496" i="35"/>
  <c r="N496" i="35"/>
  <c r="J496" i="35"/>
  <c r="K496" i="35" s="1"/>
  <c r="O496" i="35" s="1"/>
  <c r="S495" i="35"/>
  <c r="N495" i="35"/>
  <c r="J495" i="35"/>
  <c r="K495" i="35" s="1"/>
  <c r="O495" i="35" s="1"/>
  <c r="S494" i="35"/>
  <c r="N494" i="35"/>
  <c r="J494" i="35"/>
  <c r="K494" i="35" s="1"/>
  <c r="O494" i="35" s="1"/>
  <c r="S493" i="35"/>
  <c r="N493" i="35"/>
  <c r="J493" i="35"/>
  <c r="K493" i="35" s="1"/>
  <c r="O493" i="35" s="1"/>
  <c r="S492" i="35"/>
  <c r="N492" i="35"/>
  <c r="J492" i="35"/>
  <c r="K492" i="35" s="1"/>
  <c r="O492" i="35" s="1"/>
  <c r="S490" i="35"/>
  <c r="N490" i="35"/>
  <c r="J490" i="35"/>
  <c r="K490" i="35" s="1"/>
  <c r="O490" i="35" s="1"/>
  <c r="S489" i="35"/>
  <c r="N489" i="35"/>
  <c r="J489" i="35"/>
  <c r="K489" i="35" s="1"/>
  <c r="O489" i="35" s="1"/>
  <c r="S488" i="35"/>
  <c r="N488" i="35"/>
  <c r="J488" i="35"/>
  <c r="K488" i="35" s="1"/>
  <c r="O488" i="35" s="1"/>
  <c r="S487" i="35"/>
  <c r="N487" i="35"/>
  <c r="J487" i="35"/>
  <c r="K487" i="35" s="1"/>
  <c r="O487" i="35" s="1"/>
  <c r="S486" i="35"/>
  <c r="N486" i="35"/>
  <c r="J486" i="35"/>
  <c r="K486" i="35" s="1"/>
  <c r="O486" i="35" s="1"/>
  <c r="S485" i="35"/>
  <c r="N485" i="35"/>
  <c r="J485" i="35"/>
  <c r="K485" i="35" s="1"/>
  <c r="O485" i="35" s="1"/>
  <c r="R435" i="35"/>
  <c r="N435" i="35"/>
  <c r="O435" i="35" s="1"/>
  <c r="Q435" i="35" s="1"/>
  <c r="R434" i="35"/>
  <c r="N434" i="35"/>
  <c r="O434" i="35" s="1"/>
  <c r="Q434" i="35" s="1"/>
  <c r="R433" i="35"/>
  <c r="N433" i="35"/>
  <c r="O433" i="35" s="1"/>
  <c r="Q433" i="35" s="1"/>
  <c r="R432" i="35"/>
  <c r="N432" i="35"/>
  <c r="O432" i="35" s="1"/>
  <c r="Q432" i="35" s="1"/>
  <c r="R431" i="35"/>
  <c r="N431" i="35"/>
  <c r="O431" i="35" s="1"/>
  <c r="Q431" i="35" s="1"/>
  <c r="R430" i="35"/>
  <c r="N430" i="35"/>
  <c r="O430" i="35" s="1"/>
  <c r="Q430" i="35" s="1"/>
  <c r="R428" i="35"/>
  <c r="N428" i="35"/>
  <c r="O428" i="35" s="1"/>
  <c r="Q428" i="35" s="1"/>
  <c r="R427" i="35"/>
  <c r="N427" i="35"/>
  <c r="O427" i="35" s="1"/>
  <c r="Q427" i="35" s="1"/>
  <c r="R426" i="35"/>
  <c r="N426" i="35"/>
  <c r="O426" i="35" s="1"/>
  <c r="Q426" i="35" s="1"/>
  <c r="R425" i="35"/>
  <c r="N425" i="35"/>
  <c r="O425" i="35" s="1"/>
  <c r="Q425" i="35" s="1"/>
  <c r="R424" i="35"/>
  <c r="N424" i="35"/>
  <c r="O424" i="35" s="1"/>
  <c r="Q424" i="35" s="1"/>
  <c r="R423" i="35"/>
  <c r="N423" i="35"/>
  <c r="O423" i="35" s="1"/>
  <c r="Q423" i="35" s="1"/>
  <c r="R421" i="35"/>
  <c r="N421" i="35"/>
  <c r="O421" i="35" s="1"/>
  <c r="Q421" i="35" s="1"/>
  <c r="R420" i="35"/>
  <c r="N420" i="35"/>
  <c r="O420" i="35" s="1"/>
  <c r="Q420" i="35" s="1"/>
  <c r="R419" i="35"/>
  <c r="N419" i="35"/>
  <c r="O419" i="35" s="1"/>
  <c r="Q419" i="35" s="1"/>
  <c r="R418" i="35"/>
  <c r="N418" i="35"/>
  <c r="O418" i="35" s="1"/>
  <c r="Q418" i="35" s="1"/>
  <c r="R417" i="35"/>
  <c r="N417" i="35"/>
  <c r="O417" i="35" s="1"/>
  <c r="Q417" i="35" s="1"/>
  <c r="R416" i="35"/>
  <c r="N416" i="35"/>
  <c r="O416" i="35" s="1"/>
  <c r="Q416" i="35" s="1"/>
  <c r="L382" i="35"/>
  <c r="M382" i="35" s="1"/>
  <c r="L381" i="35"/>
  <c r="M381" i="35" s="1"/>
  <c r="L380" i="35"/>
  <c r="M380" i="35" s="1"/>
  <c r="L379" i="35"/>
  <c r="M379" i="35" s="1"/>
  <c r="L378" i="35"/>
  <c r="M378" i="35" s="1"/>
  <c r="L377" i="35"/>
  <c r="M377" i="35" s="1"/>
  <c r="S370" i="35"/>
  <c r="N370" i="35"/>
  <c r="J370" i="35"/>
  <c r="K370" i="35" s="1"/>
  <c r="O370" i="35" s="1"/>
  <c r="S369" i="35"/>
  <c r="N369" i="35"/>
  <c r="J369" i="35"/>
  <c r="K369" i="35" s="1"/>
  <c r="O369" i="35" s="1"/>
  <c r="S368" i="35"/>
  <c r="N368" i="35"/>
  <c r="J368" i="35"/>
  <c r="K368" i="35" s="1"/>
  <c r="O368" i="35" s="1"/>
  <c r="S367" i="35"/>
  <c r="N367" i="35"/>
  <c r="J367" i="35"/>
  <c r="K367" i="35" s="1"/>
  <c r="O367" i="35" s="1"/>
  <c r="S366" i="35"/>
  <c r="N366" i="35"/>
  <c r="J366" i="35"/>
  <c r="K366" i="35" s="1"/>
  <c r="O366" i="35" s="1"/>
  <c r="S365" i="35"/>
  <c r="N365" i="35"/>
  <c r="J365" i="35"/>
  <c r="K365" i="35" s="1"/>
  <c r="O365" i="35" s="1"/>
  <c r="S363" i="35"/>
  <c r="N363" i="35"/>
  <c r="J363" i="35"/>
  <c r="K363" i="35" s="1"/>
  <c r="O363" i="35" s="1"/>
  <c r="S362" i="35"/>
  <c r="N362" i="35"/>
  <c r="J362" i="35"/>
  <c r="K362" i="35" s="1"/>
  <c r="O362" i="35" s="1"/>
  <c r="S361" i="35"/>
  <c r="N361" i="35"/>
  <c r="J361" i="35"/>
  <c r="K361" i="35" s="1"/>
  <c r="O361" i="35" s="1"/>
  <c r="S360" i="35"/>
  <c r="N360" i="35"/>
  <c r="J360" i="35"/>
  <c r="K360" i="35" s="1"/>
  <c r="O360" i="35" s="1"/>
  <c r="S359" i="35"/>
  <c r="N359" i="35"/>
  <c r="J359" i="35"/>
  <c r="K359" i="35" s="1"/>
  <c r="O359" i="35" s="1"/>
  <c r="S358" i="35"/>
  <c r="N358" i="35"/>
  <c r="J358" i="35"/>
  <c r="K358" i="35" s="1"/>
  <c r="O358" i="35" s="1"/>
  <c r="S356" i="35"/>
  <c r="N356" i="35"/>
  <c r="J356" i="35"/>
  <c r="K356" i="35" s="1"/>
  <c r="O356" i="35" s="1"/>
  <c r="S355" i="35"/>
  <c r="N355" i="35"/>
  <c r="J355" i="35"/>
  <c r="K355" i="35" s="1"/>
  <c r="O355" i="35" s="1"/>
  <c r="S354" i="35"/>
  <c r="N354" i="35"/>
  <c r="J354" i="35"/>
  <c r="K354" i="35" s="1"/>
  <c r="O354" i="35" s="1"/>
  <c r="S353" i="35"/>
  <c r="N353" i="35"/>
  <c r="J353" i="35"/>
  <c r="K353" i="35" s="1"/>
  <c r="O353" i="35" s="1"/>
  <c r="S352" i="35"/>
  <c r="N352" i="35"/>
  <c r="J352" i="35"/>
  <c r="K352" i="35" s="1"/>
  <c r="O352" i="35" s="1"/>
  <c r="S351" i="35"/>
  <c r="N351" i="35"/>
  <c r="J351" i="35"/>
  <c r="K351" i="35" s="1"/>
  <c r="O351" i="35" s="1"/>
  <c r="I304" i="35"/>
  <c r="J304" i="35" s="1"/>
  <c r="J305" i="35" s="1"/>
  <c r="L298" i="35"/>
  <c r="M298" i="35" s="1"/>
  <c r="M299" i="35" s="1"/>
  <c r="O291" i="35"/>
  <c r="Q291" i="35" s="1"/>
  <c r="O290" i="35"/>
  <c r="Q290" i="35" s="1"/>
  <c r="Q289" i="35"/>
  <c r="O288" i="35"/>
  <c r="Q288" i="35" s="1"/>
  <c r="O287" i="35"/>
  <c r="Q287" i="35" s="1"/>
  <c r="O286" i="35"/>
  <c r="Q286" i="35" s="1"/>
  <c r="R279" i="35"/>
  <c r="N279" i="35"/>
  <c r="O279" i="35" s="1"/>
  <c r="Q279" i="35" s="1"/>
  <c r="R278" i="35"/>
  <c r="N278" i="35"/>
  <c r="O278" i="35" s="1"/>
  <c r="Q278" i="35" s="1"/>
  <c r="R277" i="35"/>
  <c r="N277" i="35"/>
  <c r="O277" i="35" s="1"/>
  <c r="Q277" i="35" s="1"/>
  <c r="R276" i="35"/>
  <c r="N276" i="35"/>
  <c r="O276" i="35" s="1"/>
  <c r="Q276" i="35" s="1"/>
  <c r="R275" i="35"/>
  <c r="N275" i="35"/>
  <c r="O275" i="35" s="1"/>
  <c r="Q275" i="35" s="1"/>
  <c r="R274" i="35"/>
  <c r="N274" i="35"/>
  <c r="O274" i="35" s="1"/>
  <c r="Q274" i="35" s="1"/>
  <c r="R272" i="35"/>
  <c r="N272" i="35"/>
  <c r="O272" i="35" s="1"/>
  <c r="Q272" i="35" s="1"/>
  <c r="R271" i="35"/>
  <c r="N271" i="35"/>
  <c r="O271" i="35" s="1"/>
  <c r="Q271" i="35" s="1"/>
  <c r="R270" i="35"/>
  <c r="N270" i="35"/>
  <c r="O270" i="35" s="1"/>
  <c r="Q270" i="35" s="1"/>
  <c r="R269" i="35"/>
  <c r="N269" i="35"/>
  <c r="O269" i="35" s="1"/>
  <c r="Q269" i="35" s="1"/>
  <c r="R268" i="35"/>
  <c r="N268" i="35"/>
  <c r="O268" i="35" s="1"/>
  <c r="Q268" i="35" s="1"/>
  <c r="R267" i="35"/>
  <c r="N267" i="35"/>
  <c r="O267" i="35" s="1"/>
  <c r="Q267" i="35" s="1"/>
  <c r="S267" i="35" s="1"/>
  <c r="R265" i="35"/>
  <c r="N265" i="35"/>
  <c r="O265" i="35" s="1"/>
  <c r="Q265" i="35" s="1"/>
  <c r="R264" i="35"/>
  <c r="N264" i="35"/>
  <c r="O264" i="35" s="1"/>
  <c r="Q264" i="35" s="1"/>
  <c r="R263" i="35"/>
  <c r="N263" i="35"/>
  <c r="O263" i="35" s="1"/>
  <c r="Q263" i="35" s="1"/>
  <c r="R262" i="35"/>
  <c r="N262" i="35"/>
  <c r="O262" i="35" s="1"/>
  <c r="Q262" i="35" s="1"/>
  <c r="R261" i="35"/>
  <c r="N261" i="35"/>
  <c r="O261" i="35" s="1"/>
  <c r="Q261" i="35" s="1"/>
  <c r="R260" i="35"/>
  <c r="N260" i="35"/>
  <c r="O260" i="35" s="1"/>
  <c r="Q260" i="35" s="1"/>
  <c r="L225" i="35"/>
  <c r="M225" i="35" s="1"/>
  <c r="L224" i="35"/>
  <c r="M224" i="35" s="1"/>
  <c r="L223" i="35"/>
  <c r="M223" i="35" s="1"/>
  <c r="L222" i="35"/>
  <c r="M222" i="35" s="1"/>
  <c r="L221" i="35"/>
  <c r="M221" i="35" s="1"/>
  <c r="L220" i="35"/>
  <c r="M220" i="35" s="1"/>
  <c r="S212" i="35"/>
  <c r="N212" i="35"/>
  <c r="J212" i="35"/>
  <c r="K212" i="35" s="1"/>
  <c r="O212" i="35" s="1"/>
  <c r="S211" i="35"/>
  <c r="N211" i="35"/>
  <c r="J211" i="35"/>
  <c r="K211" i="35" s="1"/>
  <c r="O211" i="35" s="1"/>
  <c r="S210" i="35"/>
  <c r="N210" i="35"/>
  <c r="J210" i="35"/>
  <c r="K210" i="35" s="1"/>
  <c r="O210" i="35" s="1"/>
  <c r="S209" i="35"/>
  <c r="N209" i="35"/>
  <c r="J209" i="35"/>
  <c r="K209" i="35" s="1"/>
  <c r="O209" i="35" s="1"/>
  <c r="S208" i="35"/>
  <c r="N208" i="35"/>
  <c r="J208" i="35"/>
  <c r="K208" i="35" s="1"/>
  <c r="O208" i="35" s="1"/>
  <c r="N207" i="35"/>
  <c r="J207" i="35"/>
  <c r="K207" i="35" s="1"/>
  <c r="O207" i="35" s="1"/>
  <c r="S205" i="35"/>
  <c r="N205" i="35"/>
  <c r="J205" i="35"/>
  <c r="K205" i="35" s="1"/>
  <c r="O205" i="35" s="1"/>
  <c r="S204" i="35"/>
  <c r="N204" i="35"/>
  <c r="J204" i="35"/>
  <c r="K204" i="35" s="1"/>
  <c r="O204" i="35" s="1"/>
  <c r="S203" i="35"/>
  <c r="N203" i="35"/>
  <c r="J203" i="35"/>
  <c r="K203" i="35" s="1"/>
  <c r="O203" i="35" s="1"/>
  <c r="S202" i="35"/>
  <c r="N202" i="35"/>
  <c r="J202" i="35"/>
  <c r="K202" i="35" s="1"/>
  <c r="O202" i="35" s="1"/>
  <c r="S201" i="35"/>
  <c r="N201" i="35"/>
  <c r="J201" i="35"/>
  <c r="K201" i="35" s="1"/>
  <c r="O201" i="35" s="1"/>
  <c r="D173" i="35"/>
  <c r="N200" i="35"/>
  <c r="J200" i="35"/>
  <c r="K200" i="35" s="1"/>
  <c r="O200" i="35" s="1"/>
  <c r="S198" i="35"/>
  <c r="N198" i="35"/>
  <c r="J198" i="35"/>
  <c r="K198" i="35" s="1"/>
  <c r="O198" i="35" s="1"/>
  <c r="S197" i="35"/>
  <c r="N197" i="35"/>
  <c r="J197" i="35"/>
  <c r="K197" i="35" s="1"/>
  <c r="O197" i="35" s="1"/>
  <c r="S196" i="35"/>
  <c r="N196" i="35"/>
  <c r="J196" i="35"/>
  <c r="K196" i="35" s="1"/>
  <c r="O196" i="35" s="1"/>
  <c r="S195" i="35"/>
  <c r="N195" i="35"/>
  <c r="J195" i="35"/>
  <c r="K195" i="35" s="1"/>
  <c r="O195" i="35" s="1"/>
  <c r="S194" i="35"/>
  <c r="N194" i="35"/>
  <c r="J194" i="35"/>
  <c r="K194" i="35" s="1"/>
  <c r="O194" i="35" s="1"/>
  <c r="S193" i="35"/>
  <c r="N193" i="35"/>
  <c r="J193" i="35"/>
  <c r="K193" i="35" s="1"/>
  <c r="O193" i="35" s="1"/>
  <c r="S158" i="35"/>
  <c r="R158" i="35"/>
  <c r="Q158" i="35"/>
  <c r="V158" i="35" s="1"/>
  <c r="O157" i="35"/>
  <c r="O156" i="35"/>
  <c r="O155" i="35"/>
  <c r="O154" i="35"/>
  <c r="O153" i="35"/>
  <c r="O152" i="35"/>
  <c r="S151" i="35"/>
  <c r="R151" i="35"/>
  <c r="Q151" i="35"/>
  <c r="AD151" i="35" s="1"/>
  <c r="O150" i="35"/>
  <c r="O149" i="35"/>
  <c r="O148" i="35"/>
  <c r="O147" i="35"/>
  <c r="O146" i="35"/>
  <c r="O145" i="35"/>
  <c r="S144" i="35"/>
  <c r="R144" i="35"/>
  <c r="Q144" i="35"/>
  <c r="V144" i="35" s="1"/>
  <c r="O143" i="35"/>
  <c r="O142" i="35"/>
  <c r="O141" i="35"/>
  <c r="O140" i="35"/>
  <c r="O139" i="35"/>
  <c r="O138" i="35"/>
  <c r="S106" i="35"/>
  <c r="R106" i="35"/>
  <c r="Q106" i="35"/>
  <c r="V106" i="35" s="1"/>
  <c r="O105" i="35"/>
  <c r="O104" i="35"/>
  <c r="O103" i="35"/>
  <c r="O102" i="35"/>
  <c r="O101" i="35"/>
  <c r="O100" i="35"/>
  <c r="S99" i="35"/>
  <c r="R99" i="35"/>
  <c r="Q99" i="35"/>
  <c r="AD99" i="35" s="1"/>
  <c r="O98" i="35"/>
  <c r="O97" i="35"/>
  <c r="O96" i="35"/>
  <c r="O95" i="35"/>
  <c r="O94" i="35"/>
  <c r="O93" i="35"/>
  <c r="S92" i="35"/>
  <c r="R92" i="35"/>
  <c r="Q92" i="35"/>
  <c r="V92" i="35" s="1"/>
  <c r="O91" i="35"/>
  <c r="O90" i="35"/>
  <c r="O89" i="35"/>
  <c r="O88" i="35"/>
  <c r="O87" i="35"/>
  <c r="O86" i="35"/>
  <c r="S54" i="35"/>
  <c r="R54" i="35"/>
  <c r="Q54" i="35"/>
  <c r="Z54" i="35" s="1"/>
  <c r="O53" i="35"/>
  <c r="O52" i="35"/>
  <c r="O51" i="35"/>
  <c r="O50" i="35"/>
  <c r="O49" i="35"/>
  <c r="O48" i="35"/>
  <c r="S47" i="35"/>
  <c r="R47" i="35"/>
  <c r="Q47" i="35"/>
  <c r="Z47" i="35" s="1"/>
  <c r="O46" i="35"/>
  <c r="O45" i="35"/>
  <c r="O44" i="35"/>
  <c r="O43" i="35"/>
  <c r="O42" i="35"/>
  <c r="O41" i="35"/>
  <c r="S40" i="35"/>
  <c r="R40" i="35"/>
  <c r="Q40" i="35"/>
  <c r="Z40" i="35" s="1"/>
  <c r="O39" i="35"/>
  <c r="O38" i="35"/>
  <c r="O37" i="35"/>
  <c r="O36" i="35"/>
  <c r="O35" i="35"/>
  <c r="O34" i="35"/>
  <c r="I304" i="34"/>
  <c r="J304" i="34" s="1"/>
  <c r="J305" i="34" s="1"/>
  <c r="L298" i="34"/>
  <c r="M298" i="34" s="1"/>
  <c r="M299" i="34" s="1"/>
  <c r="Q40" i="34"/>
  <c r="Z40" i="34" s="1"/>
  <c r="Q158" i="34"/>
  <c r="V158" i="34" s="1"/>
  <c r="Q151" i="34"/>
  <c r="AD151" i="34" s="1"/>
  <c r="Q144" i="34"/>
  <c r="AD144" i="34" s="1"/>
  <c r="Q106" i="34"/>
  <c r="AD106" i="34" s="1"/>
  <c r="Q99" i="34"/>
  <c r="V99" i="34" s="1"/>
  <c r="Q92" i="34"/>
  <c r="V92" i="34" s="1"/>
  <c r="Q54" i="34"/>
  <c r="AD54" i="34" s="1"/>
  <c r="Q47" i="34"/>
  <c r="AD47" i="34" s="1"/>
  <c r="R576" i="34"/>
  <c r="R575" i="34"/>
  <c r="R574" i="34"/>
  <c r="R573" i="34"/>
  <c r="R572" i="34"/>
  <c r="R571" i="34"/>
  <c r="R569" i="34"/>
  <c r="R568" i="34"/>
  <c r="R567" i="34"/>
  <c r="R566" i="34"/>
  <c r="R565" i="34"/>
  <c r="R564" i="34"/>
  <c r="R562" i="34"/>
  <c r="R561" i="34"/>
  <c r="R560" i="34"/>
  <c r="R559" i="34"/>
  <c r="R558" i="34"/>
  <c r="R557" i="34"/>
  <c r="N576" i="34"/>
  <c r="O576" i="34" s="1"/>
  <c r="Q576" i="34" s="1"/>
  <c r="N571" i="34"/>
  <c r="O571" i="34" s="1"/>
  <c r="Q571" i="34" s="1"/>
  <c r="N569" i="34"/>
  <c r="O569" i="34" s="1"/>
  <c r="Q569" i="34" s="1"/>
  <c r="N564" i="34"/>
  <c r="O564" i="34" s="1"/>
  <c r="Q564" i="34" s="1"/>
  <c r="N562" i="34"/>
  <c r="O562" i="34" s="1"/>
  <c r="Q562" i="34" s="1"/>
  <c r="N557" i="34"/>
  <c r="O557" i="34" s="1"/>
  <c r="Q557" i="34" s="1"/>
  <c r="L522" i="34"/>
  <c r="M522" i="34" s="1"/>
  <c r="L517" i="34"/>
  <c r="M517" i="34" s="1"/>
  <c r="S511" i="34"/>
  <c r="S510" i="34"/>
  <c r="S509" i="34"/>
  <c r="S508" i="34"/>
  <c r="S507" i="34"/>
  <c r="S506" i="34"/>
  <c r="S504" i="34"/>
  <c r="S503" i="34"/>
  <c r="S502" i="34"/>
  <c r="S501" i="34"/>
  <c r="S500" i="34"/>
  <c r="S499" i="34"/>
  <c r="S497" i="34"/>
  <c r="S496" i="34"/>
  <c r="S495" i="34"/>
  <c r="S494" i="34"/>
  <c r="S493" i="34"/>
  <c r="S492" i="34"/>
  <c r="S490" i="34"/>
  <c r="S485" i="34"/>
  <c r="N511" i="34"/>
  <c r="J511" i="34"/>
  <c r="K511" i="34" s="1"/>
  <c r="O511" i="34" s="1"/>
  <c r="N506" i="34"/>
  <c r="J506" i="34"/>
  <c r="K506" i="34" s="1"/>
  <c r="O506" i="34" s="1"/>
  <c r="N504" i="34"/>
  <c r="J504" i="34"/>
  <c r="K504" i="34" s="1"/>
  <c r="O504" i="34" s="1"/>
  <c r="N499" i="34"/>
  <c r="J499" i="34"/>
  <c r="K499" i="34" s="1"/>
  <c r="O499" i="34" s="1"/>
  <c r="N497" i="34"/>
  <c r="J497" i="34"/>
  <c r="K497" i="34" s="1"/>
  <c r="O497" i="34" s="1"/>
  <c r="N492" i="34"/>
  <c r="J492" i="34"/>
  <c r="K492" i="34" s="1"/>
  <c r="O492" i="34" s="1"/>
  <c r="N490" i="34"/>
  <c r="J490" i="34"/>
  <c r="K490" i="34" s="1"/>
  <c r="O490" i="34" s="1"/>
  <c r="N485" i="34"/>
  <c r="J485" i="34"/>
  <c r="K485" i="34" s="1"/>
  <c r="O485" i="34" s="1"/>
  <c r="R435" i="34"/>
  <c r="R434" i="34"/>
  <c r="R433" i="34"/>
  <c r="R432" i="34"/>
  <c r="R431" i="34"/>
  <c r="R430" i="34"/>
  <c r="R428" i="34"/>
  <c r="R427" i="34"/>
  <c r="R426" i="34"/>
  <c r="R425" i="34"/>
  <c r="R424" i="34"/>
  <c r="R423" i="34"/>
  <c r="R421" i="34"/>
  <c r="R420" i="34"/>
  <c r="R419" i="34"/>
  <c r="R418" i="34"/>
  <c r="R417" i="34"/>
  <c r="R416" i="34"/>
  <c r="N435" i="34"/>
  <c r="O435" i="34" s="1"/>
  <c r="Q435" i="34" s="1"/>
  <c r="N430" i="34"/>
  <c r="O430" i="34" s="1"/>
  <c r="Q430" i="34" s="1"/>
  <c r="N428" i="34"/>
  <c r="O428" i="34" s="1"/>
  <c r="Q428" i="34" s="1"/>
  <c r="N423" i="34"/>
  <c r="O423" i="34" s="1"/>
  <c r="Q423" i="34" s="1"/>
  <c r="N421" i="34"/>
  <c r="O421" i="34" s="1"/>
  <c r="Q421" i="34" s="1"/>
  <c r="N416" i="34"/>
  <c r="O416" i="34" s="1"/>
  <c r="Q416" i="34" s="1"/>
  <c r="L382" i="34"/>
  <c r="M382" i="34" s="1"/>
  <c r="L377" i="34"/>
  <c r="M377" i="34" s="1"/>
  <c r="S370" i="34"/>
  <c r="S369" i="34"/>
  <c r="S368" i="34"/>
  <c r="S367" i="34"/>
  <c r="S366" i="34"/>
  <c r="S365" i="34"/>
  <c r="S363" i="34"/>
  <c r="S362" i="34"/>
  <c r="S361" i="34"/>
  <c r="S360" i="34"/>
  <c r="S359" i="34"/>
  <c r="S358" i="34"/>
  <c r="S356" i="34"/>
  <c r="S351" i="34"/>
  <c r="N370" i="34"/>
  <c r="J370" i="34"/>
  <c r="K370" i="34" s="1"/>
  <c r="O370" i="34" s="1"/>
  <c r="N365" i="34"/>
  <c r="J365" i="34"/>
  <c r="K365" i="34" s="1"/>
  <c r="O365" i="34" s="1"/>
  <c r="N363" i="34"/>
  <c r="J363" i="34"/>
  <c r="K363" i="34" s="1"/>
  <c r="O363" i="34" s="1"/>
  <c r="N358" i="34"/>
  <c r="J358" i="34"/>
  <c r="K358" i="34" s="1"/>
  <c r="O358" i="34" s="1"/>
  <c r="N356" i="34"/>
  <c r="J356" i="34"/>
  <c r="K356" i="34" s="1"/>
  <c r="O356" i="34" s="1"/>
  <c r="N351" i="34"/>
  <c r="J351" i="34"/>
  <c r="K351" i="34" s="1"/>
  <c r="O351" i="34" s="1"/>
  <c r="O291" i="34"/>
  <c r="Q291" i="34" s="1"/>
  <c r="O286" i="34"/>
  <c r="Q286" i="34" s="1"/>
  <c r="O287" i="34"/>
  <c r="Q287" i="34" s="1"/>
  <c r="O288" i="34"/>
  <c r="Q288" i="34" s="1"/>
  <c r="Q289" i="34"/>
  <c r="O290" i="34"/>
  <c r="Q290" i="34" s="1"/>
  <c r="R279" i="34"/>
  <c r="R278" i="34"/>
  <c r="R277" i="34"/>
  <c r="R276" i="34"/>
  <c r="R275" i="34"/>
  <c r="R274" i="34"/>
  <c r="R272" i="34"/>
  <c r="R271" i="34"/>
  <c r="R270" i="34"/>
  <c r="R269" i="34"/>
  <c r="R268" i="34"/>
  <c r="R267" i="34"/>
  <c r="R265" i="34"/>
  <c r="R260" i="34"/>
  <c r="N275" i="34"/>
  <c r="O275" i="34" s="1"/>
  <c r="Q275" i="34" s="1"/>
  <c r="N276" i="34"/>
  <c r="O276" i="34" s="1"/>
  <c r="Q276" i="34" s="1"/>
  <c r="N277" i="34"/>
  <c r="O277" i="34" s="1"/>
  <c r="Q277" i="34" s="1"/>
  <c r="N278" i="34"/>
  <c r="O278" i="34" s="1"/>
  <c r="Q278" i="34" s="1"/>
  <c r="N279" i="34"/>
  <c r="O279" i="34" s="1"/>
  <c r="Q279" i="34" s="1"/>
  <c r="N274" i="34"/>
  <c r="O274" i="34" s="1"/>
  <c r="Q274" i="34" s="1"/>
  <c r="N268" i="34"/>
  <c r="O268" i="34" s="1"/>
  <c r="Q268" i="34" s="1"/>
  <c r="N269" i="34"/>
  <c r="O269" i="34" s="1"/>
  <c r="Q269" i="34" s="1"/>
  <c r="N270" i="34"/>
  <c r="O270" i="34" s="1"/>
  <c r="Q270" i="34" s="1"/>
  <c r="N271" i="34"/>
  <c r="O271" i="34" s="1"/>
  <c r="Q271" i="34" s="1"/>
  <c r="N272" i="34"/>
  <c r="O272" i="34" s="1"/>
  <c r="Q272" i="34" s="1"/>
  <c r="N267" i="34"/>
  <c r="O267" i="34" s="1"/>
  <c r="Q267" i="34" s="1"/>
  <c r="N261" i="34"/>
  <c r="O261" i="34" s="1"/>
  <c r="Q261" i="34" s="1"/>
  <c r="N262" i="34"/>
  <c r="O262" i="34" s="1"/>
  <c r="Q262" i="34" s="1"/>
  <c r="N263" i="34"/>
  <c r="O263" i="34" s="1"/>
  <c r="Q263" i="34" s="1"/>
  <c r="N264" i="34"/>
  <c r="O264" i="34" s="1"/>
  <c r="Q264" i="34" s="1"/>
  <c r="N265" i="34"/>
  <c r="O265" i="34" s="1"/>
  <c r="Q265" i="34" s="1"/>
  <c r="N260" i="34"/>
  <c r="O260" i="34" s="1"/>
  <c r="Q260" i="34" s="1"/>
  <c r="L225" i="34"/>
  <c r="M225" i="34" s="1"/>
  <c r="L220" i="34"/>
  <c r="M220" i="34" s="1"/>
  <c r="S212" i="34"/>
  <c r="N212" i="34"/>
  <c r="S207" i="34"/>
  <c r="N207" i="34"/>
  <c r="S205" i="34"/>
  <c r="N205" i="34"/>
  <c r="S200" i="34"/>
  <c r="N200" i="34"/>
  <c r="S198" i="34"/>
  <c r="S193" i="34"/>
  <c r="N198" i="34"/>
  <c r="N193" i="34"/>
  <c r="J208" i="34"/>
  <c r="K208" i="34" s="1"/>
  <c r="O208" i="34" s="1"/>
  <c r="J209" i="34"/>
  <c r="K209" i="34" s="1"/>
  <c r="O209" i="34" s="1"/>
  <c r="J210" i="34"/>
  <c r="K210" i="34" s="1"/>
  <c r="O210" i="34" s="1"/>
  <c r="J211" i="34"/>
  <c r="K211" i="34" s="1"/>
  <c r="O211" i="34" s="1"/>
  <c r="J212" i="34"/>
  <c r="K212" i="34" s="1"/>
  <c r="O212" i="34" s="1"/>
  <c r="J207" i="34"/>
  <c r="K207" i="34" s="1"/>
  <c r="O207" i="34" s="1"/>
  <c r="J200" i="34"/>
  <c r="K200" i="34" s="1"/>
  <c r="O200" i="34" s="1"/>
  <c r="J193" i="34"/>
  <c r="K193" i="34" s="1"/>
  <c r="O193" i="34" s="1"/>
  <c r="J198" i="34"/>
  <c r="K198" i="34" s="1"/>
  <c r="O198" i="34" s="1"/>
  <c r="J205" i="34"/>
  <c r="K205" i="34" s="1"/>
  <c r="O205" i="34" s="1"/>
  <c r="O153" i="34"/>
  <c r="O154" i="34"/>
  <c r="O155" i="34"/>
  <c r="O156" i="34"/>
  <c r="O157" i="34"/>
  <c r="O152" i="34"/>
  <c r="O146" i="34"/>
  <c r="O147" i="34"/>
  <c r="O148" i="34"/>
  <c r="O149" i="34"/>
  <c r="O150" i="34"/>
  <c r="O145" i="34"/>
  <c r="O139" i="34"/>
  <c r="O140" i="34"/>
  <c r="O141" i="34"/>
  <c r="O142" i="34"/>
  <c r="O143" i="34"/>
  <c r="O138" i="34"/>
  <c r="O101" i="34"/>
  <c r="O102" i="34"/>
  <c r="O103" i="34"/>
  <c r="O104" i="34"/>
  <c r="O105" i="34"/>
  <c r="O100" i="34"/>
  <c r="O94" i="34"/>
  <c r="O95" i="34"/>
  <c r="O96" i="34"/>
  <c r="O97" i="34"/>
  <c r="O98" i="34"/>
  <c r="O93" i="34"/>
  <c r="O87" i="34"/>
  <c r="O88" i="34"/>
  <c r="O89" i="34"/>
  <c r="O90" i="34"/>
  <c r="O91" i="34"/>
  <c r="O86" i="34"/>
  <c r="O49" i="34"/>
  <c r="O50" i="34"/>
  <c r="O51" i="34"/>
  <c r="O52" i="34"/>
  <c r="O53" i="34"/>
  <c r="O48" i="34"/>
  <c r="O42" i="34"/>
  <c r="O43" i="34"/>
  <c r="O44" i="34"/>
  <c r="O45" i="34"/>
  <c r="O46" i="34"/>
  <c r="O41" i="34"/>
  <c r="O35" i="34"/>
  <c r="O36" i="34"/>
  <c r="O37" i="34"/>
  <c r="O38" i="34"/>
  <c r="O39" i="34"/>
  <c r="O34" i="34"/>
  <c r="N575" i="34"/>
  <c r="O575" i="34" s="1"/>
  <c r="Q575" i="34" s="1"/>
  <c r="N574" i="34"/>
  <c r="O574" i="34" s="1"/>
  <c r="Q574" i="34" s="1"/>
  <c r="N573" i="34"/>
  <c r="O573" i="34" s="1"/>
  <c r="Q573" i="34" s="1"/>
  <c r="N572" i="34"/>
  <c r="O572" i="34" s="1"/>
  <c r="Q572" i="34" s="1"/>
  <c r="N568" i="34"/>
  <c r="O568" i="34" s="1"/>
  <c r="Q568" i="34" s="1"/>
  <c r="N567" i="34"/>
  <c r="O567" i="34" s="1"/>
  <c r="Q567" i="34" s="1"/>
  <c r="N566" i="34"/>
  <c r="O566" i="34" s="1"/>
  <c r="Q566" i="34" s="1"/>
  <c r="N565" i="34"/>
  <c r="O565" i="34" s="1"/>
  <c r="Q565" i="34" s="1"/>
  <c r="N561" i="34"/>
  <c r="O561" i="34" s="1"/>
  <c r="Q561" i="34" s="1"/>
  <c r="N560" i="34"/>
  <c r="O560" i="34" s="1"/>
  <c r="Q560" i="34" s="1"/>
  <c r="N559" i="34"/>
  <c r="O559" i="34" s="1"/>
  <c r="Q559" i="34" s="1"/>
  <c r="N558" i="34"/>
  <c r="O558" i="34" s="1"/>
  <c r="Q558" i="34" s="1"/>
  <c r="L521" i="34"/>
  <c r="M521" i="34" s="1"/>
  <c r="L520" i="34"/>
  <c r="M520" i="34" s="1"/>
  <c r="L519" i="34"/>
  <c r="M519" i="34" s="1"/>
  <c r="L518" i="34"/>
  <c r="M518" i="34" s="1"/>
  <c r="N510" i="34"/>
  <c r="J510" i="34"/>
  <c r="K510" i="34" s="1"/>
  <c r="O510" i="34" s="1"/>
  <c r="N509" i="34"/>
  <c r="J509" i="34"/>
  <c r="K509" i="34" s="1"/>
  <c r="O509" i="34" s="1"/>
  <c r="N508" i="34"/>
  <c r="J508" i="34"/>
  <c r="K508" i="34" s="1"/>
  <c r="O508" i="34" s="1"/>
  <c r="N507" i="34"/>
  <c r="J507" i="34"/>
  <c r="K507" i="34" s="1"/>
  <c r="O507" i="34" s="1"/>
  <c r="N503" i="34"/>
  <c r="J503" i="34"/>
  <c r="K503" i="34" s="1"/>
  <c r="O503" i="34" s="1"/>
  <c r="N502" i="34"/>
  <c r="J502" i="34"/>
  <c r="K502" i="34" s="1"/>
  <c r="O502" i="34" s="1"/>
  <c r="N501" i="34"/>
  <c r="J501" i="34"/>
  <c r="K501" i="34" s="1"/>
  <c r="O501" i="34" s="1"/>
  <c r="N500" i="34"/>
  <c r="J500" i="34"/>
  <c r="K500" i="34" s="1"/>
  <c r="O500" i="34" s="1"/>
  <c r="N496" i="34"/>
  <c r="J496" i="34"/>
  <c r="K496" i="34" s="1"/>
  <c r="O496" i="34" s="1"/>
  <c r="N495" i="34"/>
  <c r="J495" i="34"/>
  <c r="K495" i="34" s="1"/>
  <c r="O495" i="34" s="1"/>
  <c r="N494" i="34"/>
  <c r="J494" i="34"/>
  <c r="K494" i="34" s="1"/>
  <c r="O494" i="34" s="1"/>
  <c r="N493" i="34"/>
  <c r="J493" i="34"/>
  <c r="K493" i="34" s="1"/>
  <c r="O493" i="34" s="1"/>
  <c r="S489" i="34"/>
  <c r="N489" i="34"/>
  <c r="J489" i="34"/>
  <c r="K489" i="34" s="1"/>
  <c r="O489" i="34" s="1"/>
  <c r="S488" i="34"/>
  <c r="N488" i="34"/>
  <c r="J488" i="34"/>
  <c r="K488" i="34" s="1"/>
  <c r="O488" i="34" s="1"/>
  <c r="S487" i="34"/>
  <c r="N487" i="34"/>
  <c r="J487" i="34"/>
  <c r="K487" i="34" s="1"/>
  <c r="O487" i="34" s="1"/>
  <c r="S486" i="34"/>
  <c r="N486" i="34"/>
  <c r="J486" i="34"/>
  <c r="K486" i="34" s="1"/>
  <c r="O486" i="34" s="1"/>
  <c r="N434" i="34"/>
  <c r="O434" i="34" s="1"/>
  <c r="Q434" i="34" s="1"/>
  <c r="N433" i="34"/>
  <c r="O433" i="34" s="1"/>
  <c r="Q433" i="34" s="1"/>
  <c r="N432" i="34"/>
  <c r="O432" i="34" s="1"/>
  <c r="Q432" i="34" s="1"/>
  <c r="N431" i="34"/>
  <c r="O431" i="34" s="1"/>
  <c r="Q431" i="34" s="1"/>
  <c r="N427" i="34"/>
  <c r="O427" i="34" s="1"/>
  <c r="Q427" i="34" s="1"/>
  <c r="N426" i="34"/>
  <c r="O426" i="34" s="1"/>
  <c r="Q426" i="34" s="1"/>
  <c r="N425" i="34"/>
  <c r="O425" i="34" s="1"/>
  <c r="Q425" i="34" s="1"/>
  <c r="N424" i="34"/>
  <c r="O424" i="34" s="1"/>
  <c r="Q424" i="34" s="1"/>
  <c r="N420" i="34"/>
  <c r="O420" i="34" s="1"/>
  <c r="Q420" i="34" s="1"/>
  <c r="N419" i="34"/>
  <c r="O419" i="34" s="1"/>
  <c r="Q419" i="34" s="1"/>
  <c r="N418" i="34"/>
  <c r="O418" i="34" s="1"/>
  <c r="Q418" i="34" s="1"/>
  <c r="N417" i="34"/>
  <c r="O417" i="34" s="1"/>
  <c r="Q417" i="34" s="1"/>
  <c r="L381" i="34"/>
  <c r="M381" i="34" s="1"/>
  <c r="L380" i="34"/>
  <c r="M380" i="34" s="1"/>
  <c r="L379" i="34"/>
  <c r="M379" i="34" s="1"/>
  <c r="L378" i="34"/>
  <c r="M378" i="34" s="1"/>
  <c r="N369" i="34"/>
  <c r="J369" i="34"/>
  <c r="K369" i="34" s="1"/>
  <c r="O369" i="34" s="1"/>
  <c r="N368" i="34"/>
  <c r="J368" i="34"/>
  <c r="K368" i="34" s="1"/>
  <c r="O368" i="34" s="1"/>
  <c r="N367" i="34"/>
  <c r="J367" i="34"/>
  <c r="K367" i="34" s="1"/>
  <c r="O367" i="34" s="1"/>
  <c r="N366" i="34"/>
  <c r="J366" i="34"/>
  <c r="K366" i="34" s="1"/>
  <c r="O366" i="34" s="1"/>
  <c r="N362" i="34"/>
  <c r="J362" i="34"/>
  <c r="K362" i="34" s="1"/>
  <c r="O362" i="34" s="1"/>
  <c r="N361" i="34"/>
  <c r="J361" i="34"/>
  <c r="K361" i="34" s="1"/>
  <c r="O361" i="34" s="1"/>
  <c r="N360" i="34"/>
  <c r="J360" i="34"/>
  <c r="K360" i="34" s="1"/>
  <c r="O360" i="34" s="1"/>
  <c r="N359" i="34"/>
  <c r="J359" i="34"/>
  <c r="K359" i="34" s="1"/>
  <c r="O359" i="34" s="1"/>
  <c r="S355" i="34"/>
  <c r="N355" i="34"/>
  <c r="J355" i="34"/>
  <c r="K355" i="34" s="1"/>
  <c r="O355" i="34" s="1"/>
  <c r="S354" i="34"/>
  <c r="N354" i="34"/>
  <c r="J354" i="34"/>
  <c r="K354" i="34" s="1"/>
  <c r="O354" i="34" s="1"/>
  <c r="S353" i="34"/>
  <c r="N353" i="34"/>
  <c r="J353" i="34"/>
  <c r="K353" i="34" s="1"/>
  <c r="O353" i="34" s="1"/>
  <c r="S352" i="34"/>
  <c r="N352" i="34"/>
  <c r="J352" i="34"/>
  <c r="K352" i="34" s="1"/>
  <c r="O352" i="34" s="1"/>
  <c r="R264" i="34"/>
  <c r="R263" i="34"/>
  <c r="R262" i="34"/>
  <c r="R261" i="34"/>
  <c r="L224" i="34"/>
  <c r="M224" i="34" s="1"/>
  <c r="L223" i="34"/>
  <c r="M223" i="34" s="1"/>
  <c r="L222" i="34"/>
  <c r="M222" i="34" s="1"/>
  <c r="L221" i="34"/>
  <c r="M221" i="34" s="1"/>
  <c r="S211" i="34"/>
  <c r="N211" i="34"/>
  <c r="S210" i="34"/>
  <c r="N210" i="34"/>
  <c r="S209" i="34"/>
  <c r="N209" i="34"/>
  <c r="S208" i="34"/>
  <c r="N208" i="34"/>
  <c r="S204" i="34"/>
  <c r="N204" i="34"/>
  <c r="J204" i="34"/>
  <c r="K204" i="34" s="1"/>
  <c r="O204" i="34" s="1"/>
  <c r="S203" i="34"/>
  <c r="N203" i="34"/>
  <c r="J203" i="34"/>
  <c r="K203" i="34" s="1"/>
  <c r="O203" i="34" s="1"/>
  <c r="S202" i="34"/>
  <c r="N202" i="34"/>
  <c r="J202" i="34"/>
  <c r="K202" i="34" s="1"/>
  <c r="O202" i="34" s="1"/>
  <c r="S201" i="34"/>
  <c r="N201" i="34"/>
  <c r="J201" i="34"/>
  <c r="K201" i="34" s="1"/>
  <c r="O201" i="34" s="1"/>
  <c r="S197" i="34"/>
  <c r="N197" i="34"/>
  <c r="J197" i="34"/>
  <c r="K197" i="34" s="1"/>
  <c r="O197" i="34" s="1"/>
  <c r="S196" i="34"/>
  <c r="N196" i="34"/>
  <c r="J196" i="34"/>
  <c r="K196" i="34" s="1"/>
  <c r="O196" i="34" s="1"/>
  <c r="S195" i="34"/>
  <c r="N195" i="34"/>
  <c r="J195" i="34"/>
  <c r="K195" i="34" s="1"/>
  <c r="O195" i="34" s="1"/>
  <c r="S194" i="34"/>
  <c r="N194" i="34"/>
  <c r="J194" i="34"/>
  <c r="K194" i="34" s="1"/>
  <c r="O194" i="34" s="1"/>
  <c r="S158" i="34"/>
  <c r="R158" i="34"/>
  <c r="S151" i="34"/>
  <c r="R151" i="34"/>
  <c r="S144" i="34"/>
  <c r="R144" i="34"/>
  <c r="S106" i="34"/>
  <c r="R106" i="34"/>
  <c r="S99" i="34"/>
  <c r="R99" i="34"/>
  <c r="S92" i="34"/>
  <c r="R92" i="34"/>
  <c r="S54" i="34"/>
  <c r="R54" i="34"/>
  <c r="S47" i="34"/>
  <c r="R47" i="34"/>
  <c r="S40" i="34"/>
  <c r="R40" i="34"/>
  <c r="L587" i="34" l="1"/>
  <c r="L586" i="34"/>
  <c r="L585" i="34"/>
  <c r="L584" i="34"/>
  <c r="M587" i="34"/>
  <c r="M586" i="34"/>
  <c r="M584" i="34"/>
  <c r="M585" i="34"/>
  <c r="S568" i="34"/>
  <c r="L459" i="34"/>
  <c r="P459" i="34" s="1"/>
  <c r="T459" i="34" s="1"/>
  <c r="L469" i="34"/>
  <c r="P469" i="34" s="1"/>
  <c r="T469" i="34" s="1"/>
  <c r="L481" i="34"/>
  <c r="P481" i="34" s="1"/>
  <c r="T481" i="34" s="1"/>
  <c r="L460" i="34"/>
  <c r="P460" i="34" s="1"/>
  <c r="T460" i="34" s="1"/>
  <c r="L472" i="34"/>
  <c r="P472" i="34" s="1"/>
  <c r="T472" i="34" s="1"/>
  <c r="L482" i="34"/>
  <c r="P482" i="34" s="1"/>
  <c r="T482" i="34" s="1"/>
  <c r="L480" i="34"/>
  <c r="P480" i="34" s="1"/>
  <c r="T480" i="34" s="1"/>
  <c r="L461" i="34"/>
  <c r="P461" i="34" s="1"/>
  <c r="T461" i="34" s="1"/>
  <c r="L473" i="34"/>
  <c r="P473" i="34" s="1"/>
  <c r="T473" i="34" s="1"/>
  <c r="L483" i="34"/>
  <c r="P483" i="34" s="1"/>
  <c r="T483" i="34" s="1"/>
  <c r="L476" i="34"/>
  <c r="P476" i="34" s="1"/>
  <c r="T476" i="34" s="1"/>
  <c r="L462" i="34"/>
  <c r="P462" i="34" s="1"/>
  <c r="T462" i="34" s="1"/>
  <c r="L474" i="34"/>
  <c r="P474" i="34" s="1"/>
  <c r="T474" i="34" s="1"/>
  <c r="L478" i="34"/>
  <c r="P478" i="34" s="1"/>
  <c r="T478" i="34" s="1"/>
  <c r="L466" i="34"/>
  <c r="P466" i="34" s="1"/>
  <c r="T466" i="34" s="1"/>
  <c r="L458" i="34"/>
  <c r="P458" i="34" s="1"/>
  <c r="T458" i="34" s="1"/>
  <c r="L465" i="34"/>
  <c r="P465" i="34" s="1"/>
  <c r="T465" i="34" s="1"/>
  <c r="L475" i="34"/>
  <c r="P475" i="34" s="1"/>
  <c r="T475" i="34" s="1"/>
  <c r="L471" i="34"/>
  <c r="P471" i="34" s="1"/>
  <c r="T471" i="34" s="1"/>
  <c r="L464" i="34"/>
  <c r="P464" i="34" s="1"/>
  <c r="T464" i="34" s="1"/>
  <c r="L468" i="34"/>
  <c r="P468" i="34" s="1"/>
  <c r="T468" i="34" s="1"/>
  <c r="L467" i="34"/>
  <c r="P467" i="34" s="1"/>
  <c r="T467" i="34" s="1"/>
  <c r="L479" i="34"/>
  <c r="P479" i="34" s="1"/>
  <c r="T479" i="34" s="1"/>
  <c r="L457" i="34"/>
  <c r="P457" i="34" s="1"/>
  <c r="T457" i="34" s="1"/>
  <c r="L443" i="34"/>
  <c r="L446" i="34"/>
  <c r="L445" i="34"/>
  <c r="L444" i="34"/>
  <c r="M446" i="34"/>
  <c r="M445" i="34"/>
  <c r="M444" i="34"/>
  <c r="M443" i="34"/>
  <c r="L332" i="34"/>
  <c r="P332" i="34" s="1"/>
  <c r="T332" i="34" s="1"/>
  <c r="L342" i="34"/>
  <c r="P342" i="34" s="1"/>
  <c r="T342" i="34" s="1"/>
  <c r="L330" i="34"/>
  <c r="P330" i="34" s="1"/>
  <c r="T330" i="34" s="1"/>
  <c r="L344" i="34"/>
  <c r="P344" i="34" s="1"/>
  <c r="T344" i="34" s="1"/>
  <c r="L341" i="34"/>
  <c r="P341" i="34" s="1"/>
  <c r="T341" i="34" s="1"/>
  <c r="L333" i="34"/>
  <c r="P333" i="34" s="1"/>
  <c r="T333" i="34" s="1"/>
  <c r="L345" i="34"/>
  <c r="P345" i="34" s="1"/>
  <c r="T345" i="34" s="1"/>
  <c r="L324" i="34"/>
  <c r="P324" i="34" s="1"/>
  <c r="T324" i="34" s="1"/>
  <c r="L334" i="34"/>
  <c r="P334" i="34" s="1"/>
  <c r="T334" i="34" s="1"/>
  <c r="L346" i="34"/>
  <c r="P346" i="34" s="1"/>
  <c r="T346" i="34" s="1"/>
  <c r="L325" i="34"/>
  <c r="P325" i="34" s="1"/>
  <c r="T325" i="34" s="1"/>
  <c r="L340" i="34"/>
  <c r="P340" i="34" s="1"/>
  <c r="T340" i="34" s="1"/>
  <c r="L323" i="34"/>
  <c r="P323" i="34" s="1"/>
  <c r="T323" i="34" s="1"/>
  <c r="L331" i="34"/>
  <c r="P331" i="34" s="1"/>
  <c r="T331" i="34" s="1"/>
  <c r="L335" i="34"/>
  <c r="P335" i="34" s="1"/>
  <c r="T335" i="34" s="1"/>
  <c r="L347" i="34"/>
  <c r="P347" i="34" s="1"/>
  <c r="T347" i="34" s="1"/>
  <c r="L326" i="34"/>
  <c r="P326" i="34" s="1"/>
  <c r="T326" i="34" s="1"/>
  <c r="L338" i="34"/>
  <c r="P338" i="34" s="1"/>
  <c r="T338" i="34" s="1"/>
  <c r="L348" i="34"/>
  <c r="P348" i="34" s="1"/>
  <c r="T348" i="34" s="1"/>
  <c r="L327" i="34"/>
  <c r="P327" i="34" s="1"/>
  <c r="T327" i="34" s="1"/>
  <c r="L339" i="34"/>
  <c r="P339" i="34" s="1"/>
  <c r="T339" i="34" s="1"/>
  <c r="L349" i="34"/>
  <c r="P349" i="34" s="1"/>
  <c r="T349" i="34" s="1"/>
  <c r="L328" i="34"/>
  <c r="P328" i="34" s="1"/>
  <c r="T328" i="34" s="1"/>
  <c r="L337" i="34"/>
  <c r="P337" i="34" s="1"/>
  <c r="T337" i="34" s="1"/>
  <c r="L313" i="34"/>
  <c r="L312" i="34"/>
  <c r="L311" i="34"/>
  <c r="L310" i="34"/>
  <c r="M447" i="34"/>
  <c r="M310" i="34"/>
  <c r="M313" i="34"/>
  <c r="M312" i="34"/>
  <c r="M311" i="34"/>
  <c r="L503" i="34"/>
  <c r="P503" i="34" s="1"/>
  <c r="T503" i="34" s="1"/>
  <c r="L186" i="34"/>
  <c r="P186" i="34" s="1"/>
  <c r="T186" i="34" s="1"/>
  <c r="L174" i="34"/>
  <c r="P174" i="34" s="1"/>
  <c r="T174" i="34" s="1"/>
  <c r="L169" i="34"/>
  <c r="P169" i="34" s="1"/>
  <c r="T169" i="34" s="1"/>
  <c r="L189" i="34"/>
  <c r="P189" i="34" s="1"/>
  <c r="T189" i="34" s="1"/>
  <c r="L180" i="34"/>
  <c r="P180" i="34" s="1"/>
  <c r="T180" i="34" s="1"/>
  <c r="L175" i="34"/>
  <c r="P175" i="34" s="1"/>
  <c r="T175" i="34" s="1"/>
  <c r="L170" i="34"/>
  <c r="P170" i="34" s="1"/>
  <c r="T170" i="34" s="1"/>
  <c r="L184" i="34"/>
  <c r="P184" i="34" s="1"/>
  <c r="T184" i="34" s="1"/>
  <c r="L181" i="34"/>
  <c r="P181" i="34" s="1"/>
  <c r="T181" i="34" s="1"/>
  <c r="L176" i="34"/>
  <c r="P176" i="34" s="1"/>
  <c r="T176" i="34" s="1"/>
  <c r="L165" i="34"/>
  <c r="P165" i="34" s="1"/>
  <c r="T165" i="34" s="1"/>
  <c r="L183" i="34"/>
  <c r="P183" i="34" s="1"/>
  <c r="T183" i="34" s="1"/>
  <c r="L166" i="34"/>
  <c r="P166" i="34" s="1"/>
  <c r="T166" i="34" s="1"/>
  <c r="L187" i="34"/>
  <c r="P187" i="34" s="1"/>
  <c r="T187" i="34" s="1"/>
  <c r="L182" i="34"/>
  <c r="P182" i="34" s="1"/>
  <c r="T182" i="34" s="1"/>
  <c r="L177" i="34"/>
  <c r="P177" i="34" s="1"/>
  <c r="T177" i="34" s="1"/>
  <c r="L172" i="34"/>
  <c r="P172" i="34" s="1"/>
  <c r="T172" i="34" s="1"/>
  <c r="L188" i="34"/>
  <c r="P188" i="34" s="1"/>
  <c r="T188" i="34" s="1"/>
  <c r="L190" i="34"/>
  <c r="P190" i="34" s="1"/>
  <c r="T190" i="34" s="1"/>
  <c r="L179" i="34"/>
  <c r="P179" i="34" s="1"/>
  <c r="T179" i="34" s="1"/>
  <c r="L167" i="34"/>
  <c r="P167" i="34" s="1"/>
  <c r="T167" i="34" s="1"/>
  <c r="L191" i="34"/>
  <c r="P191" i="34" s="1"/>
  <c r="T191" i="34" s="1"/>
  <c r="L173" i="34"/>
  <c r="P173" i="34" s="1"/>
  <c r="T173" i="34" s="1"/>
  <c r="L168" i="34"/>
  <c r="P168" i="34" s="1"/>
  <c r="T168" i="34" s="1"/>
  <c r="L577" i="35"/>
  <c r="L578" i="35"/>
  <c r="M578" i="35"/>
  <c r="M577" i="35"/>
  <c r="L464" i="35"/>
  <c r="P464" i="35" s="1"/>
  <c r="T464" i="35" s="1"/>
  <c r="L458" i="35"/>
  <c r="P458" i="35" s="1"/>
  <c r="T458" i="35" s="1"/>
  <c r="L459" i="35"/>
  <c r="P459" i="35" s="1"/>
  <c r="T459" i="35" s="1"/>
  <c r="L465" i="35"/>
  <c r="P465" i="35" s="1"/>
  <c r="T465" i="35" s="1"/>
  <c r="L460" i="35"/>
  <c r="P460" i="35" s="1"/>
  <c r="T460" i="35" s="1"/>
  <c r="L466" i="35"/>
  <c r="P466" i="35" s="1"/>
  <c r="T466" i="35" s="1"/>
  <c r="L461" i="35"/>
  <c r="P461" i="35" s="1"/>
  <c r="T461" i="35" s="1"/>
  <c r="L469" i="35"/>
  <c r="P469" i="35" s="1"/>
  <c r="T469" i="35" s="1"/>
  <c r="L467" i="35"/>
  <c r="P467" i="35" s="1"/>
  <c r="T467" i="35" s="1"/>
  <c r="L462" i="35"/>
  <c r="P462" i="35" s="1"/>
  <c r="T462" i="35" s="1"/>
  <c r="L468" i="35"/>
  <c r="P468" i="35" s="1"/>
  <c r="T468" i="35" s="1"/>
  <c r="L457" i="35"/>
  <c r="P457" i="35" s="1"/>
  <c r="T457" i="35" s="1"/>
  <c r="L444" i="35"/>
  <c r="L443" i="35"/>
  <c r="M444" i="35"/>
  <c r="M443" i="35"/>
  <c r="L325" i="35"/>
  <c r="P325" i="35" s="1"/>
  <c r="T325" i="35" s="1"/>
  <c r="L331" i="35"/>
  <c r="P331" i="35" s="1"/>
  <c r="T331" i="35" s="1"/>
  <c r="L326" i="35"/>
  <c r="P326" i="35" s="1"/>
  <c r="T326" i="35" s="1"/>
  <c r="L332" i="35"/>
  <c r="P332" i="35" s="1"/>
  <c r="T332" i="35" s="1"/>
  <c r="L327" i="35"/>
  <c r="P327" i="35" s="1"/>
  <c r="T327" i="35" s="1"/>
  <c r="L334" i="35"/>
  <c r="P334" i="35" s="1"/>
  <c r="T334" i="35" s="1"/>
  <c r="L335" i="35"/>
  <c r="P335" i="35" s="1"/>
  <c r="T335" i="35" s="1"/>
  <c r="L333" i="35"/>
  <c r="P333" i="35" s="1"/>
  <c r="T333" i="35" s="1"/>
  <c r="L328" i="35"/>
  <c r="P328" i="35" s="1"/>
  <c r="T328" i="35" s="1"/>
  <c r="L323" i="35"/>
  <c r="P323" i="35" s="1"/>
  <c r="T323" i="35" s="1"/>
  <c r="L330" i="35"/>
  <c r="P330" i="35" s="1"/>
  <c r="T330" i="35" s="1"/>
  <c r="L324" i="35"/>
  <c r="P324" i="35" s="1"/>
  <c r="T324" i="35" s="1"/>
  <c r="L311" i="35"/>
  <c r="L310" i="35"/>
  <c r="M311" i="35"/>
  <c r="M310" i="35"/>
  <c r="L166" i="35"/>
  <c r="P166" i="35" s="1"/>
  <c r="T166" i="35" s="1"/>
  <c r="L170" i="35"/>
  <c r="P170" i="35" s="1"/>
  <c r="T170" i="35" s="1"/>
  <c r="L167" i="35"/>
  <c r="P167" i="35" s="1"/>
  <c r="T167" i="35" s="1"/>
  <c r="L173" i="35"/>
  <c r="P173" i="35" s="1"/>
  <c r="T173" i="35" s="1"/>
  <c r="L168" i="35"/>
  <c r="P168" i="35" s="1"/>
  <c r="T168" i="35" s="1"/>
  <c r="L175" i="35"/>
  <c r="P175" i="35" s="1"/>
  <c r="T175" i="35" s="1"/>
  <c r="L165" i="35"/>
  <c r="P165" i="35" s="1"/>
  <c r="T165" i="35" s="1"/>
  <c r="L174" i="35"/>
  <c r="P174" i="35" s="1"/>
  <c r="T174" i="35" s="1"/>
  <c r="L169" i="35"/>
  <c r="P169" i="35" s="1"/>
  <c r="T169" i="35" s="1"/>
  <c r="L176" i="35"/>
  <c r="P176" i="35" s="1"/>
  <c r="T176" i="35" s="1"/>
  <c r="L177" i="35"/>
  <c r="P177" i="35" s="1"/>
  <c r="T177" i="35" s="1"/>
  <c r="L172" i="35"/>
  <c r="P172" i="35" s="1"/>
  <c r="T172" i="35" s="1"/>
  <c r="L580" i="35"/>
  <c r="L579" i="35"/>
  <c r="M580" i="35"/>
  <c r="M579" i="35"/>
  <c r="L472" i="35"/>
  <c r="P472" i="35" s="1"/>
  <c r="T472" i="35" s="1"/>
  <c r="L482" i="35"/>
  <c r="P482" i="35" s="1"/>
  <c r="T482" i="35" s="1"/>
  <c r="L483" i="35"/>
  <c r="P483" i="35" s="1"/>
  <c r="T483" i="35" s="1"/>
  <c r="L478" i="35"/>
  <c r="P478" i="35" s="1"/>
  <c r="T478" i="35" s="1"/>
  <c r="L473" i="35"/>
  <c r="P473" i="35" s="1"/>
  <c r="T473" i="35" s="1"/>
  <c r="L471" i="35"/>
  <c r="L479" i="35"/>
  <c r="P479" i="35" s="1"/>
  <c r="T479" i="35" s="1"/>
  <c r="L474" i="35"/>
  <c r="P474" i="35" s="1"/>
  <c r="T474" i="35" s="1"/>
  <c r="L480" i="35"/>
  <c r="P480" i="35" s="1"/>
  <c r="T480" i="35" s="1"/>
  <c r="L475" i="35"/>
  <c r="P475" i="35" s="1"/>
  <c r="T475" i="35" s="1"/>
  <c r="L481" i="35"/>
  <c r="P481" i="35" s="1"/>
  <c r="T481" i="35" s="1"/>
  <c r="L476" i="35"/>
  <c r="P476" i="35" s="1"/>
  <c r="T476" i="35" s="1"/>
  <c r="L446" i="35"/>
  <c r="L445" i="35"/>
  <c r="M446" i="35"/>
  <c r="M445" i="35"/>
  <c r="L348" i="35"/>
  <c r="P348" i="35" s="1"/>
  <c r="T348" i="35" s="1"/>
  <c r="L337" i="35"/>
  <c r="P337" i="35" s="1"/>
  <c r="T337" i="35" s="1"/>
  <c r="L347" i="35"/>
  <c r="P347" i="35" s="1"/>
  <c r="T347" i="35" s="1"/>
  <c r="L349" i="35"/>
  <c r="P349" i="35" s="1"/>
  <c r="T349" i="35" s="1"/>
  <c r="L344" i="35"/>
  <c r="P344" i="35" s="1"/>
  <c r="T344" i="35" s="1"/>
  <c r="L342" i="35"/>
  <c r="P342" i="35" s="1"/>
  <c r="T342" i="35" s="1"/>
  <c r="L338" i="35"/>
  <c r="P338" i="35" s="1"/>
  <c r="T338" i="35" s="1"/>
  <c r="L339" i="35"/>
  <c r="P339" i="35" s="1"/>
  <c r="T339" i="35" s="1"/>
  <c r="L345" i="35"/>
  <c r="P345" i="35" s="1"/>
  <c r="T345" i="35" s="1"/>
  <c r="L340" i="35"/>
  <c r="P340" i="35" s="1"/>
  <c r="T340" i="35" s="1"/>
  <c r="L346" i="35"/>
  <c r="P346" i="35" s="1"/>
  <c r="T346" i="35" s="1"/>
  <c r="L341" i="35"/>
  <c r="P341" i="35" s="1"/>
  <c r="T341" i="35" s="1"/>
  <c r="L313" i="35"/>
  <c r="L312" i="35"/>
  <c r="M312" i="35"/>
  <c r="M313" i="35"/>
  <c r="L205" i="35"/>
  <c r="P205" i="35" s="1"/>
  <c r="T205" i="35" s="1"/>
  <c r="L182" i="35"/>
  <c r="P182" i="35" s="1"/>
  <c r="T182" i="35" s="1"/>
  <c r="L179" i="35"/>
  <c r="P179" i="35" s="1"/>
  <c r="T179" i="35" s="1"/>
  <c r="L190" i="35"/>
  <c r="P190" i="35" s="1"/>
  <c r="T190" i="35" s="1"/>
  <c r="L183" i="35"/>
  <c r="P183" i="35" s="1"/>
  <c r="T183" i="35" s="1"/>
  <c r="L180" i="35"/>
  <c r="P180" i="35" s="1"/>
  <c r="T180" i="35" s="1"/>
  <c r="L186" i="35"/>
  <c r="P186" i="35" s="1"/>
  <c r="T186" i="35" s="1"/>
  <c r="L187" i="35"/>
  <c r="P187" i="35" s="1"/>
  <c r="T187" i="35" s="1"/>
  <c r="L191" i="35"/>
  <c r="P191" i="35" s="1"/>
  <c r="T191" i="35" s="1"/>
  <c r="L181" i="35"/>
  <c r="P181" i="35" s="1"/>
  <c r="T181" i="35" s="1"/>
  <c r="L188" i="35"/>
  <c r="P188" i="35" s="1"/>
  <c r="T188" i="35" s="1"/>
  <c r="L184" i="35"/>
  <c r="P184" i="35" s="1"/>
  <c r="T184" i="35" s="1"/>
  <c r="L189" i="35"/>
  <c r="P189" i="35" s="1"/>
  <c r="T189" i="35" s="1"/>
  <c r="S276" i="35"/>
  <c r="S562" i="35"/>
  <c r="S567" i="35"/>
  <c r="S561" i="35"/>
  <c r="S566" i="35"/>
  <c r="S265" i="35"/>
  <c r="S418" i="35"/>
  <c r="S423" i="35"/>
  <c r="W158" i="35"/>
  <c r="S435" i="35"/>
  <c r="S551" i="35"/>
  <c r="S277" i="35"/>
  <c r="S272" i="35"/>
  <c r="L493" i="35"/>
  <c r="P493" i="35" s="1"/>
  <c r="T493" i="35" s="1"/>
  <c r="S420" i="35"/>
  <c r="S434" i="35"/>
  <c r="S417" i="35"/>
  <c r="S550" i="35"/>
  <c r="S554" i="35"/>
  <c r="S559" i="35"/>
  <c r="S568" i="35"/>
  <c r="L366" i="35"/>
  <c r="P366" i="35" s="1"/>
  <c r="T366" i="35" s="1"/>
  <c r="S565" i="35"/>
  <c r="S275" i="35"/>
  <c r="S279" i="35"/>
  <c r="L200" i="35"/>
  <c r="P200" i="35" s="1"/>
  <c r="T200" i="35" s="1"/>
  <c r="S269" i="35"/>
  <c r="S564" i="35"/>
  <c r="Z144" i="35"/>
  <c r="AA144" i="35" s="1"/>
  <c r="S262" i="35"/>
  <c r="S426" i="35"/>
  <c r="S431" i="35"/>
  <c r="S555" i="35"/>
  <c r="L201" i="35"/>
  <c r="P201" i="35" s="1"/>
  <c r="T201" i="35" s="1"/>
  <c r="S260" i="35"/>
  <c r="S264" i="35"/>
  <c r="S271" i="35"/>
  <c r="S424" i="35"/>
  <c r="S428" i="35"/>
  <c r="S433" i="35"/>
  <c r="S558" i="35"/>
  <c r="S569" i="35"/>
  <c r="Z158" i="35"/>
  <c r="AA158" i="35" s="1"/>
  <c r="L496" i="35"/>
  <c r="P496" i="35" s="1"/>
  <c r="T496" i="35" s="1"/>
  <c r="AD158" i="35"/>
  <c r="AE158" i="35" s="1"/>
  <c r="S268" i="35"/>
  <c r="S278" i="35"/>
  <c r="S552" i="35"/>
  <c r="S560" i="35"/>
  <c r="AD106" i="35"/>
  <c r="AE106" i="35" s="1"/>
  <c r="W144" i="35"/>
  <c r="S421" i="35"/>
  <c r="S425" i="35"/>
  <c r="S430" i="35"/>
  <c r="S557" i="35"/>
  <c r="M383" i="35"/>
  <c r="AD47" i="35"/>
  <c r="AE47" i="35" s="1"/>
  <c r="L369" i="35"/>
  <c r="P369" i="35" s="1"/>
  <c r="T369" i="35" s="1"/>
  <c r="S263" i="35"/>
  <c r="M226" i="35"/>
  <c r="S270" i="35"/>
  <c r="S274" i="35"/>
  <c r="S419" i="35"/>
  <c r="S427" i="35"/>
  <c r="S432" i="35"/>
  <c r="V47" i="35"/>
  <c r="W47" i="35" s="1"/>
  <c r="AA47" i="35"/>
  <c r="W106" i="35"/>
  <c r="V99" i="35"/>
  <c r="W99" i="35" s="1"/>
  <c r="Z99" i="35"/>
  <c r="AA99" i="35" s="1"/>
  <c r="AD92" i="35"/>
  <c r="AE92" i="35" s="1"/>
  <c r="V151" i="35"/>
  <c r="W151" i="35" s="1"/>
  <c r="AE151" i="35"/>
  <c r="AD144" i="35"/>
  <c r="AE144" i="35" s="1"/>
  <c r="W92" i="35"/>
  <c r="AE99" i="35"/>
  <c r="AA40" i="35"/>
  <c r="AA54" i="35"/>
  <c r="Z92" i="35"/>
  <c r="AA92" i="35" s="1"/>
  <c r="Z106" i="35"/>
  <c r="AA106" i="35" s="1"/>
  <c r="L212" i="35"/>
  <c r="P212" i="35" s="1"/>
  <c r="T212" i="35" s="1"/>
  <c r="L211" i="35"/>
  <c r="P211" i="35" s="1"/>
  <c r="T211" i="35" s="1"/>
  <c r="L210" i="35"/>
  <c r="P210" i="35" s="1"/>
  <c r="T210" i="35" s="1"/>
  <c r="L209" i="35"/>
  <c r="P209" i="35" s="1"/>
  <c r="T209" i="35" s="1"/>
  <c r="L208" i="35"/>
  <c r="P208" i="35" s="1"/>
  <c r="T208" i="35" s="1"/>
  <c r="L207" i="35"/>
  <c r="P207" i="35" s="1"/>
  <c r="T207" i="35" s="1"/>
  <c r="L504" i="35"/>
  <c r="P504" i="35" s="1"/>
  <c r="T504" i="35" s="1"/>
  <c r="L503" i="35"/>
  <c r="P503" i="35" s="1"/>
  <c r="T503" i="35" s="1"/>
  <c r="L502" i="35"/>
  <c r="P502" i="35" s="1"/>
  <c r="T502" i="35" s="1"/>
  <c r="L501" i="35"/>
  <c r="P501" i="35" s="1"/>
  <c r="T501" i="35" s="1"/>
  <c r="L500" i="35"/>
  <c r="P500" i="35" s="1"/>
  <c r="T500" i="35" s="1"/>
  <c r="L499" i="35"/>
  <c r="P499" i="35" s="1"/>
  <c r="T499" i="35" s="1"/>
  <c r="L490" i="35"/>
  <c r="P490" i="35" s="1"/>
  <c r="T490" i="35" s="1"/>
  <c r="L489" i="35"/>
  <c r="P489" i="35" s="1"/>
  <c r="T489" i="35" s="1"/>
  <c r="L488" i="35"/>
  <c r="P488" i="35" s="1"/>
  <c r="T488" i="35" s="1"/>
  <c r="L487" i="35"/>
  <c r="P487" i="35" s="1"/>
  <c r="T487" i="35" s="1"/>
  <c r="L486" i="35"/>
  <c r="P486" i="35" s="1"/>
  <c r="T486" i="35" s="1"/>
  <c r="L485" i="35"/>
  <c r="P485" i="35" s="1"/>
  <c r="T485" i="35" s="1"/>
  <c r="L363" i="35"/>
  <c r="P363" i="35" s="1"/>
  <c r="T363" i="35" s="1"/>
  <c r="L362" i="35"/>
  <c r="P362" i="35" s="1"/>
  <c r="T362" i="35" s="1"/>
  <c r="L361" i="35"/>
  <c r="P361" i="35" s="1"/>
  <c r="T361" i="35" s="1"/>
  <c r="L360" i="35"/>
  <c r="P360" i="35" s="1"/>
  <c r="T360" i="35" s="1"/>
  <c r="L359" i="35"/>
  <c r="P359" i="35" s="1"/>
  <c r="T359" i="35" s="1"/>
  <c r="L358" i="35"/>
  <c r="P358" i="35" s="1"/>
  <c r="T358" i="35" s="1"/>
  <c r="L356" i="35"/>
  <c r="P356" i="35" s="1"/>
  <c r="T356" i="35" s="1"/>
  <c r="L355" i="35"/>
  <c r="P355" i="35" s="1"/>
  <c r="T355" i="35" s="1"/>
  <c r="L354" i="35"/>
  <c r="P354" i="35" s="1"/>
  <c r="T354" i="35" s="1"/>
  <c r="L353" i="35"/>
  <c r="P353" i="35" s="1"/>
  <c r="T353" i="35" s="1"/>
  <c r="L352" i="35"/>
  <c r="P352" i="35" s="1"/>
  <c r="T352" i="35" s="1"/>
  <c r="L351" i="35"/>
  <c r="P351" i="35" s="1"/>
  <c r="T351" i="35" s="1"/>
  <c r="L202" i="35"/>
  <c r="P202" i="35" s="1"/>
  <c r="T202" i="35" s="1"/>
  <c r="L367" i="35"/>
  <c r="P367" i="35" s="1"/>
  <c r="T367" i="35" s="1"/>
  <c r="L494" i="35"/>
  <c r="P494" i="35" s="1"/>
  <c r="T494" i="35" s="1"/>
  <c r="AD40" i="35"/>
  <c r="AE40" i="35" s="1"/>
  <c r="AD54" i="35"/>
  <c r="AE54" i="35" s="1"/>
  <c r="L193" i="35"/>
  <c r="P193" i="35" s="1"/>
  <c r="T193" i="35" s="1"/>
  <c r="L194" i="35"/>
  <c r="P194" i="35" s="1"/>
  <c r="T194" i="35" s="1"/>
  <c r="L195" i="35"/>
  <c r="P195" i="35" s="1"/>
  <c r="T195" i="35" s="1"/>
  <c r="L196" i="35"/>
  <c r="P196" i="35" s="1"/>
  <c r="T196" i="35" s="1"/>
  <c r="L197" i="35"/>
  <c r="P197" i="35" s="1"/>
  <c r="T197" i="35" s="1"/>
  <c r="L198" i="35"/>
  <c r="P198" i="35" s="1"/>
  <c r="T198" i="35" s="1"/>
  <c r="L204" i="35"/>
  <c r="P204" i="35" s="1"/>
  <c r="T204" i="35" s="1"/>
  <c r="S416" i="35"/>
  <c r="V40" i="35"/>
  <c r="W40" i="35" s="1"/>
  <c r="V54" i="35"/>
  <c r="W54" i="35" s="1"/>
  <c r="Z151" i="35"/>
  <c r="AA151" i="35" s="1"/>
  <c r="Q292" i="35"/>
  <c r="L368" i="35"/>
  <c r="P368" i="35" s="1"/>
  <c r="T368" i="35" s="1"/>
  <c r="L495" i="35"/>
  <c r="P495" i="35" s="1"/>
  <c r="T495" i="35" s="1"/>
  <c r="M516" i="35"/>
  <c r="L203" i="35"/>
  <c r="P203" i="35" s="1"/>
  <c r="T203" i="35" s="1"/>
  <c r="L582" i="35"/>
  <c r="L447" i="35"/>
  <c r="L583" i="35"/>
  <c r="L448" i="35"/>
  <c r="L314" i="35"/>
  <c r="L449" i="35"/>
  <c r="L315" i="35"/>
  <c r="L316" i="35"/>
  <c r="L581" i="35"/>
  <c r="L365" i="35"/>
  <c r="P365" i="35" s="1"/>
  <c r="T365" i="35" s="1"/>
  <c r="L492" i="35"/>
  <c r="P492" i="35" s="1"/>
  <c r="T492" i="35" s="1"/>
  <c r="S261" i="35"/>
  <c r="M583" i="35"/>
  <c r="M448" i="35"/>
  <c r="M314" i="35"/>
  <c r="M449" i="35"/>
  <c r="M315" i="35"/>
  <c r="M316" i="35"/>
  <c r="M581" i="35"/>
  <c r="M582" i="35"/>
  <c r="M447" i="35"/>
  <c r="L370" i="35"/>
  <c r="P370" i="35" s="1"/>
  <c r="T370" i="35" s="1"/>
  <c r="L497" i="35"/>
  <c r="P497" i="35" s="1"/>
  <c r="T497" i="35" s="1"/>
  <c r="S553" i="35"/>
  <c r="S435" i="34"/>
  <c r="S423" i="34"/>
  <c r="S267" i="34"/>
  <c r="S576" i="34"/>
  <c r="S571" i="34"/>
  <c r="S562" i="34"/>
  <c r="S564" i="34"/>
  <c r="S569" i="34"/>
  <c r="S557" i="34"/>
  <c r="M523" i="34"/>
  <c r="L499" i="34"/>
  <c r="P499" i="34" s="1"/>
  <c r="T499" i="34" s="1"/>
  <c r="L504" i="34"/>
  <c r="P504" i="34" s="1"/>
  <c r="T504" i="34" s="1"/>
  <c r="L485" i="34"/>
  <c r="P485" i="34" s="1"/>
  <c r="T485" i="34" s="1"/>
  <c r="L492" i="34"/>
  <c r="P492" i="34" s="1"/>
  <c r="T492" i="34" s="1"/>
  <c r="L490" i="34"/>
  <c r="P490" i="34" s="1"/>
  <c r="T490" i="34" s="1"/>
  <c r="L506" i="34"/>
  <c r="P506" i="34" s="1"/>
  <c r="T506" i="34" s="1"/>
  <c r="L497" i="34"/>
  <c r="P497" i="34" s="1"/>
  <c r="T497" i="34" s="1"/>
  <c r="L511" i="34"/>
  <c r="P511" i="34" s="1"/>
  <c r="T511" i="34" s="1"/>
  <c r="S428" i="34"/>
  <c r="S416" i="34"/>
  <c r="S430" i="34"/>
  <c r="S421" i="34"/>
  <c r="Q292" i="34"/>
  <c r="L448" i="34"/>
  <c r="L449" i="34"/>
  <c r="M383" i="34"/>
  <c r="L356" i="34"/>
  <c r="P356" i="34" s="1"/>
  <c r="T356" i="34" s="1"/>
  <c r="L363" i="34"/>
  <c r="P363" i="34" s="1"/>
  <c r="T363" i="34" s="1"/>
  <c r="L365" i="34"/>
  <c r="P365" i="34" s="1"/>
  <c r="T365" i="34" s="1"/>
  <c r="L370" i="34"/>
  <c r="P370" i="34" s="1"/>
  <c r="T370" i="34" s="1"/>
  <c r="L351" i="34"/>
  <c r="P351" i="34" s="1"/>
  <c r="T351" i="34" s="1"/>
  <c r="L358" i="34"/>
  <c r="P358" i="34" s="1"/>
  <c r="T358" i="34" s="1"/>
  <c r="S279" i="34"/>
  <c r="M226" i="34"/>
  <c r="S274" i="34"/>
  <c r="S272" i="34"/>
  <c r="S265" i="34"/>
  <c r="S260" i="34"/>
  <c r="L207" i="34"/>
  <c r="P207" i="34" s="1"/>
  <c r="T207" i="34" s="1"/>
  <c r="L193" i="34"/>
  <c r="P193" i="34" s="1"/>
  <c r="T193" i="34" s="1"/>
  <c r="L198" i="34"/>
  <c r="P198" i="34" s="1"/>
  <c r="T198" i="34" s="1"/>
  <c r="L200" i="34"/>
  <c r="P200" i="34" s="1"/>
  <c r="T200" i="34" s="1"/>
  <c r="L208" i="34"/>
  <c r="P208" i="34" s="1"/>
  <c r="T208" i="34" s="1"/>
  <c r="L205" i="34"/>
  <c r="P205" i="34" s="1"/>
  <c r="T205" i="34" s="1"/>
  <c r="L209" i="34"/>
  <c r="P209" i="34" s="1"/>
  <c r="T209" i="34" s="1"/>
  <c r="L210" i="34"/>
  <c r="P210" i="34" s="1"/>
  <c r="T210" i="34" s="1"/>
  <c r="L211" i="34"/>
  <c r="P211" i="34" s="1"/>
  <c r="T211" i="34" s="1"/>
  <c r="L212" i="34"/>
  <c r="P212" i="34" s="1"/>
  <c r="T212" i="34" s="1"/>
  <c r="S277" i="34"/>
  <c r="S278" i="34"/>
  <c r="S426" i="34"/>
  <c r="S560" i="34"/>
  <c r="S567" i="34"/>
  <c r="S268" i="34"/>
  <c r="S417" i="34"/>
  <c r="S433" i="34"/>
  <c r="S559" i="34"/>
  <c r="S566" i="34"/>
  <c r="S561" i="34"/>
  <c r="S434" i="34"/>
  <c r="S575" i="34"/>
  <c r="S419" i="34"/>
  <c r="S271" i="34"/>
  <c r="S565" i="34"/>
  <c r="S418" i="34"/>
  <c r="L486" i="34"/>
  <c r="P486" i="34" s="1"/>
  <c r="T486" i="34" s="1"/>
  <c r="S420" i="34"/>
  <c r="S574" i="34"/>
  <c r="Z54" i="34"/>
  <c r="AA54" i="34" s="1"/>
  <c r="S261" i="34"/>
  <c r="S424" i="34"/>
  <c r="S572" i="34"/>
  <c r="S262" i="34"/>
  <c r="S425" i="34"/>
  <c r="S432" i="34"/>
  <c r="L488" i="34"/>
  <c r="P488" i="34" s="1"/>
  <c r="T488" i="34" s="1"/>
  <c r="S263" i="34"/>
  <c r="S269" i="34"/>
  <c r="S275" i="34"/>
  <c r="L487" i="34"/>
  <c r="P487" i="34" s="1"/>
  <c r="T487" i="34" s="1"/>
  <c r="L489" i="34"/>
  <c r="P489" i="34" s="1"/>
  <c r="T489" i="34" s="1"/>
  <c r="W99" i="34"/>
  <c r="Z144" i="34"/>
  <c r="AA144" i="34" s="1"/>
  <c r="V151" i="34"/>
  <c r="W151" i="34" s="1"/>
  <c r="S427" i="34"/>
  <c r="S558" i="34"/>
  <c r="S573" i="34"/>
  <c r="S264" i="34"/>
  <c r="S270" i="34"/>
  <c r="S276" i="34"/>
  <c r="S431" i="34"/>
  <c r="V54" i="34"/>
  <c r="W54" i="34" s="1"/>
  <c r="AE54" i="34"/>
  <c r="Z47" i="34"/>
  <c r="AA47" i="34" s="1"/>
  <c r="AA40" i="34"/>
  <c r="AD40" i="34"/>
  <c r="AE40" i="34" s="1"/>
  <c r="V40" i="34"/>
  <c r="W40" i="34" s="1"/>
  <c r="V106" i="34"/>
  <c r="W106" i="34" s="1"/>
  <c r="Z99" i="34"/>
  <c r="AA99" i="34" s="1"/>
  <c r="Z151" i="34"/>
  <c r="AA151" i="34" s="1"/>
  <c r="AE151" i="34"/>
  <c r="Z106" i="34"/>
  <c r="AA106" i="34" s="1"/>
  <c r="Z92" i="34"/>
  <c r="AA92" i="34" s="1"/>
  <c r="AD92" i="34"/>
  <c r="AE92" i="34" s="1"/>
  <c r="W158" i="34"/>
  <c r="L589" i="34"/>
  <c r="L590" i="34"/>
  <c r="L314" i="34"/>
  <c r="L316" i="34"/>
  <c r="L447" i="34"/>
  <c r="L588" i="34"/>
  <c r="L315" i="34"/>
  <c r="M590" i="34"/>
  <c r="M314" i="34"/>
  <c r="M315" i="34"/>
  <c r="M316" i="34"/>
  <c r="M448" i="34"/>
  <c r="M449" i="34"/>
  <c r="M588" i="34"/>
  <c r="M589" i="34"/>
  <c r="AE47" i="34"/>
  <c r="AD99" i="34"/>
  <c r="AE99" i="34" s="1"/>
  <c r="AE144" i="34"/>
  <c r="L201" i="34"/>
  <c r="P201" i="34" s="1"/>
  <c r="T201" i="34" s="1"/>
  <c r="L202" i="34"/>
  <c r="P202" i="34" s="1"/>
  <c r="T202" i="34" s="1"/>
  <c r="L352" i="34"/>
  <c r="P352" i="34" s="1"/>
  <c r="T352" i="34" s="1"/>
  <c r="L353" i="34"/>
  <c r="P353" i="34" s="1"/>
  <c r="T353" i="34" s="1"/>
  <c r="L354" i="34"/>
  <c r="P354" i="34" s="1"/>
  <c r="T354" i="34" s="1"/>
  <c r="L355" i="34"/>
  <c r="P355" i="34" s="1"/>
  <c r="T355" i="34" s="1"/>
  <c r="L507" i="34"/>
  <c r="P507" i="34" s="1"/>
  <c r="T507" i="34" s="1"/>
  <c r="L508" i="34"/>
  <c r="P508" i="34" s="1"/>
  <c r="T508" i="34" s="1"/>
  <c r="L509" i="34"/>
  <c r="P509" i="34" s="1"/>
  <c r="T509" i="34" s="1"/>
  <c r="L510" i="34"/>
  <c r="P510" i="34" s="1"/>
  <c r="T510" i="34" s="1"/>
  <c r="Z158" i="34"/>
  <c r="AA158" i="34" s="1"/>
  <c r="L203" i="34"/>
  <c r="P203" i="34" s="1"/>
  <c r="T203" i="34" s="1"/>
  <c r="L204" i="34"/>
  <c r="P204" i="34" s="1"/>
  <c r="T204" i="34" s="1"/>
  <c r="L359" i="34"/>
  <c r="P359" i="34" s="1"/>
  <c r="T359" i="34" s="1"/>
  <c r="L360" i="34"/>
  <c r="P360" i="34" s="1"/>
  <c r="T360" i="34" s="1"/>
  <c r="L361" i="34"/>
  <c r="P361" i="34" s="1"/>
  <c r="T361" i="34" s="1"/>
  <c r="L362" i="34"/>
  <c r="P362" i="34" s="1"/>
  <c r="T362" i="34" s="1"/>
  <c r="L366" i="34"/>
  <c r="P366" i="34" s="1"/>
  <c r="T366" i="34" s="1"/>
  <c r="L367" i="34"/>
  <c r="P367" i="34" s="1"/>
  <c r="T367" i="34" s="1"/>
  <c r="L368" i="34"/>
  <c r="P368" i="34" s="1"/>
  <c r="T368" i="34" s="1"/>
  <c r="L369" i="34"/>
  <c r="P369" i="34" s="1"/>
  <c r="T369" i="34" s="1"/>
  <c r="V47" i="34"/>
  <c r="W47" i="34" s="1"/>
  <c r="W92" i="34"/>
  <c r="AE106" i="34"/>
  <c r="V144" i="34"/>
  <c r="W144" i="34" s="1"/>
  <c r="AD158" i="34"/>
  <c r="AE158" i="34" s="1"/>
  <c r="L493" i="34"/>
  <c r="P493" i="34" s="1"/>
  <c r="T493" i="34" s="1"/>
  <c r="L494" i="34"/>
  <c r="P494" i="34" s="1"/>
  <c r="T494" i="34" s="1"/>
  <c r="L495" i="34"/>
  <c r="P495" i="34" s="1"/>
  <c r="T495" i="34" s="1"/>
  <c r="L496" i="34"/>
  <c r="P496" i="34" s="1"/>
  <c r="T496" i="34" s="1"/>
  <c r="L194" i="34"/>
  <c r="P194" i="34" s="1"/>
  <c r="T194" i="34" s="1"/>
  <c r="L195" i="34"/>
  <c r="P195" i="34" s="1"/>
  <c r="T195" i="34" s="1"/>
  <c r="L196" i="34"/>
  <c r="P196" i="34" s="1"/>
  <c r="T196" i="34" s="1"/>
  <c r="L197" i="34"/>
  <c r="P197" i="34" s="1"/>
  <c r="T197" i="34" s="1"/>
  <c r="L500" i="34"/>
  <c r="P500" i="34" s="1"/>
  <c r="T500" i="34" s="1"/>
  <c r="L501" i="34"/>
  <c r="P501" i="34" s="1"/>
  <c r="T501" i="34" s="1"/>
  <c r="L502" i="34"/>
  <c r="P502" i="34" s="1"/>
  <c r="T502" i="34" s="1"/>
  <c r="I584" i="34" l="1"/>
  <c r="I587" i="34"/>
  <c r="I586" i="34"/>
  <c r="I585" i="34"/>
  <c r="K587" i="34"/>
  <c r="K584" i="34"/>
  <c r="K586" i="34"/>
  <c r="K585" i="34"/>
  <c r="T463" i="34"/>
  <c r="H584" i="34" s="1"/>
  <c r="T484" i="34"/>
  <c r="H587" i="34" s="1"/>
  <c r="T470" i="34"/>
  <c r="H585" i="34" s="1"/>
  <c r="T477" i="34"/>
  <c r="H586" i="34" s="1"/>
  <c r="K446" i="34"/>
  <c r="K445" i="34"/>
  <c r="K444" i="34"/>
  <c r="K443" i="34"/>
  <c r="I446" i="34"/>
  <c r="I445" i="34"/>
  <c r="I444" i="34"/>
  <c r="I443" i="34"/>
  <c r="T343" i="34"/>
  <c r="H445" i="34" s="1"/>
  <c r="T329" i="34"/>
  <c r="H443" i="34" s="1"/>
  <c r="T350" i="34"/>
  <c r="H446" i="34" s="1"/>
  <c r="T336" i="34"/>
  <c r="H444" i="34" s="1"/>
  <c r="I314" i="34"/>
  <c r="I310" i="34"/>
  <c r="I313" i="34"/>
  <c r="I312" i="34"/>
  <c r="I311" i="34"/>
  <c r="K310" i="34"/>
  <c r="K313" i="34"/>
  <c r="K312" i="34"/>
  <c r="K311" i="34"/>
  <c r="T185" i="34"/>
  <c r="H312" i="34" s="1"/>
  <c r="T171" i="34"/>
  <c r="H310" i="34" s="1"/>
  <c r="T178" i="34"/>
  <c r="H311" i="34" s="1"/>
  <c r="T192" i="34"/>
  <c r="H313" i="34" s="1"/>
  <c r="I578" i="35"/>
  <c r="I577" i="35"/>
  <c r="K578" i="35"/>
  <c r="K577" i="35"/>
  <c r="S570" i="35"/>
  <c r="J583" i="35" s="1"/>
  <c r="S556" i="35"/>
  <c r="J581" i="35" s="1"/>
  <c r="T463" i="35"/>
  <c r="H577" i="35" s="1"/>
  <c r="S563" i="35"/>
  <c r="J582" i="35" s="1"/>
  <c r="T470" i="35"/>
  <c r="H578" i="35" s="1"/>
  <c r="T498" i="35"/>
  <c r="H582" i="35" s="1"/>
  <c r="T505" i="35"/>
  <c r="H583" i="35" s="1"/>
  <c r="T484" i="35"/>
  <c r="H580" i="35" s="1"/>
  <c r="T491" i="35"/>
  <c r="H581" i="35" s="1"/>
  <c r="K444" i="35"/>
  <c r="K443" i="35"/>
  <c r="K445" i="35"/>
  <c r="I443" i="35"/>
  <c r="I444" i="35"/>
  <c r="T364" i="35"/>
  <c r="H448" i="35" s="1"/>
  <c r="T350" i="35"/>
  <c r="H446" i="35" s="1"/>
  <c r="S429" i="35"/>
  <c r="J448" i="35" s="1"/>
  <c r="T357" i="35"/>
  <c r="H447" i="35" s="1"/>
  <c r="T371" i="35"/>
  <c r="H449" i="35" s="1"/>
  <c r="S436" i="35"/>
  <c r="J449" i="35" s="1"/>
  <c r="T336" i="35"/>
  <c r="H444" i="35" s="1"/>
  <c r="T343" i="35"/>
  <c r="H445" i="35" s="1"/>
  <c r="T329" i="35"/>
  <c r="H443" i="35" s="1"/>
  <c r="S422" i="35"/>
  <c r="J447" i="35" s="1"/>
  <c r="I311" i="35"/>
  <c r="I310" i="35"/>
  <c r="K310" i="35"/>
  <c r="K311" i="35"/>
  <c r="T171" i="35"/>
  <c r="H310" i="35" s="1"/>
  <c r="T192" i="35"/>
  <c r="H313" i="35" s="1"/>
  <c r="T213" i="35"/>
  <c r="H316" i="35" s="1"/>
  <c r="S280" i="35"/>
  <c r="J316" i="35" s="1"/>
  <c r="T178" i="35"/>
  <c r="H311" i="35" s="1"/>
  <c r="S266" i="35"/>
  <c r="J314" i="35" s="1"/>
  <c r="T185" i="35"/>
  <c r="H312" i="35" s="1"/>
  <c r="T199" i="35"/>
  <c r="H314" i="35" s="1"/>
  <c r="S273" i="35"/>
  <c r="J315" i="35" s="1"/>
  <c r="T206" i="35"/>
  <c r="H315" i="35" s="1"/>
  <c r="I580" i="35"/>
  <c r="I579" i="35"/>
  <c r="K580" i="35"/>
  <c r="K579" i="35"/>
  <c r="I449" i="35"/>
  <c r="I445" i="35"/>
  <c r="I446" i="35"/>
  <c r="K446" i="35"/>
  <c r="I316" i="35"/>
  <c r="I312" i="35"/>
  <c r="I313" i="35"/>
  <c r="K313" i="35"/>
  <c r="K312" i="35"/>
  <c r="I448" i="35"/>
  <c r="I314" i="35"/>
  <c r="I447" i="35"/>
  <c r="I315" i="35"/>
  <c r="K581" i="35"/>
  <c r="K582" i="35"/>
  <c r="K447" i="35"/>
  <c r="K583" i="35"/>
  <c r="K448" i="35"/>
  <c r="K314" i="35"/>
  <c r="K449" i="35"/>
  <c r="K315" i="35"/>
  <c r="K316" i="35"/>
  <c r="I581" i="35"/>
  <c r="I582" i="35"/>
  <c r="I583" i="35"/>
  <c r="I590" i="34"/>
  <c r="I589" i="34"/>
  <c r="I588" i="34"/>
  <c r="K588" i="34"/>
  <c r="K590" i="34"/>
  <c r="K589" i="34"/>
  <c r="T498" i="34"/>
  <c r="H589" i="34" s="1"/>
  <c r="T491" i="34"/>
  <c r="H588" i="34" s="1"/>
  <c r="T505" i="34"/>
  <c r="H590" i="34" s="1"/>
  <c r="T512" i="34"/>
  <c r="K447" i="34"/>
  <c r="K448" i="34"/>
  <c r="S280" i="34"/>
  <c r="J316" i="34" s="1"/>
  <c r="K449" i="34"/>
  <c r="S436" i="34"/>
  <c r="J449" i="34" s="1"/>
  <c r="S429" i="34"/>
  <c r="J448" i="34" s="1"/>
  <c r="S273" i="34"/>
  <c r="J315" i="34" s="1"/>
  <c r="T199" i="34"/>
  <c r="H314" i="34" s="1"/>
  <c r="T206" i="34"/>
  <c r="H315" i="34" s="1"/>
  <c r="T371" i="34"/>
  <c r="H449" i="34" s="1"/>
  <c r="T357" i="34"/>
  <c r="H447" i="34" s="1"/>
  <c r="S422" i="34"/>
  <c r="J447" i="34" s="1"/>
  <c r="I448" i="34"/>
  <c r="I447" i="34"/>
  <c r="I449" i="34"/>
  <c r="T364" i="34"/>
  <c r="H448" i="34" s="1"/>
  <c r="T213" i="34"/>
  <c r="H316" i="34" s="1"/>
  <c r="S266" i="34"/>
  <c r="J314" i="34" s="1"/>
  <c r="S563" i="34"/>
  <c r="J588" i="34" s="1"/>
  <c r="S570" i="34"/>
  <c r="J589" i="34" s="1"/>
  <c r="I316" i="34"/>
  <c r="I315" i="34"/>
  <c r="S577" i="34"/>
  <c r="J590" i="34" s="1"/>
  <c r="K315" i="34"/>
  <c r="N578" i="35" l="1"/>
  <c r="AF123" i="35" s="1"/>
  <c r="AG123" i="35" s="1"/>
  <c r="AH123" i="35" s="1"/>
  <c r="AI123" i="35" s="1"/>
  <c r="AK123" i="35" s="1"/>
  <c r="N586" i="34"/>
  <c r="AF130" i="34" s="1"/>
  <c r="AG130" i="34" s="1"/>
  <c r="AH130" i="34" s="1"/>
  <c r="AI130" i="34" s="1"/>
  <c r="AK130" i="34" s="1"/>
  <c r="N587" i="34"/>
  <c r="AF137" i="34" s="1"/>
  <c r="AG137" i="34" s="1"/>
  <c r="AH137" i="34" s="1"/>
  <c r="AI137" i="34" s="1"/>
  <c r="AK137" i="34" s="1"/>
  <c r="N585" i="34"/>
  <c r="AF123" i="34" s="1"/>
  <c r="AG123" i="34" s="1"/>
  <c r="AH123" i="34" s="1"/>
  <c r="AI123" i="34" s="1"/>
  <c r="AK123" i="34" s="1"/>
  <c r="N584" i="34"/>
  <c r="AF116" i="34" s="1"/>
  <c r="AG116" i="34" s="1"/>
  <c r="AH116" i="34" s="1"/>
  <c r="AI116" i="34" s="1"/>
  <c r="AK116" i="34" s="1"/>
  <c r="N446" i="34"/>
  <c r="AF85" i="34" s="1"/>
  <c r="AG85" i="34" s="1"/>
  <c r="AH85" i="34" s="1"/>
  <c r="AI85" i="34" s="1"/>
  <c r="AK85" i="34" s="1"/>
  <c r="N444" i="34"/>
  <c r="AF71" i="34" s="1"/>
  <c r="AG71" i="34" s="1"/>
  <c r="AH71" i="34" s="1"/>
  <c r="AI71" i="34" s="1"/>
  <c r="AK71" i="34" s="1"/>
  <c r="N443" i="34"/>
  <c r="AF64" i="34" s="1"/>
  <c r="AG64" i="34" s="1"/>
  <c r="AH64" i="34" s="1"/>
  <c r="AI64" i="34" s="1"/>
  <c r="AK64" i="34" s="1"/>
  <c r="N445" i="34"/>
  <c r="AF78" i="34" s="1"/>
  <c r="AG78" i="34" s="1"/>
  <c r="AH78" i="34" s="1"/>
  <c r="AI78" i="34" s="1"/>
  <c r="AK78" i="34" s="1"/>
  <c r="N313" i="34"/>
  <c r="AF33" i="34" s="1"/>
  <c r="AG33" i="34" s="1"/>
  <c r="AH33" i="34" s="1"/>
  <c r="AI33" i="34" s="1"/>
  <c r="AK33" i="34" s="1"/>
  <c r="N311" i="34"/>
  <c r="AF19" i="34" s="1"/>
  <c r="AG19" i="34" s="1"/>
  <c r="AH19" i="34" s="1"/>
  <c r="AI19" i="34" s="1"/>
  <c r="AK19" i="34" s="1"/>
  <c r="N310" i="34"/>
  <c r="AF12" i="34" s="1"/>
  <c r="AG12" i="34" s="1"/>
  <c r="AH12" i="34" s="1"/>
  <c r="AI12" i="34" s="1"/>
  <c r="AK12" i="34" s="1"/>
  <c r="N312" i="34"/>
  <c r="AF26" i="34" s="1"/>
  <c r="AG26" i="34" s="1"/>
  <c r="AH26" i="34" s="1"/>
  <c r="AI26" i="34" s="1"/>
  <c r="AK26" i="34" s="1"/>
  <c r="N577" i="35"/>
  <c r="AF116" i="35" s="1"/>
  <c r="AG116" i="35" s="1"/>
  <c r="AH116" i="35" s="1"/>
  <c r="AI116" i="35" s="1"/>
  <c r="AK116" i="35" s="1"/>
  <c r="N310" i="35"/>
  <c r="AF12" i="35" s="1"/>
  <c r="AG12" i="35" s="1"/>
  <c r="AH12" i="35" s="1"/>
  <c r="AI12" i="35" s="1"/>
  <c r="AK12" i="35" s="1"/>
  <c r="N444" i="35"/>
  <c r="AF71" i="35" s="1"/>
  <c r="AG71" i="35" s="1"/>
  <c r="AH71" i="35" s="1"/>
  <c r="AI71" i="35" s="1"/>
  <c r="AK71" i="35" s="1"/>
  <c r="N443" i="35"/>
  <c r="AF64" i="35" s="1"/>
  <c r="AG64" i="35" s="1"/>
  <c r="AH64" i="35" s="1"/>
  <c r="AI64" i="35" s="1"/>
  <c r="AK64" i="35" s="1"/>
  <c r="N311" i="35"/>
  <c r="AF19" i="35" s="1"/>
  <c r="AG19" i="35" s="1"/>
  <c r="AH19" i="35" s="1"/>
  <c r="AI19" i="35" s="1"/>
  <c r="AK19" i="35" s="1"/>
  <c r="N580" i="35"/>
  <c r="AF137" i="35" s="1"/>
  <c r="AG137" i="35" s="1"/>
  <c r="AH137" i="35" s="1"/>
  <c r="AI137" i="35" s="1"/>
  <c r="AK137" i="35" s="1"/>
  <c r="N445" i="35"/>
  <c r="AF78" i="35" s="1"/>
  <c r="AG78" i="35" s="1"/>
  <c r="AH78" i="35" s="1"/>
  <c r="AI78" i="35" s="1"/>
  <c r="AK78" i="35" s="1"/>
  <c r="N446" i="35"/>
  <c r="AF85" i="35" s="1"/>
  <c r="AG85" i="35" s="1"/>
  <c r="AH85" i="35" s="1"/>
  <c r="AI85" i="35" s="1"/>
  <c r="AK85" i="35" s="1"/>
  <c r="N313" i="35"/>
  <c r="AF33" i="35" s="1"/>
  <c r="AG33" i="35" s="1"/>
  <c r="AH33" i="35" s="1"/>
  <c r="AI33" i="35" s="1"/>
  <c r="AK33" i="35" s="1"/>
  <c r="N312" i="35"/>
  <c r="AF26" i="35" s="1"/>
  <c r="AG26" i="35" s="1"/>
  <c r="N314" i="35"/>
  <c r="AF40" i="35" s="1"/>
  <c r="AG40" i="35" s="1"/>
  <c r="AH40" i="35" s="1"/>
  <c r="AI40" i="35" s="1"/>
  <c r="AK40" i="35" s="1"/>
  <c r="N316" i="35"/>
  <c r="AF54" i="35" s="1"/>
  <c r="AG54" i="35" s="1"/>
  <c r="AH54" i="35" s="1"/>
  <c r="AI54" i="35" s="1"/>
  <c r="AK54" i="35" s="1"/>
  <c r="N315" i="35"/>
  <c r="AF47" i="35" s="1"/>
  <c r="AG47" i="35" s="1"/>
  <c r="AH47" i="35" s="1"/>
  <c r="AI47" i="35" s="1"/>
  <c r="AK47" i="35" s="1"/>
  <c r="N581" i="35"/>
  <c r="AF144" i="35" s="1"/>
  <c r="AG144" i="35" s="1"/>
  <c r="AH144" i="35" s="1"/>
  <c r="N449" i="35"/>
  <c r="AF106" i="35" s="1"/>
  <c r="AG106" i="35" s="1"/>
  <c r="AH106" i="35" s="1"/>
  <c r="AI106" i="35" s="1"/>
  <c r="AK106" i="35" s="1"/>
  <c r="N448" i="35"/>
  <c r="AF99" i="35" s="1"/>
  <c r="AG99" i="35" s="1"/>
  <c r="AH99" i="35" s="1"/>
  <c r="AI99" i="35" s="1"/>
  <c r="AK99" i="35" s="1"/>
  <c r="N583" i="35"/>
  <c r="AF158" i="35" s="1"/>
  <c r="AG158" i="35" s="1"/>
  <c r="N447" i="35"/>
  <c r="AF92" i="35" s="1"/>
  <c r="AG92" i="35" s="1"/>
  <c r="N582" i="35"/>
  <c r="AF151" i="35" s="1"/>
  <c r="AG151" i="35" s="1"/>
  <c r="N449" i="34"/>
  <c r="AF106" i="34" s="1"/>
  <c r="AG106" i="34" s="1"/>
  <c r="AH106" i="34" s="1"/>
  <c r="AI106" i="34" s="1"/>
  <c r="AK106" i="34" s="1"/>
  <c r="N447" i="34"/>
  <c r="AF92" i="34" s="1"/>
  <c r="AG92" i="34" s="1"/>
  <c r="AH92" i="34" s="1"/>
  <c r="AI92" i="34" s="1"/>
  <c r="AK92" i="34" s="1"/>
  <c r="N589" i="34"/>
  <c r="AF151" i="34" s="1"/>
  <c r="AG151" i="34" s="1"/>
  <c r="AH151" i="34" s="1"/>
  <c r="AI151" i="34" s="1"/>
  <c r="AK151" i="34" s="1"/>
  <c r="K314" i="34"/>
  <c r="N314" i="34" s="1"/>
  <c r="AF40" i="34" s="1"/>
  <c r="AG40" i="34" s="1"/>
  <c r="N588" i="34"/>
  <c r="AF144" i="34" s="1"/>
  <c r="AG144" i="34" s="1"/>
  <c r="AH144" i="34" s="1"/>
  <c r="AI144" i="34" s="1"/>
  <c r="AK144" i="34" s="1"/>
  <c r="K316" i="34"/>
  <c r="N316" i="34" s="1"/>
  <c r="AF54" i="34" s="1"/>
  <c r="AG54" i="34" s="1"/>
  <c r="N590" i="34"/>
  <c r="AF158" i="34" s="1"/>
  <c r="AG158" i="34" s="1"/>
  <c r="AH158" i="34" s="1"/>
  <c r="AI158" i="34" s="1"/>
  <c r="AK158" i="34" s="1"/>
  <c r="N448" i="34"/>
  <c r="AF99" i="34" s="1"/>
  <c r="AG99" i="34" s="1"/>
  <c r="AH99" i="34" s="1"/>
  <c r="AI99" i="34" s="1"/>
  <c r="AK99" i="34" s="1"/>
  <c r="N315" i="34"/>
  <c r="AF47" i="34" s="1"/>
  <c r="AG47" i="34" s="1"/>
  <c r="AL159" i="34" l="1"/>
  <c r="AL107" i="34"/>
  <c r="AH26" i="35"/>
  <c r="AI26" i="35" s="1"/>
  <c r="AK26" i="35" s="1"/>
  <c r="AI144" i="35"/>
  <c r="AK144" i="35" s="1"/>
  <c r="AH151" i="35"/>
  <c r="AI151" i="35" s="1"/>
  <c r="AK151" i="35" s="1"/>
  <c r="AH92" i="35"/>
  <c r="AI92" i="35" s="1"/>
  <c r="AK92" i="35" s="1"/>
  <c r="AL107" i="35" s="1"/>
  <c r="AH158" i="35"/>
  <c r="AI158" i="35" s="1"/>
  <c r="AK158" i="35" s="1"/>
  <c r="AH40" i="34"/>
  <c r="AI40" i="34" s="1"/>
  <c r="AK40" i="34" s="1"/>
  <c r="AH54" i="34"/>
  <c r="AI54" i="34" s="1"/>
  <c r="AK54" i="34" s="1"/>
  <c r="AH47" i="34"/>
  <c r="AI47" i="34" s="1"/>
  <c r="AK47" i="34" s="1"/>
  <c r="AL55" i="34" l="1"/>
  <c r="C126" i="17"/>
  <c r="G347" i="33"/>
  <c r="H347" i="33" s="1"/>
  <c r="H348" i="33" s="1"/>
  <c r="K341" i="33"/>
  <c r="K342" i="33" s="1"/>
  <c r="J356" i="33" s="1"/>
  <c r="J341" i="33"/>
  <c r="M335" i="33"/>
  <c r="K335" i="33"/>
  <c r="I335" i="33"/>
  <c r="M334" i="33"/>
  <c r="K334" i="33"/>
  <c r="I334" i="33"/>
  <c r="L334" i="33" s="1"/>
  <c r="O334" i="33" s="1"/>
  <c r="M333" i="33"/>
  <c r="K333" i="33"/>
  <c r="L333" i="33" s="1"/>
  <c r="O333" i="33" s="1"/>
  <c r="I333" i="33"/>
  <c r="M332" i="33"/>
  <c r="K332" i="33"/>
  <c r="I332" i="33"/>
  <c r="L332" i="33" s="1"/>
  <c r="O332" i="33" s="1"/>
  <c r="M331" i="33"/>
  <c r="K331" i="33"/>
  <c r="I331" i="33"/>
  <c r="M330" i="33"/>
  <c r="K330" i="33"/>
  <c r="I330" i="33"/>
  <c r="L330" i="33" s="1"/>
  <c r="O330" i="33" s="1"/>
  <c r="M329" i="33"/>
  <c r="K329" i="33"/>
  <c r="I329" i="33"/>
  <c r="M328" i="33"/>
  <c r="K328" i="33"/>
  <c r="I328" i="33"/>
  <c r="M327" i="33"/>
  <c r="K327" i="33"/>
  <c r="I327" i="33"/>
  <c r="L327" i="33" s="1"/>
  <c r="O327" i="33" s="1"/>
  <c r="M326" i="33"/>
  <c r="L326" i="33"/>
  <c r="O326" i="33" s="1"/>
  <c r="K326" i="33"/>
  <c r="I326" i="33"/>
  <c r="M325" i="33"/>
  <c r="K325" i="33"/>
  <c r="L325" i="33" s="1"/>
  <c r="O325" i="33" s="1"/>
  <c r="I325" i="33"/>
  <c r="M324" i="33"/>
  <c r="K324" i="33"/>
  <c r="I324" i="33"/>
  <c r="P317" i="33"/>
  <c r="L317" i="33"/>
  <c r="M317" i="33" s="1"/>
  <c r="O317" i="33" s="1"/>
  <c r="Q317" i="33" s="1"/>
  <c r="P316" i="33"/>
  <c r="M316" i="33"/>
  <c r="O316" i="33" s="1"/>
  <c r="L316" i="33"/>
  <c r="P315" i="33"/>
  <c r="L315" i="33"/>
  <c r="M315" i="33" s="1"/>
  <c r="O315" i="33" s="1"/>
  <c r="Q315" i="33" s="1"/>
  <c r="P314" i="33"/>
  <c r="L314" i="33"/>
  <c r="M314" i="33" s="1"/>
  <c r="O314" i="33" s="1"/>
  <c r="Q314" i="33" s="1"/>
  <c r="P313" i="33"/>
  <c r="L313" i="33"/>
  <c r="M313" i="33" s="1"/>
  <c r="O313" i="33" s="1"/>
  <c r="Q313" i="33" s="1"/>
  <c r="P312" i="33"/>
  <c r="L312" i="33"/>
  <c r="M312" i="33" s="1"/>
  <c r="O312" i="33" s="1"/>
  <c r="Q312" i="33" s="1"/>
  <c r="P311" i="33"/>
  <c r="L311" i="33"/>
  <c r="M311" i="33" s="1"/>
  <c r="O311" i="33" s="1"/>
  <c r="Q311" i="33" s="1"/>
  <c r="P310" i="33"/>
  <c r="L310" i="33"/>
  <c r="M310" i="33" s="1"/>
  <c r="O310" i="33" s="1"/>
  <c r="P309" i="33"/>
  <c r="L309" i="33"/>
  <c r="M309" i="33" s="1"/>
  <c r="O309" i="33" s="1"/>
  <c r="Q309" i="33" s="1"/>
  <c r="P308" i="33"/>
  <c r="L308" i="33"/>
  <c r="M308" i="33" s="1"/>
  <c r="O308" i="33" s="1"/>
  <c r="P307" i="33"/>
  <c r="L307" i="33"/>
  <c r="M307" i="33" s="1"/>
  <c r="O307" i="33" s="1"/>
  <c r="Q307" i="33" s="1"/>
  <c r="P306" i="33"/>
  <c r="L306" i="33"/>
  <c r="M306" i="33" s="1"/>
  <c r="O306" i="33" s="1"/>
  <c r="Q306" i="33" s="1"/>
  <c r="P304" i="33"/>
  <c r="L304" i="33"/>
  <c r="M304" i="33" s="1"/>
  <c r="O304" i="33" s="1"/>
  <c r="P303" i="33"/>
  <c r="L303" i="33"/>
  <c r="M303" i="33" s="1"/>
  <c r="O303" i="33" s="1"/>
  <c r="Q303" i="33" s="1"/>
  <c r="P302" i="33"/>
  <c r="L302" i="33"/>
  <c r="M302" i="33" s="1"/>
  <c r="O302" i="33" s="1"/>
  <c r="Q302" i="33" s="1"/>
  <c r="P301" i="33"/>
  <c r="L301" i="33"/>
  <c r="M301" i="33" s="1"/>
  <c r="O301" i="33" s="1"/>
  <c r="Q301" i="33" s="1"/>
  <c r="P300" i="33"/>
  <c r="M300" i="33"/>
  <c r="O300" i="33" s="1"/>
  <c r="Q300" i="33" s="1"/>
  <c r="L300" i="33"/>
  <c r="P299" i="33"/>
  <c r="L299" i="33"/>
  <c r="M299" i="33" s="1"/>
  <c r="O299" i="33" s="1"/>
  <c r="Q299" i="33" s="1"/>
  <c r="P298" i="33"/>
  <c r="L298" i="33"/>
  <c r="M298" i="33" s="1"/>
  <c r="O298" i="33" s="1"/>
  <c r="Q298" i="33" s="1"/>
  <c r="P297" i="33"/>
  <c r="L297" i="33"/>
  <c r="M297" i="33" s="1"/>
  <c r="O297" i="33" s="1"/>
  <c r="Q297" i="33" s="1"/>
  <c r="P296" i="33"/>
  <c r="L296" i="33"/>
  <c r="M296" i="33" s="1"/>
  <c r="O296" i="33" s="1"/>
  <c r="Q296" i="33" s="1"/>
  <c r="P295" i="33"/>
  <c r="L295" i="33"/>
  <c r="M295" i="33" s="1"/>
  <c r="O295" i="33" s="1"/>
  <c r="Q295" i="33" s="1"/>
  <c r="P294" i="33"/>
  <c r="L294" i="33"/>
  <c r="M294" i="33" s="1"/>
  <c r="O294" i="33" s="1"/>
  <c r="Q294" i="33" s="1"/>
  <c r="P293" i="33"/>
  <c r="L293" i="33"/>
  <c r="M293" i="33" s="1"/>
  <c r="O293" i="33" s="1"/>
  <c r="P291" i="33"/>
  <c r="L291" i="33"/>
  <c r="M291" i="33" s="1"/>
  <c r="O291" i="33" s="1"/>
  <c r="Q291" i="33" s="1"/>
  <c r="P290" i="33"/>
  <c r="M290" i="33"/>
  <c r="O290" i="33" s="1"/>
  <c r="Q290" i="33" s="1"/>
  <c r="L290" i="33"/>
  <c r="P289" i="33"/>
  <c r="L289" i="33"/>
  <c r="M289" i="33" s="1"/>
  <c r="O289" i="33" s="1"/>
  <c r="Q289" i="33" s="1"/>
  <c r="P288" i="33"/>
  <c r="L288" i="33"/>
  <c r="M288" i="33" s="1"/>
  <c r="O288" i="33" s="1"/>
  <c r="Q288" i="33" s="1"/>
  <c r="P287" i="33"/>
  <c r="L287" i="33"/>
  <c r="M287" i="33" s="1"/>
  <c r="O287" i="33" s="1"/>
  <c r="Q287" i="33" s="1"/>
  <c r="P286" i="33"/>
  <c r="L286" i="33"/>
  <c r="M286" i="33" s="1"/>
  <c r="O286" i="33" s="1"/>
  <c r="P285" i="33"/>
  <c r="L285" i="33"/>
  <c r="M285" i="33" s="1"/>
  <c r="O285" i="33" s="1"/>
  <c r="Q285" i="33" s="1"/>
  <c r="P284" i="33"/>
  <c r="L284" i="33"/>
  <c r="M284" i="33" s="1"/>
  <c r="O284" i="33" s="1"/>
  <c r="P283" i="33"/>
  <c r="L283" i="33"/>
  <c r="M283" i="33" s="1"/>
  <c r="O283" i="33" s="1"/>
  <c r="Q283" i="33" s="1"/>
  <c r="P282" i="33"/>
  <c r="L282" i="33"/>
  <c r="M282" i="33" s="1"/>
  <c r="O282" i="33" s="1"/>
  <c r="Q282" i="33" s="1"/>
  <c r="P281" i="33"/>
  <c r="L281" i="33"/>
  <c r="M281" i="33" s="1"/>
  <c r="O281" i="33" s="1"/>
  <c r="P280" i="33"/>
  <c r="L280" i="33"/>
  <c r="M280" i="33" s="1"/>
  <c r="O280" i="33" s="1"/>
  <c r="P278" i="33"/>
  <c r="M278" i="33"/>
  <c r="O278" i="33" s="1"/>
  <c r="Q278" i="33" s="1"/>
  <c r="L278" i="33"/>
  <c r="P277" i="33"/>
  <c r="L277" i="33"/>
  <c r="M277" i="33" s="1"/>
  <c r="O277" i="33" s="1"/>
  <c r="Q277" i="33" s="1"/>
  <c r="P276" i="33"/>
  <c r="L276" i="33"/>
  <c r="M276" i="33" s="1"/>
  <c r="O276" i="33" s="1"/>
  <c r="P275" i="33"/>
  <c r="L275" i="33"/>
  <c r="M275" i="33" s="1"/>
  <c r="O275" i="33" s="1"/>
  <c r="P274" i="33"/>
  <c r="M274" i="33"/>
  <c r="O274" i="33" s="1"/>
  <c r="Q274" i="33" s="1"/>
  <c r="L274" i="33"/>
  <c r="P273" i="33"/>
  <c r="L273" i="33"/>
  <c r="M273" i="33" s="1"/>
  <c r="O273" i="33" s="1"/>
  <c r="P272" i="33"/>
  <c r="L272" i="33"/>
  <c r="M272" i="33" s="1"/>
  <c r="O272" i="33" s="1"/>
  <c r="Q272" i="33" s="1"/>
  <c r="P271" i="33"/>
  <c r="L271" i="33"/>
  <c r="M271" i="33" s="1"/>
  <c r="O271" i="33" s="1"/>
  <c r="Q271" i="33" s="1"/>
  <c r="P270" i="33"/>
  <c r="L270" i="33"/>
  <c r="M270" i="33" s="1"/>
  <c r="O270" i="33" s="1"/>
  <c r="Q270" i="33" s="1"/>
  <c r="P269" i="33"/>
  <c r="L269" i="33"/>
  <c r="M269" i="33" s="1"/>
  <c r="O269" i="33" s="1"/>
  <c r="P268" i="33"/>
  <c r="M268" i="33"/>
  <c r="O268" i="33" s="1"/>
  <c r="Q268" i="33" s="1"/>
  <c r="L268" i="33"/>
  <c r="P267" i="33"/>
  <c r="L267" i="33"/>
  <c r="M267" i="33" s="1"/>
  <c r="O267" i="33" s="1"/>
  <c r="Q267" i="33" s="1"/>
  <c r="P265" i="33"/>
  <c r="L265" i="33"/>
  <c r="M265" i="33" s="1"/>
  <c r="O265" i="33" s="1"/>
  <c r="Q265" i="33" s="1"/>
  <c r="P264" i="33"/>
  <c r="L264" i="33"/>
  <c r="M264" i="33" s="1"/>
  <c r="O264" i="33" s="1"/>
  <c r="Q264" i="33" s="1"/>
  <c r="P263" i="33"/>
  <c r="L263" i="33"/>
  <c r="M263" i="33" s="1"/>
  <c r="O263" i="33" s="1"/>
  <c r="Q263" i="33" s="1"/>
  <c r="P262" i="33"/>
  <c r="L262" i="33"/>
  <c r="M262" i="33" s="1"/>
  <c r="O262" i="33" s="1"/>
  <c r="Q262" i="33" s="1"/>
  <c r="P261" i="33"/>
  <c r="L261" i="33"/>
  <c r="M261" i="33" s="1"/>
  <c r="O261" i="33" s="1"/>
  <c r="P260" i="33"/>
  <c r="L260" i="33"/>
  <c r="M260" i="33" s="1"/>
  <c r="O260" i="33" s="1"/>
  <c r="P259" i="33"/>
  <c r="L259" i="33"/>
  <c r="M259" i="33" s="1"/>
  <c r="O259" i="33" s="1"/>
  <c r="Q259" i="33" s="1"/>
  <c r="P258" i="33"/>
  <c r="L258" i="33"/>
  <c r="M258" i="33" s="1"/>
  <c r="O258" i="33" s="1"/>
  <c r="Q258" i="33" s="1"/>
  <c r="P257" i="33"/>
  <c r="L257" i="33"/>
  <c r="M257" i="33" s="1"/>
  <c r="O257" i="33" s="1"/>
  <c r="P256" i="33"/>
  <c r="L256" i="33"/>
  <c r="M256" i="33" s="1"/>
  <c r="O256" i="33" s="1"/>
  <c r="P255" i="33"/>
  <c r="L255" i="33"/>
  <c r="M255" i="33" s="1"/>
  <c r="O255" i="33" s="1"/>
  <c r="P254" i="33"/>
  <c r="L254" i="33"/>
  <c r="M254" i="33" s="1"/>
  <c r="O254" i="33" s="1"/>
  <c r="Q254" i="33" s="1"/>
  <c r="P252" i="33"/>
  <c r="L252" i="33"/>
  <c r="M252" i="33" s="1"/>
  <c r="O252" i="33" s="1"/>
  <c r="P251" i="33"/>
  <c r="L251" i="33"/>
  <c r="M251" i="33" s="1"/>
  <c r="O251" i="33" s="1"/>
  <c r="Q251" i="33" s="1"/>
  <c r="P250" i="33"/>
  <c r="L250" i="33"/>
  <c r="M250" i="33" s="1"/>
  <c r="O250" i="33" s="1"/>
  <c r="P249" i="33"/>
  <c r="L249" i="33"/>
  <c r="M249" i="33" s="1"/>
  <c r="O249" i="33" s="1"/>
  <c r="P248" i="33"/>
  <c r="L248" i="33"/>
  <c r="M248" i="33" s="1"/>
  <c r="O248" i="33" s="1"/>
  <c r="Q248" i="33" s="1"/>
  <c r="P247" i="33"/>
  <c r="L247" i="33"/>
  <c r="M247" i="33" s="1"/>
  <c r="O247" i="33" s="1"/>
  <c r="Q247" i="33" s="1"/>
  <c r="P246" i="33"/>
  <c r="L246" i="33"/>
  <c r="M246" i="33" s="1"/>
  <c r="O246" i="33" s="1"/>
  <c r="Q246" i="33" s="1"/>
  <c r="P245" i="33"/>
  <c r="L245" i="33"/>
  <c r="M245" i="33" s="1"/>
  <c r="O245" i="33" s="1"/>
  <c r="Q245" i="33" s="1"/>
  <c r="P244" i="33"/>
  <c r="L244" i="33"/>
  <c r="M244" i="33" s="1"/>
  <c r="O244" i="33" s="1"/>
  <c r="Q244" i="33" s="1"/>
  <c r="P243" i="33"/>
  <c r="L243" i="33"/>
  <c r="M243" i="33" s="1"/>
  <c r="O243" i="33" s="1"/>
  <c r="Q243" i="33" s="1"/>
  <c r="P242" i="33"/>
  <c r="M242" i="33"/>
  <c r="O242" i="33" s="1"/>
  <c r="L242" i="33"/>
  <c r="P241" i="33"/>
  <c r="L241" i="33"/>
  <c r="M241" i="33" s="1"/>
  <c r="O241" i="33" s="1"/>
  <c r="Q241" i="33" s="1"/>
  <c r="P239" i="33"/>
  <c r="L239" i="33"/>
  <c r="M239" i="33" s="1"/>
  <c r="O239" i="33" s="1"/>
  <c r="Q239" i="33" s="1"/>
  <c r="P238" i="33"/>
  <c r="L238" i="33"/>
  <c r="M238" i="33" s="1"/>
  <c r="O238" i="33" s="1"/>
  <c r="P237" i="33"/>
  <c r="L237" i="33"/>
  <c r="M237" i="33" s="1"/>
  <c r="O237" i="33" s="1"/>
  <c r="Q237" i="33" s="1"/>
  <c r="P236" i="33"/>
  <c r="L236" i="33"/>
  <c r="M236" i="33" s="1"/>
  <c r="O236" i="33" s="1"/>
  <c r="Q236" i="33" s="1"/>
  <c r="P235" i="33"/>
  <c r="L235" i="33"/>
  <c r="M235" i="33" s="1"/>
  <c r="O235" i="33" s="1"/>
  <c r="P234" i="33"/>
  <c r="L234" i="33"/>
  <c r="M234" i="33" s="1"/>
  <c r="O234" i="33" s="1"/>
  <c r="P233" i="33"/>
  <c r="L233" i="33"/>
  <c r="M233" i="33" s="1"/>
  <c r="O233" i="33" s="1"/>
  <c r="P232" i="33"/>
  <c r="L232" i="33"/>
  <c r="M232" i="33" s="1"/>
  <c r="O232" i="33" s="1"/>
  <c r="Q232" i="33" s="1"/>
  <c r="P231" i="33"/>
  <c r="L231" i="33"/>
  <c r="M231" i="33" s="1"/>
  <c r="O231" i="33" s="1"/>
  <c r="Q231" i="33" s="1"/>
  <c r="P230" i="33"/>
  <c r="L230" i="33"/>
  <c r="M230" i="33" s="1"/>
  <c r="O230" i="33" s="1"/>
  <c r="P229" i="33"/>
  <c r="L229" i="33"/>
  <c r="M229" i="33" s="1"/>
  <c r="O229" i="33" s="1"/>
  <c r="Q229" i="33" s="1"/>
  <c r="P228" i="33"/>
  <c r="L228" i="33"/>
  <c r="M228" i="33" s="1"/>
  <c r="O228" i="33" s="1"/>
  <c r="J221" i="33"/>
  <c r="K221" i="33" s="1"/>
  <c r="J220" i="33"/>
  <c r="K220" i="33" s="1"/>
  <c r="J219" i="33"/>
  <c r="K219" i="33" s="1"/>
  <c r="J218" i="33"/>
  <c r="K218" i="33" s="1"/>
  <c r="J217" i="33"/>
  <c r="K217" i="33" s="1"/>
  <c r="J216" i="33"/>
  <c r="K216" i="33" s="1"/>
  <c r="J215" i="33"/>
  <c r="K215" i="33" s="1"/>
  <c r="J214" i="33"/>
  <c r="K214" i="33" s="1"/>
  <c r="J213" i="33"/>
  <c r="K213" i="33" s="1"/>
  <c r="J212" i="33"/>
  <c r="K212" i="33" s="1"/>
  <c r="J211" i="33"/>
  <c r="K211" i="33" s="1"/>
  <c r="J210" i="33"/>
  <c r="K210" i="33" s="1"/>
  <c r="Q203" i="33"/>
  <c r="L203" i="33"/>
  <c r="H203" i="33"/>
  <c r="I203" i="33" s="1"/>
  <c r="M203" i="33" s="1"/>
  <c r="Q202" i="33"/>
  <c r="L202" i="33"/>
  <c r="H202" i="33"/>
  <c r="I202" i="33" s="1"/>
  <c r="M202" i="33" s="1"/>
  <c r="Q201" i="33"/>
  <c r="L201" i="33"/>
  <c r="H201" i="33"/>
  <c r="I201" i="33" s="1"/>
  <c r="M201" i="33" s="1"/>
  <c r="Q200" i="33"/>
  <c r="L200" i="33"/>
  <c r="H200" i="33"/>
  <c r="I200" i="33" s="1"/>
  <c r="M200" i="33" s="1"/>
  <c r="Q199" i="33"/>
  <c r="L199" i="33"/>
  <c r="H199" i="33"/>
  <c r="I199" i="33" s="1"/>
  <c r="M199" i="33" s="1"/>
  <c r="Q198" i="33"/>
  <c r="L198" i="33"/>
  <c r="H198" i="33"/>
  <c r="I198" i="33" s="1"/>
  <c r="M198" i="33" s="1"/>
  <c r="Q197" i="33"/>
  <c r="L197" i="33"/>
  <c r="H197" i="33"/>
  <c r="I197" i="33" s="1"/>
  <c r="M197" i="33" s="1"/>
  <c r="Q196" i="33"/>
  <c r="L196" i="33"/>
  <c r="H196" i="33"/>
  <c r="I196" i="33" s="1"/>
  <c r="M196" i="33" s="1"/>
  <c r="Q195" i="33"/>
  <c r="L195" i="33"/>
  <c r="H195" i="33"/>
  <c r="I195" i="33" s="1"/>
  <c r="M195" i="33" s="1"/>
  <c r="Q194" i="33"/>
  <c r="L194" i="33"/>
  <c r="H194" i="33"/>
  <c r="I194" i="33" s="1"/>
  <c r="M194" i="33" s="1"/>
  <c r="Q193" i="33"/>
  <c r="L193" i="33"/>
  <c r="H193" i="33"/>
  <c r="I193" i="33" s="1"/>
  <c r="M193" i="33" s="1"/>
  <c r="Q192" i="33"/>
  <c r="L192" i="33"/>
  <c r="H192" i="33"/>
  <c r="I192" i="33" s="1"/>
  <c r="M192" i="33" s="1"/>
  <c r="Q189" i="33"/>
  <c r="L189" i="33"/>
  <c r="H189" i="33"/>
  <c r="I189" i="33" s="1"/>
  <c r="M189" i="33" s="1"/>
  <c r="Q188" i="33"/>
  <c r="L188" i="33"/>
  <c r="H188" i="33"/>
  <c r="I188" i="33" s="1"/>
  <c r="M188" i="33" s="1"/>
  <c r="Q187" i="33"/>
  <c r="L187" i="33"/>
  <c r="H187" i="33"/>
  <c r="I187" i="33" s="1"/>
  <c r="M187" i="33" s="1"/>
  <c r="Q186" i="33"/>
  <c r="L186" i="33"/>
  <c r="H186" i="33"/>
  <c r="I186" i="33" s="1"/>
  <c r="M186" i="33" s="1"/>
  <c r="Q185" i="33"/>
  <c r="L185" i="33"/>
  <c r="H185" i="33"/>
  <c r="I185" i="33" s="1"/>
  <c r="M185" i="33" s="1"/>
  <c r="Q184" i="33"/>
  <c r="L184" i="33"/>
  <c r="H184" i="33"/>
  <c r="I184" i="33" s="1"/>
  <c r="M184" i="33" s="1"/>
  <c r="Q183" i="33"/>
  <c r="L183" i="33"/>
  <c r="H183" i="33"/>
  <c r="I183" i="33" s="1"/>
  <c r="M183" i="33" s="1"/>
  <c r="Q182" i="33"/>
  <c r="L182" i="33"/>
  <c r="H182" i="33"/>
  <c r="I182" i="33" s="1"/>
  <c r="M182" i="33" s="1"/>
  <c r="Q181" i="33"/>
  <c r="L181" i="33"/>
  <c r="H181" i="33"/>
  <c r="I181" i="33" s="1"/>
  <c r="M181" i="33" s="1"/>
  <c r="Q180" i="33"/>
  <c r="L180" i="33"/>
  <c r="H180" i="33"/>
  <c r="I180" i="33" s="1"/>
  <c r="M180" i="33" s="1"/>
  <c r="Q179" i="33"/>
  <c r="L179" i="33"/>
  <c r="H179" i="33"/>
  <c r="I179" i="33" s="1"/>
  <c r="M179" i="33" s="1"/>
  <c r="Q178" i="33"/>
  <c r="L178" i="33"/>
  <c r="H178" i="33"/>
  <c r="I178" i="33" s="1"/>
  <c r="M178" i="33" s="1"/>
  <c r="Q175" i="33"/>
  <c r="L175" i="33"/>
  <c r="H175" i="33"/>
  <c r="I175" i="33" s="1"/>
  <c r="M175" i="33" s="1"/>
  <c r="Q174" i="33"/>
  <c r="L174" i="33"/>
  <c r="H174" i="33"/>
  <c r="I174" i="33" s="1"/>
  <c r="M174" i="33" s="1"/>
  <c r="Q173" i="33"/>
  <c r="L173" i="33"/>
  <c r="H173" i="33"/>
  <c r="I173" i="33" s="1"/>
  <c r="M173" i="33" s="1"/>
  <c r="Q172" i="33"/>
  <c r="L172" i="33"/>
  <c r="H172" i="33"/>
  <c r="I172" i="33" s="1"/>
  <c r="M172" i="33" s="1"/>
  <c r="Q171" i="33"/>
  <c r="L171" i="33"/>
  <c r="I171" i="33"/>
  <c r="M171" i="33" s="1"/>
  <c r="H171" i="33"/>
  <c r="Q170" i="33"/>
  <c r="L170" i="33"/>
  <c r="H170" i="33"/>
  <c r="I170" i="33" s="1"/>
  <c r="M170" i="33" s="1"/>
  <c r="Q169" i="33"/>
  <c r="L169" i="33"/>
  <c r="J169" i="33"/>
  <c r="N169" i="33" s="1"/>
  <c r="R169" i="33" s="1"/>
  <c r="I169" i="33"/>
  <c r="M169" i="33" s="1"/>
  <c r="H169" i="33"/>
  <c r="Q168" i="33"/>
  <c r="L168" i="33"/>
  <c r="H168" i="33"/>
  <c r="I168" i="33" s="1"/>
  <c r="M168" i="33" s="1"/>
  <c r="Q167" i="33"/>
  <c r="L167" i="33"/>
  <c r="I167" i="33"/>
  <c r="M167" i="33" s="1"/>
  <c r="H167" i="33"/>
  <c r="Q166" i="33"/>
  <c r="L166" i="33"/>
  <c r="H166" i="33"/>
  <c r="I166" i="33" s="1"/>
  <c r="M166" i="33" s="1"/>
  <c r="Q165" i="33"/>
  <c r="L165" i="33"/>
  <c r="I165" i="33"/>
  <c r="M165" i="33" s="1"/>
  <c r="H165" i="33"/>
  <c r="Q164" i="33"/>
  <c r="L164" i="33"/>
  <c r="H164" i="33"/>
  <c r="I164" i="33" s="1"/>
  <c r="M164" i="33" s="1"/>
  <c r="Q161" i="33"/>
  <c r="L161" i="33"/>
  <c r="H161" i="33"/>
  <c r="I161" i="33" s="1"/>
  <c r="M161" i="33" s="1"/>
  <c r="Q160" i="33"/>
  <c r="L160" i="33"/>
  <c r="H160" i="33"/>
  <c r="I160" i="33" s="1"/>
  <c r="M160" i="33" s="1"/>
  <c r="Q159" i="33"/>
  <c r="L159" i="33"/>
  <c r="H159" i="33"/>
  <c r="I159" i="33" s="1"/>
  <c r="M159" i="33" s="1"/>
  <c r="Q158" i="33"/>
  <c r="M158" i="33"/>
  <c r="L158" i="33"/>
  <c r="H158" i="33"/>
  <c r="I158" i="33" s="1"/>
  <c r="Q157" i="33"/>
  <c r="L157" i="33"/>
  <c r="H157" i="33"/>
  <c r="I157" i="33" s="1"/>
  <c r="M157" i="33" s="1"/>
  <c r="Q156" i="33"/>
  <c r="L156" i="33"/>
  <c r="H156" i="33"/>
  <c r="I156" i="33" s="1"/>
  <c r="M156" i="33" s="1"/>
  <c r="Q155" i="33"/>
  <c r="L155" i="33"/>
  <c r="H155" i="33"/>
  <c r="I155" i="33" s="1"/>
  <c r="M155" i="33" s="1"/>
  <c r="Q154" i="33"/>
  <c r="L154" i="33"/>
  <c r="H154" i="33"/>
  <c r="I154" i="33" s="1"/>
  <c r="M154" i="33" s="1"/>
  <c r="Q153" i="33"/>
  <c r="L153" i="33"/>
  <c r="H153" i="33"/>
  <c r="I153" i="33" s="1"/>
  <c r="M153" i="33" s="1"/>
  <c r="Q152" i="33"/>
  <c r="L152" i="33"/>
  <c r="H152" i="33"/>
  <c r="I152" i="33" s="1"/>
  <c r="M152" i="33" s="1"/>
  <c r="Q151" i="33"/>
  <c r="L151" i="33"/>
  <c r="H151" i="33"/>
  <c r="I151" i="33" s="1"/>
  <c r="M151" i="33" s="1"/>
  <c r="Q150" i="33"/>
  <c r="L150" i="33"/>
  <c r="H150" i="33"/>
  <c r="I150" i="33" s="1"/>
  <c r="M150" i="33" s="1"/>
  <c r="Q147" i="33"/>
  <c r="L147" i="33"/>
  <c r="I147" i="33"/>
  <c r="M147" i="33" s="1"/>
  <c r="H147" i="33"/>
  <c r="Q146" i="33"/>
  <c r="L146" i="33"/>
  <c r="H146" i="33"/>
  <c r="I146" i="33" s="1"/>
  <c r="M146" i="33" s="1"/>
  <c r="Q145" i="33"/>
  <c r="L145" i="33"/>
  <c r="H145" i="33"/>
  <c r="I145" i="33" s="1"/>
  <c r="M145" i="33" s="1"/>
  <c r="Q144" i="33"/>
  <c r="L144" i="33"/>
  <c r="H144" i="33"/>
  <c r="I144" i="33" s="1"/>
  <c r="M144" i="33" s="1"/>
  <c r="Q143" i="33"/>
  <c r="L143" i="33"/>
  <c r="H143" i="33"/>
  <c r="I143" i="33" s="1"/>
  <c r="M143" i="33" s="1"/>
  <c r="Q142" i="33"/>
  <c r="L142" i="33"/>
  <c r="I142" i="33"/>
  <c r="M142" i="33" s="1"/>
  <c r="H142" i="33"/>
  <c r="Q141" i="33"/>
  <c r="L141" i="33"/>
  <c r="H141" i="33"/>
  <c r="I141" i="33" s="1"/>
  <c r="M141" i="33" s="1"/>
  <c r="Q140" i="33"/>
  <c r="L140" i="33"/>
  <c r="H140" i="33"/>
  <c r="I140" i="33" s="1"/>
  <c r="M140" i="33" s="1"/>
  <c r="Q139" i="33"/>
  <c r="L139" i="33"/>
  <c r="H139" i="33"/>
  <c r="I139" i="33" s="1"/>
  <c r="M139" i="33" s="1"/>
  <c r="Q138" i="33"/>
  <c r="L138" i="33"/>
  <c r="I138" i="33"/>
  <c r="M138" i="33" s="1"/>
  <c r="H138" i="33"/>
  <c r="Q137" i="33"/>
  <c r="L137" i="33"/>
  <c r="H137" i="33"/>
  <c r="I137" i="33" s="1"/>
  <c r="M137" i="33" s="1"/>
  <c r="Q136" i="33"/>
  <c r="L136" i="33"/>
  <c r="H136" i="33"/>
  <c r="I136" i="33" s="1"/>
  <c r="M136" i="33" s="1"/>
  <c r="Q133" i="33"/>
  <c r="L133" i="33"/>
  <c r="H133" i="33"/>
  <c r="I133" i="33" s="1"/>
  <c r="M133" i="33" s="1"/>
  <c r="Q132" i="33"/>
  <c r="L132" i="33"/>
  <c r="H132" i="33"/>
  <c r="I132" i="33" s="1"/>
  <c r="M132" i="33" s="1"/>
  <c r="Q131" i="33"/>
  <c r="L131" i="33"/>
  <c r="H131" i="33"/>
  <c r="I131" i="33" s="1"/>
  <c r="M131" i="33" s="1"/>
  <c r="Q130" i="33"/>
  <c r="L130" i="33"/>
  <c r="H130" i="33"/>
  <c r="I130" i="33" s="1"/>
  <c r="M130" i="33" s="1"/>
  <c r="Q129" i="33"/>
  <c r="L129" i="33"/>
  <c r="H129" i="33"/>
  <c r="I129" i="33" s="1"/>
  <c r="M129" i="33" s="1"/>
  <c r="Q128" i="33"/>
  <c r="L128" i="33"/>
  <c r="J128" i="33"/>
  <c r="H128" i="33"/>
  <c r="I128" i="33" s="1"/>
  <c r="M128" i="33" s="1"/>
  <c r="Q127" i="33"/>
  <c r="L127" i="33"/>
  <c r="H127" i="33"/>
  <c r="I127" i="33" s="1"/>
  <c r="M127" i="33" s="1"/>
  <c r="Q126" i="33"/>
  <c r="L126" i="33"/>
  <c r="J126" i="33"/>
  <c r="I126" i="33"/>
  <c r="M126" i="33" s="1"/>
  <c r="H126" i="33"/>
  <c r="Q125" i="33"/>
  <c r="L125" i="33"/>
  <c r="H125" i="33"/>
  <c r="I125" i="33" s="1"/>
  <c r="M125" i="33" s="1"/>
  <c r="Q124" i="33"/>
  <c r="L124" i="33"/>
  <c r="H124" i="33"/>
  <c r="I124" i="33" s="1"/>
  <c r="M124" i="33" s="1"/>
  <c r="C124" i="33"/>
  <c r="J173" i="33" s="1"/>
  <c r="Q123" i="33"/>
  <c r="L123" i="33"/>
  <c r="H123" i="33"/>
  <c r="I123" i="33" s="1"/>
  <c r="M123" i="33" s="1"/>
  <c r="Q122" i="33"/>
  <c r="L122" i="33"/>
  <c r="H122" i="33"/>
  <c r="I122" i="33" s="1"/>
  <c r="M122" i="33" s="1"/>
  <c r="Q119" i="33"/>
  <c r="L119" i="33"/>
  <c r="H119" i="33"/>
  <c r="I119" i="33" s="1"/>
  <c r="M119" i="33" s="1"/>
  <c r="Q118" i="33"/>
  <c r="L118" i="33"/>
  <c r="H118" i="33"/>
  <c r="I118" i="33" s="1"/>
  <c r="M118" i="33" s="1"/>
  <c r="Q117" i="33"/>
  <c r="L117" i="33"/>
  <c r="H117" i="33"/>
  <c r="I117" i="33" s="1"/>
  <c r="M117" i="33" s="1"/>
  <c r="Q116" i="33"/>
  <c r="L116" i="33"/>
  <c r="H116" i="33"/>
  <c r="I116" i="33" s="1"/>
  <c r="M116" i="33" s="1"/>
  <c r="Q115" i="33"/>
  <c r="L115" i="33"/>
  <c r="H115" i="33"/>
  <c r="I115" i="33" s="1"/>
  <c r="M115" i="33" s="1"/>
  <c r="Q114" i="33"/>
  <c r="L114" i="33"/>
  <c r="I114" i="33"/>
  <c r="M114" i="33" s="1"/>
  <c r="H114" i="33"/>
  <c r="Q113" i="33"/>
  <c r="M113" i="33"/>
  <c r="L113" i="33"/>
  <c r="I113" i="33"/>
  <c r="H113" i="33"/>
  <c r="Q112" i="33"/>
  <c r="L112" i="33"/>
  <c r="H112" i="33"/>
  <c r="I112" i="33" s="1"/>
  <c r="M112" i="33" s="1"/>
  <c r="Q111" i="33"/>
  <c r="L111" i="33"/>
  <c r="H111" i="33"/>
  <c r="I111" i="33" s="1"/>
  <c r="M111" i="33" s="1"/>
  <c r="Q110" i="33"/>
  <c r="L110" i="33"/>
  <c r="H110" i="33"/>
  <c r="I110" i="33" s="1"/>
  <c r="M110" i="33" s="1"/>
  <c r="Q109" i="33"/>
  <c r="L109" i="33"/>
  <c r="I109" i="33"/>
  <c r="M109" i="33" s="1"/>
  <c r="H109" i="33"/>
  <c r="Q108" i="33"/>
  <c r="L108" i="33"/>
  <c r="H108" i="33"/>
  <c r="I108" i="33" s="1"/>
  <c r="M108" i="33" s="1"/>
  <c r="Q101" i="33"/>
  <c r="P101" i="33"/>
  <c r="O101" i="33"/>
  <c r="AB101" i="33" s="1"/>
  <c r="M100" i="33"/>
  <c r="M99" i="33"/>
  <c r="M98" i="33"/>
  <c r="M97" i="33"/>
  <c r="M96" i="33"/>
  <c r="M95" i="33"/>
  <c r="M94" i="33"/>
  <c r="M93" i="33"/>
  <c r="M92" i="33"/>
  <c r="M91" i="33"/>
  <c r="M90" i="33"/>
  <c r="M89" i="33"/>
  <c r="Q87" i="33"/>
  <c r="P87" i="33"/>
  <c r="O87" i="33"/>
  <c r="T87" i="33" s="1"/>
  <c r="M86" i="33"/>
  <c r="M85" i="33"/>
  <c r="M84" i="33"/>
  <c r="M83" i="33"/>
  <c r="M82" i="33"/>
  <c r="M81" i="33"/>
  <c r="M80" i="33"/>
  <c r="M79" i="33"/>
  <c r="M78" i="33"/>
  <c r="M77" i="33"/>
  <c r="M76" i="33"/>
  <c r="M75" i="33"/>
  <c r="Q73" i="33"/>
  <c r="P73" i="33"/>
  <c r="O73" i="33"/>
  <c r="AB73" i="33" s="1"/>
  <c r="M72" i="33"/>
  <c r="M71" i="33"/>
  <c r="M70" i="33"/>
  <c r="M69" i="33"/>
  <c r="M68" i="33"/>
  <c r="M67" i="33"/>
  <c r="M66" i="33"/>
  <c r="M65" i="33"/>
  <c r="M64" i="33"/>
  <c r="M63" i="33"/>
  <c r="M62" i="33"/>
  <c r="M61" i="33"/>
  <c r="Q59" i="33"/>
  <c r="P59" i="33"/>
  <c r="O59" i="33"/>
  <c r="AB59" i="33" s="1"/>
  <c r="AC59" i="33" s="1"/>
  <c r="M58" i="33"/>
  <c r="M57" i="33"/>
  <c r="M56" i="33"/>
  <c r="M55" i="33"/>
  <c r="M54" i="33"/>
  <c r="M53" i="33"/>
  <c r="M52" i="33"/>
  <c r="M51" i="33"/>
  <c r="M50" i="33"/>
  <c r="M49" i="33"/>
  <c r="M48" i="33"/>
  <c r="M47" i="33"/>
  <c r="Q45" i="33"/>
  <c r="P45" i="33"/>
  <c r="O45" i="33"/>
  <c r="T45" i="33" s="1"/>
  <c r="M44" i="33"/>
  <c r="M43" i="33"/>
  <c r="M42" i="33"/>
  <c r="M41" i="33"/>
  <c r="M40" i="33"/>
  <c r="M39" i="33"/>
  <c r="M38" i="33"/>
  <c r="M37" i="33"/>
  <c r="M36" i="33"/>
  <c r="M35" i="33"/>
  <c r="M34" i="33"/>
  <c r="M33" i="33"/>
  <c r="Q31" i="33"/>
  <c r="P31" i="33"/>
  <c r="O31" i="33"/>
  <c r="X31" i="33" s="1"/>
  <c r="Y31" i="33" s="1"/>
  <c r="M30" i="33"/>
  <c r="M29" i="33"/>
  <c r="M28" i="33"/>
  <c r="M27" i="33"/>
  <c r="M26" i="33"/>
  <c r="M25" i="33"/>
  <c r="M24" i="33"/>
  <c r="M23" i="33"/>
  <c r="M22" i="33"/>
  <c r="M21" i="33"/>
  <c r="M20" i="33"/>
  <c r="M19" i="33"/>
  <c r="Q17" i="33"/>
  <c r="P17" i="33"/>
  <c r="O17" i="33"/>
  <c r="AB17" i="33" s="1"/>
  <c r="M16" i="33"/>
  <c r="M15" i="33"/>
  <c r="M14" i="33"/>
  <c r="M13" i="33"/>
  <c r="M12" i="33"/>
  <c r="M11" i="33"/>
  <c r="M10" i="33"/>
  <c r="M9" i="33"/>
  <c r="M8" i="33"/>
  <c r="M7" i="33"/>
  <c r="M6" i="33"/>
  <c r="M5" i="33"/>
  <c r="K356" i="32"/>
  <c r="J356" i="32"/>
  <c r="G347" i="32"/>
  <c r="H347" i="32" s="1"/>
  <c r="H348" i="32" s="1"/>
  <c r="K357" i="32" s="1"/>
  <c r="J341" i="32"/>
  <c r="K341" i="32" s="1"/>
  <c r="K342" i="32" s="1"/>
  <c r="M335" i="32"/>
  <c r="K335" i="32"/>
  <c r="I335" i="32"/>
  <c r="M334" i="32"/>
  <c r="K334" i="32"/>
  <c r="I334" i="32"/>
  <c r="L334" i="32" s="1"/>
  <c r="M333" i="32"/>
  <c r="K333" i="32"/>
  <c r="I333" i="32"/>
  <c r="L333" i="32" s="1"/>
  <c r="O333" i="32" s="1"/>
  <c r="M332" i="32"/>
  <c r="K332" i="32"/>
  <c r="I332" i="32"/>
  <c r="L332" i="32" s="1"/>
  <c r="O332" i="32" s="1"/>
  <c r="M331" i="32"/>
  <c r="K331" i="32"/>
  <c r="I331" i="32"/>
  <c r="M330" i="32"/>
  <c r="K330" i="32"/>
  <c r="I330" i="32"/>
  <c r="L330" i="32" s="1"/>
  <c r="O330" i="32" s="1"/>
  <c r="M329" i="32"/>
  <c r="K329" i="32"/>
  <c r="I329" i="32"/>
  <c r="L329" i="32" s="1"/>
  <c r="O329" i="32" s="1"/>
  <c r="M328" i="32"/>
  <c r="K328" i="32"/>
  <c r="I328" i="32"/>
  <c r="L328" i="32" s="1"/>
  <c r="O328" i="32" s="1"/>
  <c r="M327" i="32"/>
  <c r="K327" i="32"/>
  <c r="I327" i="32"/>
  <c r="M326" i="32"/>
  <c r="L326" i="32"/>
  <c r="K326" i="32"/>
  <c r="I326" i="32"/>
  <c r="M325" i="32"/>
  <c r="K325" i="32"/>
  <c r="I325" i="32"/>
  <c r="L325" i="32" s="1"/>
  <c r="O325" i="32" s="1"/>
  <c r="M324" i="32"/>
  <c r="L324" i="32"/>
  <c r="O324" i="32" s="1"/>
  <c r="K324" i="32"/>
  <c r="I324" i="32"/>
  <c r="Q317" i="32"/>
  <c r="L317" i="32"/>
  <c r="M317" i="32" s="1"/>
  <c r="P317" i="32" s="1"/>
  <c r="R317" i="32" s="1"/>
  <c r="Q316" i="32"/>
  <c r="L316" i="32"/>
  <c r="M316" i="32" s="1"/>
  <c r="P316" i="32" s="1"/>
  <c r="R316" i="32" s="1"/>
  <c r="Q315" i="32"/>
  <c r="L315" i="32"/>
  <c r="M315" i="32" s="1"/>
  <c r="P315" i="32" s="1"/>
  <c r="R315" i="32" s="1"/>
  <c r="Q314" i="32"/>
  <c r="L314" i="32"/>
  <c r="M314" i="32" s="1"/>
  <c r="P314" i="32" s="1"/>
  <c r="R314" i="32" s="1"/>
  <c r="Q313" i="32"/>
  <c r="L313" i="32"/>
  <c r="M313" i="32" s="1"/>
  <c r="P313" i="32" s="1"/>
  <c r="R313" i="32" s="1"/>
  <c r="Q312" i="32"/>
  <c r="M312" i="32"/>
  <c r="P312" i="32" s="1"/>
  <c r="R312" i="32" s="1"/>
  <c r="L312" i="32"/>
  <c r="Q311" i="32"/>
  <c r="L311" i="32"/>
  <c r="M311" i="32" s="1"/>
  <c r="P311" i="32" s="1"/>
  <c r="R311" i="32" s="1"/>
  <c r="Q310" i="32"/>
  <c r="L310" i="32"/>
  <c r="M310" i="32" s="1"/>
  <c r="P310" i="32" s="1"/>
  <c r="R310" i="32" s="1"/>
  <c r="Q309" i="32"/>
  <c r="L309" i="32"/>
  <c r="M309" i="32" s="1"/>
  <c r="P309" i="32" s="1"/>
  <c r="R309" i="32" s="1"/>
  <c r="Q308" i="32"/>
  <c r="L308" i="32"/>
  <c r="M308" i="32" s="1"/>
  <c r="P308" i="32" s="1"/>
  <c r="R308" i="32" s="1"/>
  <c r="Q307" i="32"/>
  <c r="L307" i="32"/>
  <c r="M307" i="32" s="1"/>
  <c r="P307" i="32" s="1"/>
  <c r="Q306" i="32"/>
  <c r="L306" i="32"/>
  <c r="M306" i="32" s="1"/>
  <c r="P306" i="32" s="1"/>
  <c r="R306" i="32" s="1"/>
  <c r="Q304" i="32"/>
  <c r="L304" i="32"/>
  <c r="M304" i="32" s="1"/>
  <c r="P304" i="32" s="1"/>
  <c r="R304" i="32" s="1"/>
  <c r="Q303" i="32"/>
  <c r="L303" i="32"/>
  <c r="M303" i="32" s="1"/>
  <c r="P303" i="32" s="1"/>
  <c r="R303" i="32" s="1"/>
  <c r="Q302" i="32"/>
  <c r="L302" i="32"/>
  <c r="M302" i="32" s="1"/>
  <c r="P302" i="32" s="1"/>
  <c r="R302" i="32" s="1"/>
  <c r="Q301" i="32"/>
  <c r="L301" i="32"/>
  <c r="M301" i="32" s="1"/>
  <c r="P301" i="32" s="1"/>
  <c r="R301" i="32" s="1"/>
  <c r="Q300" i="32"/>
  <c r="L300" i="32"/>
  <c r="M300" i="32" s="1"/>
  <c r="P300" i="32" s="1"/>
  <c r="R300" i="32" s="1"/>
  <c r="Q299" i="32"/>
  <c r="M299" i="32"/>
  <c r="P299" i="32" s="1"/>
  <c r="R299" i="32" s="1"/>
  <c r="L299" i="32"/>
  <c r="Q298" i="32"/>
  <c r="L298" i="32"/>
  <c r="M298" i="32" s="1"/>
  <c r="P298" i="32" s="1"/>
  <c r="R298" i="32" s="1"/>
  <c r="Q297" i="32"/>
  <c r="L297" i="32"/>
  <c r="M297" i="32" s="1"/>
  <c r="P297" i="32" s="1"/>
  <c r="R297" i="32" s="1"/>
  <c r="Q296" i="32"/>
  <c r="L296" i="32"/>
  <c r="M296" i="32" s="1"/>
  <c r="P296" i="32" s="1"/>
  <c r="Q295" i="32"/>
  <c r="L295" i="32"/>
  <c r="M295" i="32" s="1"/>
  <c r="P295" i="32" s="1"/>
  <c r="Q294" i="32"/>
  <c r="L294" i="32"/>
  <c r="M294" i="32" s="1"/>
  <c r="P294" i="32" s="1"/>
  <c r="R294" i="32" s="1"/>
  <c r="Q293" i="32"/>
  <c r="L293" i="32"/>
  <c r="M293" i="32" s="1"/>
  <c r="P293" i="32" s="1"/>
  <c r="Q291" i="32"/>
  <c r="L291" i="32"/>
  <c r="M291" i="32" s="1"/>
  <c r="P291" i="32" s="1"/>
  <c r="R291" i="32" s="1"/>
  <c r="Q290" i="32"/>
  <c r="L290" i="32"/>
  <c r="M290" i="32" s="1"/>
  <c r="P290" i="32" s="1"/>
  <c r="R290" i="32" s="1"/>
  <c r="Q289" i="32"/>
  <c r="L289" i="32"/>
  <c r="M289" i="32" s="1"/>
  <c r="P289" i="32" s="1"/>
  <c r="R289" i="32" s="1"/>
  <c r="Q288" i="32"/>
  <c r="L288" i="32"/>
  <c r="M288" i="32" s="1"/>
  <c r="P288" i="32" s="1"/>
  <c r="R288" i="32" s="1"/>
  <c r="Q287" i="32"/>
  <c r="L287" i="32"/>
  <c r="M287" i="32" s="1"/>
  <c r="P287" i="32" s="1"/>
  <c r="R287" i="32" s="1"/>
  <c r="Q286" i="32"/>
  <c r="L286" i="32"/>
  <c r="M286" i="32" s="1"/>
  <c r="P286" i="32" s="1"/>
  <c r="R286" i="32" s="1"/>
  <c r="Q285" i="32"/>
  <c r="L285" i="32"/>
  <c r="M285" i="32" s="1"/>
  <c r="P285" i="32" s="1"/>
  <c r="Q284" i="32"/>
  <c r="L284" i="32"/>
  <c r="M284" i="32" s="1"/>
  <c r="P284" i="32" s="1"/>
  <c r="R284" i="32" s="1"/>
  <c r="Q283" i="32"/>
  <c r="L283" i="32"/>
  <c r="M283" i="32" s="1"/>
  <c r="P283" i="32" s="1"/>
  <c r="R283" i="32" s="1"/>
  <c r="Q282" i="32"/>
  <c r="L282" i="32"/>
  <c r="M282" i="32" s="1"/>
  <c r="P282" i="32" s="1"/>
  <c r="R282" i="32" s="1"/>
  <c r="Q281" i="32"/>
  <c r="L281" i="32"/>
  <c r="M281" i="32" s="1"/>
  <c r="P281" i="32" s="1"/>
  <c r="R281" i="32" s="1"/>
  <c r="Q280" i="32"/>
  <c r="L280" i="32"/>
  <c r="M280" i="32" s="1"/>
  <c r="P280" i="32" s="1"/>
  <c r="Q278" i="32"/>
  <c r="L278" i="32"/>
  <c r="M278" i="32" s="1"/>
  <c r="P278" i="32" s="1"/>
  <c r="R278" i="32" s="1"/>
  <c r="Q277" i="32"/>
  <c r="L277" i="32"/>
  <c r="M277" i="32" s="1"/>
  <c r="P277" i="32" s="1"/>
  <c r="Q276" i="32"/>
  <c r="L276" i="32"/>
  <c r="M276" i="32" s="1"/>
  <c r="P276" i="32" s="1"/>
  <c r="R276" i="32" s="1"/>
  <c r="Q275" i="32"/>
  <c r="M275" i="32"/>
  <c r="P275" i="32" s="1"/>
  <c r="R275" i="32" s="1"/>
  <c r="L275" i="32"/>
  <c r="Q274" i="32"/>
  <c r="L274" i="32"/>
  <c r="M274" i="32" s="1"/>
  <c r="P274" i="32" s="1"/>
  <c r="R274" i="32" s="1"/>
  <c r="Q273" i="32"/>
  <c r="L273" i="32"/>
  <c r="M273" i="32" s="1"/>
  <c r="P273" i="32" s="1"/>
  <c r="R273" i="32" s="1"/>
  <c r="Q272" i="32"/>
  <c r="L272" i="32"/>
  <c r="M272" i="32" s="1"/>
  <c r="P272" i="32" s="1"/>
  <c r="Q271" i="32"/>
  <c r="L271" i="32"/>
  <c r="M271" i="32" s="1"/>
  <c r="P271" i="32" s="1"/>
  <c r="R271" i="32" s="1"/>
  <c r="Q270" i="32"/>
  <c r="L270" i="32"/>
  <c r="M270" i="32" s="1"/>
  <c r="P270" i="32" s="1"/>
  <c r="R270" i="32" s="1"/>
  <c r="Q269" i="32"/>
  <c r="L269" i="32"/>
  <c r="M269" i="32" s="1"/>
  <c r="P269" i="32" s="1"/>
  <c r="R269" i="32" s="1"/>
  <c r="Q268" i="32"/>
  <c r="L268" i="32"/>
  <c r="M268" i="32" s="1"/>
  <c r="P268" i="32" s="1"/>
  <c r="R268" i="32" s="1"/>
  <c r="Q267" i="32"/>
  <c r="L267" i="32"/>
  <c r="M267" i="32" s="1"/>
  <c r="P267" i="32" s="1"/>
  <c r="R267" i="32" s="1"/>
  <c r="Q265" i="32"/>
  <c r="L265" i="32"/>
  <c r="M265" i="32" s="1"/>
  <c r="P265" i="32" s="1"/>
  <c r="R265" i="32" s="1"/>
  <c r="Q264" i="32"/>
  <c r="L264" i="32"/>
  <c r="M264" i="32" s="1"/>
  <c r="P264" i="32" s="1"/>
  <c r="R264" i="32" s="1"/>
  <c r="Q263" i="32"/>
  <c r="L263" i="32"/>
  <c r="M263" i="32" s="1"/>
  <c r="P263" i="32" s="1"/>
  <c r="R263" i="32" s="1"/>
  <c r="Q262" i="32"/>
  <c r="L262" i="32"/>
  <c r="M262" i="32" s="1"/>
  <c r="P262" i="32" s="1"/>
  <c r="R262" i="32" s="1"/>
  <c r="Q261" i="32"/>
  <c r="L261" i="32"/>
  <c r="M261" i="32" s="1"/>
  <c r="P261" i="32" s="1"/>
  <c r="R261" i="32" s="1"/>
  <c r="Q260" i="32"/>
  <c r="L260" i="32"/>
  <c r="M260" i="32" s="1"/>
  <c r="P260" i="32" s="1"/>
  <c r="R260" i="32" s="1"/>
  <c r="Q259" i="32"/>
  <c r="L259" i="32"/>
  <c r="M259" i="32" s="1"/>
  <c r="P259" i="32" s="1"/>
  <c r="R259" i="32" s="1"/>
  <c r="Q258" i="32"/>
  <c r="M258" i="32"/>
  <c r="P258" i="32" s="1"/>
  <c r="R258" i="32" s="1"/>
  <c r="L258" i="32"/>
  <c r="Q257" i="32"/>
  <c r="L257" i="32"/>
  <c r="M257" i="32" s="1"/>
  <c r="P257" i="32" s="1"/>
  <c r="R257" i="32" s="1"/>
  <c r="Q256" i="32"/>
  <c r="L256" i="32"/>
  <c r="M256" i="32" s="1"/>
  <c r="P256" i="32" s="1"/>
  <c r="R256" i="32" s="1"/>
  <c r="Q255" i="32"/>
  <c r="L255" i="32"/>
  <c r="M255" i="32" s="1"/>
  <c r="P255" i="32" s="1"/>
  <c r="R255" i="32" s="1"/>
  <c r="Q254" i="32"/>
  <c r="L254" i="32"/>
  <c r="M254" i="32" s="1"/>
  <c r="P254" i="32" s="1"/>
  <c r="R254" i="32" s="1"/>
  <c r="Q252" i="32"/>
  <c r="L252" i="32"/>
  <c r="M252" i="32" s="1"/>
  <c r="P252" i="32" s="1"/>
  <c r="R252" i="32" s="1"/>
  <c r="Q251" i="32"/>
  <c r="L251" i="32"/>
  <c r="M251" i="32" s="1"/>
  <c r="P251" i="32" s="1"/>
  <c r="Q250" i="32"/>
  <c r="L250" i="32"/>
  <c r="M250" i="32" s="1"/>
  <c r="P250" i="32" s="1"/>
  <c r="R250" i="32" s="1"/>
  <c r="Q249" i="32"/>
  <c r="L249" i="32"/>
  <c r="M249" i="32" s="1"/>
  <c r="P249" i="32" s="1"/>
  <c r="Q248" i="32"/>
  <c r="L248" i="32"/>
  <c r="M248" i="32" s="1"/>
  <c r="P248" i="32" s="1"/>
  <c r="R248" i="32" s="1"/>
  <c r="Q247" i="32"/>
  <c r="L247" i="32"/>
  <c r="M247" i="32" s="1"/>
  <c r="P247" i="32" s="1"/>
  <c r="R247" i="32" s="1"/>
  <c r="Q246" i="32"/>
  <c r="L246" i="32"/>
  <c r="M246" i="32" s="1"/>
  <c r="P246" i="32" s="1"/>
  <c r="R246" i="32" s="1"/>
  <c r="Q245" i="32"/>
  <c r="L245" i="32"/>
  <c r="M245" i="32" s="1"/>
  <c r="P245" i="32" s="1"/>
  <c r="R245" i="32" s="1"/>
  <c r="Q244" i="32"/>
  <c r="L244" i="32"/>
  <c r="M244" i="32" s="1"/>
  <c r="P244" i="32" s="1"/>
  <c r="Q243" i="32"/>
  <c r="L243" i="32"/>
  <c r="M243" i="32" s="1"/>
  <c r="P243" i="32" s="1"/>
  <c r="R243" i="32" s="1"/>
  <c r="Q242" i="32"/>
  <c r="L242" i="32"/>
  <c r="M242" i="32" s="1"/>
  <c r="P242" i="32" s="1"/>
  <c r="R242" i="32" s="1"/>
  <c r="Q241" i="32"/>
  <c r="L241" i="32"/>
  <c r="M241" i="32" s="1"/>
  <c r="P241" i="32" s="1"/>
  <c r="Q239" i="32"/>
  <c r="L239" i="32"/>
  <c r="M239" i="32" s="1"/>
  <c r="P239" i="32" s="1"/>
  <c r="R239" i="32" s="1"/>
  <c r="Q238" i="32"/>
  <c r="L238" i="32"/>
  <c r="M238" i="32" s="1"/>
  <c r="P238" i="32" s="1"/>
  <c r="R238" i="32" s="1"/>
  <c r="Q237" i="32"/>
  <c r="L237" i="32"/>
  <c r="M237" i="32" s="1"/>
  <c r="P237" i="32" s="1"/>
  <c r="Q236" i="32"/>
  <c r="L236" i="32"/>
  <c r="M236" i="32" s="1"/>
  <c r="P236" i="32" s="1"/>
  <c r="R236" i="32" s="1"/>
  <c r="Q235" i="32"/>
  <c r="L235" i="32"/>
  <c r="M235" i="32" s="1"/>
  <c r="P235" i="32" s="1"/>
  <c r="R235" i="32" s="1"/>
  <c r="Q234" i="32"/>
  <c r="L234" i="32"/>
  <c r="M234" i="32" s="1"/>
  <c r="P234" i="32" s="1"/>
  <c r="R234" i="32" s="1"/>
  <c r="Q233" i="32"/>
  <c r="M233" i="32"/>
  <c r="P233" i="32" s="1"/>
  <c r="R233" i="32" s="1"/>
  <c r="L233" i="32"/>
  <c r="Q232" i="32"/>
  <c r="L232" i="32"/>
  <c r="M232" i="32" s="1"/>
  <c r="P232" i="32" s="1"/>
  <c r="R232" i="32" s="1"/>
  <c r="Q231" i="32"/>
  <c r="L231" i="32"/>
  <c r="M231" i="32" s="1"/>
  <c r="P231" i="32" s="1"/>
  <c r="R231" i="32" s="1"/>
  <c r="Q230" i="32"/>
  <c r="L230" i="32"/>
  <c r="M230" i="32" s="1"/>
  <c r="P230" i="32" s="1"/>
  <c r="R230" i="32" s="1"/>
  <c r="Q229" i="32"/>
  <c r="L229" i="32"/>
  <c r="M229" i="32" s="1"/>
  <c r="P229" i="32" s="1"/>
  <c r="Q228" i="32"/>
  <c r="L228" i="32"/>
  <c r="M228" i="32" s="1"/>
  <c r="P228" i="32" s="1"/>
  <c r="R228" i="32" s="1"/>
  <c r="J221" i="32"/>
  <c r="K221" i="32" s="1"/>
  <c r="J220" i="32"/>
  <c r="K220" i="32" s="1"/>
  <c r="K219" i="32"/>
  <c r="J219" i="32"/>
  <c r="J218" i="32"/>
  <c r="K218" i="32" s="1"/>
  <c r="J217" i="32"/>
  <c r="K217" i="32" s="1"/>
  <c r="J216" i="32"/>
  <c r="K216" i="32" s="1"/>
  <c r="J215" i="32"/>
  <c r="K215" i="32" s="1"/>
  <c r="J214" i="32"/>
  <c r="K214" i="32" s="1"/>
  <c r="K213" i="32"/>
  <c r="J213" i="32"/>
  <c r="K212" i="32"/>
  <c r="J212" i="32"/>
  <c r="J211" i="32"/>
  <c r="K211" i="32" s="1"/>
  <c r="J210" i="32"/>
  <c r="K210" i="32" s="1"/>
  <c r="Q203" i="32"/>
  <c r="L203" i="32"/>
  <c r="H203" i="32"/>
  <c r="I203" i="32" s="1"/>
  <c r="M203" i="32" s="1"/>
  <c r="Q202" i="32"/>
  <c r="L202" i="32"/>
  <c r="H202" i="32"/>
  <c r="I202" i="32" s="1"/>
  <c r="M202" i="32" s="1"/>
  <c r="Q201" i="32"/>
  <c r="L201" i="32"/>
  <c r="H201" i="32"/>
  <c r="I201" i="32" s="1"/>
  <c r="M201" i="32" s="1"/>
  <c r="Q200" i="32"/>
  <c r="L200" i="32"/>
  <c r="H200" i="32"/>
  <c r="I200" i="32" s="1"/>
  <c r="M200" i="32" s="1"/>
  <c r="Q199" i="32"/>
  <c r="L199" i="32"/>
  <c r="H199" i="32"/>
  <c r="I199" i="32" s="1"/>
  <c r="M199" i="32" s="1"/>
  <c r="Q198" i="32"/>
  <c r="L198" i="32"/>
  <c r="I198" i="32"/>
  <c r="M198" i="32" s="1"/>
  <c r="H198" i="32"/>
  <c r="Q197" i="32"/>
  <c r="L197" i="32"/>
  <c r="I197" i="32"/>
  <c r="M197" i="32" s="1"/>
  <c r="H197" i="32"/>
  <c r="Q196" i="32"/>
  <c r="L196" i="32"/>
  <c r="I196" i="32"/>
  <c r="M196" i="32" s="1"/>
  <c r="H196" i="32"/>
  <c r="Q195" i="32"/>
  <c r="L195" i="32"/>
  <c r="J195" i="32"/>
  <c r="H195" i="32"/>
  <c r="I195" i="32" s="1"/>
  <c r="M195" i="32" s="1"/>
  <c r="Q194" i="32"/>
  <c r="L194" i="32"/>
  <c r="I194" i="32"/>
  <c r="M194" i="32" s="1"/>
  <c r="H194" i="32"/>
  <c r="Q193" i="32"/>
  <c r="L193" i="32"/>
  <c r="H193" i="32"/>
  <c r="I193" i="32" s="1"/>
  <c r="M193" i="32" s="1"/>
  <c r="Q192" i="32"/>
  <c r="L192" i="32"/>
  <c r="H192" i="32"/>
  <c r="I192" i="32" s="1"/>
  <c r="M192" i="32" s="1"/>
  <c r="Q189" i="32"/>
  <c r="L189" i="32"/>
  <c r="H189" i="32"/>
  <c r="I189" i="32" s="1"/>
  <c r="M189" i="32" s="1"/>
  <c r="Q188" i="32"/>
  <c r="L188" i="32"/>
  <c r="H188" i="32"/>
  <c r="I188" i="32" s="1"/>
  <c r="M188" i="32" s="1"/>
  <c r="Q187" i="32"/>
  <c r="L187" i="32"/>
  <c r="H187" i="32"/>
  <c r="I187" i="32" s="1"/>
  <c r="M187" i="32" s="1"/>
  <c r="Q186" i="32"/>
  <c r="L186" i="32"/>
  <c r="H186" i="32"/>
  <c r="I186" i="32" s="1"/>
  <c r="M186" i="32" s="1"/>
  <c r="Q185" i="32"/>
  <c r="L185" i="32"/>
  <c r="H185" i="32"/>
  <c r="I185" i="32" s="1"/>
  <c r="M185" i="32" s="1"/>
  <c r="Q184" i="32"/>
  <c r="L184" i="32"/>
  <c r="J184" i="32"/>
  <c r="H184" i="32"/>
  <c r="I184" i="32" s="1"/>
  <c r="M184" i="32" s="1"/>
  <c r="Q183" i="32"/>
  <c r="L183" i="32"/>
  <c r="H183" i="32"/>
  <c r="I183" i="32" s="1"/>
  <c r="M183" i="32" s="1"/>
  <c r="Q182" i="32"/>
  <c r="L182" i="32"/>
  <c r="J182" i="32"/>
  <c r="H182" i="32"/>
  <c r="I182" i="32" s="1"/>
  <c r="M182" i="32" s="1"/>
  <c r="Q181" i="32"/>
  <c r="L181" i="32"/>
  <c r="H181" i="32"/>
  <c r="I181" i="32" s="1"/>
  <c r="M181" i="32" s="1"/>
  <c r="Q180" i="32"/>
  <c r="L180" i="32"/>
  <c r="H180" i="32"/>
  <c r="I180" i="32" s="1"/>
  <c r="M180" i="32" s="1"/>
  <c r="Q179" i="32"/>
  <c r="L179" i="32"/>
  <c r="H179" i="32"/>
  <c r="I179" i="32" s="1"/>
  <c r="M179" i="32" s="1"/>
  <c r="Q178" i="32"/>
  <c r="L178" i="32"/>
  <c r="H178" i="32"/>
  <c r="I178" i="32" s="1"/>
  <c r="M178" i="32" s="1"/>
  <c r="Q175" i="32"/>
  <c r="L175" i="32"/>
  <c r="H175" i="32"/>
  <c r="I175" i="32" s="1"/>
  <c r="M175" i="32" s="1"/>
  <c r="Q174" i="32"/>
  <c r="L174" i="32"/>
  <c r="H174" i="32"/>
  <c r="I174" i="32" s="1"/>
  <c r="M174" i="32" s="1"/>
  <c r="Q173" i="32"/>
  <c r="L173" i="32"/>
  <c r="H173" i="32"/>
  <c r="I173" i="32" s="1"/>
  <c r="M173" i="32" s="1"/>
  <c r="Q172" i="32"/>
  <c r="L172" i="32"/>
  <c r="H172" i="32"/>
  <c r="I172" i="32" s="1"/>
  <c r="M172" i="32" s="1"/>
  <c r="Q171" i="32"/>
  <c r="L171" i="32"/>
  <c r="H171" i="32"/>
  <c r="I171" i="32" s="1"/>
  <c r="M171" i="32" s="1"/>
  <c r="Q170" i="32"/>
  <c r="L170" i="32"/>
  <c r="H170" i="32"/>
  <c r="I170" i="32" s="1"/>
  <c r="M170" i="32" s="1"/>
  <c r="Q169" i="32"/>
  <c r="L169" i="32"/>
  <c r="H169" i="32"/>
  <c r="I169" i="32" s="1"/>
  <c r="M169" i="32" s="1"/>
  <c r="Q168" i="32"/>
  <c r="L168" i="32"/>
  <c r="H168" i="32"/>
  <c r="I168" i="32" s="1"/>
  <c r="M168" i="32" s="1"/>
  <c r="Q167" i="32"/>
  <c r="L167" i="32"/>
  <c r="H167" i="32"/>
  <c r="I167" i="32" s="1"/>
  <c r="M167" i="32" s="1"/>
  <c r="Q166" i="32"/>
  <c r="L166" i="32"/>
  <c r="H166" i="32"/>
  <c r="I166" i="32" s="1"/>
  <c r="M166" i="32" s="1"/>
  <c r="Q165" i="32"/>
  <c r="L165" i="32"/>
  <c r="H165" i="32"/>
  <c r="I165" i="32" s="1"/>
  <c r="M165" i="32" s="1"/>
  <c r="Q164" i="32"/>
  <c r="L164" i="32"/>
  <c r="H164" i="32"/>
  <c r="I164" i="32" s="1"/>
  <c r="M164" i="32" s="1"/>
  <c r="Q161" i="32"/>
  <c r="L161" i="32"/>
  <c r="H161" i="32"/>
  <c r="I161" i="32" s="1"/>
  <c r="M161" i="32" s="1"/>
  <c r="Q160" i="32"/>
  <c r="L160" i="32"/>
  <c r="H160" i="32"/>
  <c r="I160" i="32" s="1"/>
  <c r="M160" i="32" s="1"/>
  <c r="Q159" i="32"/>
  <c r="L159" i="32"/>
  <c r="I159" i="32"/>
  <c r="M159" i="32" s="1"/>
  <c r="H159" i="32"/>
  <c r="Q158" i="32"/>
  <c r="L158" i="32"/>
  <c r="H158" i="32"/>
  <c r="I158" i="32" s="1"/>
  <c r="M158" i="32" s="1"/>
  <c r="Q157" i="32"/>
  <c r="L157" i="32"/>
  <c r="H157" i="32"/>
  <c r="I157" i="32" s="1"/>
  <c r="M157" i="32" s="1"/>
  <c r="Q156" i="32"/>
  <c r="L156" i="32"/>
  <c r="H156" i="32"/>
  <c r="I156" i="32" s="1"/>
  <c r="M156" i="32" s="1"/>
  <c r="Q155" i="32"/>
  <c r="L155" i="32"/>
  <c r="H155" i="32"/>
  <c r="I155" i="32" s="1"/>
  <c r="M155" i="32" s="1"/>
  <c r="Q154" i="32"/>
  <c r="L154" i="32"/>
  <c r="H154" i="32"/>
  <c r="I154" i="32" s="1"/>
  <c r="M154" i="32" s="1"/>
  <c r="Q153" i="32"/>
  <c r="L153" i="32"/>
  <c r="I153" i="32"/>
  <c r="M153" i="32" s="1"/>
  <c r="H153" i="32"/>
  <c r="Q152" i="32"/>
  <c r="L152" i="32"/>
  <c r="H152" i="32"/>
  <c r="I152" i="32" s="1"/>
  <c r="M152" i="32" s="1"/>
  <c r="Q151" i="32"/>
  <c r="L151" i="32"/>
  <c r="H151" i="32"/>
  <c r="I151" i="32" s="1"/>
  <c r="M151" i="32" s="1"/>
  <c r="Q150" i="32"/>
  <c r="L150" i="32"/>
  <c r="H150" i="32"/>
  <c r="I150" i="32" s="1"/>
  <c r="M150" i="32" s="1"/>
  <c r="Q147" i="32"/>
  <c r="L147" i="32"/>
  <c r="H147" i="32"/>
  <c r="I147" i="32" s="1"/>
  <c r="M147" i="32" s="1"/>
  <c r="Q146" i="32"/>
  <c r="L146" i="32"/>
  <c r="H146" i="32"/>
  <c r="I146" i="32" s="1"/>
  <c r="M146" i="32" s="1"/>
  <c r="Q145" i="32"/>
  <c r="L145" i="32"/>
  <c r="H145" i="32"/>
  <c r="I145" i="32" s="1"/>
  <c r="M145" i="32" s="1"/>
  <c r="Q144" i="32"/>
  <c r="L144" i="32"/>
  <c r="H144" i="32"/>
  <c r="I144" i="32" s="1"/>
  <c r="M144" i="32" s="1"/>
  <c r="Q143" i="32"/>
  <c r="L143" i="32"/>
  <c r="H143" i="32"/>
  <c r="I143" i="32" s="1"/>
  <c r="M143" i="32" s="1"/>
  <c r="Q142" i="32"/>
  <c r="L142" i="32"/>
  <c r="H142" i="32"/>
  <c r="I142" i="32" s="1"/>
  <c r="M142" i="32" s="1"/>
  <c r="Q141" i="32"/>
  <c r="L141" i="32"/>
  <c r="H141" i="32"/>
  <c r="I141" i="32" s="1"/>
  <c r="M141" i="32" s="1"/>
  <c r="Q140" i="32"/>
  <c r="L140" i="32"/>
  <c r="H140" i="32"/>
  <c r="I140" i="32" s="1"/>
  <c r="M140" i="32" s="1"/>
  <c r="Q139" i="32"/>
  <c r="L139" i="32"/>
  <c r="H139" i="32"/>
  <c r="I139" i="32" s="1"/>
  <c r="M139" i="32" s="1"/>
  <c r="Q138" i="32"/>
  <c r="L138" i="32"/>
  <c r="H138" i="32"/>
  <c r="I138" i="32" s="1"/>
  <c r="M138" i="32" s="1"/>
  <c r="Q137" i="32"/>
  <c r="L137" i="32"/>
  <c r="H137" i="32"/>
  <c r="I137" i="32" s="1"/>
  <c r="M137" i="32" s="1"/>
  <c r="Q136" i="32"/>
  <c r="L136" i="32"/>
  <c r="H136" i="32"/>
  <c r="I136" i="32" s="1"/>
  <c r="M136" i="32" s="1"/>
  <c r="Q133" i="32"/>
  <c r="L133" i="32"/>
  <c r="H133" i="32"/>
  <c r="I133" i="32" s="1"/>
  <c r="M133" i="32" s="1"/>
  <c r="Q132" i="32"/>
  <c r="L132" i="32"/>
  <c r="H132" i="32"/>
  <c r="I132" i="32" s="1"/>
  <c r="M132" i="32" s="1"/>
  <c r="Q131" i="32"/>
  <c r="L131" i="32"/>
  <c r="H131" i="32"/>
  <c r="I131" i="32" s="1"/>
  <c r="M131" i="32" s="1"/>
  <c r="Q130" i="32"/>
  <c r="L130" i="32"/>
  <c r="H130" i="32"/>
  <c r="I130" i="32" s="1"/>
  <c r="M130" i="32" s="1"/>
  <c r="Q129" i="32"/>
  <c r="L129" i="32"/>
  <c r="H129" i="32"/>
  <c r="I129" i="32" s="1"/>
  <c r="M129" i="32" s="1"/>
  <c r="Q128" i="32"/>
  <c r="L128" i="32"/>
  <c r="I128" i="32"/>
  <c r="M128" i="32" s="1"/>
  <c r="H128" i="32"/>
  <c r="Q127" i="32"/>
  <c r="L127" i="32"/>
  <c r="H127" i="32"/>
  <c r="I127" i="32" s="1"/>
  <c r="M127" i="32" s="1"/>
  <c r="Q126" i="32"/>
  <c r="L126" i="32"/>
  <c r="H126" i="32"/>
  <c r="I126" i="32" s="1"/>
  <c r="M126" i="32" s="1"/>
  <c r="Q125" i="32"/>
  <c r="L125" i="32"/>
  <c r="H125" i="32"/>
  <c r="I125" i="32" s="1"/>
  <c r="M125" i="32" s="1"/>
  <c r="Q124" i="32"/>
  <c r="L124" i="32"/>
  <c r="H124" i="32"/>
  <c r="I124" i="32" s="1"/>
  <c r="M124" i="32" s="1"/>
  <c r="C124" i="32"/>
  <c r="J186" i="32" s="1"/>
  <c r="Q123" i="32"/>
  <c r="L123" i="32"/>
  <c r="H123" i="32"/>
  <c r="I123" i="32" s="1"/>
  <c r="M123" i="32" s="1"/>
  <c r="Q122" i="32"/>
  <c r="L122" i="32"/>
  <c r="H122" i="32"/>
  <c r="I122" i="32" s="1"/>
  <c r="M122" i="32" s="1"/>
  <c r="Q119" i="32"/>
  <c r="L119" i="32"/>
  <c r="H119" i="32"/>
  <c r="I119" i="32" s="1"/>
  <c r="M119" i="32" s="1"/>
  <c r="Q118" i="32"/>
  <c r="L118" i="32"/>
  <c r="H118" i="32"/>
  <c r="I118" i="32" s="1"/>
  <c r="M118" i="32" s="1"/>
  <c r="Q117" i="32"/>
  <c r="L117" i="32"/>
  <c r="J117" i="32"/>
  <c r="H117" i="32"/>
  <c r="I117" i="32" s="1"/>
  <c r="M117" i="32" s="1"/>
  <c r="Q116" i="32"/>
  <c r="L116" i="32"/>
  <c r="H116" i="32"/>
  <c r="I116" i="32" s="1"/>
  <c r="M116" i="32" s="1"/>
  <c r="Q115" i="32"/>
  <c r="L115" i="32"/>
  <c r="J115" i="32"/>
  <c r="H115" i="32"/>
  <c r="I115" i="32" s="1"/>
  <c r="M115" i="32" s="1"/>
  <c r="Q114" i="32"/>
  <c r="L114" i="32"/>
  <c r="H114" i="32"/>
  <c r="I114" i="32" s="1"/>
  <c r="M114" i="32" s="1"/>
  <c r="Q113" i="32"/>
  <c r="L113" i="32"/>
  <c r="J113" i="32"/>
  <c r="H113" i="32"/>
  <c r="I113" i="32" s="1"/>
  <c r="M113" i="32" s="1"/>
  <c r="Q112" i="32"/>
  <c r="L112" i="32"/>
  <c r="H112" i="32"/>
  <c r="I112" i="32" s="1"/>
  <c r="M112" i="32" s="1"/>
  <c r="Q111" i="32"/>
  <c r="L111" i="32"/>
  <c r="J111" i="32"/>
  <c r="H111" i="32"/>
  <c r="I111" i="32" s="1"/>
  <c r="M111" i="32" s="1"/>
  <c r="Q110" i="32"/>
  <c r="L110" i="32"/>
  <c r="H110" i="32"/>
  <c r="I110" i="32" s="1"/>
  <c r="M110" i="32" s="1"/>
  <c r="Q109" i="32"/>
  <c r="L109" i="32"/>
  <c r="J109" i="32"/>
  <c r="H109" i="32"/>
  <c r="I109" i="32" s="1"/>
  <c r="M109" i="32" s="1"/>
  <c r="Q108" i="32"/>
  <c r="L108" i="32"/>
  <c r="H108" i="32"/>
  <c r="I108" i="32" s="1"/>
  <c r="M108" i="32" s="1"/>
  <c r="Q101" i="32"/>
  <c r="P101" i="32"/>
  <c r="O101" i="32"/>
  <c r="X101" i="32" s="1"/>
  <c r="M100" i="32"/>
  <c r="M99" i="32"/>
  <c r="M98" i="32"/>
  <c r="M97" i="32"/>
  <c r="M96" i="32"/>
  <c r="M95" i="32"/>
  <c r="M94" i="32"/>
  <c r="M93" i="32"/>
  <c r="M92" i="32"/>
  <c r="M91" i="32"/>
  <c r="M90" i="32"/>
  <c r="M89" i="32"/>
  <c r="Q87" i="32"/>
  <c r="P87" i="32"/>
  <c r="O87" i="32"/>
  <c r="AB87" i="32" s="1"/>
  <c r="AC87" i="32" s="1"/>
  <c r="M86" i="32"/>
  <c r="M85" i="32"/>
  <c r="M84" i="32"/>
  <c r="M83" i="32"/>
  <c r="M82" i="32"/>
  <c r="M81" i="32"/>
  <c r="M80" i="32"/>
  <c r="M79" i="32"/>
  <c r="M78" i="32"/>
  <c r="M77" i="32"/>
  <c r="M76" i="32"/>
  <c r="M75" i="32"/>
  <c r="Q73" i="32"/>
  <c r="P73" i="32"/>
  <c r="O73" i="32"/>
  <c r="X73" i="32" s="1"/>
  <c r="M72" i="32"/>
  <c r="M71" i="32"/>
  <c r="M70" i="32"/>
  <c r="M69" i="32"/>
  <c r="M68" i="32"/>
  <c r="M67" i="32"/>
  <c r="M66" i="32"/>
  <c r="M65" i="32"/>
  <c r="M64" i="32"/>
  <c r="M63" i="32"/>
  <c r="M62" i="32"/>
  <c r="M61" i="32"/>
  <c r="Q59" i="32"/>
  <c r="P59" i="32"/>
  <c r="O59" i="32"/>
  <c r="X59" i="32" s="1"/>
  <c r="Y59" i="32" s="1"/>
  <c r="M58" i="32"/>
  <c r="M57" i="32"/>
  <c r="M56" i="32"/>
  <c r="M55" i="32"/>
  <c r="M54" i="32"/>
  <c r="M53" i="32"/>
  <c r="M52" i="32"/>
  <c r="M51" i="32"/>
  <c r="M50" i="32"/>
  <c r="M49" i="32"/>
  <c r="M48" i="32"/>
  <c r="M47" i="32"/>
  <c r="Q45" i="32"/>
  <c r="P45" i="32"/>
  <c r="O45" i="32"/>
  <c r="AB45" i="32" s="1"/>
  <c r="AC45" i="32" s="1"/>
  <c r="M44" i="32"/>
  <c r="M43" i="32"/>
  <c r="M42" i="32"/>
  <c r="M41" i="32"/>
  <c r="M40" i="32"/>
  <c r="M39" i="32"/>
  <c r="M38" i="32"/>
  <c r="M37" i="32"/>
  <c r="M36" i="32"/>
  <c r="M35" i="32"/>
  <c r="M34" i="32"/>
  <c r="M33" i="32"/>
  <c r="Q31" i="32"/>
  <c r="P31" i="32"/>
  <c r="O31" i="32"/>
  <c r="AB31" i="32" s="1"/>
  <c r="M30" i="32"/>
  <c r="M29" i="32"/>
  <c r="M28" i="32"/>
  <c r="M27" i="32"/>
  <c r="M26" i="32"/>
  <c r="M25" i="32"/>
  <c r="M24" i="32"/>
  <c r="M23" i="32"/>
  <c r="M22" i="32"/>
  <c r="M21" i="32"/>
  <c r="M20" i="32"/>
  <c r="M19" i="32"/>
  <c r="Q17" i="32"/>
  <c r="P17" i="32"/>
  <c r="O17" i="32"/>
  <c r="X17" i="32" s="1"/>
  <c r="M16" i="32"/>
  <c r="M15" i="32"/>
  <c r="M14" i="32"/>
  <c r="M13" i="32"/>
  <c r="M12" i="32"/>
  <c r="M11" i="32"/>
  <c r="M10" i="32"/>
  <c r="M9" i="32"/>
  <c r="M8" i="32"/>
  <c r="M7" i="32"/>
  <c r="M6" i="32"/>
  <c r="M5" i="32"/>
  <c r="G349" i="31"/>
  <c r="H349" i="31" s="1"/>
  <c r="H350" i="31" s="1"/>
  <c r="K356" i="31" s="1"/>
  <c r="J343" i="31"/>
  <c r="K343" i="31" s="1"/>
  <c r="K344" i="31" s="1"/>
  <c r="M337" i="31"/>
  <c r="K337" i="31"/>
  <c r="I337" i="31"/>
  <c r="M336" i="31"/>
  <c r="K336" i="31"/>
  <c r="L336" i="31" s="1"/>
  <c r="I336" i="31"/>
  <c r="M335" i="31"/>
  <c r="K335" i="31"/>
  <c r="I335" i="31"/>
  <c r="M334" i="31"/>
  <c r="K334" i="31"/>
  <c r="I334" i="31"/>
  <c r="M333" i="31"/>
  <c r="K333" i="31"/>
  <c r="I333" i="31"/>
  <c r="L333" i="31" s="1"/>
  <c r="M332" i="31"/>
  <c r="K332" i="31"/>
  <c r="I332" i="31"/>
  <c r="L332" i="31" s="1"/>
  <c r="M331" i="31"/>
  <c r="K331" i="31"/>
  <c r="I331" i="31"/>
  <c r="M330" i="31"/>
  <c r="K330" i="31"/>
  <c r="I330" i="31"/>
  <c r="M329" i="31"/>
  <c r="K329" i="31"/>
  <c r="I329" i="31"/>
  <c r="M328" i="31"/>
  <c r="K328" i="31"/>
  <c r="L328" i="31" s="1"/>
  <c r="I328" i="31"/>
  <c r="M327" i="31"/>
  <c r="K327" i="31"/>
  <c r="I327" i="31"/>
  <c r="M326" i="31"/>
  <c r="K326" i="31"/>
  <c r="I326" i="31"/>
  <c r="Q319" i="31"/>
  <c r="L319" i="31"/>
  <c r="M319" i="31" s="1"/>
  <c r="P319" i="31" s="1"/>
  <c r="Q318" i="31"/>
  <c r="L318" i="31"/>
  <c r="M318" i="31" s="1"/>
  <c r="P318" i="31" s="1"/>
  <c r="Q317" i="31"/>
  <c r="L317" i="31"/>
  <c r="M317" i="31" s="1"/>
  <c r="P317" i="31" s="1"/>
  <c r="Q316" i="31"/>
  <c r="L316" i="31"/>
  <c r="M316" i="31" s="1"/>
  <c r="P316" i="31" s="1"/>
  <c r="Q315" i="31"/>
  <c r="L315" i="31"/>
  <c r="M315" i="31" s="1"/>
  <c r="P315" i="31" s="1"/>
  <c r="Q314" i="31"/>
  <c r="L314" i="31"/>
  <c r="M314" i="31" s="1"/>
  <c r="P314" i="31" s="1"/>
  <c r="Q313" i="31"/>
  <c r="L313" i="31"/>
  <c r="M313" i="31" s="1"/>
  <c r="P313" i="31" s="1"/>
  <c r="Q312" i="31"/>
  <c r="L312" i="31"/>
  <c r="M312" i="31" s="1"/>
  <c r="P312" i="31" s="1"/>
  <c r="Q311" i="31"/>
  <c r="L311" i="31"/>
  <c r="M311" i="31" s="1"/>
  <c r="P311" i="31" s="1"/>
  <c r="Q310" i="31"/>
  <c r="L310" i="31"/>
  <c r="M310" i="31" s="1"/>
  <c r="P310" i="31" s="1"/>
  <c r="Q309" i="31"/>
  <c r="L309" i="31"/>
  <c r="M309" i="31" s="1"/>
  <c r="P309" i="31" s="1"/>
  <c r="Q308" i="31"/>
  <c r="L308" i="31"/>
  <c r="M308" i="31" s="1"/>
  <c r="P308" i="31" s="1"/>
  <c r="Q306" i="31"/>
  <c r="L306" i="31"/>
  <c r="M306" i="31" s="1"/>
  <c r="P306" i="31" s="1"/>
  <c r="Q305" i="31"/>
  <c r="L305" i="31"/>
  <c r="M305" i="31" s="1"/>
  <c r="P305" i="31" s="1"/>
  <c r="Q304" i="31"/>
  <c r="L304" i="31"/>
  <c r="M304" i="31" s="1"/>
  <c r="P304" i="31" s="1"/>
  <c r="Q303" i="31"/>
  <c r="L303" i="31"/>
  <c r="M303" i="31" s="1"/>
  <c r="P303" i="31" s="1"/>
  <c r="Q302" i="31"/>
  <c r="L302" i="31"/>
  <c r="M302" i="31" s="1"/>
  <c r="P302" i="31" s="1"/>
  <c r="Q301" i="31"/>
  <c r="L301" i="31"/>
  <c r="M301" i="31" s="1"/>
  <c r="P301" i="31" s="1"/>
  <c r="Q300" i="31"/>
  <c r="L300" i="31"/>
  <c r="M300" i="31" s="1"/>
  <c r="P300" i="31" s="1"/>
  <c r="Q299" i="31"/>
  <c r="L299" i="31"/>
  <c r="M299" i="31" s="1"/>
  <c r="P299" i="31" s="1"/>
  <c r="Q298" i="31"/>
  <c r="L298" i="31"/>
  <c r="M298" i="31" s="1"/>
  <c r="P298" i="31" s="1"/>
  <c r="Q297" i="31"/>
  <c r="L297" i="31"/>
  <c r="M297" i="31" s="1"/>
  <c r="P297" i="31" s="1"/>
  <c r="Q296" i="31"/>
  <c r="L296" i="31"/>
  <c r="M296" i="31" s="1"/>
  <c r="P296" i="31" s="1"/>
  <c r="R296" i="31" s="1"/>
  <c r="Q295" i="31"/>
  <c r="L295" i="31"/>
  <c r="M295" i="31" s="1"/>
  <c r="P295" i="31" s="1"/>
  <c r="Q293" i="31"/>
  <c r="L293" i="31"/>
  <c r="M293" i="31" s="1"/>
  <c r="P293" i="31" s="1"/>
  <c r="Q292" i="31"/>
  <c r="L292" i="31"/>
  <c r="M292" i="31" s="1"/>
  <c r="P292" i="31" s="1"/>
  <c r="R292" i="31" s="1"/>
  <c r="Q291" i="31"/>
  <c r="L291" i="31"/>
  <c r="M291" i="31" s="1"/>
  <c r="P291" i="31" s="1"/>
  <c r="Q290" i="31"/>
  <c r="L290" i="31"/>
  <c r="M290" i="31" s="1"/>
  <c r="P290" i="31" s="1"/>
  <c r="Q289" i="31"/>
  <c r="L289" i="31"/>
  <c r="M289" i="31" s="1"/>
  <c r="P289" i="31" s="1"/>
  <c r="Q288" i="31"/>
  <c r="L288" i="31"/>
  <c r="M288" i="31" s="1"/>
  <c r="P288" i="31" s="1"/>
  <c r="R288" i="31" s="1"/>
  <c r="Q287" i="31"/>
  <c r="L287" i="31"/>
  <c r="M287" i="31" s="1"/>
  <c r="P287" i="31" s="1"/>
  <c r="Q286" i="31"/>
  <c r="L286" i="31"/>
  <c r="M286" i="31" s="1"/>
  <c r="P286" i="31" s="1"/>
  <c r="Q285" i="31"/>
  <c r="L285" i="31"/>
  <c r="M285" i="31" s="1"/>
  <c r="P285" i="31" s="1"/>
  <c r="Q284" i="31"/>
  <c r="L284" i="31"/>
  <c r="M284" i="31" s="1"/>
  <c r="P284" i="31" s="1"/>
  <c r="R284" i="31" s="1"/>
  <c r="Q283" i="31"/>
  <c r="L283" i="31"/>
  <c r="M283" i="31" s="1"/>
  <c r="P283" i="31" s="1"/>
  <c r="R283" i="31" s="1"/>
  <c r="Q282" i="31"/>
  <c r="L282" i="31"/>
  <c r="M282" i="31" s="1"/>
  <c r="P282" i="31" s="1"/>
  <c r="Q280" i="31"/>
  <c r="L280" i="31"/>
  <c r="M280" i="31" s="1"/>
  <c r="P280" i="31" s="1"/>
  <c r="Q279" i="31"/>
  <c r="L279" i="31"/>
  <c r="M279" i="31" s="1"/>
  <c r="P279" i="31" s="1"/>
  <c r="Q278" i="31"/>
  <c r="L278" i="31"/>
  <c r="M278" i="31" s="1"/>
  <c r="P278" i="31" s="1"/>
  <c r="Q277" i="31"/>
  <c r="L277" i="31"/>
  <c r="M277" i="31" s="1"/>
  <c r="P277" i="31" s="1"/>
  <c r="Q276" i="31"/>
  <c r="L276" i="31"/>
  <c r="M276" i="31" s="1"/>
  <c r="P276" i="31" s="1"/>
  <c r="Q275" i="31"/>
  <c r="L275" i="31"/>
  <c r="M275" i="31" s="1"/>
  <c r="P275" i="31" s="1"/>
  <c r="Q274" i="31"/>
  <c r="L274" i="31"/>
  <c r="M274" i="31" s="1"/>
  <c r="P274" i="31" s="1"/>
  <c r="Q273" i="31"/>
  <c r="L273" i="31"/>
  <c r="M273" i="31" s="1"/>
  <c r="P273" i="31" s="1"/>
  <c r="Q272" i="31"/>
  <c r="L272" i="31"/>
  <c r="M272" i="31" s="1"/>
  <c r="P272" i="31" s="1"/>
  <c r="Q271" i="31"/>
  <c r="L271" i="31"/>
  <c r="M271" i="31" s="1"/>
  <c r="P271" i="31" s="1"/>
  <c r="Q270" i="31"/>
  <c r="L270" i="31"/>
  <c r="M270" i="31" s="1"/>
  <c r="P270" i="31" s="1"/>
  <c r="Q269" i="31"/>
  <c r="L269" i="31"/>
  <c r="M269" i="31" s="1"/>
  <c r="P269" i="31" s="1"/>
  <c r="Q267" i="31"/>
  <c r="L267" i="31"/>
  <c r="M267" i="31" s="1"/>
  <c r="P267" i="31" s="1"/>
  <c r="Q266" i="31"/>
  <c r="L266" i="31"/>
  <c r="M266" i="31" s="1"/>
  <c r="P266" i="31" s="1"/>
  <c r="R266" i="31" s="1"/>
  <c r="Q265" i="31"/>
  <c r="L265" i="31"/>
  <c r="M265" i="31" s="1"/>
  <c r="P265" i="31" s="1"/>
  <c r="Q264" i="31"/>
  <c r="L264" i="31"/>
  <c r="M264" i="31" s="1"/>
  <c r="P264" i="31" s="1"/>
  <c r="R264" i="31" s="1"/>
  <c r="Q263" i="31"/>
  <c r="L263" i="31"/>
  <c r="M263" i="31" s="1"/>
  <c r="P263" i="31" s="1"/>
  <c r="R263" i="31" s="1"/>
  <c r="Q262" i="31"/>
  <c r="L262" i="31"/>
  <c r="M262" i="31" s="1"/>
  <c r="P262" i="31" s="1"/>
  <c r="Q261" i="31"/>
  <c r="L261" i="31"/>
  <c r="M261" i="31" s="1"/>
  <c r="P261" i="31" s="1"/>
  <c r="R261" i="31" s="1"/>
  <c r="Q260" i="31"/>
  <c r="L260" i="31"/>
  <c r="M260" i="31" s="1"/>
  <c r="P260" i="31" s="1"/>
  <c r="R260" i="31" s="1"/>
  <c r="Q259" i="31"/>
  <c r="L259" i="31"/>
  <c r="M259" i="31" s="1"/>
  <c r="P259" i="31" s="1"/>
  <c r="R259" i="31" s="1"/>
  <c r="Q258" i="31"/>
  <c r="L258" i="31"/>
  <c r="M258" i="31" s="1"/>
  <c r="P258" i="31" s="1"/>
  <c r="Q257" i="31"/>
  <c r="L257" i="31"/>
  <c r="M257" i="31" s="1"/>
  <c r="P257" i="31" s="1"/>
  <c r="R257" i="31" s="1"/>
  <c r="Q256" i="31"/>
  <c r="L256" i="31"/>
  <c r="M256" i="31" s="1"/>
  <c r="P256" i="31" s="1"/>
  <c r="R256" i="31" s="1"/>
  <c r="Q254" i="31"/>
  <c r="L254" i="31"/>
  <c r="M254" i="31" s="1"/>
  <c r="P254" i="31" s="1"/>
  <c r="R254" i="31" s="1"/>
  <c r="Q253" i="31"/>
  <c r="L253" i="31"/>
  <c r="M253" i="31" s="1"/>
  <c r="P253" i="31" s="1"/>
  <c r="Q252" i="31"/>
  <c r="L252" i="31"/>
  <c r="M252" i="31" s="1"/>
  <c r="P252" i="31" s="1"/>
  <c r="Q251" i="31"/>
  <c r="L251" i="31"/>
  <c r="M251" i="31" s="1"/>
  <c r="P251" i="31" s="1"/>
  <c r="Q250" i="31"/>
  <c r="L250" i="31"/>
  <c r="M250" i="31" s="1"/>
  <c r="P250" i="31" s="1"/>
  <c r="Q249" i="31"/>
  <c r="L249" i="31"/>
  <c r="M249" i="31" s="1"/>
  <c r="P249" i="31" s="1"/>
  <c r="Q248" i="31"/>
  <c r="L248" i="31"/>
  <c r="M248" i="31" s="1"/>
  <c r="P248" i="31" s="1"/>
  <c r="Q247" i="31"/>
  <c r="L247" i="31"/>
  <c r="M247" i="31" s="1"/>
  <c r="P247" i="31" s="1"/>
  <c r="Q246" i="31"/>
  <c r="L246" i="31"/>
  <c r="M246" i="31" s="1"/>
  <c r="P246" i="31" s="1"/>
  <c r="Q245" i="31"/>
  <c r="L245" i="31"/>
  <c r="M245" i="31" s="1"/>
  <c r="P245" i="31" s="1"/>
  <c r="Q244" i="31"/>
  <c r="L244" i="31"/>
  <c r="M244" i="31" s="1"/>
  <c r="P244" i="31" s="1"/>
  <c r="Q243" i="31"/>
  <c r="L243" i="31"/>
  <c r="M243" i="31" s="1"/>
  <c r="P243" i="31" s="1"/>
  <c r="Q241" i="31"/>
  <c r="L241" i="31"/>
  <c r="M241" i="31" s="1"/>
  <c r="P241" i="31" s="1"/>
  <c r="Q240" i="31"/>
  <c r="L240" i="31"/>
  <c r="M240" i="31" s="1"/>
  <c r="P240" i="31" s="1"/>
  <c r="R240" i="31" s="1"/>
  <c r="Q239" i="31"/>
  <c r="L239" i="31"/>
  <c r="M239" i="31" s="1"/>
  <c r="P239" i="31" s="1"/>
  <c r="Q238" i="31"/>
  <c r="L238" i="31"/>
  <c r="M238" i="31" s="1"/>
  <c r="P238" i="31" s="1"/>
  <c r="Q237" i="31"/>
  <c r="L237" i="31"/>
  <c r="M237" i="31" s="1"/>
  <c r="P237" i="31" s="1"/>
  <c r="R237" i="31" s="1"/>
  <c r="Q236" i="31"/>
  <c r="L236" i="31"/>
  <c r="M236" i="31" s="1"/>
  <c r="P236" i="31" s="1"/>
  <c r="R236" i="31" s="1"/>
  <c r="Q235" i="31"/>
  <c r="L235" i="31"/>
  <c r="M235" i="31" s="1"/>
  <c r="P235" i="31" s="1"/>
  <c r="Q234" i="31"/>
  <c r="L234" i="31"/>
  <c r="M234" i="31" s="1"/>
  <c r="P234" i="31" s="1"/>
  <c r="Q233" i="31"/>
  <c r="L233" i="31"/>
  <c r="M233" i="31" s="1"/>
  <c r="P233" i="31" s="1"/>
  <c r="Q232" i="31"/>
  <c r="L232" i="31"/>
  <c r="M232" i="31" s="1"/>
  <c r="P232" i="31" s="1"/>
  <c r="Q231" i="31"/>
  <c r="L231" i="31"/>
  <c r="M231" i="31" s="1"/>
  <c r="P231" i="31" s="1"/>
  <c r="Q230" i="31"/>
  <c r="L230" i="31"/>
  <c r="M230" i="31" s="1"/>
  <c r="P230" i="31" s="1"/>
  <c r="J223" i="31"/>
  <c r="K223" i="31" s="1"/>
  <c r="J222" i="31"/>
  <c r="K222" i="31" s="1"/>
  <c r="J221" i="31"/>
  <c r="K221" i="31" s="1"/>
  <c r="J220" i="31"/>
  <c r="K220" i="31" s="1"/>
  <c r="J219" i="31"/>
  <c r="K219" i="31" s="1"/>
  <c r="J218" i="31"/>
  <c r="K218" i="31" s="1"/>
  <c r="J217" i="31"/>
  <c r="K217" i="31" s="1"/>
  <c r="J216" i="31"/>
  <c r="K216" i="31" s="1"/>
  <c r="J215" i="31"/>
  <c r="K215" i="31" s="1"/>
  <c r="J214" i="31"/>
  <c r="K214" i="31" s="1"/>
  <c r="J213" i="31"/>
  <c r="K213" i="31" s="1"/>
  <c r="J212" i="31"/>
  <c r="K212" i="31" s="1"/>
  <c r="Q205" i="31"/>
  <c r="L205" i="31"/>
  <c r="H205" i="31"/>
  <c r="I205" i="31" s="1"/>
  <c r="M205" i="31" s="1"/>
  <c r="Q204" i="31"/>
  <c r="L204" i="31"/>
  <c r="H204" i="31"/>
  <c r="I204" i="31" s="1"/>
  <c r="M204" i="31" s="1"/>
  <c r="Q203" i="31"/>
  <c r="L203" i="31"/>
  <c r="H203" i="31"/>
  <c r="I203" i="31" s="1"/>
  <c r="M203" i="31" s="1"/>
  <c r="Q202" i="31"/>
  <c r="L202" i="31"/>
  <c r="H202" i="31"/>
  <c r="I202" i="31" s="1"/>
  <c r="M202" i="31" s="1"/>
  <c r="Q201" i="31"/>
  <c r="L201" i="31"/>
  <c r="H201" i="31"/>
  <c r="I201" i="31" s="1"/>
  <c r="M201" i="31" s="1"/>
  <c r="Q200" i="31"/>
  <c r="L200" i="31"/>
  <c r="H200" i="31"/>
  <c r="I200" i="31" s="1"/>
  <c r="M200" i="31" s="1"/>
  <c r="Q199" i="31"/>
  <c r="L199" i="31"/>
  <c r="H199" i="31"/>
  <c r="I199" i="31" s="1"/>
  <c r="M199" i="31" s="1"/>
  <c r="Q198" i="31"/>
  <c r="L198" i="31"/>
  <c r="H198" i="31"/>
  <c r="I198" i="31" s="1"/>
  <c r="M198" i="31" s="1"/>
  <c r="Q197" i="31"/>
  <c r="L197" i="31"/>
  <c r="H197" i="31"/>
  <c r="I197" i="31" s="1"/>
  <c r="M197" i="31" s="1"/>
  <c r="Q196" i="31"/>
  <c r="L196" i="31"/>
  <c r="H196" i="31"/>
  <c r="I196" i="31" s="1"/>
  <c r="M196" i="31" s="1"/>
  <c r="Q195" i="31"/>
  <c r="L195" i="31"/>
  <c r="H195" i="31"/>
  <c r="I195" i="31" s="1"/>
  <c r="M195" i="31" s="1"/>
  <c r="Q194" i="31"/>
  <c r="L194" i="31"/>
  <c r="H194" i="31"/>
  <c r="I194" i="31" s="1"/>
  <c r="M194" i="31" s="1"/>
  <c r="Q191" i="31"/>
  <c r="L191" i="31"/>
  <c r="H191" i="31"/>
  <c r="I191" i="31" s="1"/>
  <c r="M191" i="31" s="1"/>
  <c r="Q190" i="31"/>
  <c r="L190" i="31"/>
  <c r="H190" i="31"/>
  <c r="I190" i="31" s="1"/>
  <c r="M190" i="31" s="1"/>
  <c r="Q189" i="31"/>
  <c r="L189" i="31"/>
  <c r="H189" i="31"/>
  <c r="I189" i="31" s="1"/>
  <c r="M189" i="31" s="1"/>
  <c r="Q188" i="31"/>
  <c r="L188" i="31"/>
  <c r="H188" i="31"/>
  <c r="I188" i="31" s="1"/>
  <c r="M188" i="31" s="1"/>
  <c r="Q187" i="31"/>
  <c r="L187" i="31"/>
  <c r="H187" i="31"/>
  <c r="I187" i="31" s="1"/>
  <c r="M187" i="31" s="1"/>
  <c r="Q186" i="31"/>
  <c r="L186" i="31"/>
  <c r="H186" i="31"/>
  <c r="I186" i="31" s="1"/>
  <c r="M186" i="31" s="1"/>
  <c r="Q185" i="31"/>
  <c r="L185" i="31"/>
  <c r="H185" i="31"/>
  <c r="I185" i="31" s="1"/>
  <c r="M185" i="31" s="1"/>
  <c r="Q184" i="31"/>
  <c r="L184" i="31"/>
  <c r="H184" i="31"/>
  <c r="I184" i="31" s="1"/>
  <c r="M184" i="31" s="1"/>
  <c r="Q183" i="31"/>
  <c r="L183" i="31"/>
  <c r="H183" i="31"/>
  <c r="I183" i="31" s="1"/>
  <c r="M183" i="31" s="1"/>
  <c r="Q182" i="31"/>
  <c r="L182" i="31"/>
  <c r="H182" i="31"/>
  <c r="I182" i="31" s="1"/>
  <c r="M182" i="31" s="1"/>
  <c r="Q181" i="31"/>
  <c r="L181" i="31"/>
  <c r="H181" i="31"/>
  <c r="I181" i="31" s="1"/>
  <c r="M181" i="31" s="1"/>
  <c r="Q180" i="31"/>
  <c r="L180" i="31"/>
  <c r="H180" i="31"/>
  <c r="I180" i="31" s="1"/>
  <c r="M180" i="31" s="1"/>
  <c r="Q177" i="31"/>
  <c r="L177" i="31"/>
  <c r="H177" i="31"/>
  <c r="I177" i="31" s="1"/>
  <c r="M177" i="31" s="1"/>
  <c r="Q176" i="31"/>
  <c r="L176" i="31"/>
  <c r="H176" i="31"/>
  <c r="I176" i="31" s="1"/>
  <c r="M176" i="31" s="1"/>
  <c r="Q175" i="31"/>
  <c r="L175" i="31"/>
  <c r="H175" i="31"/>
  <c r="I175" i="31" s="1"/>
  <c r="M175" i="31" s="1"/>
  <c r="Q174" i="31"/>
  <c r="L174" i="31"/>
  <c r="H174" i="31"/>
  <c r="I174" i="31" s="1"/>
  <c r="M174" i="31" s="1"/>
  <c r="Q173" i="31"/>
  <c r="L173" i="31"/>
  <c r="H173" i="31"/>
  <c r="I173" i="31" s="1"/>
  <c r="M173" i="31" s="1"/>
  <c r="Q172" i="31"/>
  <c r="L172" i="31"/>
  <c r="H172" i="31"/>
  <c r="I172" i="31" s="1"/>
  <c r="M172" i="31" s="1"/>
  <c r="Q171" i="31"/>
  <c r="L171" i="31"/>
  <c r="H171" i="31"/>
  <c r="I171" i="31" s="1"/>
  <c r="M171" i="31" s="1"/>
  <c r="Q170" i="31"/>
  <c r="L170" i="31"/>
  <c r="H170" i="31"/>
  <c r="I170" i="31" s="1"/>
  <c r="M170" i="31" s="1"/>
  <c r="Q169" i="31"/>
  <c r="L169" i="31"/>
  <c r="H169" i="31"/>
  <c r="I169" i="31" s="1"/>
  <c r="M169" i="31" s="1"/>
  <c r="Q168" i="31"/>
  <c r="L168" i="31"/>
  <c r="H168" i="31"/>
  <c r="I168" i="31" s="1"/>
  <c r="M168" i="31" s="1"/>
  <c r="Q167" i="31"/>
  <c r="L167" i="31"/>
  <c r="H167" i="31"/>
  <c r="I167" i="31" s="1"/>
  <c r="M167" i="31" s="1"/>
  <c r="Q166" i="31"/>
  <c r="L166" i="31"/>
  <c r="H166" i="31"/>
  <c r="I166" i="31" s="1"/>
  <c r="M166" i="31" s="1"/>
  <c r="Q163" i="31"/>
  <c r="L163" i="31"/>
  <c r="H163" i="31"/>
  <c r="I163" i="31" s="1"/>
  <c r="M163" i="31" s="1"/>
  <c r="Q162" i="31"/>
  <c r="L162" i="31"/>
  <c r="H162" i="31"/>
  <c r="I162" i="31" s="1"/>
  <c r="M162" i="31" s="1"/>
  <c r="Q161" i="31"/>
  <c r="L161" i="31"/>
  <c r="H161" i="31"/>
  <c r="I161" i="31" s="1"/>
  <c r="M161" i="31" s="1"/>
  <c r="Q160" i="31"/>
  <c r="L160" i="31"/>
  <c r="I160" i="31"/>
  <c r="M160" i="31" s="1"/>
  <c r="H160" i="31"/>
  <c r="Q159" i="31"/>
  <c r="L159" i="31"/>
  <c r="H159" i="31"/>
  <c r="I159" i="31" s="1"/>
  <c r="M159" i="31" s="1"/>
  <c r="Q158" i="31"/>
  <c r="L158" i="31"/>
  <c r="H158" i="31"/>
  <c r="I158" i="31" s="1"/>
  <c r="M158" i="31" s="1"/>
  <c r="Q157" i="31"/>
  <c r="L157" i="31"/>
  <c r="H157" i="31"/>
  <c r="I157" i="31" s="1"/>
  <c r="M157" i="31" s="1"/>
  <c r="Q156" i="31"/>
  <c r="L156" i="31"/>
  <c r="H156" i="31"/>
  <c r="I156" i="31" s="1"/>
  <c r="M156" i="31" s="1"/>
  <c r="Q155" i="31"/>
  <c r="L155" i="31"/>
  <c r="H155" i="31"/>
  <c r="I155" i="31" s="1"/>
  <c r="M155" i="31" s="1"/>
  <c r="Q154" i="31"/>
  <c r="L154" i="31"/>
  <c r="H154" i="31"/>
  <c r="I154" i="31" s="1"/>
  <c r="M154" i="31" s="1"/>
  <c r="Q153" i="31"/>
  <c r="L153" i="31"/>
  <c r="H153" i="31"/>
  <c r="I153" i="31" s="1"/>
  <c r="M153" i="31" s="1"/>
  <c r="Q152" i="31"/>
  <c r="L152" i="31"/>
  <c r="H152" i="31"/>
  <c r="I152" i="31" s="1"/>
  <c r="M152" i="31" s="1"/>
  <c r="Q149" i="31"/>
  <c r="L149" i="31"/>
  <c r="H149" i="31"/>
  <c r="I149" i="31" s="1"/>
  <c r="M149" i="31" s="1"/>
  <c r="Q148" i="31"/>
  <c r="L148" i="31"/>
  <c r="H148" i="31"/>
  <c r="I148" i="31" s="1"/>
  <c r="M148" i="31" s="1"/>
  <c r="Q147" i="31"/>
  <c r="L147" i="31"/>
  <c r="H147" i="31"/>
  <c r="I147" i="31" s="1"/>
  <c r="M147" i="31" s="1"/>
  <c r="Q146" i="31"/>
  <c r="L146" i="31"/>
  <c r="H146" i="31"/>
  <c r="I146" i="31" s="1"/>
  <c r="M146" i="31" s="1"/>
  <c r="Q145" i="31"/>
  <c r="L145" i="31"/>
  <c r="H145" i="31"/>
  <c r="I145" i="31" s="1"/>
  <c r="M145" i="31" s="1"/>
  <c r="Q144" i="31"/>
  <c r="L144" i="31"/>
  <c r="H144" i="31"/>
  <c r="I144" i="31" s="1"/>
  <c r="M144" i="31" s="1"/>
  <c r="Q143" i="31"/>
  <c r="L143" i="31"/>
  <c r="H143" i="31"/>
  <c r="I143" i="31" s="1"/>
  <c r="M143" i="31" s="1"/>
  <c r="Q142" i="31"/>
  <c r="L142" i="31"/>
  <c r="H142" i="31"/>
  <c r="I142" i="31" s="1"/>
  <c r="M142" i="31" s="1"/>
  <c r="Q141" i="31"/>
  <c r="L141" i="31"/>
  <c r="H141" i="31"/>
  <c r="I141" i="31" s="1"/>
  <c r="M141" i="31" s="1"/>
  <c r="Q140" i="31"/>
  <c r="L140" i="31"/>
  <c r="H140" i="31"/>
  <c r="I140" i="31" s="1"/>
  <c r="M140" i="31" s="1"/>
  <c r="Q139" i="31"/>
  <c r="L139" i="31"/>
  <c r="H139" i="31"/>
  <c r="I139" i="31" s="1"/>
  <c r="M139" i="31" s="1"/>
  <c r="Q138" i="31"/>
  <c r="L138" i="31"/>
  <c r="H138" i="31"/>
  <c r="I138" i="31" s="1"/>
  <c r="M138" i="31" s="1"/>
  <c r="Q135" i="31"/>
  <c r="L135" i="31"/>
  <c r="H135" i="31"/>
  <c r="I135" i="31" s="1"/>
  <c r="M135" i="31" s="1"/>
  <c r="Q134" i="31"/>
  <c r="L134" i="31"/>
  <c r="H134" i="31"/>
  <c r="I134" i="31" s="1"/>
  <c r="M134" i="31" s="1"/>
  <c r="Q133" i="31"/>
  <c r="L133" i="31"/>
  <c r="H133" i="31"/>
  <c r="I133" i="31" s="1"/>
  <c r="M133" i="31" s="1"/>
  <c r="Q132" i="31"/>
  <c r="L132" i="31"/>
  <c r="H132" i="31"/>
  <c r="I132" i="31" s="1"/>
  <c r="M132" i="31" s="1"/>
  <c r="Q131" i="31"/>
  <c r="L131" i="31"/>
  <c r="H131" i="31"/>
  <c r="I131" i="31" s="1"/>
  <c r="M131" i="31" s="1"/>
  <c r="Q130" i="31"/>
  <c r="L130" i="31"/>
  <c r="H130" i="31"/>
  <c r="I130" i="31" s="1"/>
  <c r="M130" i="31" s="1"/>
  <c r="Q129" i="31"/>
  <c r="L129" i="31"/>
  <c r="H129" i="31"/>
  <c r="I129" i="31" s="1"/>
  <c r="M129" i="31" s="1"/>
  <c r="Q128" i="31"/>
  <c r="L128" i="31"/>
  <c r="H128" i="31"/>
  <c r="I128" i="31" s="1"/>
  <c r="M128" i="31" s="1"/>
  <c r="Q127" i="31"/>
  <c r="L127" i="31"/>
  <c r="H127" i="31"/>
  <c r="I127" i="31" s="1"/>
  <c r="M127" i="31" s="1"/>
  <c r="Q126" i="31"/>
  <c r="L126" i="31"/>
  <c r="H126" i="31"/>
  <c r="I126" i="31" s="1"/>
  <c r="M126" i="31" s="1"/>
  <c r="C126" i="31"/>
  <c r="J126" i="31" s="1"/>
  <c r="Q125" i="31"/>
  <c r="L125" i="31"/>
  <c r="H125" i="31"/>
  <c r="I125" i="31" s="1"/>
  <c r="M125" i="31" s="1"/>
  <c r="Q124" i="31"/>
  <c r="L124" i="31"/>
  <c r="H124" i="31"/>
  <c r="I124" i="31" s="1"/>
  <c r="M124" i="31" s="1"/>
  <c r="Q121" i="31"/>
  <c r="L121" i="31"/>
  <c r="H121" i="31"/>
  <c r="I121" i="31" s="1"/>
  <c r="M121" i="31" s="1"/>
  <c r="Q120" i="31"/>
  <c r="L120" i="31"/>
  <c r="H120" i="31"/>
  <c r="I120" i="31" s="1"/>
  <c r="M120" i="31" s="1"/>
  <c r="Q119" i="31"/>
  <c r="L119" i="31"/>
  <c r="H119" i="31"/>
  <c r="I119" i="31" s="1"/>
  <c r="M119" i="31" s="1"/>
  <c r="Q118" i="31"/>
  <c r="L118" i="31"/>
  <c r="H118" i="31"/>
  <c r="I118" i="31" s="1"/>
  <c r="M118" i="31" s="1"/>
  <c r="Q117" i="31"/>
  <c r="L117" i="31"/>
  <c r="H117" i="31"/>
  <c r="I117" i="31" s="1"/>
  <c r="M117" i="31" s="1"/>
  <c r="Q116" i="31"/>
  <c r="L116" i="31"/>
  <c r="H116" i="31"/>
  <c r="I116" i="31" s="1"/>
  <c r="M116" i="31" s="1"/>
  <c r="Q115" i="31"/>
  <c r="L115" i="31"/>
  <c r="H115" i="31"/>
  <c r="I115" i="31" s="1"/>
  <c r="M115" i="31" s="1"/>
  <c r="Q114" i="31"/>
  <c r="L114" i="31"/>
  <c r="H114" i="31"/>
  <c r="I114" i="31" s="1"/>
  <c r="M114" i="31" s="1"/>
  <c r="Q113" i="31"/>
  <c r="L113" i="31"/>
  <c r="H113" i="31"/>
  <c r="I113" i="31" s="1"/>
  <c r="M113" i="31" s="1"/>
  <c r="Q112" i="31"/>
  <c r="L112" i="31"/>
  <c r="H112" i="31"/>
  <c r="I112" i="31" s="1"/>
  <c r="M112" i="31" s="1"/>
  <c r="Q111" i="31"/>
  <c r="L111" i="31"/>
  <c r="H111" i="31"/>
  <c r="I111" i="31" s="1"/>
  <c r="M111" i="31" s="1"/>
  <c r="Q110" i="31"/>
  <c r="L110" i="31"/>
  <c r="H110" i="31"/>
  <c r="I110" i="31" s="1"/>
  <c r="M110" i="31" s="1"/>
  <c r="Q103" i="31"/>
  <c r="P103" i="31"/>
  <c r="O103" i="31"/>
  <c r="T103" i="31" s="1"/>
  <c r="M102" i="31"/>
  <c r="M101" i="31"/>
  <c r="M100" i="31"/>
  <c r="M99" i="31"/>
  <c r="M98" i="31"/>
  <c r="M97" i="31"/>
  <c r="M96" i="31"/>
  <c r="M95" i="31"/>
  <c r="M94" i="31"/>
  <c r="M93" i="31"/>
  <c r="M92" i="31"/>
  <c r="M91" i="31"/>
  <c r="Q89" i="31"/>
  <c r="P89" i="31"/>
  <c r="O89" i="31"/>
  <c r="X89" i="31" s="1"/>
  <c r="M88" i="31"/>
  <c r="M87" i="31"/>
  <c r="M86" i="31"/>
  <c r="M85" i="31"/>
  <c r="M84" i="31"/>
  <c r="M83" i="31"/>
  <c r="M82" i="31"/>
  <c r="M81" i="31"/>
  <c r="M80" i="31"/>
  <c r="M79" i="31"/>
  <c r="M78" i="31"/>
  <c r="M77" i="31"/>
  <c r="Q75" i="31"/>
  <c r="P75" i="31"/>
  <c r="O75" i="31"/>
  <c r="T75" i="31" s="1"/>
  <c r="M74" i="31"/>
  <c r="M73" i="31"/>
  <c r="M72" i="31"/>
  <c r="M71" i="31"/>
  <c r="M70" i="31"/>
  <c r="M69" i="31"/>
  <c r="M68" i="31"/>
  <c r="M67" i="31"/>
  <c r="M66" i="31"/>
  <c r="M65" i="31"/>
  <c r="M64" i="31"/>
  <c r="M63" i="31"/>
  <c r="Q60" i="31"/>
  <c r="P60" i="31"/>
  <c r="O60" i="31"/>
  <c r="T60" i="31" s="1"/>
  <c r="M59" i="31"/>
  <c r="M58" i="31"/>
  <c r="M57" i="31"/>
  <c r="M56" i="31"/>
  <c r="M55" i="31"/>
  <c r="M54" i="31"/>
  <c r="M53" i="31"/>
  <c r="M52" i="31"/>
  <c r="M51" i="31"/>
  <c r="M50" i="31"/>
  <c r="M49" i="31"/>
  <c r="M48" i="31"/>
  <c r="Q45" i="31"/>
  <c r="P45" i="31"/>
  <c r="O45" i="31"/>
  <c r="X45" i="31" s="1"/>
  <c r="M44" i="31"/>
  <c r="M43" i="31"/>
  <c r="M42" i="31"/>
  <c r="M41" i="31"/>
  <c r="M40" i="31"/>
  <c r="M39" i="31"/>
  <c r="M38" i="31"/>
  <c r="M37" i="31"/>
  <c r="M36" i="31"/>
  <c r="M35" i="31"/>
  <c r="M34" i="31"/>
  <c r="M33" i="31"/>
  <c r="Q31" i="31"/>
  <c r="P31" i="31"/>
  <c r="O31" i="31"/>
  <c r="X31" i="31" s="1"/>
  <c r="M30" i="31"/>
  <c r="M29" i="31"/>
  <c r="M28" i="31"/>
  <c r="M27" i="31"/>
  <c r="M26" i="31"/>
  <c r="M25" i="31"/>
  <c r="M24" i="31"/>
  <c r="M23" i="31"/>
  <c r="M22" i="31"/>
  <c r="M21" i="31"/>
  <c r="M20" i="31"/>
  <c r="M19" i="31"/>
  <c r="Q17" i="31"/>
  <c r="P17" i="31"/>
  <c r="O17" i="31"/>
  <c r="AB17" i="31" s="1"/>
  <c r="M16" i="31"/>
  <c r="M15" i="31"/>
  <c r="M14" i="31"/>
  <c r="M13" i="31"/>
  <c r="M12" i="31"/>
  <c r="M11" i="31"/>
  <c r="M10" i="31"/>
  <c r="M9" i="31"/>
  <c r="M8" i="31"/>
  <c r="M7" i="31"/>
  <c r="M6" i="31"/>
  <c r="M5" i="31"/>
  <c r="G349" i="30"/>
  <c r="H349" i="30" s="1"/>
  <c r="H350" i="30" s="1"/>
  <c r="K359" i="30" s="1"/>
  <c r="J343" i="30"/>
  <c r="K343" i="30" s="1"/>
  <c r="K344" i="30" s="1"/>
  <c r="J358" i="30" s="1"/>
  <c r="M337" i="30"/>
  <c r="K337" i="30"/>
  <c r="I337" i="30"/>
  <c r="L337" i="30" s="1"/>
  <c r="M336" i="30"/>
  <c r="K336" i="30"/>
  <c r="I336" i="30"/>
  <c r="L336" i="30" s="1"/>
  <c r="O336" i="30" s="1"/>
  <c r="M335" i="30"/>
  <c r="K335" i="30"/>
  <c r="I335" i="30"/>
  <c r="M334" i="30"/>
  <c r="K334" i="30"/>
  <c r="I334" i="30"/>
  <c r="M333" i="30"/>
  <c r="K333" i="30"/>
  <c r="I333" i="30"/>
  <c r="M332" i="30"/>
  <c r="K332" i="30"/>
  <c r="I332" i="30"/>
  <c r="M331" i="30"/>
  <c r="K331" i="30"/>
  <c r="I331" i="30"/>
  <c r="L331" i="30" s="1"/>
  <c r="M330" i="30"/>
  <c r="K330" i="30"/>
  <c r="I330" i="30"/>
  <c r="M329" i="30"/>
  <c r="K329" i="30"/>
  <c r="I329" i="30"/>
  <c r="M328" i="30"/>
  <c r="K328" i="30"/>
  <c r="I328" i="30"/>
  <c r="M327" i="30"/>
  <c r="K327" i="30"/>
  <c r="I327" i="30"/>
  <c r="M326" i="30"/>
  <c r="K326" i="30"/>
  <c r="I326" i="30"/>
  <c r="Q319" i="30"/>
  <c r="L319" i="30"/>
  <c r="M319" i="30" s="1"/>
  <c r="P319" i="30" s="1"/>
  <c r="Q318" i="30"/>
  <c r="L318" i="30"/>
  <c r="M318" i="30" s="1"/>
  <c r="P318" i="30" s="1"/>
  <c r="R318" i="30" s="1"/>
  <c r="Q317" i="30"/>
  <c r="L317" i="30"/>
  <c r="M317" i="30" s="1"/>
  <c r="P317" i="30" s="1"/>
  <c r="Q316" i="30"/>
  <c r="L316" i="30"/>
  <c r="M316" i="30" s="1"/>
  <c r="P316" i="30" s="1"/>
  <c r="Q315" i="30"/>
  <c r="L315" i="30"/>
  <c r="M315" i="30" s="1"/>
  <c r="P315" i="30" s="1"/>
  <c r="Q314" i="30"/>
  <c r="L314" i="30"/>
  <c r="M314" i="30" s="1"/>
  <c r="P314" i="30" s="1"/>
  <c r="Q313" i="30"/>
  <c r="L313" i="30"/>
  <c r="M313" i="30" s="1"/>
  <c r="P313" i="30" s="1"/>
  <c r="R313" i="30" s="1"/>
  <c r="Q312" i="30"/>
  <c r="L312" i="30"/>
  <c r="M312" i="30" s="1"/>
  <c r="P312" i="30" s="1"/>
  <c r="Q311" i="30"/>
  <c r="L311" i="30"/>
  <c r="M311" i="30" s="1"/>
  <c r="P311" i="30" s="1"/>
  <c r="R311" i="30" s="1"/>
  <c r="Q310" i="30"/>
  <c r="L310" i="30"/>
  <c r="M310" i="30" s="1"/>
  <c r="P310" i="30" s="1"/>
  <c r="Q309" i="30"/>
  <c r="L309" i="30"/>
  <c r="M309" i="30" s="1"/>
  <c r="P309" i="30" s="1"/>
  <c r="Q308" i="30"/>
  <c r="L308" i="30"/>
  <c r="M308" i="30" s="1"/>
  <c r="P308" i="30" s="1"/>
  <c r="Q306" i="30"/>
  <c r="L306" i="30"/>
  <c r="M306" i="30" s="1"/>
  <c r="P306" i="30" s="1"/>
  <c r="R306" i="30" s="1"/>
  <c r="Q305" i="30"/>
  <c r="L305" i="30"/>
  <c r="M305" i="30" s="1"/>
  <c r="P305" i="30" s="1"/>
  <c r="Q304" i="30"/>
  <c r="L304" i="30"/>
  <c r="M304" i="30" s="1"/>
  <c r="P304" i="30" s="1"/>
  <c r="Q303" i="30"/>
  <c r="L303" i="30"/>
  <c r="M303" i="30" s="1"/>
  <c r="P303" i="30" s="1"/>
  <c r="R303" i="30" s="1"/>
  <c r="Q302" i="30"/>
  <c r="L302" i="30"/>
  <c r="M302" i="30" s="1"/>
  <c r="P302" i="30" s="1"/>
  <c r="Q301" i="30"/>
  <c r="L301" i="30"/>
  <c r="M301" i="30" s="1"/>
  <c r="P301" i="30" s="1"/>
  <c r="Q300" i="30"/>
  <c r="L300" i="30"/>
  <c r="M300" i="30" s="1"/>
  <c r="P300" i="30" s="1"/>
  <c r="Q299" i="30"/>
  <c r="L299" i="30"/>
  <c r="M299" i="30" s="1"/>
  <c r="P299" i="30" s="1"/>
  <c r="R299" i="30" s="1"/>
  <c r="Q298" i="30"/>
  <c r="L298" i="30"/>
  <c r="M298" i="30" s="1"/>
  <c r="P298" i="30" s="1"/>
  <c r="R298" i="30" s="1"/>
  <c r="Q297" i="30"/>
  <c r="L297" i="30"/>
  <c r="M297" i="30" s="1"/>
  <c r="P297" i="30" s="1"/>
  <c r="R297" i="30" s="1"/>
  <c r="Q296" i="30"/>
  <c r="L296" i="30"/>
  <c r="M296" i="30" s="1"/>
  <c r="P296" i="30" s="1"/>
  <c r="Q295" i="30"/>
  <c r="L295" i="30"/>
  <c r="M295" i="30" s="1"/>
  <c r="P295" i="30" s="1"/>
  <c r="R295" i="30" s="1"/>
  <c r="Q293" i="30"/>
  <c r="L293" i="30"/>
  <c r="M293" i="30" s="1"/>
  <c r="P293" i="30" s="1"/>
  <c r="R293" i="30" s="1"/>
  <c r="Q292" i="30"/>
  <c r="L292" i="30"/>
  <c r="M292" i="30" s="1"/>
  <c r="P292" i="30" s="1"/>
  <c r="Q291" i="30"/>
  <c r="L291" i="30"/>
  <c r="M291" i="30" s="1"/>
  <c r="P291" i="30" s="1"/>
  <c r="Q290" i="30"/>
  <c r="L290" i="30"/>
  <c r="M290" i="30" s="1"/>
  <c r="P290" i="30" s="1"/>
  <c r="Q289" i="30"/>
  <c r="L289" i="30"/>
  <c r="M289" i="30" s="1"/>
  <c r="P289" i="30" s="1"/>
  <c r="R289" i="30" s="1"/>
  <c r="Q288" i="30"/>
  <c r="L288" i="30"/>
  <c r="M288" i="30" s="1"/>
  <c r="P288" i="30" s="1"/>
  <c r="Q287" i="30"/>
  <c r="L287" i="30"/>
  <c r="M287" i="30" s="1"/>
  <c r="P287" i="30" s="1"/>
  <c r="Q286" i="30"/>
  <c r="L286" i="30"/>
  <c r="M286" i="30" s="1"/>
  <c r="P286" i="30" s="1"/>
  <c r="R286" i="30" s="1"/>
  <c r="Q285" i="30"/>
  <c r="M285" i="30"/>
  <c r="P285" i="30" s="1"/>
  <c r="R285" i="30" s="1"/>
  <c r="L285" i="30"/>
  <c r="Q284" i="30"/>
  <c r="L284" i="30"/>
  <c r="M284" i="30" s="1"/>
  <c r="P284" i="30" s="1"/>
  <c r="R284" i="30" s="1"/>
  <c r="Q283" i="30"/>
  <c r="L283" i="30"/>
  <c r="M283" i="30" s="1"/>
  <c r="P283" i="30" s="1"/>
  <c r="R283" i="30" s="1"/>
  <c r="Q282" i="30"/>
  <c r="L282" i="30"/>
  <c r="M282" i="30" s="1"/>
  <c r="P282" i="30" s="1"/>
  <c r="Q280" i="30"/>
  <c r="L280" i="30"/>
  <c r="M280" i="30" s="1"/>
  <c r="P280" i="30" s="1"/>
  <c r="Q279" i="30"/>
  <c r="L279" i="30"/>
  <c r="M279" i="30" s="1"/>
  <c r="P279" i="30" s="1"/>
  <c r="Q278" i="30"/>
  <c r="L278" i="30"/>
  <c r="M278" i="30" s="1"/>
  <c r="P278" i="30" s="1"/>
  <c r="Q277" i="30"/>
  <c r="L277" i="30"/>
  <c r="M277" i="30" s="1"/>
  <c r="P277" i="30" s="1"/>
  <c r="Q276" i="30"/>
  <c r="L276" i="30"/>
  <c r="M276" i="30" s="1"/>
  <c r="P276" i="30" s="1"/>
  <c r="Q275" i="30"/>
  <c r="L275" i="30"/>
  <c r="M275" i="30" s="1"/>
  <c r="P275" i="30" s="1"/>
  <c r="Q274" i="30"/>
  <c r="L274" i="30"/>
  <c r="M274" i="30" s="1"/>
  <c r="P274" i="30" s="1"/>
  <c r="R274" i="30" s="1"/>
  <c r="Q273" i="30"/>
  <c r="L273" i="30"/>
  <c r="M273" i="30" s="1"/>
  <c r="P273" i="30" s="1"/>
  <c r="Q272" i="30"/>
  <c r="L272" i="30"/>
  <c r="M272" i="30" s="1"/>
  <c r="P272" i="30" s="1"/>
  <c r="Q271" i="30"/>
  <c r="L271" i="30"/>
  <c r="M271" i="30" s="1"/>
  <c r="P271" i="30" s="1"/>
  <c r="R271" i="30" s="1"/>
  <c r="Q270" i="30"/>
  <c r="L270" i="30"/>
  <c r="M270" i="30" s="1"/>
  <c r="P270" i="30" s="1"/>
  <c r="Q269" i="30"/>
  <c r="L269" i="30"/>
  <c r="M269" i="30" s="1"/>
  <c r="P269" i="30" s="1"/>
  <c r="Q267" i="30"/>
  <c r="L267" i="30"/>
  <c r="M267" i="30" s="1"/>
  <c r="P267" i="30" s="1"/>
  <c r="Q266" i="30"/>
  <c r="L266" i="30"/>
  <c r="M266" i="30" s="1"/>
  <c r="P266" i="30" s="1"/>
  <c r="Q265" i="30"/>
  <c r="L265" i="30"/>
  <c r="M265" i="30" s="1"/>
  <c r="P265" i="30" s="1"/>
  <c r="Q264" i="30"/>
  <c r="L264" i="30"/>
  <c r="M264" i="30" s="1"/>
  <c r="P264" i="30" s="1"/>
  <c r="Q263" i="30"/>
  <c r="L263" i="30"/>
  <c r="M263" i="30" s="1"/>
  <c r="P263" i="30" s="1"/>
  <c r="Q262" i="30"/>
  <c r="L262" i="30"/>
  <c r="M262" i="30" s="1"/>
  <c r="P262" i="30" s="1"/>
  <c r="Q261" i="30"/>
  <c r="L261" i="30"/>
  <c r="M261" i="30" s="1"/>
  <c r="P261" i="30" s="1"/>
  <c r="R261" i="30" s="1"/>
  <c r="Q260" i="30"/>
  <c r="L260" i="30"/>
  <c r="M260" i="30" s="1"/>
  <c r="P260" i="30" s="1"/>
  <c r="Q259" i="30"/>
  <c r="L259" i="30"/>
  <c r="M259" i="30" s="1"/>
  <c r="P259" i="30" s="1"/>
  <c r="Q258" i="30"/>
  <c r="L258" i="30"/>
  <c r="M258" i="30" s="1"/>
  <c r="P258" i="30" s="1"/>
  <c r="Q257" i="30"/>
  <c r="L257" i="30"/>
  <c r="M257" i="30" s="1"/>
  <c r="P257" i="30" s="1"/>
  <c r="R257" i="30" s="1"/>
  <c r="Q256" i="30"/>
  <c r="L256" i="30"/>
  <c r="M256" i="30" s="1"/>
  <c r="P256" i="30" s="1"/>
  <c r="Q254" i="30"/>
  <c r="L254" i="30"/>
  <c r="M254" i="30" s="1"/>
  <c r="P254" i="30" s="1"/>
  <c r="Q253" i="30"/>
  <c r="L253" i="30"/>
  <c r="M253" i="30" s="1"/>
  <c r="P253" i="30" s="1"/>
  <c r="Q252" i="30"/>
  <c r="L252" i="30"/>
  <c r="M252" i="30" s="1"/>
  <c r="P252" i="30" s="1"/>
  <c r="R252" i="30" s="1"/>
  <c r="Q251" i="30"/>
  <c r="L251" i="30"/>
  <c r="M251" i="30" s="1"/>
  <c r="P251" i="30" s="1"/>
  <c r="Q250" i="30"/>
  <c r="L250" i="30"/>
  <c r="M250" i="30" s="1"/>
  <c r="P250" i="30" s="1"/>
  <c r="R250" i="30" s="1"/>
  <c r="Q249" i="30"/>
  <c r="L249" i="30"/>
  <c r="M249" i="30" s="1"/>
  <c r="P249" i="30" s="1"/>
  <c r="Q248" i="30"/>
  <c r="L248" i="30"/>
  <c r="M248" i="30" s="1"/>
  <c r="P248" i="30" s="1"/>
  <c r="R248" i="30" s="1"/>
  <c r="Q247" i="30"/>
  <c r="L247" i="30"/>
  <c r="M247" i="30" s="1"/>
  <c r="P247" i="30" s="1"/>
  <c r="Q246" i="30"/>
  <c r="L246" i="30"/>
  <c r="M246" i="30" s="1"/>
  <c r="P246" i="30" s="1"/>
  <c r="Q245" i="30"/>
  <c r="L245" i="30"/>
  <c r="M245" i="30" s="1"/>
  <c r="P245" i="30" s="1"/>
  <c r="R245" i="30" s="1"/>
  <c r="Q244" i="30"/>
  <c r="L244" i="30"/>
  <c r="M244" i="30" s="1"/>
  <c r="P244" i="30" s="1"/>
  <c r="R244" i="30" s="1"/>
  <c r="Q243" i="30"/>
  <c r="M243" i="30"/>
  <c r="P243" i="30" s="1"/>
  <c r="L243" i="30"/>
  <c r="Q241" i="30"/>
  <c r="L241" i="30"/>
  <c r="M241" i="30" s="1"/>
  <c r="P241" i="30" s="1"/>
  <c r="Q240" i="30"/>
  <c r="L240" i="30"/>
  <c r="M240" i="30" s="1"/>
  <c r="P240" i="30" s="1"/>
  <c r="R240" i="30" s="1"/>
  <c r="Q239" i="30"/>
  <c r="L239" i="30"/>
  <c r="M239" i="30" s="1"/>
  <c r="P239" i="30" s="1"/>
  <c r="Q238" i="30"/>
  <c r="L238" i="30"/>
  <c r="M238" i="30" s="1"/>
  <c r="P238" i="30" s="1"/>
  <c r="Q237" i="30"/>
  <c r="L237" i="30"/>
  <c r="M237" i="30" s="1"/>
  <c r="P237" i="30" s="1"/>
  <c r="Q236" i="30"/>
  <c r="L236" i="30"/>
  <c r="M236" i="30" s="1"/>
  <c r="P236" i="30" s="1"/>
  <c r="R236" i="30" s="1"/>
  <c r="Q235" i="30"/>
  <c r="L235" i="30"/>
  <c r="M235" i="30" s="1"/>
  <c r="P235" i="30" s="1"/>
  <c r="Q234" i="30"/>
  <c r="L234" i="30"/>
  <c r="M234" i="30" s="1"/>
  <c r="P234" i="30" s="1"/>
  <c r="Q233" i="30"/>
  <c r="L233" i="30"/>
  <c r="M233" i="30" s="1"/>
  <c r="P233" i="30" s="1"/>
  <c r="Q232" i="30"/>
  <c r="L232" i="30"/>
  <c r="M232" i="30" s="1"/>
  <c r="P232" i="30" s="1"/>
  <c r="R232" i="30" s="1"/>
  <c r="Q231" i="30"/>
  <c r="L231" i="30"/>
  <c r="M231" i="30" s="1"/>
  <c r="P231" i="30" s="1"/>
  <c r="Q230" i="30"/>
  <c r="L230" i="30"/>
  <c r="M230" i="30" s="1"/>
  <c r="P230" i="30" s="1"/>
  <c r="R230" i="30" s="1"/>
  <c r="J223" i="30"/>
  <c r="K223" i="30" s="1"/>
  <c r="J222" i="30"/>
  <c r="K222" i="30" s="1"/>
  <c r="J221" i="30"/>
  <c r="K221" i="30" s="1"/>
  <c r="J220" i="30"/>
  <c r="K220" i="30" s="1"/>
  <c r="K219" i="30"/>
  <c r="J219" i="30"/>
  <c r="K218" i="30"/>
  <c r="J218" i="30"/>
  <c r="J217" i="30"/>
  <c r="K217" i="30" s="1"/>
  <c r="J216" i="30"/>
  <c r="K216" i="30" s="1"/>
  <c r="J215" i="30"/>
  <c r="K215" i="30" s="1"/>
  <c r="J214" i="30"/>
  <c r="K214" i="30" s="1"/>
  <c r="J213" i="30"/>
  <c r="K213" i="30" s="1"/>
  <c r="J212" i="30"/>
  <c r="K212" i="30" s="1"/>
  <c r="Q205" i="30"/>
  <c r="L205" i="30"/>
  <c r="H205" i="30"/>
  <c r="I205" i="30" s="1"/>
  <c r="M205" i="30" s="1"/>
  <c r="Q204" i="30"/>
  <c r="L204" i="30"/>
  <c r="H204" i="30"/>
  <c r="I204" i="30" s="1"/>
  <c r="M204" i="30" s="1"/>
  <c r="Q203" i="30"/>
  <c r="L203" i="30"/>
  <c r="H203" i="30"/>
  <c r="I203" i="30" s="1"/>
  <c r="M203" i="30" s="1"/>
  <c r="Q202" i="30"/>
  <c r="L202" i="30"/>
  <c r="H202" i="30"/>
  <c r="I202" i="30" s="1"/>
  <c r="M202" i="30" s="1"/>
  <c r="Q201" i="30"/>
  <c r="L201" i="30"/>
  <c r="H201" i="30"/>
  <c r="I201" i="30" s="1"/>
  <c r="M201" i="30" s="1"/>
  <c r="Q200" i="30"/>
  <c r="L200" i="30"/>
  <c r="H200" i="30"/>
  <c r="I200" i="30" s="1"/>
  <c r="M200" i="30" s="1"/>
  <c r="Q199" i="30"/>
  <c r="L199" i="30"/>
  <c r="H199" i="30"/>
  <c r="I199" i="30" s="1"/>
  <c r="M199" i="30" s="1"/>
  <c r="Q198" i="30"/>
  <c r="L198" i="30"/>
  <c r="H198" i="30"/>
  <c r="I198" i="30" s="1"/>
  <c r="M198" i="30" s="1"/>
  <c r="Q197" i="30"/>
  <c r="L197" i="30"/>
  <c r="H197" i="30"/>
  <c r="I197" i="30" s="1"/>
  <c r="M197" i="30" s="1"/>
  <c r="Q196" i="30"/>
  <c r="L196" i="30"/>
  <c r="H196" i="30"/>
  <c r="I196" i="30" s="1"/>
  <c r="M196" i="30" s="1"/>
  <c r="Q195" i="30"/>
  <c r="L195" i="30"/>
  <c r="H195" i="30"/>
  <c r="I195" i="30" s="1"/>
  <c r="M195" i="30" s="1"/>
  <c r="Q194" i="30"/>
  <c r="L194" i="30"/>
  <c r="H194" i="30"/>
  <c r="I194" i="30" s="1"/>
  <c r="M194" i="30" s="1"/>
  <c r="Q191" i="30"/>
  <c r="L191" i="30"/>
  <c r="H191" i="30"/>
  <c r="I191" i="30" s="1"/>
  <c r="M191" i="30" s="1"/>
  <c r="Q190" i="30"/>
  <c r="L190" i="30"/>
  <c r="H190" i="30"/>
  <c r="I190" i="30" s="1"/>
  <c r="M190" i="30" s="1"/>
  <c r="Q189" i="30"/>
  <c r="L189" i="30"/>
  <c r="H189" i="30"/>
  <c r="I189" i="30" s="1"/>
  <c r="M189" i="30" s="1"/>
  <c r="Q188" i="30"/>
  <c r="L188" i="30"/>
  <c r="H188" i="30"/>
  <c r="I188" i="30" s="1"/>
  <c r="M188" i="30" s="1"/>
  <c r="Q187" i="30"/>
  <c r="L187" i="30"/>
  <c r="H187" i="30"/>
  <c r="I187" i="30" s="1"/>
  <c r="M187" i="30" s="1"/>
  <c r="Q186" i="30"/>
  <c r="L186" i="30"/>
  <c r="H186" i="30"/>
  <c r="I186" i="30" s="1"/>
  <c r="M186" i="30" s="1"/>
  <c r="Q185" i="30"/>
  <c r="L185" i="30"/>
  <c r="H185" i="30"/>
  <c r="I185" i="30" s="1"/>
  <c r="M185" i="30" s="1"/>
  <c r="Q184" i="30"/>
  <c r="L184" i="30"/>
  <c r="H184" i="30"/>
  <c r="I184" i="30" s="1"/>
  <c r="M184" i="30" s="1"/>
  <c r="Q183" i="30"/>
  <c r="L183" i="30"/>
  <c r="H183" i="30"/>
  <c r="I183" i="30" s="1"/>
  <c r="M183" i="30" s="1"/>
  <c r="Q182" i="30"/>
  <c r="L182" i="30"/>
  <c r="H182" i="30"/>
  <c r="I182" i="30" s="1"/>
  <c r="M182" i="30" s="1"/>
  <c r="Q181" i="30"/>
  <c r="L181" i="30"/>
  <c r="H181" i="30"/>
  <c r="I181" i="30" s="1"/>
  <c r="M181" i="30" s="1"/>
  <c r="Q180" i="30"/>
  <c r="L180" i="30"/>
  <c r="H180" i="30"/>
  <c r="I180" i="30" s="1"/>
  <c r="M180" i="30" s="1"/>
  <c r="Q177" i="30"/>
  <c r="L177" i="30"/>
  <c r="H177" i="30"/>
  <c r="I177" i="30" s="1"/>
  <c r="M177" i="30" s="1"/>
  <c r="Q176" i="30"/>
  <c r="L176" i="30"/>
  <c r="H176" i="30"/>
  <c r="I176" i="30" s="1"/>
  <c r="M176" i="30" s="1"/>
  <c r="Q175" i="30"/>
  <c r="L175" i="30"/>
  <c r="H175" i="30"/>
  <c r="I175" i="30" s="1"/>
  <c r="M175" i="30" s="1"/>
  <c r="Q174" i="30"/>
  <c r="L174" i="30"/>
  <c r="H174" i="30"/>
  <c r="I174" i="30" s="1"/>
  <c r="M174" i="30" s="1"/>
  <c r="Q173" i="30"/>
  <c r="L173" i="30"/>
  <c r="H173" i="30"/>
  <c r="I173" i="30" s="1"/>
  <c r="M173" i="30" s="1"/>
  <c r="Q172" i="30"/>
  <c r="L172" i="30"/>
  <c r="H172" i="30"/>
  <c r="I172" i="30" s="1"/>
  <c r="M172" i="30" s="1"/>
  <c r="Q171" i="30"/>
  <c r="L171" i="30"/>
  <c r="H171" i="30"/>
  <c r="I171" i="30" s="1"/>
  <c r="M171" i="30" s="1"/>
  <c r="Q170" i="30"/>
  <c r="L170" i="30"/>
  <c r="H170" i="30"/>
  <c r="I170" i="30" s="1"/>
  <c r="M170" i="30" s="1"/>
  <c r="Q169" i="30"/>
  <c r="L169" i="30"/>
  <c r="H169" i="30"/>
  <c r="I169" i="30" s="1"/>
  <c r="M169" i="30" s="1"/>
  <c r="Q168" i="30"/>
  <c r="L168" i="30"/>
  <c r="H168" i="30"/>
  <c r="I168" i="30" s="1"/>
  <c r="M168" i="30" s="1"/>
  <c r="Q167" i="30"/>
  <c r="L167" i="30"/>
  <c r="H167" i="30"/>
  <c r="I167" i="30" s="1"/>
  <c r="M167" i="30" s="1"/>
  <c r="Q166" i="30"/>
  <c r="L166" i="30"/>
  <c r="H166" i="30"/>
  <c r="I166" i="30" s="1"/>
  <c r="M166" i="30" s="1"/>
  <c r="Q163" i="30"/>
  <c r="L163" i="30"/>
  <c r="H163" i="30"/>
  <c r="I163" i="30" s="1"/>
  <c r="M163" i="30" s="1"/>
  <c r="Q162" i="30"/>
  <c r="L162" i="30"/>
  <c r="H162" i="30"/>
  <c r="I162" i="30" s="1"/>
  <c r="M162" i="30" s="1"/>
  <c r="Q161" i="30"/>
  <c r="L161" i="30"/>
  <c r="H161" i="30"/>
  <c r="I161" i="30" s="1"/>
  <c r="M161" i="30" s="1"/>
  <c r="Q160" i="30"/>
  <c r="L160" i="30"/>
  <c r="H160" i="30"/>
  <c r="I160" i="30" s="1"/>
  <c r="M160" i="30" s="1"/>
  <c r="Q159" i="30"/>
  <c r="L159" i="30"/>
  <c r="H159" i="30"/>
  <c r="I159" i="30" s="1"/>
  <c r="M159" i="30" s="1"/>
  <c r="Q158" i="30"/>
  <c r="L158" i="30"/>
  <c r="H158" i="30"/>
  <c r="I158" i="30" s="1"/>
  <c r="M158" i="30" s="1"/>
  <c r="Q157" i="30"/>
  <c r="L157" i="30"/>
  <c r="H157" i="30"/>
  <c r="I157" i="30" s="1"/>
  <c r="M157" i="30" s="1"/>
  <c r="Q156" i="30"/>
  <c r="L156" i="30"/>
  <c r="H156" i="30"/>
  <c r="I156" i="30" s="1"/>
  <c r="M156" i="30" s="1"/>
  <c r="Q155" i="30"/>
  <c r="L155" i="30"/>
  <c r="H155" i="30"/>
  <c r="I155" i="30" s="1"/>
  <c r="M155" i="30" s="1"/>
  <c r="Q154" i="30"/>
  <c r="L154" i="30"/>
  <c r="H154" i="30"/>
  <c r="I154" i="30" s="1"/>
  <c r="M154" i="30" s="1"/>
  <c r="Q153" i="30"/>
  <c r="L153" i="30"/>
  <c r="H153" i="30"/>
  <c r="I153" i="30" s="1"/>
  <c r="M153" i="30" s="1"/>
  <c r="Q152" i="30"/>
  <c r="L152" i="30"/>
  <c r="H152" i="30"/>
  <c r="I152" i="30" s="1"/>
  <c r="M152" i="30" s="1"/>
  <c r="Q149" i="30"/>
  <c r="L149" i="30"/>
  <c r="H149" i="30"/>
  <c r="I149" i="30" s="1"/>
  <c r="M149" i="30" s="1"/>
  <c r="Q148" i="30"/>
  <c r="L148" i="30"/>
  <c r="H148" i="30"/>
  <c r="I148" i="30" s="1"/>
  <c r="M148" i="30" s="1"/>
  <c r="Q147" i="30"/>
  <c r="L147" i="30"/>
  <c r="H147" i="30"/>
  <c r="I147" i="30" s="1"/>
  <c r="M147" i="30" s="1"/>
  <c r="Q146" i="30"/>
  <c r="L146" i="30"/>
  <c r="H146" i="30"/>
  <c r="I146" i="30" s="1"/>
  <c r="M146" i="30" s="1"/>
  <c r="Q145" i="30"/>
  <c r="L145" i="30"/>
  <c r="H145" i="30"/>
  <c r="I145" i="30" s="1"/>
  <c r="M145" i="30" s="1"/>
  <c r="Q144" i="30"/>
  <c r="L144" i="30"/>
  <c r="H144" i="30"/>
  <c r="I144" i="30" s="1"/>
  <c r="M144" i="30" s="1"/>
  <c r="Q143" i="30"/>
  <c r="L143" i="30"/>
  <c r="H143" i="30"/>
  <c r="I143" i="30" s="1"/>
  <c r="M143" i="30" s="1"/>
  <c r="Q142" i="30"/>
  <c r="L142" i="30"/>
  <c r="H142" i="30"/>
  <c r="I142" i="30" s="1"/>
  <c r="M142" i="30" s="1"/>
  <c r="Q141" i="30"/>
  <c r="L141" i="30"/>
  <c r="H141" i="30"/>
  <c r="I141" i="30" s="1"/>
  <c r="M141" i="30" s="1"/>
  <c r="Q140" i="30"/>
  <c r="L140" i="30"/>
  <c r="H140" i="30"/>
  <c r="I140" i="30" s="1"/>
  <c r="M140" i="30" s="1"/>
  <c r="Q139" i="30"/>
  <c r="L139" i="30"/>
  <c r="H139" i="30"/>
  <c r="I139" i="30" s="1"/>
  <c r="M139" i="30" s="1"/>
  <c r="Q138" i="30"/>
  <c r="L138" i="30"/>
  <c r="H138" i="30"/>
  <c r="I138" i="30" s="1"/>
  <c r="M138" i="30" s="1"/>
  <c r="Q135" i="30"/>
  <c r="L135" i="30"/>
  <c r="H135" i="30"/>
  <c r="I135" i="30" s="1"/>
  <c r="M135" i="30" s="1"/>
  <c r="Q134" i="30"/>
  <c r="L134" i="30"/>
  <c r="H134" i="30"/>
  <c r="I134" i="30" s="1"/>
  <c r="M134" i="30" s="1"/>
  <c r="Q133" i="30"/>
  <c r="L133" i="30"/>
  <c r="H133" i="30"/>
  <c r="I133" i="30" s="1"/>
  <c r="M133" i="30" s="1"/>
  <c r="Q132" i="30"/>
  <c r="L132" i="30"/>
  <c r="H132" i="30"/>
  <c r="I132" i="30" s="1"/>
  <c r="M132" i="30" s="1"/>
  <c r="Q131" i="30"/>
  <c r="L131" i="30"/>
  <c r="H131" i="30"/>
  <c r="I131" i="30" s="1"/>
  <c r="M131" i="30" s="1"/>
  <c r="Q130" i="30"/>
  <c r="L130" i="30"/>
  <c r="H130" i="30"/>
  <c r="I130" i="30" s="1"/>
  <c r="M130" i="30" s="1"/>
  <c r="Q129" i="30"/>
  <c r="L129" i="30"/>
  <c r="H129" i="30"/>
  <c r="I129" i="30" s="1"/>
  <c r="M129" i="30" s="1"/>
  <c r="Q128" i="30"/>
  <c r="L128" i="30"/>
  <c r="H128" i="30"/>
  <c r="I128" i="30" s="1"/>
  <c r="M128" i="30" s="1"/>
  <c r="Q127" i="30"/>
  <c r="L127" i="30"/>
  <c r="H127" i="30"/>
  <c r="I127" i="30" s="1"/>
  <c r="M127" i="30" s="1"/>
  <c r="Q126" i="30"/>
  <c r="L126" i="30"/>
  <c r="H126" i="30"/>
  <c r="I126" i="30" s="1"/>
  <c r="M126" i="30" s="1"/>
  <c r="C126" i="30"/>
  <c r="Q125" i="30"/>
  <c r="L125" i="30"/>
  <c r="H125" i="30"/>
  <c r="I125" i="30" s="1"/>
  <c r="M125" i="30" s="1"/>
  <c r="Q124" i="30"/>
  <c r="L124" i="30"/>
  <c r="H124" i="30"/>
  <c r="I124" i="30" s="1"/>
  <c r="M124" i="30" s="1"/>
  <c r="Q121" i="30"/>
  <c r="L121" i="30"/>
  <c r="H121" i="30"/>
  <c r="I121" i="30" s="1"/>
  <c r="M121" i="30" s="1"/>
  <c r="Q120" i="30"/>
  <c r="L120" i="30"/>
  <c r="H120" i="30"/>
  <c r="I120" i="30" s="1"/>
  <c r="M120" i="30" s="1"/>
  <c r="Q119" i="30"/>
  <c r="L119" i="30"/>
  <c r="H119" i="30"/>
  <c r="I119" i="30" s="1"/>
  <c r="M119" i="30" s="1"/>
  <c r="Q118" i="30"/>
  <c r="L118" i="30"/>
  <c r="H118" i="30"/>
  <c r="I118" i="30" s="1"/>
  <c r="M118" i="30" s="1"/>
  <c r="Q117" i="30"/>
  <c r="L117" i="30"/>
  <c r="H117" i="30"/>
  <c r="I117" i="30" s="1"/>
  <c r="M117" i="30" s="1"/>
  <c r="Q116" i="30"/>
  <c r="L116" i="30"/>
  <c r="H116" i="30"/>
  <c r="I116" i="30" s="1"/>
  <c r="M116" i="30" s="1"/>
  <c r="Q115" i="30"/>
  <c r="L115" i="30"/>
  <c r="H115" i="30"/>
  <c r="I115" i="30" s="1"/>
  <c r="M115" i="30" s="1"/>
  <c r="Q114" i="30"/>
  <c r="L114" i="30"/>
  <c r="H114" i="30"/>
  <c r="I114" i="30" s="1"/>
  <c r="M114" i="30" s="1"/>
  <c r="Q113" i="30"/>
  <c r="L113" i="30"/>
  <c r="H113" i="30"/>
  <c r="I113" i="30" s="1"/>
  <c r="M113" i="30" s="1"/>
  <c r="Q112" i="30"/>
  <c r="L112" i="30"/>
  <c r="H112" i="30"/>
  <c r="I112" i="30" s="1"/>
  <c r="M112" i="30" s="1"/>
  <c r="Q111" i="30"/>
  <c r="L111" i="30"/>
  <c r="H111" i="30"/>
  <c r="I111" i="30" s="1"/>
  <c r="M111" i="30" s="1"/>
  <c r="Q110" i="30"/>
  <c r="L110" i="30"/>
  <c r="H110" i="30"/>
  <c r="I110" i="30" s="1"/>
  <c r="M110" i="30" s="1"/>
  <c r="Q103" i="30"/>
  <c r="P103" i="30"/>
  <c r="O103" i="30"/>
  <c r="AB103" i="30" s="1"/>
  <c r="M102" i="30"/>
  <c r="M101" i="30"/>
  <c r="M100" i="30"/>
  <c r="M99" i="30"/>
  <c r="M98" i="30"/>
  <c r="M97" i="30"/>
  <c r="M96" i="30"/>
  <c r="M95" i="30"/>
  <c r="M94" i="30"/>
  <c r="M93" i="30"/>
  <c r="M92" i="30"/>
  <c r="M91" i="30"/>
  <c r="Q89" i="30"/>
  <c r="P89" i="30"/>
  <c r="O89" i="30"/>
  <c r="T89" i="30" s="1"/>
  <c r="M88" i="30"/>
  <c r="M87" i="30"/>
  <c r="M86" i="30"/>
  <c r="M85" i="30"/>
  <c r="M84" i="30"/>
  <c r="M83" i="30"/>
  <c r="M82" i="30"/>
  <c r="M81" i="30"/>
  <c r="M80" i="30"/>
  <c r="M79" i="30"/>
  <c r="M78" i="30"/>
  <c r="M77" i="30"/>
  <c r="Q75" i="30"/>
  <c r="P75" i="30"/>
  <c r="O75" i="30"/>
  <c r="T75" i="30" s="1"/>
  <c r="M74" i="30"/>
  <c r="M73" i="30"/>
  <c r="M72" i="30"/>
  <c r="M71" i="30"/>
  <c r="M70" i="30"/>
  <c r="M69" i="30"/>
  <c r="M68" i="30"/>
  <c r="M67" i="30"/>
  <c r="M66" i="30"/>
  <c r="M65" i="30"/>
  <c r="M64" i="30"/>
  <c r="M63" i="30"/>
  <c r="Q60" i="30"/>
  <c r="P60" i="30"/>
  <c r="O60" i="30"/>
  <c r="AB60" i="30" s="1"/>
  <c r="AC60" i="30" s="1"/>
  <c r="M59" i="30"/>
  <c r="M58" i="30"/>
  <c r="M57" i="30"/>
  <c r="M56" i="30"/>
  <c r="M55" i="30"/>
  <c r="M54" i="30"/>
  <c r="M53" i="30"/>
  <c r="M52" i="30"/>
  <c r="M51" i="30"/>
  <c r="M50" i="30"/>
  <c r="M49" i="30"/>
  <c r="M48" i="30"/>
  <c r="Q45" i="30"/>
  <c r="P45" i="30"/>
  <c r="O45" i="30"/>
  <c r="T45" i="30" s="1"/>
  <c r="M44" i="30"/>
  <c r="M43" i="30"/>
  <c r="M42" i="30"/>
  <c r="M41" i="30"/>
  <c r="M40" i="30"/>
  <c r="M39" i="30"/>
  <c r="M38" i="30"/>
  <c r="M37" i="30"/>
  <c r="M36" i="30"/>
  <c r="M35" i="30"/>
  <c r="M34" i="30"/>
  <c r="M33" i="30"/>
  <c r="Q31" i="30"/>
  <c r="P31" i="30"/>
  <c r="O31" i="30"/>
  <c r="X31" i="30" s="1"/>
  <c r="M30" i="30"/>
  <c r="M29" i="30"/>
  <c r="M28" i="30"/>
  <c r="M27" i="30"/>
  <c r="M26" i="30"/>
  <c r="M25" i="30"/>
  <c r="M24" i="30"/>
  <c r="M23" i="30"/>
  <c r="M22" i="30"/>
  <c r="M21" i="30"/>
  <c r="M20" i="30"/>
  <c r="M19" i="30"/>
  <c r="Q17" i="30"/>
  <c r="P17" i="30"/>
  <c r="O17" i="30"/>
  <c r="X17" i="30" s="1"/>
  <c r="M16" i="30"/>
  <c r="M15" i="30"/>
  <c r="M14" i="30"/>
  <c r="M13" i="30"/>
  <c r="M12" i="30"/>
  <c r="M11" i="30"/>
  <c r="M10" i="30"/>
  <c r="M9" i="30"/>
  <c r="M8" i="30"/>
  <c r="M7" i="30"/>
  <c r="M6" i="30"/>
  <c r="M5" i="30"/>
  <c r="O89" i="27"/>
  <c r="T89" i="27" s="1"/>
  <c r="O75" i="27"/>
  <c r="AB75" i="27" s="1"/>
  <c r="G349" i="29"/>
  <c r="H349" i="29" s="1"/>
  <c r="H350" i="29" s="1"/>
  <c r="J343" i="29"/>
  <c r="K343" i="29" s="1"/>
  <c r="K344" i="29" s="1"/>
  <c r="J356" i="29" s="1"/>
  <c r="M337" i="29"/>
  <c r="K337" i="29"/>
  <c r="I337" i="29"/>
  <c r="L337" i="29" s="1"/>
  <c r="O337" i="29" s="1"/>
  <c r="M336" i="29"/>
  <c r="K336" i="29"/>
  <c r="I336" i="29"/>
  <c r="M335" i="29"/>
  <c r="K335" i="29"/>
  <c r="I335" i="29"/>
  <c r="M334" i="29"/>
  <c r="K334" i="29"/>
  <c r="I334" i="29"/>
  <c r="M333" i="29"/>
  <c r="K333" i="29"/>
  <c r="I333" i="29"/>
  <c r="L333" i="29" s="1"/>
  <c r="M332" i="29"/>
  <c r="K332" i="29"/>
  <c r="I332" i="29"/>
  <c r="L332" i="29" s="1"/>
  <c r="M331" i="29"/>
  <c r="K331" i="29"/>
  <c r="I331" i="29"/>
  <c r="M330" i="29"/>
  <c r="K330" i="29"/>
  <c r="I330" i="29"/>
  <c r="M329" i="29"/>
  <c r="K329" i="29"/>
  <c r="I329" i="29"/>
  <c r="L329" i="29" s="1"/>
  <c r="O329" i="29" s="1"/>
  <c r="M328" i="29"/>
  <c r="K328" i="29"/>
  <c r="I328" i="29"/>
  <c r="L328" i="29" s="1"/>
  <c r="M327" i="29"/>
  <c r="K327" i="29"/>
  <c r="I327" i="29"/>
  <c r="M326" i="29"/>
  <c r="K326" i="29"/>
  <c r="I326" i="29"/>
  <c r="L326" i="29" s="1"/>
  <c r="O326" i="29" s="1"/>
  <c r="Q319" i="29"/>
  <c r="L319" i="29"/>
  <c r="M319" i="29" s="1"/>
  <c r="P319" i="29" s="1"/>
  <c r="R319" i="29" s="1"/>
  <c r="Q318" i="29"/>
  <c r="L318" i="29"/>
  <c r="M318" i="29" s="1"/>
  <c r="P318" i="29" s="1"/>
  <c r="R318" i="29" s="1"/>
  <c r="Q317" i="29"/>
  <c r="L317" i="29"/>
  <c r="M317" i="29" s="1"/>
  <c r="P317" i="29" s="1"/>
  <c r="Q316" i="29"/>
  <c r="L316" i="29"/>
  <c r="M316" i="29" s="1"/>
  <c r="P316" i="29" s="1"/>
  <c r="R316" i="29" s="1"/>
  <c r="Q315" i="29"/>
  <c r="L315" i="29"/>
  <c r="M315" i="29" s="1"/>
  <c r="P315" i="29" s="1"/>
  <c r="Q314" i="29"/>
  <c r="L314" i="29"/>
  <c r="M314" i="29" s="1"/>
  <c r="P314" i="29" s="1"/>
  <c r="Q313" i="29"/>
  <c r="L313" i="29"/>
  <c r="M313" i="29" s="1"/>
  <c r="P313" i="29" s="1"/>
  <c r="R313" i="29" s="1"/>
  <c r="Q312" i="29"/>
  <c r="L312" i="29"/>
  <c r="M312" i="29" s="1"/>
  <c r="P312" i="29" s="1"/>
  <c r="R312" i="29" s="1"/>
  <c r="Q311" i="29"/>
  <c r="M311" i="29"/>
  <c r="P311" i="29" s="1"/>
  <c r="L311" i="29"/>
  <c r="Q310" i="29"/>
  <c r="L310" i="29"/>
  <c r="M310" i="29" s="1"/>
  <c r="P310" i="29" s="1"/>
  <c r="Q309" i="29"/>
  <c r="L309" i="29"/>
  <c r="M309" i="29" s="1"/>
  <c r="P309" i="29" s="1"/>
  <c r="Q308" i="29"/>
  <c r="L308" i="29"/>
  <c r="M308" i="29" s="1"/>
  <c r="P308" i="29" s="1"/>
  <c r="Q306" i="29"/>
  <c r="L306" i="29"/>
  <c r="M306" i="29" s="1"/>
  <c r="P306" i="29" s="1"/>
  <c r="Q305" i="29"/>
  <c r="L305" i="29"/>
  <c r="M305" i="29" s="1"/>
  <c r="P305" i="29" s="1"/>
  <c r="Q304" i="29"/>
  <c r="L304" i="29"/>
  <c r="M304" i="29" s="1"/>
  <c r="P304" i="29" s="1"/>
  <c r="R304" i="29" s="1"/>
  <c r="Q303" i="29"/>
  <c r="L303" i="29"/>
  <c r="M303" i="29" s="1"/>
  <c r="P303" i="29" s="1"/>
  <c r="Q302" i="29"/>
  <c r="L302" i="29"/>
  <c r="M302" i="29" s="1"/>
  <c r="P302" i="29" s="1"/>
  <c r="Q301" i="29"/>
  <c r="L301" i="29"/>
  <c r="M301" i="29" s="1"/>
  <c r="P301" i="29" s="1"/>
  <c r="R301" i="29" s="1"/>
  <c r="Q300" i="29"/>
  <c r="L300" i="29"/>
  <c r="M300" i="29" s="1"/>
  <c r="P300" i="29" s="1"/>
  <c r="R300" i="29" s="1"/>
  <c r="Q299" i="29"/>
  <c r="L299" i="29"/>
  <c r="M299" i="29" s="1"/>
  <c r="P299" i="29" s="1"/>
  <c r="Q298" i="29"/>
  <c r="L298" i="29"/>
  <c r="M298" i="29" s="1"/>
  <c r="P298" i="29" s="1"/>
  <c r="Q297" i="29"/>
  <c r="M297" i="29"/>
  <c r="P297" i="29" s="1"/>
  <c r="R297" i="29" s="1"/>
  <c r="L297" i="29"/>
  <c r="Q296" i="29"/>
  <c r="L296" i="29"/>
  <c r="M296" i="29" s="1"/>
  <c r="P296" i="29" s="1"/>
  <c r="Q295" i="29"/>
  <c r="L295" i="29"/>
  <c r="M295" i="29" s="1"/>
  <c r="P295" i="29" s="1"/>
  <c r="Q293" i="29"/>
  <c r="L293" i="29"/>
  <c r="M293" i="29" s="1"/>
  <c r="P293" i="29" s="1"/>
  <c r="Q292" i="29"/>
  <c r="L292" i="29"/>
  <c r="M292" i="29" s="1"/>
  <c r="P292" i="29" s="1"/>
  <c r="Q291" i="29"/>
  <c r="L291" i="29"/>
  <c r="M291" i="29" s="1"/>
  <c r="P291" i="29" s="1"/>
  <c r="Q290" i="29"/>
  <c r="L290" i="29"/>
  <c r="M290" i="29" s="1"/>
  <c r="P290" i="29" s="1"/>
  <c r="Q289" i="29"/>
  <c r="L289" i="29"/>
  <c r="M289" i="29" s="1"/>
  <c r="P289" i="29" s="1"/>
  <c r="Q288" i="29"/>
  <c r="L288" i="29"/>
  <c r="M288" i="29" s="1"/>
  <c r="P288" i="29" s="1"/>
  <c r="Q287" i="29"/>
  <c r="L287" i="29"/>
  <c r="M287" i="29" s="1"/>
  <c r="P287" i="29" s="1"/>
  <c r="Q286" i="29"/>
  <c r="L286" i="29"/>
  <c r="M286" i="29" s="1"/>
  <c r="P286" i="29" s="1"/>
  <c r="Q285" i="29"/>
  <c r="L285" i="29"/>
  <c r="M285" i="29" s="1"/>
  <c r="P285" i="29" s="1"/>
  <c r="R285" i="29" s="1"/>
  <c r="Q284" i="29"/>
  <c r="L284" i="29"/>
  <c r="M284" i="29" s="1"/>
  <c r="P284" i="29" s="1"/>
  <c r="R284" i="29" s="1"/>
  <c r="Q283" i="29"/>
  <c r="L283" i="29"/>
  <c r="M283" i="29" s="1"/>
  <c r="P283" i="29" s="1"/>
  <c r="R283" i="29" s="1"/>
  <c r="Q282" i="29"/>
  <c r="L282" i="29"/>
  <c r="M282" i="29" s="1"/>
  <c r="P282" i="29" s="1"/>
  <c r="Q280" i="29"/>
  <c r="L280" i="29"/>
  <c r="M280" i="29" s="1"/>
  <c r="P280" i="29" s="1"/>
  <c r="R280" i="29" s="1"/>
  <c r="Q279" i="29"/>
  <c r="L279" i="29"/>
  <c r="M279" i="29" s="1"/>
  <c r="P279" i="29" s="1"/>
  <c r="Q278" i="29"/>
  <c r="L278" i="29"/>
  <c r="M278" i="29" s="1"/>
  <c r="P278" i="29" s="1"/>
  <c r="Q277" i="29"/>
  <c r="L277" i="29"/>
  <c r="M277" i="29" s="1"/>
  <c r="P277" i="29" s="1"/>
  <c r="Q276" i="29"/>
  <c r="L276" i="29"/>
  <c r="M276" i="29" s="1"/>
  <c r="P276" i="29" s="1"/>
  <c r="Q275" i="29"/>
  <c r="L275" i="29"/>
  <c r="M275" i="29" s="1"/>
  <c r="P275" i="29" s="1"/>
  <c r="Q274" i="29"/>
  <c r="L274" i="29"/>
  <c r="M274" i="29" s="1"/>
  <c r="P274" i="29" s="1"/>
  <c r="Q273" i="29"/>
  <c r="L273" i="29"/>
  <c r="M273" i="29" s="1"/>
  <c r="P273" i="29" s="1"/>
  <c r="Q272" i="29"/>
  <c r="L272" i="29"/>
  <c r="M272" i="29" s="1"/>
  <c r="P272" i="29" s="1"/>
  <c r="Q271" i="29"/>
  <c r="L271" i="29"/>
  <c r="M271" i="29" s="1"/>
  <c r="P271" i="29" s="1"/>
  <c r="R271" i="29" s="1"/>
  <c r="Q270" i="29"/>
  <c r="L270" i="29"/>
  <c r="M270" i="29" s="1"/>
  <c r="P270" i="29" s="1"/>
  <c r="Q269" i="29"/>
  <c r="L269" i="29"/>
  <c r="M269" i="29" s="1"/>
  <c r="P269" i="29" s="1"/>
  <c r="Q267" i="29"/>
  <c r="L267" i="29"/>
  <c r="M267" i="29" s="1"/>
  <c r="P267" i="29" s="1"/>
  <c r="R267" i="29" s="1"/>
  <c r="Q266" i="29"/>
  <c r="L266" i="29"/>
  <c r="M266" i="29" s="1"/>
  <c r="P266" i="29" s="1"/>
  <c r="R266" i="29" s="1"/>
  <c r="Q265" i="29"/>
  <c r="L265" i="29"/>
  <c r="M265" i="29" s="1"/>
  <c r="P265" i="29" s="1"/>
  <c r="R265" i="29" s="1"/>
  <c r="Q264" i="29"/>
  <c r="L264" i="29"/>
  <c r="M264" i="29" s="1"/>
  <c r="P264" i="29" s="1"/>
  <c r="Q263" i="29"/>
  <c r="L263" i="29"/>
  <c r="M263" i="29" s="1"/>
  <c r="P263" i="29" s="1"/>
  <c r="Q262" i="29"/>
  <c r="L262" i="29"/>
  <c r="M262" i="29" s="1"/>
  <c r="P262" i="29" s="1"/>
  <c r="Q261" i="29"/>
  <c r="L261" i="29"/>
  <c r="M261" i="29" s="1"/>
  <c r="P261" i="29" s="1"/>
  <c r="Q260" i="29"/>
  <c r="L260" i="29"/>
  <c r="M260" i="29" s="1"/>
  <c r="P260" i="29" s="1"/>
  <c r="Q259" i="29"/>
  <c r="L259" i="29"/>
  <c r="M259" i="29" s="1"/>
  <c r="P259" i="29" s="1"/>
  <c r="Q258" i="29"/>
  <c r="L258" i="29"/>
  <c r="M258" i="29" s="1"/>
  <c r="P258" i="29" s="1"/>
  <c r="Q257" i="29"/>
  <c r="L257" i="29"/>
  <c r="M257" i="29" s="1"/>
  <c r="P257" i="29" s="1"/>
  <c r="Q256" i="29"/>
  <c r="L256" i="29"/>
  <c r="M256" i="29" s="1"/>
  <c r="P256" i="29" s="1"/>
  <c r="R256" i="29" s="1"/>
  <c r="Q254" i="29"/>
  <c r="L254" i="29"/>
  <c r="M254" i="29" s="1"/>
  <c r="P254" i="29" s="1"/>
  <c r="R254" i="29" s="1"/>
  <c r="Q253" i="29"/>
  <c r="L253" i="29"/>
  <c r="M253" i="29" s="1"/>
  <c r="P253" i="29" s="1"/>
  <c r="R253" i="29" s="1"/>
  <c r="Q252" i="29"/>
  <c r="L252" i="29"/>
  <c r="M252" i="29" s="1"/>
  <c r="P252" i="29" s="1"/>
  <c r="Q251" i="29"/>
  <c r="L251" i="29"/>
  <c r="M251" i="29" s="1"/>
  <c r="P251" i="29" s="1"/>
  <c r="R251" i="29" s="1"/>
  <c r="Q250" i="29"/>
  <c r="L250" i="29"/>
  <c r="M250" i="29" s="1"/>
  <c r="P250" i="29" s="1"/>
  <c r="R250" i="29" s="1"/>
  <c r="Q249" i="29"/>
  <c r="L249" i="29"/>
  <c r="M249" i="29" s="1"/>
  <c r="P249" i="29" s="1"/>
  <c r="R249" i="29" s="1"/>
  <c r="Q248" i="29"/>
  <c r="M248" i="29"/>
  <c r="P248" i="29" s="1"/>
  <c r="L248" i="29"/>
  <c r="Q247" i="29"/>
  <c r="L247" i="29"/>
  <c r="M247" i="29" s="1"/>
  <c r="P247" i="29" s="1"/>
  <c r="Q246" i="29"/>
  <c r="L246" i="29"/>
  <c r="M246" i="29" s="1"/>
  <c r="P246" i="29" s="1"/>
  <c r="Q245" i="29"/>
  <c r="L245" i="29"/>
  <c r="M245" i="29" s="1"/>
  <c r="P245" i="29" s="1"/>
  <c r="Q244" i="29"/>
  <c r="L244" i="29"/>
  <c r="M244" i="29" s="1"/>
  <c r="P244" i="29" s="1"/>
  <c r="Q243" i="29"/>
  <c r="L243" i="29"/>
  <c r="M243" i="29" s="1"/>
  <c r="P243" i="29" s="1"/>
  <c r="Q241" i="29"/>
  <c r="L241" i="29"/>
  <c r="M241" i="29" s="1"/>
  <c r="P241" i="29" s="1"/>
  <c r="R241" i="29" s="1"/>
  <c r="Q240" i="29"/>
  <c r="L240" i="29"/>
  <c r="M240" i="29" s="1"/>
  <c r="P240" i="29" s="1"/>
  <c r="Q239" i="29"/>
  <c r="L239" i="29"/>
  <c r="M239" i="29" s="1"/>
  <c r="P239" i="29" s="1"/>
  <c r="Q238" i="29"/>
  <c r="L238" i="29"/>
  <c r="M238" i="29" s="1"/>
  <c r="P238" i="29" s="1"/>
  <c r="Q237" i="29"/>
  <c r="L237" i="29"/>
  <c r="M237" i="29" s="1"/>
  <c r="P237" i="29" s="1"/>
  <c r="R237" i="29" s="1"/>
  <c r="Q236" i="29"/>
  <c r="L236" i="29"/>
  <c r="M236" i="29" s="1"/>
  <c r="P236" i="29" s="1"/>
  <c r="Q235" i="29"/>
  <c r="L235" i="29"/>
  <c r="M235" i="29" s="1"/>
  <c r="P235" i="29" s="1"/>
  <c r="Q234" i="29"/>
  <c r="L234" i="29"/>
  <c r="M234" i="29" s="1"/>
  <c r="P234" i="29" s="1"/>
  <c r="R234" i="29" s="1"/>
  <c r="Q233" i="29"/>
  <c r="L233" i="29"/>
  <c r="M233" i="29" s="1"/>
  <c r="P233" i="29" s="1"/>
  <c r="R233" i="29" s="1"/>
  <c r="Q232" i="29"/>
  <c r="L232" i="29"/>
  <c r="M232" i="29" s="1"/>
  <c r="P232" i="29" s="1"/>
  <c r="Q231" i="29"/>
  <c r="L231" i="29"/>
  <c r="M231" i="29" s="1"/>
  <c r="P231" i="29" s="1"/>
  <c r="Q230" i="29"/>
  <c r="L230" i="29"/>
  <c r="M230" i="29" s="1"/>
  <c r="P230" i="29" s="1"/>
  <c r="J223" i="29"/>
  <c r="K223" i="29" s="1"/>
  <c r="J222" i="29"/>
  <c r="K222" i="29" s="1"/>
  <c r="J221" i="29"/>
  <c r="K221" i="29" s="1"/>
  <c r="J220" i="29"/>
  <c r="K220" i="29" s="1"/>
  <c r="J219" i="29"/>
  <c r="K219" i="29" s="1"/>
  <c r="J218" i="29"/>
  <c r="K218" i="29" s="1"/>
  <c r="J217" i="29"/>
  <c r="K217" i="29" s="1"/>
  <c r="J216" i="29"/>
  <c r="K216" i="29" s="1"/>
  <c r="J215" i="29"/>
  <c r="K215" i="29" s="1"/>
  <c r="J214" i="29"/>
  <c r="K214" i="29" s="1"/>
  <c r="J213" i="29"/>
  <c r="K213" i="29" s="1"/>
  <c r="J212" i="29"/>
  <c r="K212" i="29" s="1"/>
  <c r="Q205" i="29"/>
  <c r="L205" i="29"/>
  <c r="H205" i="29"/>
  <c r="I205" i="29" s="1"/>
  <c r="M205" i="29" s="1"/>
  <c r="Q204" i="29"/>
  <c r="L204" i="29"/>
  <c r="H204" i="29"/>
  <c r="I204" i="29" s="1"/>
  <c r="M204" i="29" s="1"/>
  <c r="Q203" i="29"/>
  <c r="L203" i="29"/>
  <c r="H203" i="29"/>
  <c r="I203" i="29" s="1"/>
  <c r="M203" i="29" s="1"/>
  <c r="Q202" i="29"/>
  <c r="L202" i="29"/>
  <c r="H202" i="29"/>
  <c r="I202" i="29" s="1"/>
  <c r="M202" i="29" s="1"/>
  <c r="Q201" i="29"/>
  <c r="L201" i="29"/>
  <c r="H201" i="29"/>
  <c r="I201" i="29" s="1"/>
  <c r="M201" i="29" s="1"/>
  <c r="Q200" i="29"/>
  <c r="L200" i="29"/>
  <c r="H200" i="29"/>
  <c r="I200" i="29" s="1"/>
  <c r="M200" i="29" s="1"/>
  <c r="Q199" i="29"/>
  <c r="L199" i="29"/>
  <c r="H199" i="29"/>
  <c r="I199" i="29" s="1"/>
  <c r="M199" i="29" s="1"/>
  <c r="Q198" i="29"/>
  <c r="L198" i="29"/>
  <c r="H198" i="29"/>
  <c r="I198" i="29" s="1"/>
  <c r="M198" i="29" s="1"/>
  <c r="Q197" i="29"/>
  <c r="L197" i="29"/>
  <c r="H197" i="29"/>
  <c r="I197" i="29" s="1"/>
  <c r="M197" i="29" s="1"/>
  <c r="Q196" i="29"/>
  <c r="L196" i="29"/>
  <c r="H196" i="29"/>
  <c r="I196" i="29" s="1"/>
  <c r="M196" i="29" s="1"/>
  <c r="Q195" i="29"/>
  <c r="L195" i="29"/>
  <c r="H195" i="29"/>
  <c r="I195" i="29" s="1"/>
  <c r="M195" i="29" s="1"/>
  <c r="Q194" i="29"/>
  <c r="L194" i="29"/>
  <c r="H194" i="29"/>
  <c r="I194" i="29" s="1"/>
  <c r="M194" i="29" s="1"/>
  <c r="Q191" i="29"/>
  <c r="L191" i="29"/>
  <c r="H191" i="29"/>
  <c r="I191" i="29" s="1"/>
  <c r="M191" i="29" s="1"/>
  <c r="Q190" i="29"/>
  <c r="L190" i="29"/>
  <c r="H190" i="29"/>
  <c r="I190" i="29" s="1"/>
  <c r="M190" i="29" s="1"/>
  <c r="Q189" i="29"/>
  <c r="L189" i="29"/>
  <c r="H189" i="29"/>
  <c r="I189" i="29" s="1"/>
  <c r="M189" i="29" s="1"/>
  <c r="Q188" i="29"/>
  <c r="L188" i="29"/>
  <c r="H188" i="29"/>
  <c r="I188" i="29" s="1"/>
  <c r="M188" i="29" s="1"/>
  <c r="Q187" i="29"/>
  <c r="L187" i="29"/>
  <c r="H187" i="29"/>
  <c r="I187" i="29" s="1"/>
  <c r="M187" i="29" s="1"/>
  <c r="Q186" i="29"/>
  <c r="L186" i="29"/>
  <c r="H186" i="29"/>
  <c r="I186" i="29" s="1"/>
  <c r="M186" i="29" s="1"/>
  <c r="Q185" i="29"/>
  <c r="L185" i="29"/>
  <c r="H185" i="29"/>
  <c r="I185" i="29" s="1"/>
  <c r="M185" i="29" s="1"/>
  <c r="Q184" i="29"/>
  <c r="L184" i="29"/>
  <c r="H184" i="29"/>
  <c r="I184" i="29" s="1"/>
  <c r="M184" i="29" s="1"/>
  <c r="Q183" i="29"/>
  <c r="L183" i="29"/>
  <c r="H183" i="29"/>
  <c r="I183" i="29" s="1"/>
  <c r="M183" i="29" s="1"/>
  <c r="Q182" i="29"/>
  <c r="L182" i="29"/>
  <c r="H182" i="29"/>
  <c r="I182" i="29" s="1"/>
  <c r="M182" i="29" s="1"/>
  <c r="Q181" i="29"/>
  <c r="L181" i="29"/>
  <c r="H181" i="29"/>
  <c r="I181" i="29" s="1"/>
  <c r="M181" i="29" s="1"/>
  <c r="Q180" i="29"/>
  <c r="M180" i="29"/>
  <c r="L180" i="29"/>
  <c r="H180" i="29"/>
  <c r="I180" i="29" s="1"/>
  <c r="Q177" i="29"/>
  <c r="L177" i="29"/>
  <c r="H177" i="29"/>
  <c r="I177" i="29" s="1"/>
  <c r="M177" i="29" s="1"/>
  <c r="Q176" i="29"/>
  <c r="L176" i="29"/>
  <c r="H176" i="29"/>
  <c r="I176" i="29" s="1"/>
  <c r="M176" i="29" s="1"/>
  <c r="Q175" i="29"/>
  <c r="L175" i="29"/>
  <c r="H175" i="29"/>
  <c r="I175" i="29" s="1"/>
  <c r="M175" i="29" s="1"/>
  <c r="Q174" i="29"/>
  <c r="L174" i="29"/>
  <c r="H174" i="29"/>
  <c r="I174" i="29" s="1"/>
  <c r="M174" i="29" s="1"/>
  <c r="Q173" i="29"/>
  <c r="L173" i="29"/>
  <c r="H173" i="29"/>
  <c r="I173" i="29" s="1"/>
  <c r="M173" i="29" s="1"/>
  <c r="Q172" i="29"/>
  <c r="L172" i="29"/>
  <c r="H172" i="29"/>
  <c r="I172" i="29" s="1"/>
  <c r="M172" i="29" s="1"/>
  <c r="Q171" i="29"/>
  <c r="L171" i="29"/>
  <c r="H171" i="29"/>
  <c r="I171" i="29" s="1"/>
  <c r="M171" i="29" s="1"/>
  <c r="Q170" i="29"/>
  <c r="L170" i="29"/>
  <c r="H170" i="29"/>
  <c r="I170" i="29" s="1"/>
  <c r="M170" i="29" s="1"/>
  <c r="Q169" i="29"/>
  <c r="L169" i="29"/>
  <c r="H169" i="29"/>
  <c r="I169" i="29" s="1"/>
  <c r="M169" i="29" s="1"/>
  <c r="Q168" i="29"/>
  <c r="L168" i="29"/>
  <c r="H168" i="29"/>
  <c r="I168" i="29" s="1"/>
  <c r="M168" i="29" s="1"/>
  <c r="Q167" i="29"/>
  <c r="L167" i="29"/>
  <c r="H167" i="29"/>
  <c r="I167" i="29" s="1"/>
  <c r="M167" i="29" s="1"/>
  <c r="Q166" i="29"/>
  <c r="L166" i="29"/>
  <c r="H166" i="29"/>
  <c r="I166" i="29" s="1"/>
  <c r="M166" i="29" s="1"/>
  <c r="Q163" i="29"/>
  <c r="L163" i="29"/>
  <c r="H163" i="29"/>
  <c r="I163" i="29" s="1"/>
  <c r="M163" i="29" s="1"/>
  <c r="Q162" i="29"/>
  <c r="L162" i="29"/>
  <c r="H162" i="29"/>
  <c r="I162" i="29" s="1"/>
  <c r="M162" i="29" s="1"/>
  <c r="Q161" i="29"/>
  <c r="L161" i="29"/>
  <c r="H161" i="29"/>
  <c r="I161" i="29" s="1"/>
  <c r="M161" i="29" s="1"/>
  <c r="Q160" i="29"/>
  <c r="L160" i="29"/>
  <c r="H160" i="29"/>
  <c r="I160" i="29" s="1"/>
  <c r="M160" i="29" s="1"/>
  <c r="Q159" i="29"/>
  <c r="L159" i="29"/>
  <c r="H159" i="29"/>
  <c r="I159" i="29" s="1"/>
  <c r="M159" i="29" s="1"/>
  <c r="Q158" i="29"/>
  <c r="L158" i="29"/>
  <c r="H158" i="29"/>
  <c r="I158" i="29" s="1"/>
  <c r="M158" i="29" s="1"/>
  <c r="Q157" i="29"/>
  <c r="L157" i="29"/>
  <c r="H157" i="29"/>
  <c r="I157" i="29" s="1"/>
  <c r="M157" i="29" s="1"/>
  <c r="Q156" i="29"/>
  <c r="L156" i="29"/>
  <c r="H156" i="29"/>
  <c r="I156" i="29" s="1"/>
  <c r="M156" i="29" s="1"/>
  <c r="Q155" i="29"/>
  <c r="L155" i="29"/>
  <c r="H155" i="29"/>
  <c r="I155" i="29" s="1"/>
  <c r="M155" i="29" s="1"/>
  <c r="Q154" i="29"/>
  <c r="L154" i="29"/>
  <c r="H154" i="29"/>
  <c r="I154" i="29" s="1"/>
  <c r="M154" i="29" s="1"/>
  <c r="Q153" i="29"/>
  <c r="L153" i="29"/>
  <c r="H153" i="29"/>
  <c r="I153" i="29" s="1"/>
  <c r="M153" i="29" s="1"/>
  <c r="Q152" i="29"/>
  <c r="L152" i="29"/>
  <c r="H152" i="29"/>
  <c r="I152" i="29" s="1"/>
  <c r="M152" i="29" s="1"/>
  <c r="Q149" i="29"/>
  <c r="L149" i="29"/>
  <c r="H149" i="29"/>
  <c r="I149" i="29" s="1"/>
  <c r="M149" i="29" s="1"/>
  <c r="Q148" i="29"/>
  <c r="L148" i="29"/>
  <c r="H148" i="29"/>
  <c r="I148" i="29" s="1"/>
  <c r="M148" i="29" s="1"/>
  <c r="Q147" i="29"/>
  <c r="L147" i="29"/>
  <c r="H147" i="29"/>
  <c r="I147" i="29" s="1"/>
  <c r="M147" i="29" s="1"/>
  <c r="Q146" i="29"/>
  <c r="L146" i="29"/>
  <c r="H146" i="29"/>
  <c r="I146" i="29" s="1"/>
  <c r="M146" i="29" s="1"/>
  <c r="Q145" i="29"/>
  <c r="L145" i="29"/>
  <c r="H145" i="29"/>
  <c r="I145" i="29" s="1"/>
  <c r="M145" i="29" s="1"/>
  <c r="Q144" i="29"/>
  <c r="L144" i="29"/>
  <c r="H144" i="29"/>
  <c r="I144" i="29" s="1"/>
  <c r="M144" i="29" s="1"/>
  <c r="Q143" i="29"/>
  <c r="L143" i="29"/>
  <c r="H143" i="29"/>
  <c r="I143" i="29" s="1"/>
  <c r="M143" i="29" s="1"/>
  <c r="Q142" i="29"/>
  <c r="L142" i="29"/>
  <c r="H142" i="29"/>
  <c r="I142" i="29" s="1"/>
  <c r="M142" i="29" s="1"/>
  <c r="Q141" i="29"/>
  <c r="L141" i="29"/>
  <c r="H141" i="29"/>
  <c r="I141" i="29" s="1"/>
  <c r="M141" i="29" s="1"/>
  <c r="Q140" i="29"/>
  <c r="L140" i="29"/>
  <c r="H140" i="29"/>
  <c r="I140" i="29" s="1"/>
  <c r="M140" i="29" s="1"/>
  <c r="Q139" i="29"/>
  <c r="L139" i="29"/>
  <c r="H139" i="29"/>
  <c r="I139" i="29" s="1"/>
  <c r="M139" i="29" s="1"/>
  <c r="Q138" i="29"/>
  <c r="L138" i="29"/>
  <c r="H138" i="29"/>
  <c r="I138" i="29" s="1"/>
  <c r="M138" i="29" s="1"/>
  <c r="Q135" i="29"/>
  <c r="L135" i="29"/>
  <c r="H135" i="29"/>
  <c r="I135" i="29" s="1"/>
  <c r="M135" i="29" s="1"/>
  <c r="Q134" i="29"/>
  <c r="L134" i="29"/>
  <c r="H134" i="29"/>
  <c r="I134" i="29" s="1"/>
  <c r="M134" i="29" s="1"/>
  <c r="Q133" i="29"/>
  <c r="L133" i="29"/>
  <c r="H133" i="29"/>
  <c r="I133" i="29" s="1"/>
  <c r="M133" i="29" s="1"/>
  <c r="Q132" i="29"/>
  <c r="L132" i="29"/>
  <c r="H132" i="29"/>
  <c r="I132" i="29" s="1"/>
  <c r="M132" i="29" s="1"/>
  <c r="Q131" i="29"/>
  <c r="L131" i="29"/>
  <c r="H131" i="29"/>
  <c r="I131" i="29" s="1"/>
  <c r="M131" i="29" s="1"/>
  <c r="Q130" i="29"/>
  <c r="L130" i="29"/>
  <c r="H130" i="29"/>
  <c r="I130" i="29" s="1"/>
  <c r="M130" i="29" s="1"/>
  <c r="Q129" i="29"/>
  <c r="L129" i="29"/>
  <c r="H129" i="29"/>
  <c r="I129" i="29" s="1"/>
  <c r="M129" i="29" s="1"/>
  <c r="Q128" i="29"/>
  <c r="L128" i="29"/>
  <c r="H128" i="29"/>
  <c r="I128" i="29" s="1"/>
  <c r="M128" i="29" s="1"/>
  <c r="Q127" i="29"/>
  <c r="L127" i="29"/>
  <c r="H127" i="29"/>
  <c r="I127" i="29" s="1"/>
  <c r="M127" i="29" s="1"/>
  <c r="Q126" i="29"/>
  <c r="L126" i="29"/>
  <c r="H126" i="29"/>
  <c r="I126" i="29" s="1"/>
  <c r="M126" i="29" s="1"/>
  <c r="C126" i="29"/>
  <c r="J181" i="29" s="1"/>
  <c r="Q125" i="29"/>
  <c r="L125" i="29"/>
  <c r="H125" i="29"/>
  <c r="I125" i="29" s="1"/>
  <c r="M125" i="29" s="1"/>
  <c r="Q124" i="29"/>
  <c r="L124" i="29"/>
  <c r="H124" i="29"/>
  <c r="I124" i="29" s="1"/>
  <c r="M124" i="29" s="1"/>
  <c r="Q121" i="29"/>
  <c r="L121" i="29"/>
  <c r="H121" i="29"/>
  <c r="I121" i="29" s="1"/>
  <c r="M121" i="29" s="1"/>
  <c r="Q120" i="29"/>
  <c r="L120" i="29"/>
  <c r="H120" i="29"/>
  <c r="I120" i="29" s="1"/>
  <c r="M120" i="29" s="1"/>
  <c r="Q119" i="29"/>
  <c r="L119" i="29"/>
  <c r="H119" i="29"/>
  <c r="I119" i="29" s="1"/>
  <c r="M119" i="29" s="1"/>
  <c r="Q118" i="29"/>
  <c r="L118" i="29"/>
  <c r="H118" i="29"/>
  <c r="I118" i="29" s="1"/>
  <c r="M118" i="29" s="1"/>
  <c r="Q117" i="29"/>
  <c r="L117" i="29"/>
  <c r="H117" i="29"/>
  <c r="I117" i="29" s="1"/>
  <c r="M117" i="29" s="1"/>
  <c r="Q116" i="29"/>
  <c r="L116" i="29"/>
  <c r="H116" i="29"/>
  <c r="I116" i="29" s="1"/>
  <c r="M116" i="29" s="1"/>
  <c r="Q115" i="29"/>
  <c r="L115" i="29"/>
  <c r="H115" i="29"/>
  <c r="I115" i="29" s="1"/>
  <c r="M115" i="29" s="1"/>
  <c r="Q114" i="29"/>
  <c r="L114" i="29"/>
  <c r="H114" i="29"/>
  <c r="I114" i="29" s="1"/>
  <c r="M114" i="29" s="1"/>
  <c r="Q113" i="29"/>
  <c r="L113" i="29"/>
  <c r="H113" i="29"/>
  <c r="I113" i="29" s="1"/>
  <c r="M113" i="29" s="1"/>
  <c r="Q112" i="29"/>
  <c r="L112" i="29"/>
  <c r="H112" i="29"/>
  <c r="I112" i="29" s="1"/>
  <c r="M112" i="29" s="1"/>
  <c r="Q111" i="29"/>
  <c r="L111" i="29"/>
  <c r="H111" i="29"/>
  <c r="I111" i="29" s="1"/>
  <c r="M111" i="29" s="1"/>
  <c r="Q110" i="29"/>
  <c r="L110" i="29"/>
  <c r="H110" i="29"/>
  <c r="I110" i="29" s="1"/>
  <c r="M110" i="29" s="1"/>
  <c r="Q103" i="29"/>
  <c r="P103" i="29"/>
  <c r="O103" i="29"/>
  <c r="AB103" i="29" s="1"/>
  <c r="M102" i="29"/>
  <c r="M101" i="29"/>
  <c r="M100" i="29"/>
  <c r="M99" i="29"/>
  <c r="M98" i="29"/>
  <c r="M97" i="29"/>
  <c r="M96" i="29"/>
  <c r="M95" i="29"/>
  <c r="M94" i="29"/>
  <c r="M93" i="29"/>
  <c r="M92" i="29"/>
  <c r="M91" i="29"/>
  <c r="Q89" i="29"/>
  <c r="P89" i="29"/>
  <c r="O89" i="29"/>
  <c r="T89" i="29" s="1"/>
  <c r="M88" i="29"/>
  <c r="M87" i="29"/>
  <c r="M86" i="29"/>
  <c r="M85" i="29"/>
  <c r="M84" i="29"/>
  <c r="M83" i="29"/>
  <c r="M82" i="29"/>
  <c r="M81" i="29"/>
  <c r="M80" i="29"/>
  <c r="M79" i="29"/>
  <c r="M78" i="29"/>
  <c r="M77" i="29"/>
  <c r="Q75" i="29"/>
  <c r="P75" i="29"/>
  <c r="O75" i="29"/>
  <c r="X75" i="29" s="1"/>
  <c r="M74" i="29"/>
  <c r="M73" i="29"/>
  <c r="M72" i="29"/>
  <c r="M71" i="29"/>
  <c r="M70" i="29"/>
  <c r="M69" i="29"/>
  <c r="M68" i="29"/>
  <c r="M67" i="29"/>
  <c r="M66" i="29"/>
  <c r="M65" i="29"/>
  <c r="M64" i="29"/>
  <c r="M63" i="29"/>
  <c r="Q60" i="29"/>
  <c r="P60" i="29"/>
  <c r="O60" i="29"/>
  <c r="AB60" i="29" s="1"/>
  <c r="M59" i="29"/>
  <c r="M58" i="29"/>
  <c r="M57" i="29"/>
  <c r="M56" i="29"/>
  <c r="M55" i="29"/>
  <c r="M54" i="29"/>
  <c r="M53" i="29"/>
  <c r="M52" i="29"/>
  <c r="M51" i="29"/>
  <c r="M50" i="29"/>
  <c r="M49" i="29"/>
  <c r="M48" i="29"/>
  <c r="Q45" i="29"/>
  <c r="P45" i="29"/>
  <c r="O45" i="29"/>
  <c r="T45" i="29" s="1"/>
  <c r="M44" i="29"/>
  <c r="M43" i="29"/>
  <c r="M42" i="29"/>
  <c r="M41" i="29"/>
  <c r="M40" i="29"/>
  <c r="M39" i="29"/>
  <c r="M38" i="29"/>
  <c r="M37" i="29"/>
  <c r="M36" i="29"/>
  <c r="M35" i="29"/>
  <c r="M34" i="29"/>
  <c r="M33" i="29"/>
  <c r="Q31" i="29"/>
  <c r="P31" i="29"/>
  <c r="O31" i="29"/>
  <c r="X31" i="29" s="1"/>
  <c r="M30" i="29"/>
  <c r="M29" i="29"/>
  <c r="M28" i="29"/>
  <c r="M27" i="29"/>
  <c r="M26" i="29"/>
  <c r="M25" i="29"/>
  <c r="M24" i="29"/>
  <c r="M23" i="29"/>
  <c r="M22" i="29"/>
  <c r="M21" i="29"/>
  <c r="M20" i="29"/>
  <c r="M19" i="29"/>
  <c r="Q17" i="29"/>
  <c r="P17" i="29"/>
  <c r="O17" i="29"/>
  <c r="AB17" i="29" s="1"/>
  <c r="M16" i="29"/>
  <c r="M15" i="29"/>
  <c r="M14" i="29"/>
  <c r="M13" i="29"/>
  <c r="M12" i="29"/>
  <c r="M11" i="29"/>
  <c r="M10" i="29"/>
  <c r="M9" i="29"/>
  <c r="M8" i="29"/>
  <c r="M7" i="29"/>
  <c r="M6" i="29"/>
  <c r="M5" i="29"/>
  <c r="M5" i="27"/>
  <c r="M6" i="27"/>
  <c r="M7" i="27"/>
  <c r="M8" i="27"/>
  <c r="M9" i="27"/>
  <c r="M10" i="27"/>
  <c r="G349" i="27"/>
  <c r="H349" i="27" s="1"/>
  <c r="H350" i="27" s="1"/>
  <c r="K357" i="27" s="1"/>
  <c r="J343" i="27"/>
  <c r="K343" i="27" s="1"/>
  <c r="K344" i="27" s="1"/>
  <c r="J356" i="27" s="1"/>
  <c r="M337" i="27"/>
  <c r="K337" i="27"/>
  <c r="I337" i="27"/>
  <c r="M336" i="27"/>
  <c r="K336" i="27"/>
  <c r="I336" i="27"/>
  <c r="L336" i="27" s="1"/>
  <c r="M335" i="27"/>
  <c r="K335" i="27"/>
  <c r="I335" i="27"/>
  <c r="M334" i="27"/>
  <c r="K334" i="27"/>
  <c r="I334" i="27"/>
  <c r="M333" i="27"/>
  <c r="K333" i="27"/>
  <c r="I333" i="27"/>
  <c r="M332" i="27"/>
  <c r="K332" i="27"/>
  <c r="I332" i="27"/>
  <c r="M331" i="27"/>
  <c r="K331" i="27"/>
  <c r="I331" i="27"/>
  <c r="M330" i="27"/>
  <c r="K330" i="27"/>
  <c r="I330" i="27"/>
  <c r="M329" i="27"/>
  <c r="K329" i="27"/>
  <c r="I329" i="27"/>
  <c r="M328" i="27"/>
  <c r="K328" i="27"/>
  <c r="I328" i="27"/>
  <c r="M327" i="27"/>
  <c r="K327" i="27"/>
  <c r="I327" i="27"/>
  <c r="M326" i="27"/>
  <c r="K326" i="27"/>
  <c r="I326" i="27"/>
  <c r="Q319" i="27"/>
  <c r="L319" i="27"/>
  <c r="M319" i="27" s="1"/>
  <c r="P319" i="27" s="1"/>
  <c r="Q318" i="27"/>
  <c r="L318" i="27"/>
  <c r="M318" i="27" s="1"/>
  <c r="P318" i="27" s="1"/>
  <c r="Q317" i="27"/>
  <c r="L317" i="27"/>
  <c r="M317" i="27" s="1"/>
  <c r="P317" i="27" s="1"/>
  <c r="R317" i="27" s="1"/>
  <c r="Q316" i="27"/>
  <c r="L316" i="27"/>
  <c r="M316" i="27" s="1"/>
  <c r="P316" i="27" s="1"/>
  <c r="Q315" i="27"/>
  <c r="L315" i="27"/>
  <c r="M315" i="27" s="1"/>
  <c r="P315" i="27" s="1"/>
  <c r="Q314" i="27"/>
  <c r="L314" i="27"/>
  <c r="M314" i="27" s="1"/>
  <c r="P314" i="27" s="1"/>
  <c r="Q313" i="27"/>
  <c r="L313" i="27"/>
  <c r="M313" i="27" s="1"/>
  <c r="P313" i="27" s="1"/>
  <c r="R313" i="27" s="1"/>
  <c r="Q312" i="27"/>
  <c r="L312" i="27"/>
  <c r="M312" i="27" s="1"/>
  <c r="P312" i="27" s="1"/>
  <c r="R312" i="27" s="1"/>
  <c r="Q311" i="27"/>
  <c r="L311" i="27"/>
  <c r="M311" i="27" s="1"/>
  <c r="P311" i="27" s="1"/>
  <c r="Q310" i="27"/>
  <c r="L310" i="27"/>
  <c r="M310" i="27" s="1"/>
  <c r="P310" i="27" s="1"/>
  <c r="Q309" i="27"/>
  <c r="L309" i="27"/>
  <c r="M309" i="27" s="1"/>
  <c r="P309" i="27" s="1"/>
  <c r="R309" i="27" s="1"/>
  <c r="Q308" i="27"/>
  <c r="L308" i="27"/>
  <c r="M308" i="27" s="1"/>
  <c r="P308" i="27" s="1"/>
  <c r="R308" i="27" s="1"/>
  <c r="Q306" i="27"/>
  <c r="L306" i="27"/>
  <c r="M306" i="27" s="1"/>
  <c r="P306" i="27" s="1"/>
  <c r="Q305" i="27"/>
  <c r="L305" i="27"/>
  <c r="M305" i="27" s="1"/>
  <c r="P305" i="27" s="1"/>
  <c r="Q304" i="27"/>
  <c r="L304" i="27"/>
  <c r="M304" i="27" s="1"/>
  <c r="P304" i="27" s="1"/>
  <c r="Q303" i="27"/>
  <c r="L303" i="27"/>
  <c r="M303" i="27" s="1"/>
  <c r="P303" i="27" s="1"/>
  <c r="R303" i="27" s="1"/>
  <c r="Q302" i="27"/>
  <c r="L302" i="27"/>
  <c r="M302" i="27" s="1"/>
  <c r="P302" i="27" s="1"/>
  <c r="Q301" i="27"/>
  <c r="L301" i="27"/>
  <c r="M301" i="27" s="1"/>
  <c r="P301" i="27" s="1"/>
  <c r="Q300" i="27"/>
  <c r="L300" i="27"/>
  <c r="M300" i="27" s="1"/>
  <c r="P300" i="27" s="1"/>
  <c r="R300" i="27" s="1"/>
  <c r="Q299" i="27"/>
  <c r="L299" i="27"/>
  <c r="M299" i="27" s="1"/>
  <c r="P299" i="27" s="1"/>
  <c r="R299" i="27" s="1"/>
  <c r="Q298" i="27"/>
  <c r="L298" i="27"/>
  <c r="M298" i="27" s="1"/>
  <c r="P298" i="27" s="1"/>
  <c r="Q297" i="27"/>
  <c r="L297" i="27"/>
  <c r="M297" i="27" s="1"/>
  <c r="P297" i="27" s="1"/>
  <c r="Q296" i="27"/>
  <c r="M296" i="27"/>
  <c r="P296" i="27" s="1"/>
  <c r="R296" i="27" s="1"/>
  <c r="L296" i="27"/>
  <c r="Q295" i="27"/>
  <c r="L295" i="27"/>
  <c r="M295" i="27" s="1"/>
  <c r="P295" i="27" s="1"/>
  <c r="Q293" i="27"/>
  <c r="L293" i="27"/>
  <c r="M293" i="27" s="1"/>
  <c r="P293" i="27" s="1"/>
  <c r="Q292" i="27"/>
  <c r="L292" i="27"/>
  <c r="M292" i="27" s="1"/>
  <c r="P292" i="27" s="1"/>
  <c r="Q291" i="27"/>
  <c r="L291" i="27"/>
  <c r="M291" i="27" s="1"/>
  <c r="P291" i="27" s="1"/>
  <c r="Q290" i="27"/>
  <c r="L290" i="27"/>
  <c r="M290" i="27" s="1"/>
  <c r="P290" i="27" s="1"/>
  <c r="Q289" i="27"/>
  <c r="L289" i="27"/>
  <c r="M289" i="27" s="1"/>
  <c r="P289" i="27" s="1"/>
  <c r="Q288" i="27"/>
  <c r="L288" i="27"/>
  <c r="M288" i="27" s="1"/>
  <c r="P288" i="27" s="1"/>
  <c r="Q287" i="27"/>
  <c r="L287" i="27"/>
  <c r="M287" i="27" s="1"/>
  <c r="P287" i="27" s="1"/>
  <c r="Q286" i="27"/>
  <c r="L286" i="27"/>
  <c r="M286" i="27" s="1"/>
  <c r="P286" i="27" s="1"/>
  <c r="Q285" i="27"/>
  <c r="L285" i="27"/>
  <c r="M285" i="27" s="1"/>
  <c r="P285" i="27" s="1"/>
  <c r="Q284" i="27"/>
  <c r="L284" i="27"/>
  <c r="M284" i="27" s="1"/>
  <c r="P284" i="27" s="1"/>
  <c r="Q283" i="27"/>
  <c r="L283" i="27"/>
  <c r="M283" i="27" s="1"/>
  <c r="P283" i="27" s="1"/>
  <c r="Q282" i="27"/>
  <c r="L282" i="27"/>
  <c r="M282" i="27" s="1"/>
  <c r="P282" i="27" s="1"/>
  <c r="Q280" i="27"/>
  <c r="L280" i="27"/>
  <c r="M280" i="27" s="1"/>
  <c r="P280" i="27" s="1"/>
  <c r="Q279" i="27"/>
  <c r="L279" i="27"/>
  <c r="M279" i="27" s="1"/>
  <c r="P279" i="27" s="1"/>
  <c r="Q278" i="27"/>
  <c r="L278" i="27"/>
  <c r="M278" i="27" s="1"/>
  <c r="P278" i="27" s="1"/>
  <c r="Q277" i="27"/>
  <c r="L277" i="27"/>
  <c r="M277" i="27" s="1"/>
  <c r="P277" i="27" s="1"/>
  <c r="Q276" i="27"/>
  <c r="L276" i="27"/>
  <c r="M276" i="27" s="1"/>
  <c r="P276" i="27" s="1"/>
  <c r="Q275" i="27"/>
  <c r="L275" i="27"/>
  <c r="M275" i="27" s="1"/>
  <c r="P275" i="27" s="1"/>
  <c r="Q274" i="27"/>
  <c r="L274" i="27"/>
  <c r="M274" i="27" s="1"/>
  <c r="P274" i="27" s="1"/>
  <c r="Q273" i="27"/>
  <c r="L273" i="27"/>
  <c r="M273" i="27" s="1"/>
  <c r="P273" i="27" s="1"/>
  <c r="Q272" i="27"/>
  <c r="L272" i="27"/>
  <c r="M272" i="27" s="1"/>
  <c r="P272" i="27" s="1"/>
  <c r="Q271" i="27"/>
  <c r="L271" i="27"/>
  <c r="M271" i="27" s="1"/>
  <c r="P271" i="27" s="1"/>
  <c r="Q270" i="27"/>
  <c r="L270" i="27"/>
  <c r="M270" i="27" s="1"/>
  <c r="P270" i="27" s="1"/>
  <c r="Q269" i="27"/>
  <c r="L269" i="27"/>
  <c r="M269" i="27" s="1"/>
  <c r="P269" i="27" s="1"/>
  <c r="Q267" i="27"/>
  <c r="L267" i="27"/>
  <c r="M267" i="27" s="1"/>
  <c r="P267" i="27" s="1"/>
  <c r="Q266" i="27"/>
  <c r="L266" i="27"/>
  <c r="M266" i="27" s="1"/>
  <c r="P266" i="27" s="1"/>
  <c r="Q265" i="27"/>
  <c r="L265" i="27"/>
  <c r="M265" i="27" s="1"/>
  <c r="P265" i="27" s="1"/>
  <c r="Q264" i="27"/>
  <c r="L264" i="27"/>
  <c r="M264" i="27" s="1"/>
  <c r="P264" i="27" s="1"/>
  <c r="Q263" i="27"/>
  <c r="L263" i="27"/>
  <c r="M263" i="27" s="1"/>
  <c r="P263" i="27" s="1"/>
  <c r="Q262" i="27"/>
  <c r="L262" i="27"/>
  <c r="M262" i="27" s="1"/>
  <c r="P262" i="27" s="1"/>
  <c r="Q261" i="27"/>
  <c r="L261" i="27"/>
  <c r="M261" i="27" s="1"/>
  <c r="P261" i="27" s="1"/>
  <c r="Q260" i="27"/>
  <c r="M260" i="27"/>
  <c r="P260" i="27" s="1"/>
  <c r="L260" i="27"/>
  <c r="Q259" i="27"/>
  <c r="L259" i="27"/>
  <c r="M259" i="27" s="1"/>
  <c r="P259" i="27" s="1"/>
  <c r="Q258" i="27"/>
  <c r="L258" i="27"/>
  <c r="M258" i="27" s="1"/>
  <c r="P258" i="27" s="1"/>
  <c r="Q257" i="27"/>
  <c r="L257" i="27"/>
  <c r="M257" i="27" s="1"/>
  <c r="P257" i="27" s="1"/>
  <c r="Q256" i="27"/>
  <c r="L256" i="27"/>
  <c r="M256" i="27" s="1"/>
  <c r="P256" i="27" s="1"/>
  <c r="Q254" i="27"/>
  <c r="L254" i="27"/>
  <c r="M254" i="27" s="1"/>
  <c r="P254" i="27" s="1"/>
  <c r="Q253" i="27"/>
  <c r="L253" i="27"/>
  <c r="M253" i="27" s="1"/>
  <c r="P253" i="27" s="1"/>
  <c r="R253" i="27" s="1"/>
  <c r="Q252" i="27"/>
  <c r="L252" i="27"/>
  <c r="M252" i="27" s="1"/>
  <c r="P252" i="27" s="1"/>
  <c r="R252" i="27" s="1"/>
  <c r="Q251" i="27"/>
  <c r="L251" i="27"/>
  <c r="M251" i="27" s="1"/>
  <c r="P251" i="27" s="1"/>
  <c r="Q250" i="27"/>
  <c r="L250" i="27"/>
  <c r="M250" i="27" s="1"/>
  <c r="P250" i="27" s="1"/>
  <c r="Q249" i="27"/>
  <c r="L249" i="27"/>
  <c r="M249" i="27" s="1"/>
  <c r="P249" i="27" s="1"/>
  <c r="R249" i="27" s="1"/>
  <c r="Q248" i="27"/>
  <c r="L248" i="27"/>
  <c r="M248" i="27" s="1"/>
  <c r="P248" i="27" s="1"/>
  <c r="R248" i="27" s="1"/>
  <c r="Q247" i="27"/>
  <c r="L247" i="27"/>
  <c r="M247" i="27" s="1"/>
  <c r="P247" i="27" s="1"/>
  <c r="Q246" i="27"/>
  <c r="L246" i="27"/>
  <c r="M246" i="27" s="1"/>
  <c r="P246" i="27" s="1"/>
  <c r="Q245" i="27"/>
  <c r="L245" i="27"/>
  <c r="M245" i="27" s="1"/>
  <c r="P245" i="27" s="1"/>
  <c r="Q244" i="27"/>
  <c r="L244" i="27"/>
  <c r="M244" i="27" s="1"/>
  <c r="P244" i="27" s="1"/>
  <c r="Q243" i="27"/>
  <c r="L243" i="27"/>
  <c r="M243" i="27" s="1"/>
  <c r="P243" i="27" s="1"/>
  <c r="Q241" i="27"/>
  <c r="L241" i="27"/>
  <c r="M241" i="27" s="1"/>
  <c r="P241" i="27" s="1"/>
  <c r="Q240" i="27"/>
  <c r="L240" i="27"/>
  <c r="M240" i="27" s="1"/>
  <c r="P240" i="27" s="1"/>
  <c r="Q239" i="27"/>
  <c r="L239" i="27"/>
  <c r="M239" i="27" s="1"/>
  <c r="P239" i="27" s="1"/>
  <c r="Q238" i="27"/>
  <c r="L238" i="27"/>
  <c r="M238" i="27" s="1"/>
  <c r="P238" i="27" s="1"/>
  <c r="Q237" i="27"/>
  <c r="L237" i="27"/>
  <c r="M237" i="27" s="1"/>
  <c r="P237" i="27" s="1"/>
  <c r="Q236" i="27"/>
  <c r="L236" i="27"/>
  <c r="M236" i="27" s="1"/>
  <c r="P236" i="27" s="1"/>
  <c r="R236" i="27" s="1"/>
  <c r="Q235" i="27"/>
  <c r="L235" i="27"/>
  <c r="M235" i="27" s="1"/>
  <c r="P235" i="27" s="1"/>
  <c r="Q234" i="27"/>
  <c r="L234" i="27"/>
  <c r="M234" i="27" s="1"/>
  <c r="P234" i="27" s="1"/>
  <c r="Q233" i="27"/>
  <c r="L233" i="27"/>
  <c r="M233" i="27" s="1"/>
  <c r="P233" i="27" s="1"/>
  <c r="Q232" i="27"/>
  <c r="L232" i="27"/>
  <c r="M232" i="27" s="1"/>
  <c r="P232" i="27" s="1"/>
  <c r="R232" i="27" s="1"/>
  <c r="Q231" i="27"/>
  <c r="L231" i="27"/>
  <c r="M231" i="27" s="1"/>
  <c r="P231" i="27" s="1"/>
  <c r="Q230" i="27"/>
  <c r="L230" i="27"/>
  <c r="M230" i="27" s="1"/>
  <c r="P230" i="27" s="1"/>
  <c r="J223" i="27"/>
  <c r="K223" i="27" s="1"/>
  <c r="J222" i="27"/>
  <c r="K222" i="27" s="1"/>
  <c r="J221" i="27"/>
  <c r="K221" i="27" s="1"/>
  <c r="J220" i="27"/>
  <c r="K220" i="27" s="1"/>
  <c r="J219" i="27"/>
  <c r="K219" i="27" s="1"/>
  <c r="J218" i="27"/>
  <c r="K218" i="27" s="1"/>
  <c r="J217" i="27"/>
  <c r="K217" i="27" s="1"/>
  <c r="J216" i="27"/>
  <c r="K216" i="27" s="1"/>
  <c r="J215" i="27"/>
  <c r="K215" i="27" s="1"/>
  <c r="J214" i="27"/>
  <c r="K214" i="27" s="1"/>
  <c r="J213" i="27"/>
  <c r="K213" i="27" s="1"/>
  <c r="J212" i="27"/>
  <c r="K212" i="27" s="1"/>
  <c r="Q205" i="27"/>
  <c r="L205" i="27"/>
  <c r="H205" i="27"/>
  <c r="I205" i="27" s="1"/>
  <c r="M205" i="27" s="1"/>
  <c r="Q204" i="27"/>
  <c r="L204" i="27"/>
  <c r="H204" i="27"/>
  <c r="I204" i="27" s="1"/>
  <c r="M204" i="27" s="1"/>
  <c r="Q203" i="27"/>
  <c r="L203" i="27"/>
  <c r="H203" i="27"/>
  <c r="I203" i="27" s="1"/>
  <c r="M203" i="27" s="1"/>
  <c r="Q202" i="27"/>
  <c r="L202" i="27"/>
  <c r="H202" i="27"/>
  <c r="I202" i="27" s="1"/>
  <c r="M202" i="27" s="1"/>
  <c r="Q201" i="27"/>
  <c r="L201" i="27"/>
  <c r="H201" i="27"/>
  <c r="I201" i="27" s="1"/>
  <c r="M201" i="27" s="1"/>
  <c r="Q200" i="27"/>
  <c r="L200" i="27"/>
  <c r="H200" i="27"/>
  <c r="I200" i="27" s="1"/>
  <c r="M200" i="27" s="1"/>
  <c r="Q199" i="27"/>
  <c r="L199" i="27"/>
  <c r="H199" i="27"/>
  <c r="I199" i="27" s="1"/>
  <c r="M199" i="27" s="1"/>
  <c r="Q198" i="27"/>
  <c r="L198" i="27"/>
  <c r="H198" i="27"/>
  <c r="I198" i="27" s="1"/>
  <c r="M198" i="27" s="1"/>
  <c r="Q197" i="27"/>
  <c r="L197" i="27"/>
  <c r="H197" i="27"/>
  <c r="I197" i="27" s="1"/>
  <c r="M197" i="27" s="1"/>
  <c r="Q196" i="27"/>
  <c r="L196" i="27"/>
  <c r="H196" i="27"/>
  <c r="I196" i="27" s="1"/>
  <c r="M196" i="27" s="1"/>
  <c r="Q195" i="27"/>
  <c r="L195" i="27"/>
  <c r="H195" i="27"/>
  <c r="I195" i="27" s="1"/>
  <c r="M195" i="27" s="1"/>
  <c r="Q194" i="27"/>
  <c r="L194" i="27"/>
  <c r="H194" i="27"/>
  <c r="I194" i="27" s="1"/>
  <c r="M194" i="27" s="1"/>
  <c r="Q191" i="27"/>
  <c r="L191" i="27"/>
  <c r="H191" i="27"/>
  <c r="I191" i="27" s="1"/>
  <c r="M191" i="27" s="1"/>
  <c r="Q190" i="27"/>
  <c r="L190" i="27"/>
  <c r="H190" i="27"/>
  <c r="I190" i="27" s="1"/>
  <c r="M190" i="27" s="1"/>
  <c r="Q189" i="27"/>
  <c r="L189" i="27"/>
  <c r="H189" i="27"/>
  <c r="I189" i="27" s="1"/>
  <c r="M189" i="27" s="1"/>
  <c r="Q188" i="27"/>
  <c r="L188" i="27"/>
  <c r="H188" i="27"/>
  <c r="I188" i="27" s="1"/>
  <c r="M188" i="27" s="1"/>
  <c r="Q187" i="27"/>
  <c r="L187" i="27"/>
  <c r="H187" i="27"/>
  <c r="I187" i="27" s="1"/>
  <c r="M187" i="27" s="1"/>
  <c r="Q186" i="27"/>
  <c r="L186" i="27"/>
  <c r="H186" i="27"/>
  <c r="I186" i="27" s="1"/>
  <c r="M186" i="27" s="1"/>
  <c r="Q185" i="27"/>
  <c r="L185" i="27"/>
  <c r="H185" i="27"/>
  <c r="I185" i="27" s="1"/>
  <c r="M185" i="27" s="1"/>
  <c r="Q184" i="27"/>
  <c r="L184" i="27"/>
  <c r="H184" i="27"/>
  <c r="I184" i="27" s="1"/>
  <c r="M184" i="27" s="1"/>
  <c r="Q183" i="27"/>
  <c r="L183" i="27"/>
  <c r="H183" i="27"/>
  <c r="I183" i="27" s="1"/>
  <c r="M183" i="27" s="1"/>
  <c r="Q182" i="27"/>
  <c r="L182" i="27"/>
  <c r="H182" i="27"/>
  <c r="I182" i="27" s="1"/>
  <c r="M182" i="27" s="1"/>
  <c r="Q181" i="27"/>
  <c r="L181" i="27"/>
  <c r="H181" i="27"/>
  <c r="I181" i="27" s="1"/>
  <c r="M181" i="27" s="1"/>
  <c r="Q180" i="27"/>
  <c r="L180" i="27"/>
  <c r="H180" i="27"/>
  <c r="I180" i="27" s="1"/>
  <c r="M180" i="27" s="1"/>
  <c r="Q177" i="27"/>
  <c r="L177" i="27"/>
  <c r="H177" i="27"/>
  <c r="I177" i="27" s="1"/>
  <c r="M177" i="27" s="1"/>
  <c r="Q176" i="27"/>
  <c r="L176" i="27"/>
  <c r="H176" i="27"/>
  <c r="I176" i="27" s="1"/>
  <c r="M176" i="27" s="1"/>
  <c r="Q175" i="27"/>
  <c r="L175" i="27"/>
  <c r="H175" i="27"/>
  <c r="I175" i="27" s="1"/>
  <c r="M175" i="27" s="1"/>
  <c r="Q174" i="27"/>
  <c r="L174" i="27"/>
  <c r="H174" i="27"/>
  <c r="I174" i="27" s="1"/>
  <c r="M174" i="27" s="1"/>
  <c r="Q173" i="27"/>
  <c r="L173" i="27"/>
  <c r="H173" i="27"/>
  <c r="I173" i="27" s="1"/>
  <c r="M173" i="27" s="1"/>
  <c r="Q172" i="27"/>
  <c r="L172" i="27"/>
  <c r="H172" i="27"/>
  <c r="I172" i="27" s="1"/>
  <c r="M172" i="27" s="1"/>
  <c r="Q171" i="27"/>
  <c r="L171" i="27"/>
  <c r="H171" i="27"/>
  <c r="I171" i="27" s="1"/>
  <c r="M171" i="27" s="1"/>
  <c r="Q170" i="27"/>
  <c r="L170" i="27"/>
  <c r="H170" i="27"/>
  <c r="I170" i="27" s="1"/>
  <c r="M170" i="27" s="1"/>
  <c r="Q169" i="27"/>
  <c r="L169" i="27"/>
  <c r="H169" i="27"/>
  <c r="I169" i="27" s="1"/>
  <c r="M169" i="27" s="1"/>
  <c r="Q168" i="27"/>
  <c r="L168" i="27"/>
  <c r="H168" i="27"/>
  <c r="I168" i="27" s="1"/>
  <c r="M168" i="27" s="1"/>
  <c r="Q167" i="27"/>
  <c r="L167" i="27"/>
  <c r="H167" i="27"/>
  <c r="I167" i="27" s="1"/>
  <c r="M167" i="27" s="1"/>
  <c r="Q166" i="27"/>
  <c r="L166" i="27"/>
  <c r="H166" i="27"/>
  <c r="I166" i="27" s="1"/>
  <c r="M166" i="27" s="1"/>
  <c r="Q163" i="27"/>
  <c r="L163" i="27"/>
  <c r="H163" i="27"/>
  <c r="I163" i="27" s="1"/>
  <c r="M163" i="27" s="1"/>
  <c r="Q162" i="27"/>
  <c r="L162" i="27"/>
  <c r="H162" i="27"/>
  <c r="I162" i="27" s="1"/>
  <c r="M162" i="27" s="1"/>
  <c r="Q161" i="27"/>
  <c r="L161" i="27"/>
  <c r="H161" i="27"/>
  <c r="I161" i="27" s="1"/>
  <c r="M161" i="27" s="1"/>
  <c r="Q160" i="27"/>
  <c r="L160" i="27"/>
  <c r="H160" i="27"/>
  <c r="I160" i="27" s="1"/>
  <c r="M160" i="27" s="1"/>
  <c r="Q159" i="27"/>
  <c r="L159" i="27"/>
  <c r="H159" i="27"/>
  <c r="I159" i="27" s="1"/>
  <c r="M159" i="27" s="1"/>
  <c r="Q158" i="27"/>
  <c r="L158" i="27"/>
  <c r="H158" i="27"/>
  <c r="I158" i="27" s="1"/>
  <c r="M158" i="27" s="1"/>
  <c r="Q157" i="27"/>
  <c r="L157" i="27"/>
  <c r="H157" i="27"/>
  <c r="I157" i="27" s="1"/>
  <c r="M157" i="27" s="1"/>
  <c r="Q156" i="27"/>
  <c r="L156" i="27"/>
  <c r="H156" i="27"/>
  <c r="I156" i="27" s="1"/>
  <c r="M156" i="27" s="1"/>
  <c r="Q155" i="27"/>
  <c r="L155" i="27"/>
  <c r="H155" i="27"/>
  <c r="I155" i="27" s="1"/>
  <c r="M155" i="27" s="1"/>
  <c r="Q154" i="27"/>
  <c r="L154" i="27"/>
  <c r="H154" i="27"/>
  <c r="I154" i="27" s="1"/>
  <c r="M154" i="27" s="1"/>
  <c r="Q153" i="27"/>
  <c r="L153" i="27"/>
  <c r="H153" i="27"/>
  <c r="I153" i="27" s="1"/>
  <c r="M153" i="27" s="1"/>
  <c r="Q152" i="27"/>
  <c r="L152" i="27"/>
  <c r="H152" i="27"/>
  <c r="I152" i="27" s="1"/>
  <c r="M152" i="27" s="1"/>
  <c r="Q149" i="27"/>
  <c r="L149" i="27"/>
  <c r="H149" i="27"/>
  <c r="I149" i="27" s="1"/>
  <c r="M149" i="27" s="1"/>
  <c r="Q148" i="27"/>
  <c r="L148" i="27"/>
  <c r="H148" i="27"/>
  <c r="I148" i="27" s="1"/>
  <c r="M148" i="27" s="1"/>
  <c r="Q147" i="27"/>
  <c r="L147" i="27"/>
  <c r="H147" i="27"/>
  <c r="I147" i="27" s="1"/>
  <c r="M147" i="27" s="1"/>
  <c r="Q146" i="27"/>
  <c r="L146" i="27"/>
  <c r="H146" i="27"/>
  <c r="I146" i="27" s="1"/>
  <c r="M146" i="27" s="1"/>
  <c r="Q145" i="27"/>
  <c r="L145" i="27"/>
  <c r="H145" i="27"/>
  <c r="I145" i="27" s="1"/>
  <c r="M145" i="27" s="1"/>
  <c r="Q144" i="27"/>
  <c r="L144" i="27"/>
  <c r="H144" i="27"/>
  <c r="I144" i="27" s="1"/>
  <c r="M144" i="27" s="1"/>
  <c r="Q143" i="27"/>
  <c r="L143" i="27"/>
  <c r="H143" i="27"/>
  <c r="I143" i="27" s="1"/>
  <c r="M143" i="27" s="1"/>
  <c r="Q142" i="27"/>
  <c r="L142" i="27"/>
  <c r="H142" i="27"/>
  <c r="I142" i="27" s="1"/>
  <c r="M142" i="27" s="1"/>
  <c r="Q141" i="27"/>
  <c r="L141" i="27"/>
  <c r="H141" i="27"/>
  <c r="I141" i="27" s="1"/>
  <c r="M141" i="27" s="1"/>
  <c r="Q140" i="27"/>
  <c r="L140" i="27"/>
  <c r="H140" i="27"/>
  <c r="I140" i="27" s="1"/>
  <c r="M140" i="27" s="1"/>
  <c r="Q139" i="27"/>
  <c r="L139" i="27"/>
  <c r="H139" i="27"/>
  <c r="I139" i="27" s="1"/>
  <c r="M139" i="27" s="1"/>
  <c r="Q138" i="27"/>
  <c r="L138" i="27"/>
  <c r="H138" i="27"/>
  <c r="I138" i="27" s="1"/>
  <c r="M138" i="27" s="1"/>
  <c r="Q135" i="27"/>
  <c r="L135" i="27"/>
  <c r="H135" i="27"/>
  <c r="I135" i="27" s="1"/>
  <c r="M135" i="27" s="1"/>
  <c r="Q134" i="27"/>
  <c r="L134" i="27"/>
  <c r="H134" i="27"/>
  <c r="I134" i="27" s="1"/>
  <c r="M134" i="27" s="1"/>
  <c r="Q133" i="27"/>
  <c r="L133" i="27"/>
  <c r="H133" i="27"/>
  <c r="I133" i="27" s="1"/>
  <c r="M133" i="27" s="1"/>
  <c r="Q132" i="27"/>
  <c r="L132" i="27"/>
  <c r="H132" i="27"/>
  <c r="I132" i="27" s="1"/>
  <c r="M132" i="27" s="1"/>
  <c r="Q131" i="27"/>
  <c r="L131" i="27"/>
  <c r="H131" i="27"/>
  <c r="I131" i="27" s="1"/>
  <c r="M131" i="27" s="1"/>
  <c r="Q130" i="27"/>
  <c r="L130" i="27"/>
  <c r="H130" i="27"/>
  <c r="I130" i="27" s="1"/>
  <c r="M130" i="27" s="1"/>
  <c r="Q129" i="27"/>
  <c r="L129" i="27"/>
  <c r="H129" i="27"/>
  <c r="I129" i="27" s="1"/>
  <c r="M129" i="27" s="1"/>
  <c r="Q128" i="27"/>
  <c r="L128" i="27"/>
  <c r="H128" i="27"/>
  <c r="I128" i="27" s="1"/>
  <c r="M128" i="27" s="1"/>
  <c r="Q127" i="27"/>
  <c r="L127" i="27"/>
  <c r="H127" i="27"/>
  <c r="I127" i="27" s="1"/>
  <c r="M127" i="27" s="1"/>
  <c r="Q126" i="27"/>
  <c r="L126" i="27"/>
  <c r="H126" i="27"/>
  <c r="I126" i="27" s="1"/>
  <c r="M126" i="27" s="1"/>
  <c r="C126" i="27"/>
  <c r="J186" i="27" s="1"/>
  <c r="Q125" i="27"/>
  <c r="L125" i="27"/>
  <c r="H125" i="27"/>
  <c r="I125" i="27" s="1"/>
  <c r="M125" i="27" s="1"/>
  <c r="Q124" i="27"/>
  <c r="L124" i="27"/>
  <c r="H124" i="27"/>
  <c r="I124" i="27" s="1"/>
  <c r="M124" i="27" s="1"/>
  <c r="Q121" i="27"/>
  <c r="L121" i="27"/>
  <c r="H121" i="27"/>
  <c r="I121" i="27" s="1"/>
  <c r="M121" i="27" s="1"/>
  <c r="Q120" i="27"/>
  <c r="L120" i="27"/>
  <c r="H120" i="27"/>
  <c r="I120" i="27" s="1"/>
  <c r="M120" i="27" s="1"/>
  <c r="Q119" i="27"/>
  <c r="L119" i="27"/>
  <c r="H119" i="27"/>
  <c r="I119" i="27" s="1"/>
  <c r="M119" i="27" s="1"/>
  <c r="Q118" i="27"/>
  <c r="L118" i="27"/>
  <c r="H118" i="27"/>
  <c r="I118" i="27" s="1"/>
  <c r="M118" i="27" s="1"/>
  <c r="Q117" i="27"/>
  <c r="L117" i="27"/>
  <c r="H117" i="27"/>
  <c r="I117" i="27" s="1"/>
  <c r="M117" i="27" s="1"/>
  <c r="Q116" i="27"/>
  <c r="L116" i="27"/>
  <c r="H116" i="27"/>
  <c r="I116" i="27" s="1"/>
  <c r="M116" i="27" s="1"/>
  <c r="Q115" i="27"/>
  <c r="L115" i="27"/>
  <c r="H115" i="27"/>
  <c r="I115" i="27" s="1"/>
  <c r="M115" i="27" s="1"/>
  <c r="Q114" i="27"/>
  <c r="L114" i="27"/>
  <c r="H114" i="27"/>
  <c r="I114" i="27" s="1"/>
  <c r="M114" i="27" s="1"/>
  <c r="Q113" i="27"/>
  <c r="L113" i="27"/>
  <c r="H113" i="27"/>
  <c r="I113" i="27" s="1"/>
  <c r="M113" i="27" s="1"/>
  <c r="Q112" i="27"/>
  <c r="L112" i="27"/>
  <c r="H112" i="27"/>
  <c r="I112" i="27" s="1"/>
  <c r="M112" i="27" s="1"/>
  <c r="Q111" i="27"/>
  <c r="L111" i="27"/>
  <c r="H111" i="27"/>
  <c r="I111" i="27" s="1"/>
  <c r="M111" i="27" s="1"/>
  <c r="Q110" i="27"/>
  <c r="L110" i="27"/>
  <c r="H110" i="27"/>
  <c r="I110" i="27" s="1"/>
  <c r="M110" i="27" s="1"/>
  <c r="Q103" i="27"/>
  <c r="P103" i="27"/>
  <c r="O103" i="27"/>
  <c r="AB103" i="27" s="1"/>
  <c r="M102" i="27"/>
  <c r="M101" i="27"/>
  <c r="M100" i="27"/>
  <c r="M99" i="27"/>
  <c r="M98" i="27"/>
  <c r="M97" i="27"/>
  <c r="M96" i="27"/>
  <c r="M95" i="27"/>
  <c r="M94" i="27"/>
  <c r="M93" i="27"/>
  <c r="M92" i="27"/>
  <c r="M91" i="27"/>
  <c r="Q89" i="27"/>
  <c r="P89" i="27"/>
  <c r="M88" i="27"/>
  <c r="M87" i="27"/>
  <c r="M86" i="27"/>
  <c r="M85" i="27"/>
  <c r="M84" i="27"/>
  <c r="M83" i="27"/>
  <c r="M82" i="27"/>
  <c r="M81" i="27"/>
  <c r="M80" i="27"/>
  <c r="M79" i="27"/>
  <c r="M78" i="27"/>
  <c r="M77" i="27"/>
  <c r="Q75" i="27"/>
  <c r="P75" i="27"/>
  <c r="M74" i="27"/>
  <c r="M73" i="27"/>
  <c r="M72" i="27"/>
  <c r="M71" i="27"/>
  <c r="M70" i="27"/>
  <c r="M69" i="27"/>
  <c r="M68" i="27"/>
  <c r="M67" i="27"/>
  <c r="M66" i="27"/>
  <c r="M65" i="27"/>
  <c r="M64" i="27"/>
  <c r="M63" i="27"/>
  <c r="Q60" i="27"/>
  <c r="P60" i="27"/>
  <c r="O60" i="27"/>
  <c r="AB60" i="27" s="1"/>
  <c r="M59" i="27"/>
  <c r="M58" i="27"/>
  <c r="M57" i="27"/>
  <c r="M56" i="27"/>
  <c r="M55" i="27"/>
  <c r="M54" i="27"/>
  <c r="M53" i="27"/>
  <c r="M52" i="27"/>
  <c r="M51" i="27"/>
  <c r="M50" i="27"/>
  <c r="M49" i="27"/>
  <c r="M48" i="27"/>
  <c r="Q45" i="27"/>
  <c r="P45" i="27"/>
  <c r="O45" i="27"/>
  <c r="T45" i="27" s="1"/>
  <c r="M44" i="27"/>
  <c r="M43" i="27"/>
  <c r="M42" i="27"/>
  <c r="M41" i="27"/>
  <c r="M40" i="27"/>
  <c r="M39" i="27"/>
  <c r="M38" i="27"/>
  <c r="M37" i="27"/>
  <c r="M36" i="27"/>
  <c r="M35" i="27"/>
  <c r="M34" i="27"/>
  <c r="M33" i="27"/>
  <c r="Q31" i="27"/>
  <c r="P31" i="27"/>
  <c r="O31" i="27"/>
  <c r="X31" i="27" s="1"/>
  <c r="M30" i="27"/>
  <c r="M29" i="27"/>
  <c r="M28" i="27"/>
  <c r="M27" i="27"/>
  <c r="M26" i="27"/>
  <c r="M25" i="27"/>
  <c r="M24" i="27"/>
  <c r="M23" i="27"/>
  <c r="M22" i="27"/>
  <c r="M21" i="27"/>
  <c r="M20" i="27"/>
  <c r="M19" i="27"/>
  <c r="Q17" i="27"/>
  <c r="P17" i="27"/>
  <c r="O17" i="27"/>
  <c r="AB17" i="27" s="1"/>
  <c r="M16" i="27"/>
  <c r="M15" i="27"/>
  <c r="M14" i="27"/>
  <c r="M13" i="27"/>
  <c r="M12" i="27"/>
  <c r="M11" i="27"/>
  <c r="G349" i="25"/>
  <c r="H349" i="25" s="1"/>
  <c r="H350" i="25" s="1"/>
  <c r="J343" i="25"/>
  <c r="K343" i="25" s="1"/>
  <c r="K344" i="25" s="1"/>
  <c r="M337" i="25"/>
  <c r="K337" i="25"/>
  <c r="I337" i="25"/>
  <c r="L337" i="25" s="1"/>
  <c r="N337" i="25" s="1"/>
  <c r="M336" i="25"/>
  <c r="K336" i="25"/>
  <c r="I336" i="25"/>
  <c r="L336" i="25" s="1"/>
  <c r="M335" i="25"/>
  <c r="K335" i="25"/>
  <c r="I335" i="25"/>
  <c r="M334" i="25"/>
  <c r="K334" i="25"/>
  <c r="I334" i="25"/>
  <c r="L334" i="25" s="1"/>
  <c r="N334" i="25" s="1"/>
  <c r="M333" i="25"/>
  <c r="K333" i="25"/>
  <c r="I333" i="25"/>
  <c r="M332" i="25"/>
  <c r="K332" i="25"/>
  <c r="I332" i="25"/>
  <c r="M331" i="25"/>
  <c r="K331" i="25"/>
  <c r="I331" i="25"/>
  <c r="M330" i="25"/>
  <c r="K330" i="25"/>
  <c r="I330" i="25"/>
  <c r="M329" i="25"/>
  <c r="K329" i="25"/>
  <c r="I329" i="25"/>
  <c r="L329" i="25" s="1"/>
  <c r="N329" i="25" s="1"/>
  <c r="M328" i="25"/>
  <c r="K328" i="25"/>
  <c r="I328" i="25"/>
  <c r="L328" i="25" s="1"/>
  <c r="M327" i="25"/>
  <c r="K327" i="25"/>
  <c r="I327" i="25"/>
  <c r="M326" i="25"/>
  <c r="K326" i="25"/>
  <c r="I326" i="25"/>
  <c r="P319" i="25"/>
  <c r="L319" i="25"/>
  <c r="M319" i="25" s="1"/>
  <c r="O319" i="25" s="1"/>
  <c r="Q319" i="25" s="1"/>
  <c r="P318" i="25"/>
  <c r="L318" i="25"/>
  <c r="M318" i="25" s="1"/>
  <c r="O318" i="25" s="1"/>
  <c r="P317" i="25"/>
  <c r="L317" i="25"/>
  <c r="M317" i="25" s="1"/>
  <c r="O317" i="25" s="1"/>
  <c r="P316" i="25"/>
  <c r="L316" i="25"/>
  <c r="M316" i="25" s="1"/>
  <c r="O316" i="25" s="1"/>
  <c r="P315" i="25"/>
  <c r="L315" i="25"/>
  <c r="M315" i="25" s="1"/>
  <c r="O315" i="25" s="1"/>
  <c r="Q315" i="25" s="1"/>
  <c r="P314" i="25"/>
  <c r="L314" i="25"/>
  <c r="M314" i="25" s="1"/>
  <c r="O314" i="25" s="1"/>
  <c r="Q314" i="25" s="1"/>
  <c r="P313" i="25"/>
  <c r="L313" i="25"/>
  <c r="M313" i="25" s="1"/>
  <c r="O313" i="25" s="1"/>
  <c r="P312" i="25"/>
  <c r="L312" i="25"/>
  <c r="M312" i="25" s="1"/>
  <c r="O312" i="25" s="1"/>
  <c r="P311" i="25"/>
  <c r="L311" i="25"/>
  <c r="M311" i="25" s="1"/>
  <c r="O311" i="25" s="1"/>
  <c r="Q311" i="25" s="1"/>
  <c r="P310" i="25"/>
  <c r="L310" i="25"/>
  <c r="M310" i="25" s="1"/>
  <c r="O310" i="25" s="1"/>
  <c r="Q310" i="25" s="1"/>
  <c r="P309" i="25"/>
  <c r="L309" i="25"/>
  <c r="M309" i="25" s="1"/>
  <c r="O309" i="25" s="1"/>
  <c r="Q309" i="25" s="1"/>
  <c r="P308" i="25"/>
  <c r="L308" i="25"/>
  <c r="M308" i="25" s="1"/>
  <c r="O308" i="25" s="1"/>
  <c r="P306" i="25"/>
  <c r="L306" i="25"/>
  <c r="M306" i="25" s="1"/>
  <c r="O306" i="25" s="1"/>
  <c r="P305" i="25"/>
  <c r="L305" i="25"/>
  <c r="M305" i="25" s="1"/>
  <c r="O305" i="25" s="1"/>
  <c r="Q305" i="25" s="1"/>
  <c r="P304" i="25"/>
  <c r="L304" i="25"/>
  <c r="M304" i="25" s="1"/>
  <c r="O304" i="25" s="1"/>
  <c r="Q304" i="25" s="1"/>
  <c r="P303" i="25"/>
  <c r="L303" i="25"/>
  <c r="M303" i="25" s="1"/>
  <c r="O303" i="25" s="1"/>
  <c r="Q303" i="25" s="1"/>
  <c r="P302" i="25"/>
  <c r="L302" i="25"/>
  <c r="M302" i="25" s="1"/>
  <c r="O302" i="25" s="1"/>
  <c r="Q302" i="25" s="1"/>
  <c r="P301" i="25"/>
  <c r="L301" i="25"/>
  <c r="M301" i="25" s="1"/>
  <c r="O301" i="25" s="1"/>
  <c r="P300" i="25"/>
  <c r="L300" i="25"/>
  <c r="M300" i="25" s="1"/>
  <c r="O300" i="25" s="1"/>
  <c r="Q300" i="25" s="1"/>
  <c r="P299" i="25"/>
  <c r="L299" i="25"/>
  <c r="M299" i="25" s="1"/>
  <c r="O299" i="25" s="1"/>
  <c r="Q299" i="25" s="1"/>
  <c r="P298" i="25"/>
  <c r="L298" i="25"/>
  <c r="M298" i="25" s="1"/>
  <c r="O298" i="25" s="1"/>
  <c r="Q298" i="25" s="1"/>
  <c r="P297" i="25"/>
  <c r="L297" i="25"/>
  <c r="M297" i="25" s="1"/>
  <c r="O297" i="25" s="1"/>
  <c r="Q297" i="25" s="1"/>
  <c r="P296" i="25"/>
  <c r="L296" i="25"/>
  <c r="M296" i="25" s="1"/>
  <c r="O296" i="25" s="1"/>
  <c r="Q296" i="25" s="1"/>
  <c r="P295" i="25"/>
  <c r="L295" i="25"/>
  <c r="M295" i="25" s="1"/>
  <c r="O295" i="25" s="1"/>
  <c r="P293" i="25"/>
  <c r="L293" i="25"/>
  <c r="M293" i="25" s="1"/>
  <c r="O293" i="25" s="1"/>
  <c r="P292" i="25"/>
  <c r="L292" i="25"/>
  <c r="M292" i="25" s="1"/>
  <c r="O292" i="25" s="1"/>
  <c r="P291" i="25"/>
  <c r="L291" i="25"/>
  <c r="M291" i="25" s="1"/>
  <c r="O291" i="25" s="1"/>
  <c r="P290" i="25"/>
  <c r="L290" i="25"/>
  <c r="M290" i="25" s="1"/>
  <c r="O290" i="25" s="1"/>
  <c r="P289" i="25"/>
  <c r="L289" i="25"/>
  <c r="M289" i="25" s="1"/>
  <c r="O289" i="25" s="1"/>
  <c r="P288" i="25"/>
  <c r="L288" i="25"/>
  <c r="M288" i="25" s="1"/>
  <c r="O288" i="25" s="1"/>
  <c r="P287" i="25"/>
  <c r="L287" i="25"/>
  <c r="M287" i="25" s="1"/>
  <c r="O287" i="25" s="1"/>
  <c r="P286" i="25"/>
  <c r="L286" i="25"/>
  <c r="M286" i="25" s="1"/>
  <c r="O286" i="25" s="1"/>
  <c r="P285" i="25"/>
  <c r="L285" i="25"/>
  <c r="M285" i="25" s="1"/>
  <c r="O285" i="25" s="1"/>
  <c r="P284" i="25"/>
  <c r="L284" i="25"/>
  <c r="M284" i="25" s="1"/>
  <c r="O284" i="25" s="1"/>
  <c r="P283" i="25"/>
  <c r="L283" i="25"/>
  <c r="M283" i="25" s="1"/>
  <c r="O283" i="25" s="1"/>
  <c r="Q283" i="25" s="1"/>
  <c r="P282" i="25"/>
  <c r="L282" i="25"/>
  <c r="M282" i="25" s="1"/>
  <c r="O282" i="25" s="1"/>
  <c r="P280" i="25"/>
  <c r="L280" i="25"/>
  <c r="M280" i="25" s="1"/>
  <c r="O280" i="25" s="1"/>
  <c r="P279" i="25"/>
  <c r="L279" i="25"/>
  <c r="M279" i="25" s="1"/>
  <c r="O279" i="25" s="1"/>
  <c r="P278" i="25"/>
  <c r="L278" i="25"/>
  <c r="M278" i="25" s="1"/>
  <c r="O278" i="25" s="1"/>
  <c r="Q278" i="25" s="1"/>
  <c r="P277" i="25"/>
  <c r="L277" i="25"/>
  <c r="M277" i="25" s="1"/>
  <c r="O277" i="25" s="1"/>
  <c r="P276" i="25"/>
  <c r="L276" i="25"/>
  <c r="M276" i="25" s="1"/>
  <c r="O276" i="25" s="1"/>
  <c r="P275" i="25"/>
  <c r="L275" i="25"/>
  <c r="M275" i="25" s="1"/>
  <c r="O275" i="25" s="1"/>
  <c r="P274" i="25"/>
  <c r="L274" i="25"/>
  <c r="M274" i="25" s="1"/>
  <c r="O274" i="25" s="1"/>
  <c r="Q274" i="25" s="1"/>
  <c r="P273" i="25"/>
  <c r="L273" i="25"/>
  <c r="M273" i="25" s="1"/>
  <c r="O273" i="25" s="1"/>
  <c r="P272" i="25"/>
  <c r="L272" i="25"/>
  <c r="M272" i="25" s="1"/>
  <c r="O272" i="25" s="1"/>
  <c r="P271" i="25"/>
  <c r="L271" i="25"/>
  <c r="M271" i="25" s="1"/>
  <c r="O271" i="25" s="1"/>
  <c r="P270" i="25"/>
  <c r="L270" i="25"/>
  <c r="M270" i="25" s="1"/>
  <c r="O270" i="25" s="1"/>
  <c r="Q270" i="25" s="1"/>
  <c r="P269" i="25"/>
  <c r="L269" i="25"/>
  <c r="M269" i="25" s="1"/>
  <c r="O269" i="25" s="1"/>
  <c r="P267" i="25"/>
  <c r="L267" i="25"/>
  <c r="M267" i="25" s="1"/>
  <c r="O267" i="25" s="1"/>
  <c r="Q267" i="25" s="1"/>
  <c r="P266" i="25"/>
  <c r="L266" i="25"/>
  <c r="M266" i="25" s="1"/>
  <c r="O266" i="25" s="1"/>
  <c r="P265" i="25"/>
  <c r="L265" i="25"/>
  <c r="M265" i="25" s="1"/>
  <c r="O265" i="25" s="1"/>
  <c r="P264" i="25"/>
  <c r="L264" i="25"/>
  <c r="M264" i="25" s="1"/>
  <c r="O264" i="25" s="1"/>
  <c r="P263" i="25"/>
  <c r="L263" i="25"/>
  <c r="M263" i="25" s="1"/>
  <c r="O263" i="25" s="1"/>
  <c r="P262" i="25"/>
  <c r="L262" i="25"/>
  <c r="M262" i="25" s="1"/>
  <c r="O262" i="25" s="1"/>
  <c r="Q262" i="25" s="1"/>
  <c r="P261" i="25"/>
  <c r="L261" i="25"/>
  <c r="M261" i="25" s="1"/>
  <c r="O261" i="25" s="1"/>
  <c r="Q261" i="25" s="1"/>
  <c r="P260" i="25"/>
  <c r="L260" i="25"/>
  <c r="M260" i="25" s="1"/>
  <c r="O260" i="25" s="1"/>
  <c r="P259" i="25"/>
  <c r="L259" i="25"/>
  <c r="M259" i="25" s="1"/>
  <c r="O259" i="25" s="1"/>
  <c r="P258" i="25"/>
  <c r="L258" i="25"/>
  <c r="M258" i="25" s="1"/>
  <c r="O258" i="25" s="1"/>
  <c r="P257" i="25"/>
  <c r="L257" i="25"/>
  <c r="M257" i="25" s="1"/>
  <c r="O257" i="25" s="1"/>
  <c r="Q257" i="25" s="1"/>
  <c r="P256" i="25"/>
  <c r="L256" i="25"/>
  <c r="M256" i="25" s="1"/>
  <c r="O256" i="25" s="1"/>
  <c r="P254" i="25"/>
  <c r="L254" i="25"/>
  <c r="M254" i="25" s="1"/>
  <c r="O254" i="25" s="1"/>
  <c r="Q254" i="25" s="1"/>
  <c r="P253" i="25"/>
  <c r="L253" i="25"/>
  <c r="M253" i="25" s="1"/>
  <c r="O253" i="25" s="1"/>
  <c r="P252" i="25"/>
  <c r="L252" i="25"/>
  <c r="M252" i="25" s="1"/>
  <c r="O252" i="25" s="1"/>
  <c r="P251" i="25"/>
  <c r="L251" i="25"/>
  <c r="M251" i="25" s="1"/>
  <c r="O251" i="25" s="1"/>
  <c r="Q251" i="25" s="1"/>
  <c r="P250" i="25"/>
  <c r="L250" i="25"/>
  <c r="M250" i="25" s="1"/>
  <c r="O250" i="25" s="1"/>
  <c r="Q250" i="25" s="1"/>
  <c r="P249" i="25"/>
  <c r="L249" i="25"/>
  <c r="M249" i="25" s="1"/>
  <c r="O249" i="25" s="1"/>
  <c r="Q249" i="25" s="1"/>
  <c r="P248" i="25"/>
  <c r="L248" i="25"/>
  <c r="M248" i="25" s="1"/>
  <c r="O248" i="25" s="1"/>
  <c r="P247" i="25"/>
  <c r="M247" i="25"/>
  <c r="O247" i="25" s="1"/>
  <c r="Q247" i="25" s="1"/>
  <c r="L247" i="25"/>
  <c r="P246" i="25"/>
  <c r="L246" i="25"/>
  <c r="M246" i="25" s="1"/>
  <c r="O246" i="25" s="1"/>
  <c r="P245" i="25"/>
  <c r="L245" i="25"/>
  <c r="M245" i="25" s="1"/>
  <c r="O245" i="25" s="1"/>
  <c r="P244" i="25"/>
  <c r="L244" i="25"/>
  <c r="M244" i="25" s="1"/>
  <c r="O244" i="25" s="1"/>
  <c r="P243" i="25"/>
  <c r="L243" i="25"/>
  <c r="M243" i="25" s="1"/>
  <c r="O243" i="25" s="1"/>
  <c r="P241" i="25"/>
  <c r="L241" i="25"/>
  <c r="M241" i="25" s="1"/>
  <c r="O241" i="25" s="1"/>
  <c r="P240" i="25"/>
  <c r="L240" i="25"/>
  <c r="M240" i="25" s="1"/>
  <c r="O240" i="25" s="1"/>
  <c r="P239" i="25"/>
  <c r="L239" i="25"/>
  <c r="M239" i="25" s="1"/>
  <c r="O239" i="25" s="1"/>
  <c r="P238" i="25"/>
  <c r="L238" i="25"/>
  <c r="M238" i="25" s="1"/>
  <c r="O238" i="25" s="1"/>
  <c r="P237" i="25"/>
  <c r="L237" i="25"/>
  <c r="M237" i="25" s="1"/>
  <c r="O237" i="25" s="1"/>
  <c r="P236" i="25"/>
  <c r="L236" i="25"/>
  <c r="M236" i="25" s="1"/>
  <c r="O236" i="25" s="1"/>
  <c r="P235" i="25"/>
  <c r="L235" i="25"/>
  <c r="M235" i="25" s="1"/>
  <c r="O235" i="25" s="1"/>
  <c r="P234" i="25"/>
  <c r="L234" i="25"/>
  <c r="M234" i="25" s="1"/>
  <c r="O234" i="25" s="1"/>
  <c r="P233" i="25"/>
  <c r="L233" i="25"/>
  <c r="M233" i="25" s="1"/>
  <c r="O233" i="25" s="1"/>
  <c r="P232" i="25"/>
  <c r="L232" i="25"/>
  <c r="M232" i="25" s="1"/>
  <c r="O232" i="25" s="1"/>
  <c r="P231" i="25"/>
  <c r="L231" i="25"/>
  <c r="M231" i="25" s="1"/>
  <c r="O231" i="25" s="1"/>
  <c r="P230" i="25"/>
  <c r="L230" i="25"/>
  <c r="M230" i="25" s="1"/>
  <c r="O230" i="25" s="1"/>
  <c r="J223" i="25"/>
  <c r="K223" i="25" s="1"/>
  <c r="J222" i="25"/>
  <c r="K222" i="25" s="1"/>
  <c r="J221" i="25"/>
  <c r="K221" i="25" s="1"/>
  <c r="J220" i="25"/>
  <c r="K220" i="25" s="1"/>
  <c r="J219" i="25"/>
  <c r="K219" i="25" s="1"/>
  <c r="J218" i="25"/>
  <c r="K218" i="25" s="1"/>
  <c r="K217" i="25"/>
  <c r="J217" i="25"/>
  <c r="J216" i="25"/>
  <c r="K216" i="25" s="1"/>
  <c r="J215" i="25"/>
  <c r="K215" i="25" s="1"/>
  <c r="J214" i="25"/>
  <c r="K214" i="25" s="1"/>
  <c r="J213" i="25"/>
  <c r="K213" i="25" s="1"/>
  <c r="J212" i="25"/>
  <c r="K212" i="25" s="1"/>
  <c r="Q205" i="25"/>
  <c r="L205" i="25"/>
  <c r="H205" i="25"/>
  <c r="I205" i="25" s="1"/>
  <c r="M205" i="25" s="1"/>
  <c r="Q204" i="25"/>
  <c r="L204" i="25"/>
  <c r="H204" i="25"/>
  <c r="I204" i="25" s="1"/>
  <c r="M204" i="25" s="1"/>
  <c r="Q203" i="25"/>
  <c r="L203" i="25"/>
  <c r="H203" i="25"/>
  <c r="I203" i="25" s="1"/>
  <c r="M203" i="25" s="1"/>
  <c r="Q202" i="25"/>
  <c r="L202" i="25"/>
  <c r="H202" i="25"/>
  <c r="I202" i="25" s="1"/>
  <c r="M202" i="25" s="1"/>
  <c r="Q201" i="25"/>
  <c r="L201" i="25"/>
  <c r="H201" i="25"/>
  <c r="I201" i="25" s="1"/>
  <c r="M201" i="25" s="1"/>
  <c r="Q200" i="25"/>
  <c r="L200" i="25"/>
  <c r="H200" i="25"/>
  <c r="I200" i="25" s="1"/>
  <c r="M200" i="25" s="1"/>
  <c r="Q199" i="25"/>
  <c r="L199" i="25"/>
  <c r="H199" i="25"/>
  <c r="I199" i="25" s="1"/>
  <c r="M199" i="25" s="1"/>
  <c r="Q198" i="25"/>
  <c r="L198" i="25"/>
  <c r="H198" i="25"/>
  <c r="I198" i="25" s="1"/>
  <c r="M198" i="25" s="1"/>
  <c r="Q197" i="25"/>
  <c r="L197" i="25"/>
  <c r="H197" i="25"/>
  <c r="I197" i="25" s="1"/>
  <c r="M197" i="25" s="1"/>
  <c r="Q196" i="25"/>
  <c r="L196" i="25"/>
  <c r="H196" i="25"/>
  <c r="I196" i="25" s="1"/>
  <c r="M196" i="25" s="1"/>
  <c r="Q195" i="25"/>
  <c r="L195" i="25"/>
  <c r="H195" i="25"/>
  <c r="I195" i="25" s="1"/>
  <c r="M195" i="25" s="1"/>
  <c r="Q194" i="25"/>
  <c r="L194" i="25"/>
  <c r="H194" i="25"/>
  <c r="I194" i="25" s="1"/>
  <c r="M194" i="25" s="1"/>
  <c r="Q191" i="25"/>
  <c r="L191" i="25"/>
  <c r="H191" i="25"/>
  <c r="I191" i="25" s="1"/>
  <c r="M191" i="25" s="1"/>
  <c r="Q190" i="25"/>
  <c r="L190" i="25"/>
  <c r="H190" i="25"/>
  <c r="I190" i="25" s="1"/>
  <c r="M190" i="25" s="1"/>
  <c r="Q189" i="25"/>
  <c r="L189" i="25"/>
  <c r="H189" i="25"/>
  <c r="I189" i="25" s="1"/>
  <c r="M189" i="25" s="1"/>
  <c r="Q188" i="25"/>
  <c r="L188" i="25"/>
  <c r="H188" i="25"/>
  <c r="I188" i="25" s="1"/>
  <c r="M188" i="25" s="1"/>
  <c r="Q187" i="25"/>
  <c r="L187" i="25"/>
  <c r="H187" i="25"/>
  <c r="I187" i="25" s="1"/>
  <c r="M187" i="25" s="1"/>
  <c r="Q186" i="25"/>
  <c r="L186" i="25"/>
  <c r="H186" i="25"/>
  <c r="I186" i="25" s="1"/>
  <c r="M186" i="25" s="1"/>
  <c r="Q185" i="25"/>
  <c r="L185" i="25"/>
  <c r="H185" i="25"/>
  <c r="I185" i="25" s="1"/>
  <c r="M185" i="25" s="1"/>
  <c r="Q184" i="25"/>
  <c r="L184" i="25"/>
  <c r="H184" i="25"/>
  <c r="I184" i="25" s="1"/>
  <c r="M184" i="25" s="1"/>
  <c r="Q183" i="25"/>
  <c r="L183" i="25"/>
  <c r="H183" i="25"/>
  <c r="I183" i="25" s="1"/>
  <c r="M183" i="25" s="1"/>
  <c r="Q182" i="25"/>
  <c r="L182" i="25"/>
  <c r="H182" i="25"/>
  <c r="I182" i="25" s="1"/>
  <c r="M182" i="25" s="1"/>
  <c r="Q181" i="25"/>
  <c r="L181" i="25"/>
  <c r="H181" i="25"/>
  <c r="I181" i="25" s="1"/>
  <c r="M181" i="25" s="1"/>
  <c r="Q180" i="25"/>
  <c r="L180" i="25"/>
  <c r="H180" i="25"/>
  <c r="I180" i="25" s="1"/>
  <c r="M180" i="25" s="1"/>
  <c r="Q177" i="25"/>
  <c r="L177" i="25"/>
  <c r="H177" i="25"/>
  <c r="I177" i="25" s="1"/>
  <c r="M177" i="25" s="1"/>
  <c r="Q176" i="25"/>
  <c r="L176" i="25"/>
  <c r="H176" i="25"/>
  <c r="I176" i="25" s="1"/>
  <c r="M176" i="25" s="1"/>
  <c r="Q175" i="25"/>
  <c r="L175" i="25"/>
  <c r="H175" i="25"/>
  <c r="I175" i="25" s="1"/>
  <c r="M175" i="25" s="1"/>
  <c r="Q174" i="25"/>
  <c r="L174" i="25"/>
  <c r="H174" i="25"/>
  <c r="I174" i="25" s="1"/>
  <c r="M174" i="25" s="1"/>
  <c r="Q173" i="25"/>
  <c r="L173" i="25"/>
  <c r="H173" i="25"/>
  <c r="I173" i="25" s="1"/>
  <c r="M173" i="25" s="1"/>
  <c r="Q172" i="25"/>
  <c r="L172" i="25"/>
  <c r="H172" i="25"/>
  <c r="I172" i="25" s="1"/>
  <c r="M172" i="25" s="1"/>
  <c r="Q171" i="25"/>
  <c r="L171" i="25"/>
  <c r="H171" i="25"/>
  <c r="I171" i="25" s="1"/>
  <c r="M171" i="25" s="1"/>
  <c r="Q170" i="25"/>
  <c r="L170" i="25"/>
  <c r="H170" i="25"/>
  <c r="I170" i="25" s="1"/>
  <c r="M170" i="25" s="1"/>
  <c r="Q169" i="25"/>
  <c r="L169" i="25"/>
  <c r="H169" i="25"/>
  <c r="I169" i="25" s="1"/>
  <c r="M169" i="25" s="1"/>
  <c r="Q168" i="25"/>
  <c r="L168" i="25"/>
  <c r="H168" i="25"/>
  <c r="I168" i="25" s="1"/>
  <c r="M168" i="25" s="1"/>
  <c r="Q167" i="25"/>
  <c r="L167" i="25"/>
  <c r="H167" i="25"/>
  <c r="I167" i="25" s="1"/>
  <c r="M167" i="25" s="1"/>
  <c r="Q166" i="25"/>
  <c r="L166" i="25"/>
  <c r="H166" i="25"/>
  <c r="I166" i="25" s="1"/>
  <c r="M166" i="25" s="1"/>
  <c r="Q163" i="25"/>
  <c r="L163" i="25"/>
  <c r="H163" i="25"/>
  <c r="I163" i="25" s="1"/>
  <c r="M163" i="25" s="1"/>
  <c r="Q162" i="25"/>
  <c r="L162" i="25"/>
  <c r="H162" i="25"/>
  <c r="I162" i="25" s="1"/>
  <c r="M162" i="25" s="1"/>
  <c r="Q161" i="25"/>
  <c r="L161" i="25"/>
  <c r="H161" i="25"/>
  <c r="I161" i="25" s="1"/>
  <c r="M161" i="25" s="1"/>
  <c r="Q160" i="25"/>
  <c r="L160" i="25"/>
  <c r="H160" i="25"/>
  <c r="I160" i="25" s="1"/>
  <c r="M160" i="25" s="1"/>
  <c r="Q159" i="25"/>
  <c r="L159" i="25"/>
  <c r="H159" i="25"/>
  <c r="I159" i="25" s="1"/>
  <c r="M159" i="25" s="1"/>
  <c r="Q158" i="25"/>
  <c r="L158" i="25"/>
  <c r="H158" i="25"/>
  <c r="I158" i="25" s="1"/>
  <c r="M158" i="25" s="1"/>
  <c r="Q157" i="25"/>
  <c r="L157" i="25"/>
  <c r="H157" i="25"/>
  <c r="I157" i="25" s="1"/>
  <c r="M157" i="25" s="1"/>
  <c r="Q156" i="25"/>
  <c r="L156" i="25"/>
  <c r="H156" i="25"/>
  <c r="I156" i="25" s="1"/>
  <c r="M156" i="25" s="1"/>
  <c r="Q155" i="25"/>
  <c r="L155" i="25"/>
  <c r="H155" i="25"/>
  <c r="I155" i="25" s="1"/>
  <c r="M155" i="25" s="1"/>
  <c r="Q154" i="25"/>
  <c r="L154" i="25"/>
  <c r="H154" i="25"/>
  <c r="I154" i="25" s="1"/>
  <c r="M154" i="25" s="1"/>
  <c r="Q153" i="25"/>
  <c r="L153" i="25"/>
  <c r="H153" i="25"/>
  <c r="I153" i="25" s="1"/>
  <c r="M153" i="25" s="1"/>
  <c r="Q152" i="25"/>
  <c r="L152" i="25"/>
  <c r="H152" i="25"/>
  <c r="I152" i="25" s="1"/>
  <c r="M152" i="25" s="1"/>
  <c r="Q149" i="25"/>
  <c r="L149" i="25"/>
  <c r="H149" i="25"/>
  <c r="I149" i="25" s="1"/>
  <c r="M149" i="25" s="1"/>
  <c r="Q148" i="25"/>
  <c r="L148" i="25"/>
  <c r="H148" i="25"/>
  <c r="I148" i="25" s="1"/>
  <c r="M148" i="25" s="1"/>
  <c r="Q147" i="25"/>
  <c r="L147" i="25"/>
  <c r="H147" i="25"/>
  <c r="I147" i="25" s="1"/>
  <c r="M147" i="25" s="1"/>
  <c r="Q146" i="25"/>
  <c r="L146" i="25"/>
  <c r="H146" i="25"/>
  <c r="I146" i="25" s="1"/>
  <c r="M146" i="25" s="1"/>
  <c r="Q145" i="25"/>
  <c r="L145" i="25"/>
  <c r="H145" i="25"/>
  <c r="I145" i="25" s="1"/>
  <c r="M145" i="25" s="1"/>
  <c r="Q144" i="25"/>
  <c r="L144" i="25"/>
  <c r="H144" i="25"/>
  <c r="I144" i="25" s="1"/>
  <c r="M144" i="25" s="1"/>
  <c r="Q143" i="25"/>
  <c r="L143" i="25"/>
  <c r="H143" i="25"/>
  <c r="I143" i="25" s="1"/>
  <c r="M143" i="25" s="1"/>
  <c r="Q142" i="25"/>
  <c r="L142" i="25"/>
  <c r="H142" i="25"/>
  <c r="I142" i="25" s="1"/>
  <c r="M142" i="25" s="1"/>
  <c r="Q141" i="25"/>
  <c r="L141" i="25"/>
  <c r="H141" i="25"/>
  <c r="I141" i="25" s="1"/>
  <c r="M141" i="25" s="1"/>
  <c r="Q140" i="25"/>
  <c r="L140" i="25"/>
  <c r="H140" i="25"/>
  <c r="I140" i="25" s="1"/>
  <c r="M140" i="25" s="1"/>
  <c r="Q139" i="25"/>
  <c r="L139" i="25"/>
  <c r="H139" i="25"/>
  <c r="I139" i="25" s="1"/>
  <c r="M139" i="25" s="1"/>
  <c r="Q138" i="25"/>
  <c r="L138" i="25"/>
  <c r="H138" i="25"/>
  <c r="I138" i="25" s="1"/>
  <c r="M138" i="25" s="1"/>
  <c r="Q135" i="25"/>
  <c r="L135" i="25"/>
  <c r="H135" i="25"/>
  <c r="I135" i="25" s="1"/>
  <c r="M135" i="25" s="1"/>
  <c r="Q134" i="25"/>
  <c r="L134" i="25"/>
  <c r="H134" i="25"/>
  <c r="I134" i="25" s="1"/>
  <c r="M134" i="25" s="1"/>
  <c r="Q133" i="25"/>
  <c r="L133" i="25"/>
  <c r="H133" i="25"/>
  <c r="I133" i="25" s="1"/>
  <c r="M133" i="25" s="1"/>
  <c r="Q132" i="25"/>
  <c r="L132" i="25"/>
  <c r="H132" i="25"/>
  <c r="I132" i="25" s="1"/>
  <c r="M132" i="25" s="1"/>
  <c r="Q131" i="25"/>
  <c r="L131" i="25"/>
  <c r="H131" i="25"/>
  <c r="I131" i="25" s="1"/>
  <c r="M131" i="25" s="1"/>
  <c r="Q130" i="25"/>
  <c r="L130" i="25"/>
  <c r="H130" i="25"/>
  <c r="I130" i="25" s="1"/>
  <c r="M130" i="25" s="1"/>
  <c r="Q129" i="25"/>
  <c r="L129" i="25"/>
  <c r="J129" i="25"/>
  <c r="H129" i="25"/>
  <c r="I129" i="25" s="1"/>
  <c r="M129" i="25" s="1"/>
  <c r="Q128" i="25"/>
  <c r="L128" i="25"/>
  <c r="H128" i="25"/>
  <c r="I128" i="25" s="1"/>
  <c r="M128" i="25" s="1"/>
  <c r="Q127" i="25"/>
  <c r="L127" i="25"/>
  <c r="H127" i="25"/>
  <c r="I127" i="25" s="1"/>
  <c r="M127" i="25" s="1"/>
  <c r="Q126" i="25"/>
  <c r="L126" i="25"/>
  <c r="H126" i="25"/>
  <c r="I126" i="25" s="1"/>
  <c r="M126" i="25" s="1"/>
  <c r="C126" i="25"/>
  <c r="J202" i="25" s="1"/>
  <c r="Q125" i="25"/>
  <c r="L125" i="25"/>
  <c r="H125" i="25"/>
  <c r="I125" i="25" s="1"/>
  <c r="M125" i="25" s="1"/>
  <c r="Q124" i="25"/>
  <c r="L124" i="25"/>
  <c r="H124" i="25"/>
  <c r="I124" i="25" s="1"/>
  <c r="M124" i="25" s="1"/>
  <c r="Q121" i="25"/>
  <c r="L121" i="25"/>
  <c r="H121" i="25"/>
  <c r="I121" i="25" s="1"/>
  <c r="M121" i="25" s="1"/>
  <c r="Q120" i="25"/>
  <c r="L120" i="25"/>
  <c r="H120" i="25"/>
  <c r="I120" i="25" s="1"/>
  <c r="M120" i="25" s="1"/>
  <c r="Q119" i="25"/>
  <c r="L119" i="25"/>
  <c r="H119" i="25"/>
  <c r="I119" i="25" s="1"/>
  <c r="M119" i="25" s="1"/>
  <c r="Q118" i="25"/>
  <c r="L118" i="25"/>
  <c r="H118" i="25"/>
  <c r="I118" i="25" s="1"/>
  <c r="M118" i="25" s="1"/>
  <c r="Q117" i="25"/>
  <c r="L117" i="25"/>
  <c r="H117" i="25"/>
  <c r="I117" i="25" s="1"/>
  <c r="M117" i="25" s="1"/>
  <c r="Q116" i="25"/>
  <c r="L116" i="25"/>
  <c r="H116" i="25"/>
  <c r="I116" i="25" s="1"/>
  <c r="M116" i="25" s="1"/>
  <c r="Q115" i="25"/>
  <c r="L115" i="25"/>
  <c r="H115" i="25"/>
  <c r="I115" i="25" s="1"/>
  <c r="M115" i="25" s="1"/>
  <c r="Q114" i="25"/>
  <c r="L114" i="25"/>
  <c r="H114" i="25"/>
  <c r="I114" i="25" s="1"/>
  <c r="M114" i="25" s="1"/>
  <c r="Q113" i="25"/>
  <c r="L113" i="25"/>
  <c r="H113" i="25"/>
  <c r="I113" i="25" s="1"/>
  <c r="M113" i="25" s="1"/>
  <c r="Q112" i="25"/>
  <c r="L112" i="25"/>
  <c r="H112" i="25"/>
  <c r="I112" i="25" s="1"/>
  <c r="M112" i="25" s="1"/>
  <c r="Q111" i="25"/>
  <c r="L111" i="25"/>
  <c r="H111" i="25"/>
  <c r="I111" i="25" s="1"/>
  <c r="M111" i="25" s="1"/>
  <c r="Q110" i="25"/>
  <c r="L110" i="25"/>
  <c r="H110" i="25"/>
  <c r="I110" i="25" s="1"/>
  <c r="M110" i="25" s="1"/>
  <c r="P103" i="25"/>
  <c r="O103" i="25"/>
  <c r="N103" i="25"/>
  <c r="W103" i="25" s="1"/>
  <c r="M102" i="25"/>
  <c r="M101" i="25"/>
  <c r="M100" i="25"/>
  <c r="M99" i="25"/>
  <c r="M98" i="25"/>
  <c r="M97" i="25"/>
  <c r="M96" i="25"/>
  <c r="M95" i="25"/>
  <c r="M94" i="25"/>
  <c r="M93" i="25"/>
  <c r="M92" i="25"/>
  <c r="M91" i="25"/>
  <c r="P89" i="25"/>
  <c r="O89" i="25"/>
  <c r="N89" i="25"/>
  <c r="AA89" i="25" s="1"/>
  <c r="M88" i="25"/>
  <c r="M87" i="25"/>
  <c r="M86" i="25"/>
  <c r="M85" i="25"/>
  <c r="M84" i="25"/>
  <c r="M83" i="25"/>
  <c r="M82" i="25"/>
  <c r="M81" i="25"/>
  <c r="M80" i="25"/>
  <c r="M79" i="25"/>
  <c r="M78" i="25"/>
  <c r="M77" i="25"/>
  <c r="P75" i="25"/>
  <c r="O75" i="25"/>
  <c r="N75" i="25"/>
  <c r="W75" i="25" s="1"/>
  <c r="M74" i="25"/>
  <c r="M73" i="25"/>
  <c r="M72" i="25"/>
  <c r="M71" i="25"/>
  <c r="M70" i="25"/>
  <c r="M69" i="25"/>
  <c r="M68" i="25"/>
  <c r="M67" i="25"/>
  <c r="M66" i="25"/>
  <c r="M65" i="25"/>
  <c r="M64" i="25"/>
  <c r="M63" i="25"/>
  <c r="P60" i="25"/>
  <c r="O60" i="25"/>
  <c r="N60" i="25"/>
  <c r="W60" i="25" s="1"/>
  <c r="M59" i="25"/>
  <c r="M58" i="25"/>
  <c r="M57" i="25"/>
  <c r="M56" i="25"/>
  <c r="M55" i="25"/>
  <c r="M54" i="25"/>
  <c r="M53" i="25"/>
  <c r="M52" i="25"/>
  <c r="M51" i="25"/>
  <c r="M50" i="25"/>
  <c r="M49" i="25"/>
  <c r="M48" i="25"/>
  <c r="P45" i="25"/>
  <c r="O45" i="25"/>
  <c r="N45" i="25"/>
  <c r="AA45" i="25" s="1"/>
  <c r="M44" i="25"/>
  <c r="M43" i="25"/>
  <c r="M42" i="25"/>
  <c r="M41" i="25"/>
  <c r="M40" i="25"/>
  <c r="M39" i="25"/>
  <c r="M38" i="25"/>
  <c r="M37" i="25"/>
  <c r="M36" i="25"/>
  <c r="M35" i="25"/>
  <c r="M34" i="25"/>
  <c r="M33" i="25"/>
  <c r="P31" i="25"/>
  <c r="O31" i="25"/>
  <c r="N31" i="25"/>
  <c r="W31" i="25" s="1"/>
  <c r="M30" i="25"/>
  <c r="M29" i="25"/>
  <c r="M28" i="25"/>
  <c r="M27" i="25"/>
  <c r="M26" i="25"/>
  <c r="M25" i="25"/>
  <c r="M24" i="25"/>
  <c r="M23" i="25"/>
  <c r="M22" i="25"/>
  <c r="M21" i="25"/>
  <c r="M20" i="25"/>
  <c r="M19" i="25"/>
  <c r="P17" i="25"/>
  <c r="O17" i="25"/>
  <c r="N17" i="25"/>
  <c r="S17" i="25" s="1"/>
  <c r="M16" i="25"/>
  <c r="M15" i="25"/>
  <c r="M14" i="25"/>
  <c r="M13" i="25"/>
  <c r="M12" i="25"/>
  <c r="M11" i="25"/>
  <c r="M10" i="25"/>
  <c r="M9" i="25"/>
  <c r="M8" i="25"/>
  <c r="M7" i="25"/>
  <c r="M6" i="25"/>
  <c r="M5" i="25"/>
  <c r="L327" i="31" l="1"/>
  <c r="L335" i="31"/>
  <c r="O335" i="31" s="1"/>
  <c r="R319" i="31"/>
  <c r="R235" i="31"/>
  <c r="R239" i="31"/>
  <c r="R244" i="31"/>
  <c r="R248" i="31"/>
  <c r="R252" i="31"/>
  <c r="L326" i="31"/>
  <c r="O326" i="31" s="1"/>
  <c r="L331" i="31"/>
  <c r="R243" i="31"/>
  <c r="R267" i="31"/>
  <c r="R272" i="31"/>
  <c r="R276" i="31"/>
  <c r="R280" i="31"/>
  <c r="R297" i="31"/>
  <c r="R301" i="31"/>
  <c r="R305" i="31"/>
  <c r="R310" i="31"/>
  <c r="R314" i="31"/>
  <c r="L330" i="31"/>
  <c r="R233" i="31"/>
  <c r="R245" i="31"/>
  <c r="R299" i="31"/>
  <c r="R303" i="31"/>
  <c r="R312" i="31"/>
  <c r="O328" i="31"/>
  <c r="R271" i="31"/>
  <c r="R300" i="31"/>
  <c r="R304" i="31"/>
  <c r="R309" i="31"/>
  <c r="R317" i="31"/>
  <c r="O336" i="31"/>
  <c r="L328" i="30"/>
  <c r="O328" i="30" s="1"/>
  <c r="L329" i="30"/>
  <c r="O329" i="30" s="1"/>
  <c r="L330" i="30"/>
  <c r="O330" i="30" s="1"/>
  <c r="R231" i="30"/>
  <c r="R235" i="30"/>
  <c r="R239" i="30"/>
  <c r="R301" i="30"/>
  <c r="R305" i="30"/>
  <c r="R310" i="30"/>
  <c r="L332" i="30"/>
  <c r="R241" i="30"/>
  <c r="R275" i="30"/>
  <c r="R279" i="30"/>
  <c r="R287" i="30"/>
  <c r="R291" i="30"/>
  <c r="R288" i="30"/>
  <c r="R292" i="30"/>
  <c r="O332" i="30"/>
  <c r="O337" i="30"/>
  <c r="R243" i="30"/>
  <c r="R251" i="30"/>
  <c r="R256" i="30"/>
  <c r="R260" i="30"/>
  <c r="R264" i="30"/>
  <c r="R269" i="30"/>
  <c r="R300" i="30"/>
  <c r="R309" i="30"/>
  <c r="R312" i="30"/>
  <c r="R319" i="30"/>
  <c r="J188" i="29"/>
  <c r="O328" i="29"/>
  <c r="R274" i="29"/>
  <c r="R299" i="29"/>
  <c r="R303" i="29"/>
  <c r="R308" i="29"/>
  <c r="L336" i="29"/>
  <c r="O336" i="29" s="1"/>
  <c r="R317" i="29"/>
  <c r="U89" i="29"/>
  <c r="R231" i="29"/>
  <c r="J127" i="29"/>
  <c r="J191" i="29"/>
  <c r="R246" i="29"/>
  <c r="Y75" i="29"/>
  <c r="U45" i="29"/>
  <c r="R272" i="29"/>
  <c r="R305" i="29"/>
  <c r="R310" i="29"/>
  <c r="J180" i="29"/>
  <c r="J182" i="29"/>
  <c r="O332" i="29"/>
  <c r="R269" i="29"/>
  <c r="R273" i="29"/>
  <c r="R298" i="29"/>
  <c r="R306" i="29"/>
  <c r="R232" i="29"/>
  <c r="R236" i="29"/>
  <c r="R252" i="29"/>
  <c r="R257" i="29"/>
  <c r="R282" i="29"/>
  <c r="R311" i="29"/>
  <c r="R315" i="29"/>
  <c r="L330" i="29"/>
  <c r="O330" i="29" s="1"/>
  <c r="R262" i="27"/>
  <c r="O336" i="27"/>
  <c r="L327" i="27"/>
  <c r="R263" i="27"/>
  <c r="R267" i="27"/>
  <c r="AC103" i="27"/>
  <c r="R257" i="27"/>
  <c r="R261" i="27"/>
  <c r="L337" i="27"/>
  <c r="O337" i="27" s="1"/>
  <c r="N336" i="25"/>
  <c r="J127" i="25"/>
  <c r="Q240" i="25"/>
  <c r="Q245" i="25"/>
  <c r="Q317" i="25"/>
  <c r="L335" i="25"/>
  <c r="N335" i="25" s="1"/>
  <c r="Q318" i="25"/>
  <c r="L331" i="25"/>
  <c r="N331" i="25" s="1"/>
  <c r="Q230" i="25"/>
  <c r="Q234" i="25"/>
  <c r="L333" i="25"/>
  <c r="N333" i="25" s="1"/>
  <c r="X60" i="25"/>
  <c r="J200" i="25"/>
  <c r="Q233" i="25"/>
  <c r="Q237" i="25"/>
  <c r="Q246" i="25"/>
  <c r="Q258" i="25"/>
  <c r="Q271" i="25"/>
  <c r="Q284" i="25"/>
  <c r="Q288" i="25"/>
  <c r="L326" i="25"/>
  <c r="N326" i="25" s="1"/>
  <c r="Q259" i="25"/>
  <c r="Q285" i="25"/>
  <c r="Q289" i="25"/>
  <c r="Q293" i="25"/>
  <c r="J133" i="25"/>
  <c r="Q235" i="25"/>
  <c r="Q239" i="25"/>
  <c r="X103" i="25"/>
  <c r="J131" i="25"/>
  <c r="N131" i="25" s="1"/>
  <c r="R131" i="25" s="1"/>
  <c r="Q260" i="25"/>
  <c r="Q273" i="25"/>
  <c r="Q277" i="25"/>
  <c r="Q282" i="25"/>
  <c r="Q286" i="25"/>
  <c r="Q290" i="25"/>
  <c r="Q295" i="25"/>
  <c r="R247" i="27"/>
  <c r="R265" i="27"/>
  <c r="R271" i="27"/>
  <c r="R233" i="27"/>
  <c r="R237" i="27"/>
  <c r="R241" i="27"/>
  <c r="R246" i="27"/>
  <c r="R250" i="27"/>
  <c r="O327" i="27"/>
  <c r="L330" i="27"/>
  <c r="O330" i="27" s="1"/>
  <c r="N173" i="33"/>
  <c r="R173" i="33" s="1"/>
  <c r="J125" i="33"/>
  <c r="X87" i="33"/>
  <c r="J127" i="33"/>
  <c r="J129" i="33"/>
  <c r="J155" i="33"/>
  <c r="Q256" i="33"/>
  <c r="Q275" i="33"/>
  <c r="L335" i="33"/>
  <c r="O335" i="33" s="1"/>
  <c r="Q233" i="33"/>
  <c r="L328" i="33"/>
  <c r="O328" i="33" s="1"/>
  <c r="J124" i="33"/>
  <c r="Q257" i="33"/>
  <c r="AB31" i="33"/>
  <c r="AC31" i="33" s="1"/>
  <c r="K222" i="33"/>
  <c r="Q230" i="33"/>
  <c r="Q234" i="33"/>
  <c r="Q249" i="33"/>
  <c r="Q261" i="33"/>
  <c r="Q269" i="33"/>
  <c r="Q273" i="33"/>
  <c r="Q281" i="33"/>
  <c r="Q293" i="33"/>
  <c r="L324" i="33"/>
  <c r="O324" i="33" s="1"/>
  <c r="AC101" i="33"/>
  <c r="Q235" i="33"/>
  <c r="L329" i="33"/>
  <c r="O329" i="33" s="1"/>
  <c r="AC73" i="33"/>
  <c r="Y87" i="33"/>
  <c r="Q255" i="33"/>
  <c r="Q286" i="33"/>
  <c r="K222" i="32"/>
  <c r="L331" i="32"/>
  <c r="O331" i="32" s="1"/>
  <c r="J180" i="32"/>
  <c r="Y17" i="32"/>
  <c r="AB59" i="32"/>
  <c r="AC59" i="32" s="1"/>
  <c r="AB73" i="32"/>
  <c r="J108" i="32"/>
  <c r="N108" i="32" s="1"/>
  <c r="R108" i="32" s="1"/>
  <c r="J110" i="32"/>
  <c r="N110" i="32" s="1"/>
  <c r="R110" i="32" s="1"/>
  <c r="J112" i="32"/>
  <c r="J114" i="32"/>
  <c r="J116" i="32"/>
  <c r="J118" i="32"/>
  <c r="J178" i="32"/>
  <c r="R249" i="32"/>
  <c r="L327" i="32"/>
  <c r="O327" i="32" s="1"/>
  <c r="R272" i="32"/>
  <c r="R279" i="32" s="1"/>
  <c r="H356" i="32" s="1"/>
  <c r="R280" i="32"/>
  <c r="R307" i="32"/>
  <c r="J198" i="32"/>
  <c r="J203" i="32"/>
  <c r="R295" i="32"/>
  <c r="J188" i="32"/>
  <c r="N188" i="32" s="1"/>
  <c r="R188" i="32" s="1"/>
  <c r="Y101" i="32"/>
  <c r="R251" i="32"/>
  <c r="R277" i="32"/>
  <c r="R285" i="32"/>
  <c r="R293" i="32"/>
  <c r="R296" i="32"/>
  <c r="L335" i="32"/>
  <c r="O335" i="32" s="1"/>
  <c r="J355" i="31"/>
  <c r="J356" i="31"/>
  <c r="Y45" i="31"/>
  <c r="U60" i="31"/>
  <c r="Y89" i="31"/>
  <c r="U103" i="31"/>
  <c r="R269" i="31"/>
  <c r="T17" i="31"/>
  <c r="U17" i="31" s="1"/>
  <c r="R230" i="31"/>
  <c r="R249" i="31"/>
  <c r="R273" i="31"/>
  <c r="R277" i="31"/>
  <c r="R285" i="31"/>
  <c r="R289" i="31"/>
  <c r="R293" i="31"/>
  <c r="O333" i="31"/>
  <c r="X17" i="31"/>
  <c r="AB45" i="31"/>
  <c r="AC45" i="31" s="1"/>
  <c r="X60" i="31"/>
  <c r="Y60" i="31" s="1"/>
  <c r="AB89" i="31"/>
  <c r="R234" i="31"/>
  <c r="R238" i="31"/>
  <c r="R258" i="31"/>
  <c r="R262" i="31"/>
  <c r="R270" i="31"/>
  <c r="R282" i="31"/>
  <c r="R298" i="31"/>
  <c r="R302" i="31"/>
  <c r="R306" i="31"/>
  <c r="R311" i="31"/>
  <c r="R315" i="31"/>
  <c r="R318" i="31"/>
  <c r="L329" i="31"/>
  <c r="O329" i="31" s="1"/>
  <c r="O331" i="31"/>
  <c r="L334" i="31"/>
  <c r="O334" i="31" s="1"/>
  <c r="AB60" i="31"/>
  <c r="AC60" i="31" s="1"/>
  <c r="R231" i="31"/>
  <c r="R246" i="31"/>
  <c r="R250" i="31"/>
  <c r="R274" i="31"/>
  <c r="R278" i="31"/>
  <c r="R286" i="31"/>
  <c r="R290" i="31"/>
  <c r="R295" i="31"/>
  <c r="O327" i="31"/>
  <c r="O332" i="31"/>
  <c r="R232" i="31"/>
  <c r="R247" i="31"/>
  <c r="R251" i="31"/>
  <c r="R275" i="31"/>
  <c r="R279" i="31"/>
  <c r="R287" i="31"/>
  <c r="R291" i="31"/>
  <c r="L337" i="31"/>
  <c r="O337" i="31" s="1"/>
  <c r="O331" i="30"/>
  <c r="AC103" i="30"/>
  <c r="R247" i="30"/>
  <c r="R254" i="30"/>
  <c r="R259" i="30"/>
  <c r="R263" i="30"/>
  <c r="R267" i="30"/>
  <c r="R315" i="30"/>
  <c r="L327" i="30"/>
  <c r="O327" i="30" s="1"/>
  <c r="L334" i="30"/>
  <c r="O334" i="30" s="1"/>
  <c r="K224" i="30"/>
  <c r="R233" i="30"/>
  <c r="R237" i="30"/>
  <c r="R265" i="30"/>
  <c r="R273" i="30"/>
  <c r="R276" i="30"/>
  <c r="R317" i="30"/>
  <c r="L326" i="30"/>
  <c r="O326" i="30" s="1"/>
  <c r="L335" i="30"/>
  <c r="O335" i="30" s="1"/>
  <c r="Y31" i="30"/>
  <c r="R238" i="30"/>
  <c r="R249" i="30"/>
  <c r="Y17" i="30"/>
  <c r="R246" i="30"/>
  <c r="R253" i="30"/>
  <c r="R258" i="30"/>
  <c r="R262" i="30"/>
  <c r="R266" i="30"/>
  <c r="R277" i="30"/>
  <c r="K359" i="29"/>
  <c r="K357" i="29"/>
  <c r="J125" i="29"/>
  <c r="N125" i="29" s="1"/>
  <c r="R125" i="29" s="1"/>
  <c r="R239" i="29"/>
  <c r="R244" i="29"/>
  <c r="R259" i="29"/>
  <c r="R263" i="29"/>
  <c r="R275" i="29"/>
  <c r="R279" i="29"/>
  <c r="R287" i="29"/>
  <c r="R291" i="29"/>
  <c r="R296" i="29"/>
  <c r="Y31" i="29"/>
  <c r="AB89" i="29"/>
  <c r="AC89" i="29" s="1"/>
  <c r="T103" i="29"/>
  <c r="U103" i="29" s="1"/>
  <c r="J129" i="29"/>
  <c r="N129" i="29" s="1"/>
  <c r="R129" i="29" s="1"/>
  <c r="R230" i="29"/>
  <c r="R240" i="29"/>
  <c r="R245" i="29"/>
  <c r="R264" i="29"/>
  <c r="R276" i="29"/>
  <c r="R288" i="29"/>
  <c r="R292" i="29"/>
  <c r="R309" i="29"/>
  <c r="X103" i="29"/>
  <c r="J185" i="29"/>
  <c r="N185" i="29" s="1"/>
  <c r="R185" i="29" s="1"/>
  <c r="J187" i="29"/>
  <c r="X45" i="29"/>
  <c r="Y45" i="29" s="1"/>
  <c r="J124" i="29"/>
  <c r="N124" i="29" s="1"/>
  <c r="R124" i="29" s="1"/>
  <c r="R261" i="29"/>
  <c r="R277" i="29"/>
  <c r="R289" i="29"/>
  <c r="R293" i="29"/>
  <c r="L331" i="29"/>
  <c r="O331" i="29" s="1"/>
  <c r="J126" i="29"/>
  <c r="J128" i="29"/>
  <c r="N128" i="29" s="1"/>
  <c r="R128" i="29" s="1"/>
  <c r="R235" i="29"/>
  <c r="J130" i="29"/>
  <c r="N130" i="29" s="1"/>
  <c r="R130" i="29" s="1"/>
  <c r="R238" i="29"/>
  <c r="R243" i="29"/>
  <c r="R247" i="29"/>
  <c r="R258" i="29"/>
  <c r="R262" i="29"/>
  <c r="R286" i="29"/>
  <c r="R290" i="29"/>
  <c r="R295" i="29"/>
  <c r="L327" i="29"/>
  <c r="O327" i="29" s="1"/>
  <c r="L334" i="29"/>
  <c r="O334" i="29" s="1"/>
  <c r="R275" i="27"/>
  <c r="R279" i="27"/>
  <c r="R284" i="27"/>
  <c r="R288" i="27"/>
  <c r="R276" i="27"/>
  <c r="R285" i="27"/>
  <c r="R289" i="27"/>
  <c r="R293" i="27"/>
  <c r="R251" i="27"/>
  <c r="R256" i="27"/>
  <c r="L328" i="27"/>
  <c r="O328" i="27" s="1"/>
  <c r="R260" i="27"/>
  <c r="R264" i="27"/>
  <c r="R269" i="27"/>
  <c r="R273" i="27"/>
  <c r="R277" i="27"/>
  <c r="R286" i="27"/>
  <c r="R290" i="27"/>
  <c r="R295" i="27"/>
  <c r="S31" i="25"/>
  <c r="T31" i="25" s="1"/>
  <c r="L327" i="25"/>
  <c r="N327" i="25" s="1"/>
  <c r="J196" i="25"/>
  <c r="N196" i="25" s="1"/>
  <c r="R196" i="25" s="1"/>
  <c r="AA31" i="25"/>
  <c r="J126" i="25"/>
  <c r="J128" i="25"/>
  <c r="N128" i="25" s="1"/>
  <c r="R128" i="25" s="1"/>
  <c r="J130" i="25"/>
  <c r="N130" i="25" s="1"/>
  <c r="R130" i="25" s="1"/>
  <c r="J132" i="25"/>
  <c r="N132" i="25" s="1"/>
  <c r="R132" i="25" s="1"/>
  <c r="Q238" i="25"/>
  <c r="Q243" i="25"/>
  <c r="Q266" i="25"/>
  <c r="Q306" i="25"/>
  <c r="AB45" i="25"/>
  <c r="Q275" i="25"/>
  <c r="Q279" i="25"/>
  <c r="Q291" i="25"/>
  <c r="L330" i="25"/>
  <c r="N330" i="25" s="1"/>
  <c r="Q308" i="25"/>
  <c r="N328" i="25"/>
  <c r="AB89" i="25"/>
  <c r="J155" i="25"/>
  <c r="N155" i="25" s="1"/>
  <c r="R155" i="25" s="1"/>
  <c r="J204" i="25"/>
  <c r="N204" i="25" s="1"/>
  <c r="R204" i="25" s="1"/>
  <c r="Q232" i="25"/>
  <c r="Q236" i="25"/>
  <c r="Q248" i="25"/>
  <c r="Q252" i="25"/>
  <c r="Q272" i="25"/>
  <c r="Q280" i="25"/>
  <c r="Q292" i="25"/>
  <c r="Q312" i="25"/>
  <c r="Q316" i="25"/>
  <c r="N128" i="33"/>
  <c r="R128" i="33" s="1"/>
  <c r="N129" i="33"/>
  <c r="R129" i="33" s="1"/>
  <c r="N127" i="33"/>
  <c r="R127" i="33" s="1"/>
  <c r="T101" i="33"/>
  <c r="U101" i="33" s="1"/>
  <c r="AB87" i="33"/>
  <c r="T59" i="33"/>
  <c r="U59" i="33" s="1"/>
  <c r="X45" i="33"/>
  <c r="Y45" i="33" s="1"/>
  <c r="AB45" i="33"/>
  <c r="AC17" i="33"/>
  <c r="U45" i="33"/>
  <c r="U87" i="33"/>
  <c r="N124" i="33"/>
  <c r="R124" i="33" s="1"/>
  <c r="G354" i="33"/>
  <c r="G355" i="33"/>
  <c r="G356" i="33"/>
  <c r="G357" i="33"/>
  <c r="G358" i="33"/>
  <c r="G359" i="33"/>
  <c r="G353" i="33"/>
  <c r="N126" i="33"/>
  <c r="R126" i="33" s="1"/>
  <c r="N125" i="33"/>
  <c r="R125" i="33" s="1"/>
  <c r="J152" i="33"/>
  <c r="N152" i="33" s="1"/>
  <c r="R152" i="33" s="1"/>
  <c r="J160" i="33"/>
  <c r="N160" i="33" s="1"/>
  <c r="R160" i="33" s="1"/>
  <c r="J168" i="33"/>
  <c r="N168" i="33" s="1"/>
  <c r="R168" i="33" s="1"/>
  <c r="J178" i="33"/>
  <c r="N178" i="33" s="1"/>
  <c r="R178" i="33" s="1"/>
  <c r="J182" i="33"/>
  <c r="N182" i="33" s="1"/>
  <c r="R182" i="33" s="1"/>
  <c r="J186" i="33"/>
  <c r="N186" i="33" s="1"/>
  <c r="R186" i="33" s="1"/>
  <c r="Q250" i="33"/>
  <c r="Q280" i="33"/>
  <c r="Q308" i="33"/>
  <c r="H359" i="33" s="1"/>
  <c r="Q316" i="33"/>
  <c r="J357" i="33"/>
  <c r="J358" i="33"/>
  <c r="J359" i="33"/>
  <c r="J353" i="33"/>
  <c r="J354" i="33"/>
  <c r="J355" i="33"/>
  <c r="N155" i="33"/>
  <c r="R155" i="33" s="1"/>
  <c r="T17" i="33"/>
  <c r="U17" i="33" s="1"/>
  <c r="X59" i="33"/>
  <c r="Y59" i="33" s="1"/>
  <c r="X101" i="33"/>
  <c r="Y101" i="33" s="1"/>
  <c r="J157" i="33"/>
  <c r="N157" i="33" s="1"/>
  <c r="R157" i="33" s="1"/>
  <c r="J167" i="33"/>
  <c r="N167" i="33" s="1"/>
  <c r="R167" i="33" s="1"/>
  <c r="J175" i="33"/>
  <c r="N175" i="33" s="1"/>
  <c r="R175" i="33" s="1"/>
  <c r="K358" i="33"/>
  <c r="K359" i="33"/>
  <c r="K353" i="33"/>
  <c r="K354" i="33"/>
  <c r="K355" i="33"/>
  <c r="K356" i="33"/>
  <c r="AC45" i="33"/>
  <c r="T73" i="33"/>
  <c r="U73" i="33" s="1"/>
  <c r="AC87" i="33"/>
  <c r="J154" i="33"/>
  <c r="N154" i="33" s="1"/>
  <c r="R154" i="33" s="1"/>
  <c r="J166" i="33"/>
  <c r="N166" i="33" s="1"/>
  <c r="R166" i="33" s="1"/>
  <c r="J174" i="33"/>
  <c r="N174" i="33" s="1"/>
  <c r="R174" i="33" s="1"/>
  <c r="J181" i="33"/>
  <c r="N181" i="33" s="1"/>
  <c r="R181" i="33" s="1"/>
  <c r="J185" i="33"/>
  <c r="N185" i="33" s="1"/>
  <c r="R185" i="33" s="1"/>
  <c r="J189" i="33"/>
  <c r="N189" i="33" s="1"/>
  <c r="R189" i="33" s="1"/>
  <c r="X17" i="33"/>
  <c r="Y17" i="33" s="1"/>
  <c r="T31" i="33"/>
  <c r="U31" i="33" s="1"/>
  <c r="J133" i="33"/>
  <c r="N133" i="33" s="1"/>
  <c r="R133" i="33" s="1"/>
  <c r="J151" i="33"/>
  <c r="N151" i="33" s="1"/>
  <c r="R151" i="33" s="1"/>
  <c r="J159" i="33"/>
  <c r="N159" i="33" s="1"/>
  <c r="R159" i="33" s="1"/>
  <c r="J165" i="33"/>
  <c r="N165" i="33" s="1"/>
  <c r="R165" i="33" s="1"/>
  <c r="K357" i="33"/>
  <c r="X73" i="33"/>
  <c r="Y73" i="33" s="1"/>
  <c r="J147" i="33"/>
  <c r="N147" i="33" s="1"/>
  <c r="R147" i="33" s="1"/>
  <c r="J146" i="33"/>
  <c r="N146" i="33" s="1"/>
  <c r="R146" i="33" s="1"/>
  <c r="J145" i="33"/>
  <c r="N145" i="33" s="1"/>
  <c r="R145" i="33" s="1"/>
  <c r="J144" i="33"/>
  <c r="N144" i="33" s="1"/>
  <c r="R144" i="33" s="1"/>
  <c r="J143" i="33"/>
  <c r="N143" i="33" s="1"/>
  <c r="R143" i="33" s="1"/>
  <c r="J142" i="33"/>
  <c r="N142" i="33" s="1"/>
  <c r="R142" i="33" s="1"/>
  <c r="J141" i="33"/>
  <c r="N141" i="33" s="1"/>
  <c r="R141" i="33" s="1"/>
  <c r="J140" i="33"/>
  <c r="N140" i="33" s="1"/>
  <c r="R140" i="33" s="1"/>
  <c r="J139" i="33"/>
  <c r="N139" i="33" s="1"/>
  <c r="R139" i="33" s="1"/>
  <c r="J138" i="33"/>
  <c r="N138" i="33" s="1"/>
  <c r="R138" i="33" s="1"/>
  <c r="J137" i="33"/>
  <c r="N137" i="33" s="1"/>
  <c r="R137" i="33" s="1"/>
  <c r="J136" i="33"/>
  <c r="N136" i="33" s="1"/>
  <c r="R136" i="33" s="1"/>
  <c r="J203" i="33"/>
  <c r="N203" i="33" s="1"/>
  <c r="R203" i="33" s="1"/>
  <c r="J202" i="33"/>
  <c r="N202" i="33" s="1"/>
  <c r="R202" i="33" s="1"/>
  <c r="J201" i="33"/>
  <c r="N201" i="33" s="1"/>
  <c r="R201" i="33" s="1"/>
  <c r="J200" i="33"/>
  <c r="N200" i="33" s="1"/>
  <c r="R200" i="33" s="1"/>
  <c r="J199" i="33"/>
  <c r="N199" i="33" s="1"/>
  <c r="R199" i="33" s="1"/>
  <c r="J198" i="33"/>
  <c r="N198" i="33" s="1"/>
  <c r="R198" i="33" s="1"/>
  <c r="J197" i="33"/>
  <c r="N197" i="33" s="1"/>
  <c r="R197" i="33" s="1"/>
  <c r="J196" i="33"/>
  <c r="N196" i="33" s="1"/>
  <c r="R196" i="33" s="1"/>
  <c r="J195" i="33"/>
  <c r="N195" i="33" s="1"/>
  <c r="R195" i="33" s="1"/>
  <c r="J194" i="33"/>
  <c r="N194" i="33" s="1"/>
  <c r="R194" i="33" s="1"/>
  <c r="J193" i="33"/>
  <c r="N193" i="33" s="1"/>
  <c r="R193" i="33" s="1"/>
  <c r="J192" i="33"/>
  <c r="N192" i="33" s="1"/>
  <c r="R192" i="33" s="1"/>
  <c r="J132" i="33"/>
  <c r="N132" i="33" s="1"/>
  <c r="R132" i="33" s="1"/>
  <c r="J156" i="33"/>
  <c r="N156" i="33" s="1"/>
  <c r="R156" i="33" s="1"/>
  <c r="J164" i="33"/>
  <c r="N164" i="33" s="1"/>
  <c r="R164" i="33" s="1"/>
  <c r="J172" i="33"/>
  <c r="N172" i="33" s="1"/>
  <c r="R172" i="33" s="1"/>
  <c r="J180" i="33"/>
  <c r="N180" i="33" s="1"/>
  <c r="R180" i="33" s="1"/>
  <c r="J184" i="33"/>
  <c r="N184" i="33" s="1"/>
  <c r="R184" i="33" s="1"/>
  <c r="J188" i="33"/>
  <c r="N188" i="33" s="1"/>
  <c r="R188" i="33" s="1"/>
  <c r="J108" i="33"/>
  <c r="N108" i="33" s="1"/>
  <c r="R108" i="33" s="1"/>
  <c r="J109" i="33"/>
  <c r="N109" i="33" s="1"/>
  <c r="R109" i="33" s="1"/>
  <c r="J110" i="33"/>
  <c r="N110" i="33" s="1"/>
  <c r="R110" i="33" s="1"/>
  <c r="J111" i="33"/>
  <c r="N111" i="33" s="1"/>
  <c r="R111" i="33" s="1"/>
  <c r="J112" i="33"/>
  <c r="N112" i="33" s="1"/>
  <c r="R112" i="33" s="1"/>
  <c r="J113" i="33"/>
  <c r="N113" i="33" s="1"/>
  <c r="R113" i="33" s="1"/>
  <c r="J114" i="33"/>
  <c r="N114" i="33" s="1"/>
  <c r="R114" i="33" s="1"/>
  <c r="J115" i="33"/>
  <c r="N115" i="33" s="1"/>
  <c r="R115" i="33" s="1"/>
  <c r="J116" i="33"/>
  <c r="N116" i="33" s="1"/>
  <c r="R116" i="33" s="1"/>
  <c r="J117" i="33"/>
  <c r="N117" i="33" s="1"/>
  <c r="R117" i="33" s="1"/>
  <c r="J118" i="33"/>
  <c r="N118" i="33" s="1"/>
  <c r="R118" i="33" s="1"/>
  <c r="J119" i="33"/>
  <c r="N119" i="33" s="1"/>
  <c r="R119" i="33" s="1"/>
  <c r="J131" i="33"/>
  <c r="N131" i="33" s="1"/>
  <c r="R131" i="33" s="1"/>
  <c r="J153" i="33"/>
  <c r="N153" i="33" s="1"/>
  <c r="R153" i="33" s="1"/>
  <c r="J161" i="33"/>
  <c r="N161" i="33" s="1"/>
  <c r="R161" i="33" s="1"/>
  <c r="J171" i="33"/>
  <c r="N171" i="33" s="1"/>
  <c r="R171" i="33" s="1"/>
  <c r="Q228" i="33"/>
  <c r="Q238" i="33"/>
  <c r="Q260" i="33"/>
  <c r="H355" i="33" s="1"/>
  <c r="Q276" i="33"/>
  <c r="H356" i="33" s="1"/>
  <c r="Q304" i="33"/>
  <c r="H358" i="33" s="1"/>
  <c r="L331" i="33"/>
  <c r="O331" i="33" s="1"/>
  <c r="J122" i="33"/>
  <c r="N122" i="33" s="1"/>
  <c r="R122" i="33" s="1"/>
  <c r="J123" i="33"/>
  <c r="N123" i="33" s="1"/>
  <c r="R123" i="33" s="1"/>
  <c r="J130" i="33"/>
  <c r="N130" i="33" s="1"/>
  <c r="R130" i="33" s="1"/>
  <c r="J150" i="33"/>
  <c r="N150" i="33" s="1"/>
  <c r="R150" i="33" s="1"/>
  <c r="J158" i="33"/>
  <c r="N158" i="33" s="1"/>
  <c r="R158" i="33" s="1"/>
  <c r="J170" i="33"/>
  <c r="N170" i="33" s="1"/>
  <c r="R170" i="33" s="1"/>
  <c r="J179" i="33"/>
  <c r="N179" i="33" s="1"/>
  <c r="R179" i="33" s="1"/>
  <c r="J183" i="33"/>
  <c r="N183" i="33" s="1"/>
  <c r="R183" i="33" s="1"/>
  <c r="J187" i="33"/>
  <c r="N187" i="33" s="1"/>
  <c r="R187" i="33" s="1"/>
  <c r="Q242" i="33"/>
  <c r="H354" i="33" s="1"/>
  <c r="Q252" i="33"/>
  <c r="Q284" i="33"/>
  <c r="Q310" i="33"/>
  <c r="R244" i="32"/>
  <c r="N198" i="32"/>
  <c r="R198" i="32" s="1"/>
  <c r="N118" i="32"/>
  <c r="R118" i="32" s="1"/>
  <c r="N116" i="32"/>
  <c r="R116" i="32" s="1"/>
  <c r="N114" i="32"/>
  <c r="R114" i="32" s="1"/>
  <c r="N112" i="32"/>
  <c r="R112" i="32" s="1"/>
  <c r="AB101" i="32"/>
  <c r="AC101" i="32" s="1"/>
  <c r="T73" i="32"/>
  <c r="U73" i="32" s="1"/>
  <c r="AC73" i="32"/>
  <c r="Y73" i="32"/>
  <c r="T31" i="32"/>
  <c r="U31" i="32" s="1"/>
  <c r="X31" i="32"/>
  <c r="Y31" i="32" s="1"/>
  <c r="AC31" i="32"/>
  <c r="AB17" i="32"/>
  <c r="AC17" i="32" s="1"/>
  <c r="T17" i="32"/>
  <c r="U17" i="32" s="1"/>
  <c r="R292" i="32"/>
  <c r="H357" i="32" s="1"/>
  <c r="N109" i="32"/>
  <c r="R109" i="32" s="1"/>
  <c r="N111" i="32"/>
  <c r="R111" i="32" s="1"/>
  <c r="N113" i="32"/>
  <c r="R113" i="32" s="1"/>
  <c r="N115" i="32"/>
  <c r="R115" i="32" s="1"/>
  <c r="N117" i="32"/>
  <c r="R117" i="32" s="1"/>
  <c r="G354" i="32"/>
  <c r="G355" i="32"/>
  <c r="G356" i="32"/>
  <c r="G357" i="32"/>
  <c r="G358" i="32"/>
  <c r="G359" i="32"/>
  <c r="G353" i="32"/>
  <c r="N184" i="32"/>
  <c r="R184" i="32" s="1"/>
  <c r="N203" i="32"/>
  <c r="R203" i="32" s="1"/>
  <c r="J175" i="32"/>
  <c r="N175" i="32" s="1"/>
  <c r="R175" i="32" s="1"/>
  <c r="J174" i="32"/>
  <c r="N174" i="32" s="1"/>
  <c r="R174" i="32" s="1"/>
  <c r="J173" i="32"/>
  <c r="N173" i="32" s="1"/>
  <c r="R173" i="32" s="1"/>
  <c r="J172" i="32"/>
  <c r="N172" i="32" s="1"/>
  <c r="R172" i="32" s="1"/>
  <c r="J171" i="32"/>
  <c r="N171" i="32" s="1"/>
  <c r="R171" i="32" s="1"/>
  <c r="J170" i="32"/>
  <c r="N170" i="32" s="1"/>
  <c r="R170" i="32" s="1"/>
  <c r="J169" i="32"/>
  <c r="N169" i="32" s="1"/>
  <c r="R169" i="32" s="1"/>
  <c r="J168" i="32"/>
  <c r="N168" i="32" s="1"/>
  <c r="R168" i="32" s="1"/>
  <c r="J167" i="32"/>
  <c r="N167" i="32" s="1"/>
  <c r="R167" i="32" s="1"/>
  <c r="J166" i="32"/>
  <c r="N166" i="32" s="1"/>
  <c r="R166" i="32" s="1"/>
  <c r="J165" i="32"/>
  <c r="N165" i="32" s="1"/>
  <c r="R165" i="32" s="1"/>
  <c r="J164" i="32"/>
  <c r="N164" i="32" s="1"/>
  <c r="R164" i="32" s="1"/>
  <c r="J161" i="32"/>
  <c r="N161" i="32" s="1"/>
  <c r="R161" i="32" s="1"/>
  <c r="J160" i="32"/>
  <c r="N160" i="32" s="1"/>
  <c r="R160" i="32" s="1"/>
  <c r="J159" i="32"/>
  <c r="N159" i="32" s="1"/>
  <c r="R159" i="32" s="1"/>
  <c r="J158" i="32"/>
  <c r="N158" i="32" s="1"/>
  <c r="R158" i="32" s="1"/>
  <c r="J157" i="32"/>
  <c r="N157" i="32" s="1"/>
  <c r="R157" i="32" s="1"/>
  <c r="J156" i="32"/>
  <c r="N156" i="32" s="1"/>
  <c r="R156" i="32" s="1"/>
  <c r="J155" i="32"/>
  <c r="N155" i="32" s="1"/>
  <c r="R155" i="32" s="1"/>
  <c r="J154" i="32"/>
  <c r="N154" i="32" s="1"/>
  <c r="R154" i="32" s="1"/>
  <c r="J153" i="32"/>
  <c r="N153" i="32" s="1"/>
  <c r="R153" i="32" s="1"/>
  <c r="J152" i="32"/>
  <c r="N152" i="32" s="1"/>
  <c r="R152" i="32" s="1"/>
  <c r="J151" i="32"/>
  <c r="N151" i="32" s="1"/>
  <c r="R151" i="32" s="1"/>
  <c r="J150" i="32"/>
  <c r="N150" i="32" s="1"/>
  <c r="R150" i="32" s="1"/>
  <c r="J147" i="32"/>
  <c r="N147" i="32" s="1"/>
  <c r="R147" i="32" s="1"/>
  <c r="J146" i="32"/>
  <c r="N146" i="32" s="1"/>
  <c r="R146" i="32" s="1"/>
  <c r="J145" i="32"/>
  <c r="N145" i="32" s="1"/>
  <c r="R145" i="32" s="1"/>
  <c r="J144" i="32"/>
  <c r="N144" i="32" s="1"/>
  <c r="R144" i="32" s="1"/>
  <c r="J143" i="32"/>
  <c r="N143" i="32" s="1"/>
  <c r="R143" i="32" s="1"/>
  <c r="J142" i="32"/>
  <c r="N142" i="32" s="1"/>
  <c r="R142" i="32" s="1"/>
  <c r="J141" i="32"/>
  <c r="N141" i="32" s="1"/>
  <c r="R141" i="32" s="1"/>
  <c r="J140" i="32"/>
  <c r="N140" i="32" s="1"/>
  <c r="R140" i="32" s="1"/>
  <c r="J139" i="32"/>
  <c r="N139" i="32" s="1"/>
  <c r="R139" i="32" s="1"/>
  <c r="J138" i="32"/>
  <c r="N138" i="32" s="1"/>
  <c r="R138" i="32" s="1"/>
  <c r="J137" i="32"/>
  <c r="N137" i="32" s="1"/>
  <c r="R137" i="32" s="1"/>
  <c r="J136" i="32"/>
  <c r="N136" i="32" s="1"/>
  <c r="R136" i="32" s="1"/>
  <c r="J133" i="32"/>
  <c r="N133" i="32" s="1"/>
  <c r="R133" i="32" s="1"/>
  <c r="J132" i="32"/>
  <c r="N132" i="32" s="1"/>
  <c r="R132" i="32" s="1"/>
  <c r="J131" i="32"/>
  <c r="N131" i="32" s="1"/>
  <c r="R131" i="32" s="1"/>
  <c r="J130" i="32"/>
  <c r="N130" i="32" s="1"/>
  <c r="R130" i="32" s="1"/>
  <c r="J129" i="32"/>
  <c r="N129" i="32" s="1"/>
  <c r="R129" i="32" s="1"/>
  <c r="J192" i="32"/>
  <c r="N192" i="32" s="1"/>
  <c r="R192" i="32" s="1"/>
  <c r="J200" i="32"/>
  <c r="N200" i="32" s="1"/>
  <c r="R200" i="32" s="1"/>
  <c r="N178" i="32"/>
  <c r="R178" i="32" s="1"/>
  <c r="T45" i="32"/>
  <c r="U45" i="32" s="1"/>
  <c r="T87" i="32"/>
  <c r="U87" i="32" s="1"/>
  <c r="J119" i="32"/>
  <c r="N119" i="32" s="1"/>
  <c r="R119" i="32" s="1"/>
  <c r="J128" i="32"/>
  <c r="N128" i="32" s="1"/>
  <c r="R128" i="32" s="1"/>
  <c r="J197" i="32"/>
  <c r="N197" i="32" s="1"/>
  <c r="R197" i="32" s="1"/>
  <c r="R318" i="32"/>
  <c r="H359" i="32" s="1"/>
  <c r="N186" i="32"/>
  <c r="R186" i="32" s="1"/>
  <c r="J122" i="32"/>
  <c r="N122" i="32" s="1"/>
  <c r="R122" i="32" s="1"/>
  <c r="J123" i="32"/>
  <c r="N123" i="32" s="1"/>
  <c r="R123" i="32" s="1"/>
  <c r="J127" i="32"/>
  <c r="N127" i="32" s="1"/>
  <c r="R127" i="32" s="1"/>
  <c r="J194" i="32"/>
  <c r="N194" i="32" s="1"/>
  <c r="R194" i="32" s="1"/>
  <c r="J202" i="32"/>
  <c r="N202" i="32" s="1"/>
  <c r="R202" i="32" s="1"/>
  <c r="R266" i="32"/>
  <c r="H355" i="32" s="1"/>
  <c r="R305" i="32"/>
  <c r="H358" i="32" s="1"/>
  <c r="J357" i="32"/>
  <c r="J358" i="32"/>
  <c r="J359" i="32"/>
  <c r="J353" i="32"/>
  <c r="J354" i="32"/>
  <c r="X45" i="32"/>
  <c r="Y45" i="32" s="1"/>
  <c r="T59" i="32"/>
  <c r="U59" i="32" s="1"/>
  <c r="X87" i="32"/>
  <c r="Y87" i="32" s="1"/>
  <c r="T101" i="32"/>
  <c r="U101" i="32" s="1"/>
  <c r="J124" i="32"/>
  <c r="N124" i="32" s="1"/>
  <c r="R124" i="32" s="1"/>
  <c r="J125" i="32"/>
  <c r="N125" i="32" s="1"/>
  <c r="R125" i="32" s="1"/>
  <c r="J126" i="32"/>
  <c r="N126" i="32" s="1"/>
  <c r="R126" i="32" s="1"/>
  <c r="J179" i="32"/>
  <c r="N179" i="32" s="1"/>
  <c r="R179" i="32" s="1"/>
  <c r="J181" i="32"/>
  <c r="N181" i="32" s="1"/>
  <c r="R181" i="32" s="1"/>
  <c r="J183" i="32"/>
  <c r="N183" i="32" s="1"/>
  <c r="R183" i="32" s="1"/>
  <c r="J185" i="32"/>
  <c r="N185" i="32" s="1"/>
  <c r="R185" i="32" s="1"/>
  <c r="J187" i="32"/>
  <c r="N187" i="32" s="1"/>
  <c r="R187" i="32" s="1"/>
  <c r="J189" i="32"/>
  <c r="N189" i="32" s="1"/>
  <c r="R189" i="32" s="1"/>
  <c r="J199" i="32"/>
  <c r="N199" i="32" s="1"/>
  <c r="R199" i="32" s="1"/>
  <c r="K358" i="32"/>
  <c r="K359" i="32"/>
  <c r="K353" i="32"/>
  <c r="K354" i="32"/>
  <c r="K355" i="32"/>
  <c r="N182" i="32"/>
  <c r="R182" i="32" s="1"/>
  <c r="J196" i="32"/>
  <c r="N196" i="32" s="1"/>
  <c r="R196" i="32" s="1"/>
  <c r="O334" i="32"/>
  <c r="J355" i="32"/>
  <c r="N180" i="32"/>
  <c r="R180" i="32" s="1"/>
  <c r="N195" i="32"/>
  <c r="R195" i="32" s="1"/>
  <c r="J193" i="32"/>
  <c r="N193" i="32" s="1"/>
  <c r="R193" i="32" s="1"/>
  <c r="J201" i="32"/>
  <c r="N201" i="32" s="1"/>
  <c r="R201" i="32" s="1"/>
  <c r="R229" i="32"/>
  <c r="R237" i="32"/>
  <c r="R241" i="32"/>
  <c r="O326" i="32"/>
  <c r="O336" i="32" s="1"/>
  <c r="R316" i="31"/>
  <c r="R308" i="31"/>
  <c r="N126" i="31"/>
  <c r="R126" i="31" s="1"/>
  <c r="X103" i="31"/>
  <c r="AB103" i="31"/>
  <c r="AC103" i="31" s="1"/>
  <c r="T89" i="31"/>
  <c r="U89" i="31" s="1"/>
  <c r="AC89" i="31"/>
  <c r="X75" i="31"/>
  <c r="Y75" i="31"/>
  <c r="T45" i="31"/>
  <c r="U45" i="31" s="1"/>
  <c r="AC17" i="31"/>
  <c r="Y17" i="31"/>
  <c r="Y31" i="31"/>
  <c r="AB75" i="31"/>
  <c r="AC75" i="31" s="1"/>
  <c r="J124" i="31"/>
  <c r="N124" i="31" s="1"/>
  <c r="R124" i="31" s="1"/>
  <c r="J125" i="31"/>
  <c r="N125" i="31" s="1"/>
  <c r="R125" i="31" s="1"/>
  <c r="O330" i="31"/>
  <c r="AB31" i="31"/>
  <c r="AC31" i="31" s="1"/>
  <c r="R265" i="31"/>
  <c r="R313" i="31"/>
  <c r="Y103" i="31"/>
  <c r="K224" i="31"/>
  <c r="R241" i="31"/>
  <c r="T31" i="31"/>
  <c r="U31" i="31" s="1"/>
  <c r="U75" i="31"/>
  <c r="J177" i="31"/>
  <c r="N177" i="31" s="1"/>
  <c r="R177" i="31" s="1"/>
  <c r="J176" i="31"/>
  <c r="N176" i="31" s="1"/>
  <c r="R176" i="31" s="1"/>
  <c r="J175" i="31"/>
  <c r="N175" i="31" s="1"/>
  <c r="R175" i="31" s="1"/>
  <c r="J174" i="31"/>
  <c r="N174" i="31" s="1"/>
  <c r="R174" i="31" s="1"/>
  <c r="J173" i="31"/>
  <c r="N173" i="31" s="1"/>
  <c r="R173" i="31" s="1"/>
  <c r="J172" i="31"/>
  <c r="N172" i="31" s="1"/>
  <c r="R172" i="31" s="1"/>
  <c r="J171" i="31"/>
  <c r="N171" i="31" s="1"/>
  <c r="R171" i="31" s="1"/>
  <c r="J170" i="31"/>
  <c r="N170" i="31" s="1"/>
  <c r="R170" i="31" s="1"/>
  <c r="J169" i="31"/>
  <c r="N169" i="31" s="1"/>
  <c r="R169" i="31" s="1"/>
  <c r="J168" i="31"/>
  <c r="N168" i="31" s="1"/>
  <c r="R168" i="31" s="1"/>
  <c r="J167" i="31"/>
  <c r="N167" i="31" s="1"/>
  <c r="R167" i="31" s="1"/>
  <c r="J166" i="31"/>
  <c r="N166" i="31" s="1"/>
  <c r="R166" i="31" s="1"/>
  <c r="J163" i="31"/>
  <c r="N163" i="31" s="1"/>
  <c r="R163" i="31" s="1"/>
  <c r="J162" i="31"/>
  <c r="N162" i="31" s="1"/>
  <c r="R162" i="31" s="1"/>
  <c r="J161" i="31"/>
  <c r="N161" i="31" s="1"/>
  <c r="R161" i="31" s="1"/>
  <c r="J160" i="31"/>
  <c r="N160" i="31" s="1"/>
  <c r="R160" i="31" s="1"/>
  <c r="J159" i="31"/>
  <c r="N159" i="31" s="1"/>
  <c r="R159" i="31" s="1"/>
  <c r="J158" i="31"/>
  <c r="N158" i="31" s="1"/>
  <c r="R158" i="31" s="1"/>
  <c r="J157" i="31"/>
  <c r="N157" i="31" s="1"/>
  <c r="R157" i="31" s="1"/>
  <c r="J156" i="31"/>
  <c r="N156" i="31" s="1"/>
  <c r="R156" i="31" s="1"/>
  <c r="J155" i="31"/>
  <c r="N155" i="31" s="1"/>
  <c r="R155" i="31" s="1"/>
  <c r="J154" i="31"/>
  <c r="N154" i="31" s="1"/>
  <c r="R154" i="31" s="1"/>
  <c r="J153" i="31"/>
  <c r="N153" i="31" s="1"/>
  <c r="R153" i="31" s="1"/>
  <c r="J152" i="31"/>
  <c r="N152" i="31" s="1"/>
  <c r="R152" i="31" s="1"/>
  <c r="J149" i="31"/>
  <c r="N149" i="31" s="1"/>
  <c r="R149" i="31" s="1"/>
  <c r="J148" i="31"/>
  <c r="N148" i="31" s="1"/>
  <c r="R148" i="31" s="1"/>
  <c r="J147" i="31"/>
  <c r="N147" i="31" s="1"/>
  <c r="R147" i="31" s="1"/>
  <c r="J146" i="31"/>
  <c r="N146" i="31" s="1"/>
  <c r="R146" i="31" s="1"/>
  <c r="J145" i="31"/>
  <c r="N145" i="31" s="1"/>
  <c r="R145" i="31" s="1"/>
  <c r="J144" i="31"/>
  <c r="N144" i="31" s="1"/>
  <c r="R144" i="31" s="1"/>
  <c r="J143" i="31"/>
  <c r="N143" i="31" s="1"/>
  <c r="R143" i="31" s="1"/>
  <c r="J142" i="31"/>
  <c r="N142" i="31" s="1"/>
  <c r="R142" i="31" s="1"/>
  <c r="J141" i="31"/>
  <c r="N141" i="31" s="1"/>
  <c r="R141" i="31" s="1"/>
  <c r="J140" i="31"/>
  <c r="N140" i="31" s="1"/>
  <c r="R140" i="31" s="1"/>
  <c r="J139" i="31"/>
  <c r="N139" i="31" s="1"/>
  <c r="R139" i="31" s="1"/>
  <c r="J138" i="31"/>
  <c r="N138" i="31" s="1"/>
  <c r="R138" i="31" s="1"/>
  <c r="J135" i="31"/>
  <c r="N135" i="31" s="1"/>
  <c r="R135" i="31" s="1"/>
  <c r="J134" i="31"/>
  <c r="N134" i="31" s="1"/>
  <c r="R134" i="31" s="1"/>
  <c r="J133" i="31"/>
  <c r="N133" i="31" s="1"/>
  <c r="R133" i="31" s="1"/>
  <c r="J132" i="31"/>
  <c r="N132" i="31" s="1"/>
  <c r="R132" i="31" s="1"/>
  <c r="J131" i="31"/>
  <c r="N131" i="31" s="1"/>
  <c r="R131" i="31" s="1"/>
  <c r="J130" i="31"/>
  <c r="N130" i="31" s="1"/>
  <c r="R130" i="31" s="1"/>
  <c r="J129" i="31"/>
  <c r="N129" i="31" s="1"/>
  <c r="R129" i="31" s="1"/>
  <c r="J128" i="31"/>
  <c r="N128" i="31" s="1"/>
  <c r="R128" i="31" s="1"/>
  <c r="J205" i="31"/>
  <c r="N205" i="31" s="1"/>
  <c r="R205" i="31" s="1"/>
  <c r="J204" i="31"/>
  <c r="N204" i="31" s="1"/>
  <c r="R204" i="31" s="1"/>
  <c r="J203" i="31"/>
  <c r="N203" i="31" s="1"/>
  <c r="R203" i="31" s="1"/>
  <c r="J202" i="31"/>
  <c r="N202" i="31" s="1"/>
  <c r="R202" i="31" s="1"/>
  <c r="J201" i="31"/>
  <c r="N201" i="31" s="1"/>
  <c r="R201" i="31" s="1"/>
  <c r="J200" i="31"/>
  <c r="N200" i="31" s="1"/>
  <c r="R200" i="31" s="1"/>
  <c r="J199" i="31"/>
  <c r="N199" i="31" s="1"/>
  <c r="R199" i="31" s="1"/>
  <c r="J198" i="31"/>
  <c r="N198" i="31" s="1"/>
  <c r="R198" i="31" s="1"/>
  <c r="J197" i="31"/>
  <c r="N197" i="31" s="1"/>
  <c r="R197" i="31" s="1"/>
  <c r="J196" i="31"/>
  <c r="N196" i="31" s="1"/>
  <c r="R196" i="31" s="1"/>
  <c r="J195" i="31"/>
  <c r="N195" i="31" s="1"/>
  <c r="R195" i="31" s="1"/>
  <c r="J194" i="31"/>
  <c r="N194" i="31" s="1"/>
  <c r="R194" i="31" s="1"/>
  <c r="J191" i="31"/>
  <c r="N191" i="31" s="1"/>
  <c r="R191" i="31" s="1"/>
  <c r="J190" i="31"/>
  <c r="N190" i="31" s="1"/>
  <c r="R190" i="31" s="1"/>
  <c r="J189" i="31"/>
  <c r="N189" i="31" s="1"/>
  <c r="R189" i="31" s="1"/>
  <c r="J188" i="31"/>
  <c r="N188" i="31" s="1"/>
  <c r="R188" i="31" s="1"/>
  <c r="J187" i="31"/>
  <c r="N187" i="31" s="1"/>
  <c r="R187" i="31" s="1"/>
  <c r="J186" i="31"/>
  <c r="N186" i="31" s="1"/>
  <c r="R186" i="31" s="1"/>
  <c r="J185" i="31"/>
  <c r="N185" i="31" s="1"/>
  <c r="R185" i="31" s="1"/>
  <c r="J184" i="31"/>
  <c r="N184" i="31" s="1"/>
  <c r="R184" i="31" s="1"/>
  <c r="J183" i="31"/>
  <c r="N183" i="31" s="1"/>
  <c r="R183" i="31" s="1"/>
  <c r="J182" i="31"/>
  <c r="N182" i="31" s="1"/>
  <c r="R182" i="31" s="1"/>
  <c r="J181" i="31"/>
  <c r="N181" i="31" s="1"/>
  <c r="R181" i="31" s="1"/>
  <c r="J180" i="31"/>
  <c r="N180" i="31" s="1"/>
  <c r="R180" i="31" s="1"/>
  <c r="J359" i="31"/>
  <c r="J360" i="31"/>
  <c r="J361" i="31"/>
  <c r="J357" i="31"/>
  <c r="J358" i="31"/>
  <c r="R253" i="31"/>
  <c r="K360" i="31"/>
  <c r="K361" i="31"/>
  <c r="K355" i="31"/>
  <c r="K358" i="31"/>
  <c r="K359" i="31"/>
  <c r="K357" i="31"/>
  <c r="J110" i="31"/>
  <c r="N110" i="31" s="1"/>
  <c r="R110" i="31" s="1"/>
  <c r="J111" i="31"/>
  <c r="N111" i="31" s="1"/>
  <c r="R111" i="31" s="1"/>
  <c r="J112" i="31"/>
  <c r="N112" i="31" s="1"/>
  <c r="R112" i="31" s="1"/>
  <c r="J113" i="31"/>
  <c r="N113" i="31" s="1"/>
  <c r="R113" i="31" s="1"/>
  <c r="J114" i="31"/>
  <c r="N114" i="31" s="1"/>
  <c r="R114" i="31" s="1"/>
  <c r="J115" i="31"/>
  <c r="N115" i="31" s="1"/>
  <c r="R115" i="31" s="1"/>
  <c r="J116" i="31"/>
  <c r="N116" i="31" s="1"/>
  <c r="R116" i="31" s="1"/>
  <c r="J117" i="31"/>
  <c r="N117" i="31" s="1"/>
  <c r="R117" i="31" s="1"/>
  <c r="J118" i="31"/>
  <c r="N118" i="31" s="1"/>
  <c r="R118" i="31" s="1"/>
  <c r="J119" i="31"/>
  <c r="N119" i="31" s="1"/>
  <c r="R119" i="31" s="1"/>
  <c r="J120" i="31"/>
  <c r="N120" i="31" s="1"/>
  <c r="R120" i="31" s="1"/>
  <c r="J121" i="31"/>
  <c r="N121" i="31" s="1"/>
  <c r="R121" i="31" s="1"/>
  <c r="J127" i="31"/>
  <c r="N127" i="31" s="1"/>
  <c r="R127" i="31" s="1"/>
  <c r="U89" i="30"/>
  <c r="X89" i="30"/>
  <c r="Y89" i="30" s="1"/>
  <c r="AB89" i="30"/>
  <c r="AC89" i="30" s="1"/>
  <c r="X75" i="30"/>
  <c r="Y75" i="30" s="1"/>
  <c r="AB75" i="30"/>
  <c r="X45" i="30"/>
  <c r="AB45" i="30"/>
  <c r="AC45" i="30" s="1"/>
  <c r="T31" i="30"/>
  <c r="U31" i="30" s="1"/>
  <c r="AB31" i="30"/>
  <c r="AC31" i="30" s="1"/>
  <c r="U45" i="30"/>
  <c r="U75" i="30"/>
  <c r="J163" i="30"/>
  <c r="N163" i="30" s="1"/>
  <c r="R163" i="30" s="1"/>
  <c r="J162" i="30"/>
  <c r="N162" i="30" s="1"/>
  <c r="R162" i="30" s="1"/>
  <c r="J161" i="30"/>
  <c r="N161" i="30" s="1"/>
  <c r="R161" i="30" s="1"/>
  <c r="J160" i="30"/>
  <c r="N160" i="30" s="1"/>
  <c r="R160" i="30" s="1"/>
  <c r="J159" i="30"/>
  <c r="N159" i="30" s="1"/>
  <c r="R159" i="30" s="1"/>
  <c r="J158" i="30"/>
  <c r="N158" i="30" s="1"/>
  <c r="R158" i="30" s="1"/>
  <c r="J157" i="30"/>
  <c r="N157" i="30" s="1"/>
  <c r="R157" i="30" s="1"/>
  <c r="J156" i="30"/>
  <c r="N156" i="30" s="1"/>
  <c r="R156" i="30" s="1"/>
  <c r="J155" i="30"/>
  <c r="N155" i="30" s="1"/>
  <c r="R155" i="30" s="1"/>
  <c r="J154" i="30"/>
  <c r="N154" i="30" s="1"/>
  <c r="R154" i="30" s="1"/>
  <c r="J153" i="30"/>
  <c r="N153" i="30" s="1"/>
  <c r="R153" i="30" s="1"/>
  <c r="J152" i="30"/>
  <c r="N152" i="30" s="1"/>
  <c r="R152" i="30" s="1"/>
  <c r="J205" i="30"/>
  <c r="N205" i="30" s="1"/>
  <c r="R205" i="30" s="1"/>
  <c r="J204" i="30"/>
  <c r="N204" i="30" s="1"/>
  <c r="R204" i="30" s="1"/>
  <c r="J203" i="30"/>
  <c r="N203" i="30" s="1"/>
  <c r="R203" i="30" s="1"/>
  <c r="J202" i="30"/>
  <c r="N202" i="30" s="1"/>
  <c r="R202" i="30" s="1"/>
  <c r="J201" i="30"/>
  <c r="N201" i="30" s="1"/>
  <c r="R201" i="30" s="1"/>
  <c r="J200" i="30"/>
  <c r="N200" i="30" s="1"/>
  <c r="R200" i="30" s="1"/>
  <c r="J199" i="30"/>
  <c r="N199" i="30" s="1"/>
  <c r="R199" i="30" s="1"/>
  <c r="J198" i="30"/>
  <c r="N198" i="30" s="1"/>
  <c r="R198" i="30" s="1"/>
  <c r="J197" i="30"/>
  <c r="N197" i="30" s="1"/>
  <c r="R197" i="30" s="1"/>
  <c r="J196" i="30"/>
  <c r="N196" i="30" s="1"/>
  <c r="R196" i="30" s="1"/>
  <c r="J195" i="30"/>
  <c r="N195" i="30" s="1"/>
  <c r="R195" i="30" s="1"/>
  <c r="J194" i="30"/>
  <c r="N194" i="30" s="1"/>
  <c r="R194" i="30" s="1"/>
  <c r="J134" i="30"/>
  <c r="N134" i="30" s="1"/>
  <c r="R134" i="30" s="1"/>
  <c r="J145" i="30"/>
  <c r="N145" i="30" s="1"/>
  <c r="R145" i="30" s="1"/>
  <c r="J171" i="30"/>
  <c r="N171" i="30" s="1"/>
  <c r="R171" i="30" s="1"/>
  <c r="J185" i="30"/>
  <c r="N185" i="30" s="1"/>
  <c r="R185" i="30" s="1"/>
  <c r="G356" i="30"/>
  <c r="G357" i="30"/>
  <c r="G358" i="30"/>
  <c r="G359" i="30"/>
  <c r="G360" i="30"/>
  <c r="AB17" i="30"/>
  <c r="AC17" i="30" s="1"/>
  <c r="J110" i="30"/>
  <c r="N110" i="30" s="1"/>
  <c r="R110" i="30" s="1"/>
  <c r="J111" i="30"/>
  <c r="N111" i="30" s="1"/>
  <c r="R111" i="30" s="1"/>
  <c r="J112" i="30"/>
  <c r="N112" i="30" s="1"/>
  <c r="R112" i="30" s="1"/>
  <c r="J113" i="30"/>
  <c r="N113" i="30" s="1"/>
  <c r="R113" i="30" s="1"/>
  <c r="J114" i="30"/>
  <c r="N114" i="30" s="1"/>
  <c r="R114" i="30" s="1"/>
  <c r="J115" i="30"/>
  <c r="N115" i="30" s="1"/>
  <c r="R115" i="30" s="1"/>
  <c r="J116" i="30"/>
  <c r="N116" i="30" s="1"/>
  <c r="R116" i="30" s="1"/>
  <c r="J117" i="30"/>
  <c r="N117" i="30" s="1"/>
  <c r="R117" i="30" s="1"/>
  <c r="J118" i="30"/>
  <c r="N118" i="30" s="1"/>
  <c r="R118" i="30" s="1"/>
  <c r="J119" i="30"/>
  <c r="N119" i="30" s="1"/>
  <c r="R119" i="30" s="1"/>
  <c r="J120" i="30"/>
  <c r="N120" i="30" s="1"/>
  <c r="R120" i="30" s="1"/>
  <c r="J121" i="30"/>
  <c r="N121" i="30" s="1"/>
  <c r="R121" i="30" s="1"/>
  <c r="J133" i="30"/>
  <c r="N133" i="30" s="1"/>
  <c r="R133" i="30" s="1"/>
  <c r="J144" i="30"/>
  <c r="N144" i="30" s="1"/>
  <c r="R144" i="30" s="1"/>
  <c r="J168" i="30"/>
  <c r="N168" i="30" s="1"/>
  <c r="R168" i="30" s="1"/>
  <c r="J176" i="30"/>
  <c r="N176" i="30" s="1"/>
  <c r="R176" i="30" s="1"/>
  <c r="J184" i="30"/>
  <c r="N184" i="30" s="1"/>
  <c r="R184" i="30" s="1"/>
  <c r="R314" i="30"/>
  <c r="T60" i="30"/>
  <c r="U60" i="30" s="1"/>
  <c r="AC75" i="30"/>
  <c r="T103" i="30"/>
  <c r="U103" i="30" s="1"/>
  <c r="J126" i="30"/>
  <c r="N126" i="30" s="1"/>
  <c r="R126" i="30" s="1"/>
  <c r="J127" i="30"/>
  <c r="N127" i="30" s="1"/>
  <c r="R127" i="30" s="1"/>
  <c r="J128" i="30"/>
  <c r="N128" i="30" s="1"/>
  <c r="R128" i="30" s="1"/>
  <c r="J129" i="30"/>
  <c r="N129" i="30" s="1"/>
  <c r="R129" i="30" s="1"/>
  <c r="J130" i="30"/>
  <c r="N130" i="30" s="1"/>
  <c r="R130" i="30" s="1"/>
  <c r="J131" i="30"/>
  <c r="N131" i="30" s="1"/>
  <c r="R131" i="30" s="1"/>
  <c r="J142" i="30"/>
  <c r="N142" i="30" s="1"/>
  <c r="R142" i="30" s="1"/>
  <c r="J170" i="30"/>
  <c r="N170" i="30" s="1"/>
  <c r="R170" i="30" s="1"/>
  <c r="J182" i="30"/>
  <c r="N182" i="30" s="1"/>
  <c r="R182" i="30" s="1"/>
  <c r="J190" i="30"/>
  <c r="N190" i="30" s="1"/>
  <c r="R190" i="30" s="1"/>
  <c r="J359" i="30"/>
  <c r="J360" i="30"/>
  <c r="J361" i="30"/>
  <c r="J355" i="30"/>
  <c r="J357" i="30"/>
  <c r="J356" i="30"/>
  <c r="J132" i="30"/>
  <c r="N132" i="30" s="1"/>
  <c r="R132" i="30" s="1"/>
  <c r="Y45" i="30"/>
  <c r="J141" i="30"/>
  <c r="N141" i="30" s="1"/>
  <c r="R141" i="30" s="1"/>
  <c r="J149" i="30"/>
  <c r="N149" i="30" s="1"/>
  <c r="R149" i="30" s="1"/>
  <c r="J167" i="30"/>
  <c r="N167" i="30" s="1"/>
  <c r="R167" i="30" s="1"/>
  <c r="J175" i="30"/>
  <c r="N175" i="30" s="1"/>
  <c r="R175" i="30" s="1"/>
  <c r="J181" i="30"/>
  <c r="N181" i="30" s="1"/>
  <c r="R181" i="30" s="1"/>
  <c r="J189" i="30"/>
  <c r="N189" i="30" s="1"/>
  <c r="R189" i="30" s="1"/>
  <c r="R272" i="30"/>
  <c r="R280" i="30"/>
  <c r="R296" i="30"/>
  <c r="R304" i="30"/>
  <c r="J124" i="30"/>
  <c r="N124" i="30" s="1"/>
  <c r="R124" i="30" s="1"/>
  <c r="J143" i="30"/>
  <c r="N143" i="30" s="1"/>
  <c r="R143" i="30" s="1"/>
  <c r="J183" i="30"/>
  <c r="N183" i="30" s="1"/>
  <c r="R183" i="30" s="1"/>
  <c r="J191" i="30"/>
  <c r="N191" i="30" s="1"/>
  <c r="R191" i="30" s="1"/>
  <c r="T17" i="30"/>
  <c r="U17" i="30" s="1"/>
  <c r="X60" i="30"/>
  <c r="Y60" i="30" s="1"/>
  <c r="X103" i="30"/>
  <c r="Y103" i="30" s="1"/>
  <c r="J140" i="30"/>
  <c r="N140" i="30" s="1"/>
  <c r="R140" i="30" s="1"/>
  <c r="J148" i="30"/>
  <c r="N148" i="30" s="1"/>
  <c r="R148" i="30" s="1"/>
  <c r="J172" i="30"/>
  <c r="N172" i="30" s="1"/>
  <c r="R172" i="30" s="1"/>
  <c r="J180" i="30"/>
  <c r="N180" i="30" s="1"/>
  <c r="R180" i="30" s="1"/>
  <c r="J188" i="30"/>
  <c r="N188" i="30" s="1"/>
  <c r="R188" i="30" s="1"/>
  <c r="K360" i="30"/>
  <c r="K361" i="30"/>
  <c r="K355" i="30"/>
  <c r="K356" i="30"/>
  <c r="K358" i="30"/>
  <c r="J125" i="30"/>
  <c r="N125" i="30" s="1"/>
  <c r="R125" i="30" s="1"/>
  <c r="J139" i="30"/>
  <c r="N139" i="30" s="1"/>
  <c r="R139" i="30" s="1"/>
  <c r="J147" i="30"/>
  <c r="N147" i="30" s="1"/>
  <c r="R147" i="30" s="1"/>
  <c r="J169" i="30"/>
  <c r="N169" i="30" s="1"/>
  <c r="R169" i="30" s="1"/>
  <c r="J177" i="30"/>
  <c r="N177" i="30" s="1"/>
  <c r="R177" i="30" s="1"/>
  <c r="J187" i="30"/>
  <c r="N187" i="30" s="1"/>
  <c r="R187" i="30" s="1"/>
  <c r="R234" i="30"/>
  <c r="R242" i="30" s="1"/>
  <c r="H355" i="30" s="1"/>
  <c r="R282" i="30"/>
  <c r="R290" i="30"/>
  <c r="R308" i="30"/>
  <c r="R316" i="30"/>
  <c r="L333" i="30"/>
  <c r="O333" i="30" s="1"/>
  <c r="O338" i="30" s="1"/>
  <c r="K357" i="30"/>
  <c r="J173" i="30"/>
  <c r="N173" i="30" s="1"/>
  <c r="R173" i="30" s="1"/>
  <c r="J135" i="30"/>
  <c r="N135" i="30" s="1"/>
  <c r="R135" i="30" s="1"/>
  <c r="J138" i="30"/>
  <c r="N138" i="30" s="1"/>
  <c r="R138" i="30" s="1"/>
  <c r="J146" i="30"/>
  <c r="N146" i="30" s="1"/>
  <c r="R146" i="30" s="1"/>
  <c r="J166" i="30"/>
  <c r="N166" i="30" s="1"/>
  <c r="R166" i="30" s="1"/>
  <c r="J174" i="30"/>
  <c r="N174" i="30" s="1"/>
  <c r="R174" i="30" s="1"/>
  <c r="J186" i="30"/>
  <c r="N186" i="30" s="1"/>
  <c r="R186" i="30" s="1"/>
  <c r="R270" i="30"/>
  <c r="R278" i="30"/>
  <c r="R302" i="30"/>
  <c r="G355" i="30"/>
  <c r="G361" i="30"/>
  <c r="K224" i="29"/>
  <c r="G357" i="29" s="1"/>
  <c r="N191" i="29"/>
  <c r="R191" i="29" s="1"/>
  <c r="X89" i="29"/>
  <c r="Y89" i="29" s="1"/>
  <c r="AB75" i="29"/>
  <c r="AC75" i="29" s="1"/>
  <c r="T60" i="29"/>
  <c r="U60" i="29" s="1"/>
  <c r="X60" i="29"/>
  <c r="Y60" i="29" s="1"/>
  <c r="AB45" i="29"/>
  <c r="AC45" i="29" s="1"/>
  <c r="N126" i="29"/>
  <c r="R126" i="29" s="1"/>
  <c r="AC17" i="29"/>
  <c r="AC60" i="29"/>
  <c r="AC103" i="29"/>
  <c r="N181" i="29"/>
  <c r="R181" i="29" s="1"/>
  <c r="N127" i="29"/>
  <c r="R127" i="29" s="1"/>
  <c r="N180" i="29"/>
  <c r="R180" i="29" s="1"/>
  <c r="N188" i="29"/>
  <c r="R188" i="29" s="1"/>
  <c r="J358" i="29"/>
  <c r="AB31" i="29"/>
  <c r="AC31" i="29" s="1"/>
  <c r="R314" i="29"/>
  <c r="T17" i="29"/>
  <c r="U17" i="29" s="1"/>
  <c r="T75" i="29"/>
  <c r="U75" i="29" s="1"/>
  <c r="Y103" i="29"/>
  <c r="J184" i="29"/>
  <c r="N184" i="29" s="1"/>
  <c r="R184" i="29" s="1"/>
  <c r="J190" i="29"/>
  <c r="N190" i="29" s="1"/>
  <c r="R190" i="29" s="1"/>
  <c r="N182" i="29"/>
  <c r="R182" i="29" s="1"/>
  <c r="X17" i="29"/>
  <c r="Y17" i="29" s="1"/>
  <c r="T31" i="29"/>
  <c r="U31" i="29" s="1"/>
  <c r="R248" i="29"/>
  <c r="R260" i="29"/>
  <c r="L335" i="29"/>
  <c r="O335" i="29" s="1"/>
  <c r="K360" i="29"/>
  <c r="K361" i="29"/>
  <c r="K355" i="29"/>
  <c r="K356" i="29"/>
  <c r="K358" i="29"/>
  <c r="N187" i="29"/>
  <c r="R187" i="29" s="1"/>
  <c r="J177" i="29"/>
  <c r="N177" i="29" s="1"/>
  <c r="R177" i="29" s="1"/>
  <c r="J176" i="29"/>
  <c r="N176" i="29" s="1"/>
  <c r="R176" i="29" s="1"/>
  <c r="J175" i="29"/>
  <c r="N175" i="29" s="1"/>
  <c r="R175" i="29" s="1"/>
  <c r="J174" i="29"/>
  <c r="N174" i="29" s="1"/>
  <c r="R174" i="29" s="1"/>
  <c r="J173" i="29"/>
  <c r="N173" i="29" s="1"/>
  <c r="R173" i="29" s="1"/>
  <c r="J172" i="29"/>
  <c r="N172" i="29" s="1"/>
  <c r="R172" i="29" s="1"/>
  <c r="J171" i="29"/>
  <c r="N171" i="29" s="1"/>
  <c r="R171" i="29" s="1"/>
  <c r="J170" i="29"/>
  <c r="N170" i="29" s="1"/>
  <c r="R170" i="29" s="1"/>
  <c r="J169" i="29"/>
  <c r="N169" i="29" s="1"/>
  <c r="R169" i="29" s="1"/>
  <c r="J168" i="29"/>
  <c r="N168" i="29" s="1"/>
  <c r="R168" i="29" s="1"/>
  <c r="J167" i="29"/>
  <c r="N167" i="29" s="1"/>
  <c r="R167" i="29" s="1"/>
  <c r="J166" i="29"/>
  <c r="N166" i="29" s="1"/>
  <c r="R166" i="29" s="1"/>
  <c r="J163" i="29"/>
  <c r="N163" i="29" s="1"/>
  <c r="R163" i="29" s="1"/>
  <c r="J162" i="29"/>
  <c r="N162" i="29" s="1"/>
  <c r="R162" i="29" s="1"/>
  <c r="J161" i="29"/>
  <c r="N161" i="29" s="1"/>
  <c r="R161" i="29" s="1"/>
  <c r="J160" i="29"/>
  <c r="N160" i="29" s="1"/>
  <c r="R160" i="29" s="1"/>
  <c r="J159" i="29"/>
  <c r="N159" i="29" s="1"/>
  <c r="R159" i="29" s="1"/>
  <c r="J158" i="29"/>
  <c r="N158" i="29" s="1"/>
  <c r="R158" i="29" s="1"/>
  <c r="J157" i="29"/>
  <c r="N157" i="29" s="1"/>
  <c r="R157" i="29" s="1"/>
  <c r="J156" i="29"/>
  <c r="N156" i="29" s="1"/>
  <c r="R156" i="29" s="1"/>
  <c r="J155" i="29"/>
  <c r="N155" i="29" s="1"/>
  <c r="R155" i="29" s="1"/>
  <c r="J154" i="29"/>
  <c r="N154" i="29" s="1"/>
  <c r="R154" i="29" s="1"/>
  <c r="J153" i="29"/>
  <c r="N153" i="29" s="1"/>
  <c r="R153" i="29" s="1"/>
  <c r="J152" i="29"/>
  <c r="N152" i="29" s="1"/>
  <c r="R152" i="29" s="1"/>
  <c r="J149" i="29"/>
  <c r="N149" i="29" s="1"/>
  <c r="R149" i="29" s="1"/>
  <c r="J148" i="29"/>
  <c r="N148" i="29" s="1"/>
  <c r="R148" i="29" s="1"/>
  <c r="J147" i="29"/>
  <c r="N147" i="29" s="1"/>
  <c r="R147" i="29" s="1"/>
  <c r="J146" i="29"/>
  <c r="N146" i="29" s="1"/>
  <c r="R146" i="29" s="1"/>
  <c r="J145" i="29"/>
  <c r="N145" i="29" s="1"/>
  <c r="R145" i="29" s="1"/>
  <c r="J144" i="29"/>
  <c r="N144" i="29" s="1"/>
  <c r="R144" i="29" s="1"/>
  <c r="J143" i="29"/>
  <c r="N143" i="29" s="1"/>
  <c r="R143" i="29" s="1"/>
  <c r="J142" i="29"/>
  <c r="N142" i="29" s="1"/>
  <c r="R142" i="29" s="1"/>
  <c r="J141" i="29"/>
  <c r="N141" i="29" s="1"/>
  <c r="R141" i="29" s="1"/>
  <c r="J140" i="29"/>
  <c r="N140" i="29" s="1"/>
  <c r="R140" i="29" s="1"/>
  <c r="J139" i="29"/>
  <c r="N139" i="29" s="1"/>
  <c r="R139" i="29" s="1"/>
  <c r="J138" i="29"/>
  <c r="N138" i="29" s="1"/>
  <c r="R138" i="29" s="1"/>
  <c r="J135" i="29"/>
  <c r="N135" i="29" s="1"/>
  <c r="R135" i="29" s="1"/>
  <c r="J134" i="29"/>
  <c r="N134" i="29" s="1"/>
  <c r="R134" i="29" s="1"/>
  <c r="J133" i="29"/>
  <c r="N133" i="29" s="1"/>
  <c r="R133" i="29" s="1"/>
  <c r="J132" i="29"/>
  <c r="N132" i="29" s="1"/>
  <c r="R132" i="29" s="1"/>
  <c r="J131" i="29"/>
  <c r="N131" i="29" s="1"/>
  <c r="R131" i="29" s="1"/>
  <c r="J205" i="29"/>
  <c r="N205" i="29" s="1"/>
  <c r="R205" i="29" s="1"/>
  <c r="J204" i="29"/>
  <c r="N204" i="29" s="1"/>
  <c r="R204" i="29" s="1"/>
  <c r="J203" i="29"/>
  <c r="N203" i="29" s="1"/>
  <c r="R203" i="29" s="1"/>
  <c r="J202" i="29"/>
  <c r="N202" i="29" s="1"/>
  <c r="R202" i="29" s="1"/>
  <c r="J201" i="29"/>
  <c r="N201" i="29" s="1"/>
  <c r="R201" i="29" s="1"/>
  <c r="J200" i="29"/>
  <c r="N200" i="29" s="1"/>
  <c r="R200" i="29" s="1"/>
  <c r="J199" i="29"/>
  <c r="N199" i="29" s="1"/>
  <c r="R199" i="29" s="1"/>
  <c r="J198" i="29"/>
  <c r="N198" i="29" s="1"/>
  <c r="R198" i="29" s="1"/>
  <c r="J197" i="29"/>
  <c r="N197" i="29" s="1"/>
  <c r="R197" i="29" s="1"/>
  <c r="J196" i="29"/>
  <c r="N196" i="29" s="1"/>
  <c r="R196" i="29" s="1"/>
  <c r="J195" i="29"/>
  <c r="N195" i="29" s="1"/>
  <c r="R195" i="29" s="1"/>
  <c r="J194" i="29"/>
  <c r="N194" i="29" s="1"/>
  <c r="R194" i="29" s="1"/>
  <c r="J186" i="29"/>
  <c r="N186" i="29" s="1"/>
  <c r="R186" i="29" s="1"/>
  <c r="J189" i="29"/>
  <c r="N189" i="29" s="1"/>
  <c r="R189" i="29" s="1"/>
  <c r="O333" i="29"/>
  <c r="J359" i="29"/>
  <c r="J360" i="29"/>
  <c r="J361" i="29"/>
  <c r="J355" i="29"/>
  <c r="J357" i="29"/>
  <c r="J110" i="29"/>
  <c r="N110" i="29" s="1"/>
  <c r="R110" i="29" s="1"/>
  <c r="J111" i="29"/>
  <c r="N111" i="29" s="1"/>
  <c r="R111" i="29" s="1"/>
  <c r="J112" i="29"/>
  <c r="N112" i="29" s="1"/>
  <c r="R112" i="29" s="1"/>
  <c r="J113" i="29"/>
  <c r="N113" i="29" s="1"/>
  <c r="R113" i="29" s="1"/>
  <c r="J114" i="29"/>
  <c r="N114" i="29" s="1"/>
  <c r="R114" i="29" s="1"/>
  <c r="J115" i="29"/>
  <c r="N115" i="29" s="1"/>
  <c r="R115" i="29" s="1"/>
  <c r="J116" i="29"/>
  <c r="N116" i="29" s="1"/>
  <c r="R116" i="29" s="1"/>
  <c r="J117" i="29"/>
  <c r="N117" i="29" s="1"/>
  <c r="R117" i="29" s="1"/>
  <c r="J118" i="29"/>
  <c r="N118" i="29" s="1"/>
  <c r="R118" i="29" s="1"/>
  <c r="J119" i="29"/>
  <c r="N119" i="29" s="1"/>
  <c r="R119" i="29" s="1"/>
  <c r="J120" i="29"/>
  <c r="N120" i="29" s="1"/>
  <c r="R120" i="29" s="1"/>
  <c r="J121" i="29"/>
  <c r="N121" i="29" s="1"/>
  <c r="R121" i="29" s="1"/>
  <c r="J183" i="29"/>
  <c r="N183" i="29" s="1"/>
  <c r="R183" i="29" s="1"/>
  <c r="R270" i="29"/>
  <c r="R278" i="29"/>
  <c r="R302" i="29"/>
  <c r="Y31" i="27"/>
  <c r="R231" i="27"/>
  <c r="R235" i="27"/>
  <c r="R239" i="27"/>
  <c r="R244" i="27"/>
  <c r="R298" i="27"/>
  <c r="R306" i="27"/>
  <c r="R311" i="27"/>
  <c r="R315" i="27"/>
  <c r="R319" i="27"/>
  <c r="L332" i="27"/>
  <c r="O332" i="27" s="1"/>
  <c r="R240" i="27"/>
  <c r="R245" i="27"/>
  <c r="L326" i="27"/>
  <c r="O326" i="27" s="1"/>
  <c r="K224" i="27"/>
  <c r="G358" i="27" s="1"/>
  <c r="R274" i="27"/>
  <c r="R283" i="27"/>
  <c r="R287" i="27"/>
  <c r="R291" i="27"/>
  <c r="L335" i="27"/>
  <c r="O335" i="27" s="1"/>
  <c r="R258" i="27"/>
  <c r="L333" i="27"/>
  <c r="O333" i="27" s="1"/>
  <c r="AC75" i="27"/>
  <c r="J127" i="27"/>
  <c r="N127" i="27" s="1"/>
  <c r="R127" i="27" s="1"/>
  <c r="R292" i="27"/>
  <c r="L331" i="27"/>
  <c r="O331" i="27" s="1"/>
  <c r="AC60" i="27"/>
  <c r="R230" i="27"/>
  <c r="R234" i="27"/>
  <c r="R238" i="27"/>
  <c r="R243" i="27"/>
  <c r="R259" i="27"/>
  <c r="R297" i="27"/>
  <c r="R301" i="27"/>
  <c r="R305" i="27"/>
  <c r="R310" i="27"/>
  <c r="R318" i="27"/>
  <c r="L329" i="27"/>
  <c r="O329" i="27" s="1"/>
  <c r="L334" i="27"/>
  <c r="O334" i="27" s="1"/>
  <c r="T103" i="27"/>
  <c r="U103" i="27" s="1"/>
  <c r="X89" i="27"/>
  <c r="Y89" i="27" s="1"/>
  <c r="T60" i="27"/>
  <c r="U60" i="27" s="1"/>
  <c r="X45" i="27"/>
  <c r="Y45" i="27" s="1"/>
  <c r="AB31" i="27"/>
  <c r="AC31" i="27" s="1"/>
  <c r="S103" i="25"/>
  <c r="T103" i="25" s="1"/>
  <c r="AA103" i="25"/>
  <c r="AB103" i="25" s="1"/>
  <c r="W89" i="25"/>
  <c r="X89" i="25" s="1"/>
  <c r="S60" i="25"/>
  <c r="T60" i="25" s="1"/>
  <c r="AA60" i="25"/>
  <c r="AB60" i="25" s="1"/>
  <c r="W45" i="25"/>
  <c r="AB31" i="25"/>
  <c r="W17" i="25"/>
  <c r="X17" i="25"/>
  <c r="N126" i="25"/>
  <c r="R126" i="25" s="1"/>
  <c r="N133" i="25"/>
  <c r="R133" i="25" s="1"/>
  <c r="N127" i="25"/>
  <c r="R127" i="25" s="1"/>
  <c r="N129" i="25"/>
  <c r="R129" i="25" s="1"/>
  <c r="N186" i="27"/>
  <c r="R186" i="27" s="1"/>
  <c r="U89" i="27"/>
  <c r="AC17" i="27"/>
  <c r="U45" i="27"/>
  <c r="J187" i="27"/>
  <c r="N187" i="27" s="1"/>
  <c r="R187" i="27" s="1"/>
  <c r="R304" i="27"/>
  <c r="R316" i="27"/>
  <c r="J126" i="27"/>
  <c r="N126" i="27" s="1"/>
  <c r="R126" i="27" s="1"/>
  <c r="J129" i="27"/>
  <c r="N129" i="27" s="1"/>
  <c r="R129" i="27" s="1"/>
  <c r="J131" i="27"/>
  <c r="N131" i="27" s="1"/>
  <c r="R131" i="27" s="1"/>
  <c r="T17" i="27"/>
  <c r="U17" i="27" s="1"/>
  <c r="AB45" i="27"/>
  <c r="AC45" i="27" s="1"/>
  <c r="X60" i="27"/>
  <c r="Y60" i="27" s="1"/>
  <c r="AB89" i="27"/>
  <c r="AC89" i="27" s="1"/>
  <c r="X103" i="27"/>
  <c r="Y103" i="27" s="1"/>
  <c r="J181" i="27"/>
  <c r="N181" i="27" s="1"/>
  <c r="R181" i="27" s="1"/>
  <c r="J184" i="27"/>
  <c r="N184" i="27" s="1"/>
  <c r="R184" i="27" s="1"/>
  <c r="J190" i="27"/>
  <c r="N190" i="27" s="1"/>
  <c r="R190" i="27" s="1"/>
  <c r="J359" i="27"/>
  <c r="J360" i="27"/>
  <c r="J361" i="27"/>
  <c r="J355" i="27"/>
  <c r="J357" i="27"/>
  <c r="J358" i="27"/>
  <c r="T75" i="27"/>
  <c r="U75" i="27" s="1"/>
  <c r="K360" i="27"/>
  <c r="K361" i="27"/>
  <c r="K355" i="27"/>
  <c r="K356" i="27"/>
  <c r="K358" i="27"/>
  <c r="X17" i="27"/>
  <c r="Y17" i="27" s="1"/>
  <c r="T31" i="27"/>
  <c r="U31" i="27" s="1"/>
  <c r="J180" i="27"/>
  <c r="N180" i="27" s="1"/>
  <c r="R180" i="27" s="1"/>
  <c r="R272" i="27"/>
  <c r="R280" i="27"/>
  <c r="R302" i="27"/>
  <c r="R314" i="27"/>
  <c r="K359" i="27"/>
  <c r="J177" i="27"/>
  <c r="N177" i="27" s="1"/>
  <c r="R177" i="27" s="1"/>
  <c r="J176" i="27"/>
  <c r="N176" i="27" s="1"/>
  <c r="R176" i="27" s="1"/>
  <c r="J175" i="27"/>
  <c r="N175" i="27" s="1"/>
  <c r="R175" i="27" s="1"/>
  <c r="J174" i="27"/>
  <c r="N174" i="27" s="1"/>
  <c r="R174" i="27" s="1"/>
  <c r="J173" i="27"/>
  <c r="N173" i="27" s="1"/>
  <c r="R173" i="27" s="1"/>
  <c r="J172" i="27"/>
  <c r="N172" i="27" s="1"/>
  <c r="R172" i="27" s="1"/>
  <c r="J171" i="27"/>
  <c r="N171" i="27" s="1"/>
  <c r="R171" i="27" s="1"/>
  <c r="J170" i="27"/>
  <c r="N170" i="27" s="1"/>
  <c r="R170" i="27" s="1"/>
  <c r="J169" i="27"/>
  <c r="N169" i="27" s="1"/>
  <c r="R169" i="27" s="1"/>
  <c r="J168" i="27"/>
  <c r="N168" i="27" s="1"/>
  <c r="R168" i="27" s="1"/>
  <c r="J167" i="27"/>
  <c r="N167" i="27" s="1"/>
  <c r="R167" i="27" s="1"/>
  <c r="J166" i="27"/>
  <c r="N166" i="27" s="1"/>
  <c r="R166" i="27" s="1"/>
  <c r="J163" i="27"/>
  <c r="N163" i="27" s="1"/>
  <c r="R163" i="27" s="1"/>
  <c r="J162" i="27"/>
  <c r="N162" i="27" s="1"/>
  <c r="R162" i="27" s="1"/>
  <c r="J161" i="27"/>
  <c r="N161" i="27" s="1"/>
  <c r="R161" i="27" s="1"/>
  <c r="J160" i="27"/>
  <c r="N160" i="27" s="1"/>
  <c r="R160" i="27" s="1"/>
  <c r="J159" i="27"/>
  <c r="N159" i="27" s="1"/>
  <c r="R159" i="27" s="1"/>
  <c r="J158" i="27"/>
  <c r="N158" i="27" s="1"/>
  <c r="R158" i="27" s="1"/>
  <c r="J157" i="27"/>
  <c r="N157" i="27" s="1"/>
  <c r="R157" i="27" s="1"/>
  <c r="J156" i="27"/>
  <c r="N156" i="27" s="1"/>
  <c r="R156" i="27" s="1"/>
  <c r="J155" i="27"/>
  <c r="N155" i="27" s="1"/>
  <c r="R155" i="27" s="1"/>
  <c r="J154" i="27"/>
  <c r="N154" i="27" s="1"/>
  <c r="R154" i="27" s="1"/>
  <c r="J153" i="27"/>
  <c r="N153" i="27" s="1"/>
  <c r="R153" i="27" s="1"/>
  <c r="J152" i="27"/>
  <c r="N152" i="27" s="1"/>
  <c r="R152" i="27" s="1"/>
  <c r="J149" i="27"/>
  <c r="N149" i="27" s="1"/>
  <c r="R149" i="27" s="1"/>
  <c r="J148" i="27"/>
  <c r="N148" i="27" s="1"/>
  <c r="R148" i="27" s="1"/>
  <c r="J147" i="27"/>
  <c r="N147" i="27" s="1"/>
  <c r="R147" i="27" s="1"/>
  <c r="J146" i="27"/>
  <c r="N146" i="27" s="1"/>
  <c r="R146" i="27" s="1"/>
  <c r="J145" i="27"/>
  <c r="N145" i="27" s="1"/>
  <c r="R145" i="27" s="1"/>
  <c r="J144" i="27"/>
  <c r="N144" i="27" s="1"/>
  <c r="R144" i="27" s="1"/>
  <c r="J143" i="27"/>
  <c r="N143" i="27" s="1"/>
  <c r="R143" i="27" s="1"/>
  <c r="J142" i="27"/>
  <c r="N142" i="27" s="1"/>
  <c r="R142" i="27" s="1"/>
  <c r="J141" i="27"/>
  <c r="N141" i="27" s="1"/>
  <c r="R141" i="27" s="1"/>
  <c r="J140" i="27"/>
  <c r="N140" i="27" s="1"/>
  <c r="R140" i="27" s="1"/>
  <c r="J139" i="27"/>
  <c r="N139" i="27" s="1"/>
  <c r="R139" i="27" s="1"/>
  <c r="J138" i="27"/>
  <c r="N138" i="27" s="1"/>
  <c r="R138" i="27" s="1"/>
  <c r="J135" i="27"/>
  <c r="N135" i="27" s="1"/>
  <c r="R135" i="27" s="1"/>
  <c r="J134" i="27"/>
  <c r="N134" i="27" s="1"/>
  <c r="R134" i="27" s="1"/>
  <c r="J133" i="27"/>
  <c r="N133" i="27" s="1"/>
  <c r="R133" i="27" s="1"/>
  <c r="J132" i="27"/>
  <c r="N132" i="27" s="1"/>
  <c r="R132" i="27" s="1"/>
  <c r="J205" i="27"/>
  <c r="N205" i="27" s="1"/>
  <c r="R205" i="27" s="1"/>
  <c r="J204" i="27"/>
  <c r="N204" i="27" s="1"/>
  <c r="R204" i="27" s="1"/>
  <c r="J203" i="27"/>
  <c r="N203" i="27" s="1"/>
  <c r="R203" i="27" s="1"/>
  <c r="J202" i="27"/>
  <c r="N202" i="27" s="1"/>
  <c r="R202" i="27" s="1"/>
  <c r="J201" i="27"/>
  <c r="N201" i="27" s="1"/>
  <c r="R201" i="27" s="1"/>
  <c r="J200" i="27"/>
  <c r="N200" i="27" s="1"/>
  <c r="R200" i="27" s="1"/>
  <c r="J199" i="27"/>
  <c r="N199" i="27" s="1"/>
  <c r="R199" i="27" s="1"/>
  <c r="J198" i="27"/>
  <c r="N198" i="27" s="1"/>
  <c r="R198" i="27" s="1"/>
  <c r="J197" i="27"/>
  <c r="N197" i="27" s="1"/>
  <c r="R197" i="27" s="1"/>
  <c r="J196" i="27"/>
  <c r="N196" i="27" s="1"/>
  <c r="R196" i="27" s="1"/>
  <c r="J195" i="27"/>
  <c r="N195" i="27" s="1"/>
  <c r="R195" i="27" s="1"/>
  <c r="J194" i="27"/>
  <c r="N194" i="27" s="1"/>
  <c r="R194" i="27" s="1"/>
  <c r="J183" i="27"/>
  <c r="N183" i="27" s="1"/>
  <c r="R183" i="27" s="1"/>
  <c r="J189" i="27"/>
  <c r="N189" i="27" s="1"/>
  <c r="R189" i="27" s="1"/>
  <c r="J128" i="27"/>
  <c r="N128" i="27" s="1"/>
  <c r="R128" i="27" s="1"/>
  <c r="J130" i="27"/>
  <c r="N130" i="27" s="1"/>
  <c r="R130" i="27" s="1"/>
  <c r="J182" i="27"/>
  <c r="N182" i="27" s="1"/>
  <c r="R182" i="27" s="1"/>
  <c r="X75" i="27"/>
  <c r="Y75" i="27" s="1"/>
  <c r="J110" i="27"/>
  <c r="N110" i="27" s="1"/>
  <c r="R110" i="27" s="1"/>
  <c r="J111" i="27"/>
  <c r="N111" i="27" s="1"/>
  <c r="R111" i="27" s="1"/>
  <c r="J112" i="27"/>
  <c r="N112" i="27" s="1"/>
  <c r="R112" i="27" s="1"/>
  <c r="J113" i="27"/>
  <c r="N113" i="27" s="1"/>
  <c r="R113" i="27" s="1"/>
  <c r="J114" i="27"/>
  <c r="N114" i="27" s="1"/>
  <c r="R114" i="27" s="1"/>
  <c r="J115" i="27"/>
  <c r="N115" i="27" s="1"/>
  <c r="R115" i="27" s="1"/>
  <c r="J116" i="27"/>
  <c r="N116" i="27" s="1"/>
  <c r="R116" i="27" s="1"/>
  <c r="J117" i="27"/>
  <c r="N117" i="27" s="1"/>
  <c r="R117" i="27" s="1"/>
  <c r="J118" i="27"/>
  <c r="N118" i="27" s="1"/>
  <c r="R118" i="27" s="1"/>
  <c r="J119" i="27"/>
  <c r="N119" i="27" s="1"/>
  <c r="R119" i="27" s="1"/>
  <c r="J120" i="27"/>
  <c r="N120" i="27" s="1"/>
  <c r="R120" i="27" s="1"/>
  <c r="J121" i="27"/>
  <c r="N121" i="27" s="1"/>
  <c r="R121" i="27" s="1"/>
  <c r="R282" i="27"/>
  <c r="J124" i="27"/>
  <c r="N124" i="27" s="1"/>
  <c r="R124" i="27" s="1"/>
  <c r="J125" i="27"/>
  <c r="N125" i="27" s="1"/>
  <c r="R125" i="27" s="1"/>
  <c r="J185" i="27"/>
  <c r="N185" i="27" s="1"/>
  <c r="R185" i="27" s="1"/>
  <c r="J188" i="27"/>
  <c r="N188" i="27" s="1"/>
  <c r="R188" i="27" s="1"/>
  <c r="J191" i="27"/>
  <c r="N191" i="27" s="1"/>
  <c r="R191" i="27" s="1"/>
  <c r="R254" i="27"/>
  <c r="R266" i="27"/>
  <c r="R270" i="27"/>
  <c r="R278" i="27"/>
  <c r="J359" i="25"/>
  <c r="J361" i="25"/>
  <c r="J356" i="25"/>
  <c r="J358" i="25"/>
  <c r="J360" i="25"/>
  <c r="J357" i="25"/>
  <c r="J355" i="25"/>
  <c r="X75" i="25"/>
  <c r="K360" i="25"/>
  <c r="K361" i="25"/>
  <c r="K355" i="25"/>
  <c r="K357" i="25"/>
  <c r="K359" i="25"/>
  <c r="K356" i="25"/>
  <c r="K358" i="25"/>
  <c r="N202" i="25"/>
  <c r="R202" i="25" s="1"/>
  <c r="AA17" i="25"/>
  <c r="AB17" i="25" s="1"/>
  <c r="S45" i="25"/>
  <c r="T45" i="25" s="1"/>
  <c r="S89" i="25"/>
  <c r="T89" i="25" s="1"/>
  <c r="J110" i="25"/>
  <c r="N110" i="25" s="1"/>
  <c r="R110" i="25" s="1"/>
  <c r="J111" i="25"/>
  <c r="N111" i="25" s="1"/>
  <c r="R111" i="25" s="1"/>
  <c r="J112" i="25"/>
  <c r="N112" i="25" s="1"/>
  <c r="R112" i="25" s="1"/>
  <c r="J113" i="25"/>
  <c r="N113" i="25" s="1"/>
  <c r="R113" i="25" s="1"/>
  <c r="J114" i="25"/>
  <c r="N114" i="25" s="1"/>
  <c r="R114" i="25" s="1"/>
  <c r="J115" i="25"/>
  <c r="N115" i="25" s="1"/>
  <c r="R115" i="25" s="1"/>
  <c r="J116" i="25"/>
  <c r="N116" i="25" s="1"/>
  <c r="R116" i="25" s="1"/>
  <c r="J117" i="25"/>
  <c r="N117" i="25" s="1"/>
  <c r="R117" i="25" s="1"/>
  <c r="J118" i="25"/>
  <c r="N118" i="25" s="1"/>
  <c r="R118" i="25" s="1"/>
  <c r="J119" i="25"/>
  <c r="N119" i="25" s="1"/>
  <c r="R119" i="25" s="1"/>
  <c r="J120" i="25"/>
  <c r="N120" i="25" s="1"/>
  <c r="R120" i="25" s="1"/>
  <c r="J121" i="25"/>
  <c r="N121" i="25" s="1"/>
  <c r="R121" i="25" s="1"/>
  <c r="J197" i="25"/>
  <c r="N197" i="25" s="1"/>
  <c r="R197" i="25" s="1"/>
  <c r="J201" i="25"/>
  <c r="N201" i="25" s="1"/>
  <c r="R201" i="25" s="1"/>
  <c r="J205" i="25"/>
  <c r="N205" i="25" s="1"/>
  <c r="R205" i="25" s="1"/>
  <c r="Q265" i="25"/>
  <c r="X31" i="25"/>
  <c r="AA75" i="25"/>
  <c r="AB75" i="25" s="1"/>
  <c r="J124" i="25"/>
  <c r="N124" i="25" s="1"/>
  <c r="R124" i="25" s="1"/>
  <c r="J125" i="25"/>
  <c r="N125" i="25" s="1"/>
  <c r="R125" i="25" s="1"/>
  <c r="J156" i="25"/>
  <c r="N156" i="25" s="1"/>
  <c r="R156" i="25" s="1"/>
  <c r="J160" i="25"/>
  <c r="N160" i="25" s="1"/>
  <c r="R160" i="25" s="1"/>
  <c r="Q244" i="25"/>
  <c r="Q276" i="25"/>
  <c r="Q301" i="25"/>
  <c r="Q313" i="25"/>
  <c r="X45" i="25"/>
  <c r="J154" i="25"/>
  <c r="N154" i="25" s="1"/>
  <c r="R154" i="25" s="1"/>
  <c r="J159" i="25"/>
  <c r="N159" i="25" s="1"/>
  <c r="R159" i="25" s="1"/>
  <c r="J163" i="25"/>
  <c r="N163" i="25" s="1"/>
  <c r="R163" i="25" s="1"/>
  <c r="Q256" i="25"/>
  <c r="Q263" i="25"/>
  <c r="Q269" i="25"/>
  <c r="J153" i="25"/>
  <c r="N153" i="25" s="1"/>
  <c r="R153" i="25" s="1"/>
  <c r="J195" i="25"/>
  <c r="N195" i="25" s="1"/>
  <c r="R195" i="25" s="1"/>
  <c r="J199" i="25"/>
  <c r="N199" i="25" s="1"/>
  <c r="R199" i="25" s="1"/>
  <c r="J203" i="25"/>
  <c r="N203" i="25" s="1"/>
  <c r="R203" i="25" s="1"/>
  <c r="N200" i="25"/>
  <c r="R200" i="25" s="1"/>
  <c r="T17" i="25"/>
  <c r="S75" i="25"/>
  <c r="T75" i="25" s="1"/>
  <c r="J152" i="25"/>
  <c r="N152" i="25" s="1"/>
  <c r="R152" i="25" s="1"/>
  <c r="J158" i="25"/>
  <c r="N158" i="25" s="1"/>
  <c r="R158" i="25" s="1"/>
  <c r="J162" i="25"/>
  <c r="N162" i="25" s="1"/>
  <c r="R162" i="25" s="1"/>
  <c r="Q231" i="25"/>
  <c r="Q241" i="25"/>
  <c r="Q253" i="25"/>
  <c r="Q264" i="25"/>
  <c r="Q287" i="25"/>
  <c r="J194" i="25"/>
  <c r="N194" i="25" s="1"/>
  <c r="R194" i="25" s="1"/>
  <c r="J198" i="25"/>
  <c r="N198" i="25" s="1"/>
  <c r="R198" i="25" s="1"/>
  <c r="K224" i="25"/>
  <c r="L332" i="25"/>
  <c r="N332" i="25" s="1"/>
  <c r="J177" i="25"/>
  <c r="N177" i="25" s="1"/>
  <c r="R177" i="25" s="1"/>
  <c r="J176" i="25"/>
  <c r="N176" i="25" s="1"/>
  <c r="R176" i="25" s="1"/>
  <c r="J175" i="25"/>
  <c r="N175" i="25" s="1"/>
  <c r="R175" i="25" s="1"/>
  <c r="J174" i="25"/>
  <c r="N174" i="25" s="1"/>
  <c r="R174" i="25" s="1"/>
  <c r="J173" i="25"/>
  <c r="N173" i="25" s="1"/>
  <c r="R173" i="25" s="1"/>
  <c r="J172" i="25"/>
  <c r="N172" i="25" s="1"/>
  <c r="R172" i="25" s="1"/>
  <c r="J171" i="25"/>
  <c r="N171" i="25" s="1"/>
  <c r="R171" i="25" s="1"/>
  <c r="J170" i="25"/>
  <c r="N170" i="25" s="1"/>
  <c r="R170" i="25" s="1"/>
  <c r="J169" i="25"/>
  <c r="N169" i="25" s="1"/>
  <c r="R169" i="25" s="1"/>
  <c r="J168" i="25"/>
  <c r="N168" i="25" s="1"/>
  <c r="R168" i="25" s="1"/>
  <c r="J167" i="25"/>
  <c r="N167" i="25" s="1"/>
  <c r="R167" i="25" s="1"/>
  <c r="J166" i="25"/>
  <c r="N166" i="25" s="1"/>
  <c r="R166" i="25" s="1"/>
  <c r="J149" i="25"/>
  <c r="N149" i="25" s="1"/>
  <c r="R149" i="25" s="1"/>
  <c r="J148" i="25"/>
  <c r="N148" i="25" s="1"/>
  <c r="R148" i="25" s="1"/>
  <c r="J147" i="25"/>
  <c r="N147" i="25" s="1"/>
  <c r="R147" i="25" s="1"/>
  <c r="J146" i="25"/>
  <c r="N146" i="25" s="1"/>
  <c r="R146" i="25" s="1"/>
  <c r="J145" i="25"/>
  <c r="N145" i="25" s="1"/>
  <c r="R145" i="25" s="1"/>
  <c r="J144" i="25"/>
  <c r="N144" i="25" s="1"/>
  <c r="R144" i="25" s="1"/>
  <c r="J143" i="25"/>
  <c r="N143" i="25" s="1"/>
  <c r="R143" i="25" s="1"/>
  <c r="J142" i="25"/>
  <c r="N142" i="25" s="1"/>
  <c r="R142" i="25" s="1"/>
  <c r="J141" i="25"/>
  <c r="N141" i="25" s="1"/>
  <c r="R141" i="25" s="1"/>
  <c r="J140" i="25"/>
  <c r="N140" i="25" s="1"/>
  <c r="R140" i="25" s="1"/>
  <c r="J139" i="25"/>
  <c r="N139" i="25" s="1"/>
  <c r="R139" i="25" s="1"/>
  <c r="J138" i="25"/>
  <c r="N138" i="25" s="1"/>
  <c r="R138" i="25" s="1"/>
  <c r="J135" i="25"/>
  <c r="N135" i="25" s="1"/>
  <c r="R135" i="25" s="1"/>
  <c r="J134" i="25"/>
  <c r="N134" i="25" s="1"/>
  <c r="R134" i="25" s="1"/>
  <c r="J191" i="25"/>
  <c r="N191" i="25" s="1"/>
  <c r="R191" i="25" s="1"/>
  <c r="J190" i="25"/>
  <c r="N190" i="25" s="1"/>
  <c r="R190" i="25" s="1"/>
  <c r="J189" i="25"/>
  <c r="N189" i="25" s="1"/>
  <c r="R189" i="25" s="1"/>
  <c r="J188" i="25"/>
  <c r="N188" i="25" s="1"/>
  <c r="R188" i="25" s="1"/>
  <c r="J187" i="25"/>
  <c r="N187" i="25" s="1"/>
  <c r="R187" i="25" s="1"/>
  <c r="J186" i="25"/>
  <c r="N186" i="25" s="1"/>
  <c r="R186" i="25" s="1"/>
  <c r="J185" i="25"/>
  <c r="N185" i="25" s="1"/>
  <c r="R185" i="25" s="1"/>
  <c r="J184" i="25"/>
  <c r="N184" i="25" s="1"/>
  <c r="R184" i="25" s="1"/>
  <c r="J183" i="25"/>
  <c r="N183" i="25" s="1"/>
  <c r="R183" i="25" s="1"/>
  <c r="J182" i="25"/>
  <c r="N182" i="25" s="1"/>
  <c r="R182" i="25" s="1"/>
  <c r="J181" i="25"/>
  <c r="N181" i="25" s="1"/>
  <c r="R181" i="25" s="1"/>
  <c r="J180" i="25"/>
  <c r="N180" i="25" s="1"/>
  <c r="R180" i="25" s="1"/>
  <c r="J157" i="25"/>
  <c r="N157" i="25" s="1"/>
  <c r="R157" i="25" s="1"/>
  <c r="J161" i="25"/>
  <c r="N161" i="25" s="1"/>
  <c r="R161" i="25" s="1"/>
  <c r="R307" i="31" l="1"/>
  <c r="H360" i="31" s="1"/>
  <c r="O338" i="31"/>
  <c r="R294" i="31"/>
  <c r="H359" i="31" s="1"/>
  <c r="R242" i="31"/>
  <c r="H355" i="31" s="1"/>
  <c r="R255" i="31"/>
  <c r="H356" i="31" s="1"/>
  <c r="R281" i="31"/>
  <c r="H358" i="31" s="1"/>
  <c r="R268" i="31"/>
  <c r="H357" i="31" s="1"/>
  <c r="R268" i="30"/>
  <c r="H357" i="30" s="1"/>
  <c r="R255" i="30"/>
  <c r="H356" i="30" s="1"/>
  <c r="R281" i="30"/>
  <c r="H358" i="30" s="1"/>
  <c r="R268" i="29"/>
  <c r="H357" i="29" s="1"/>
  <c r="R294" i="29"/>
  <c r="H359" i="29" s="1"/>
  <c r="R242" i="29"/>
  <c r="H355" i="29" s="1"/>
  <c r="Q307" i="25"/>
  <c r="H360" i="25" s="1"/>
  <c r="N338" i="25"/>
  <c r="R242" i="27"/>
  <c r="H355" i="27" s="1"/>
  <c r="R192" i="27"/>
  <c r="O336" i="33"/>
  <c r="I359" i="33" s="1"/>
  <c r="L359" i="33" s="1"/>
  <c r="AD101" i="33" s="1"/>
  <c r="AE101" i="33" s="1"/>
  <c r="Q292" i="33"/>
  <c r="R320" i="31"/>
  <c r="H361" i="31" s="1"/>
  <c r="R255" i="29"/>
  <c r="H356" i="29" s="1"/>
  <c r="O338" i="29"/>
  <c r="I359" i="29" s="1"/>
  <c r="L359" i="29" s="1"/>
  <c r="AD75" i="29" s="1"/>
  <c r="AE75" i="29" s="1"/>
  <c r="G356" i="29"/>
  <c r="R307" i="29"/>
  <c r="H360" i="29" s="1"/>
  <c r="R281" i="29"/>
  <c r="H358" i="29" s="1"/>
  <c r="G355" i="29"/>
  <c r="G361" i="29"/>
  <c r="R320" i="29"/>
  <c r="H361" i="29" s="1"/>
  <c r="G360" i="29"/>
  <c r="R164" i="27"/>
  <c r="R122" i="27"/>
  <c r="R206" i="27"/>
  <c r="R150" i="27"/>
  <c r="R178" i="27"/>
  <c r="O338" i="27"/>
  <c r="I357" i="27" s="1"/>
  <c r="R136" i="27"/>
  <c r="Q294" i="25"/>
  <c r="H359" i="25" s="1"/>
  <c r="Q320" i="25"/>
  <c r="H361" i="25" s="1"/>
  <c r="Q242" i="25"/>
  <c r="H355" i="25" s="1"/>
  <c r="Q255" i="25"/>
  <c r="H356" i="25" s="1"/>
  <c r="Q318" i="33"/>
  <c r="Q305" i="33"/>
  <c r="Q279" i="33"/>
  <c r="Q266" i="33"/>
  <c r="Q253" i="33"/>
  <c r="H353" i="33"/>
  <c r="Q240" i="33"/>
  <c r="R148" i="33"/>
  <c r="I357" i="33"/>
  <c r="I358" i="33"/>
  <c r="L358" i="33" s="1"/>
  <c r="AD87" i="33" s="1"/>
  <c r="AE87" i="33" s="1"/>
  <c r="I355" i="33"/>
  <c r="L355" i="33" s="1"/>
  <c r="AD45" i="33" s="1"/>
  <c r="AE45" i="33" s="1"/>
  <c r="R176" i="33"/>
  <c r="R162" i="33"/>
  <c r="H357" i="33"/>
  <c r="R120" i="33"/>
  <c r="R204" i="33"/>
  <c r="R134" i="33"/>
  <c r="R190" i="33"/>
  <c r="R253" i="32"/>
  <c r="H354" i="32" s="1"/>
  <c r="R240" i="32"/>
  <c r="H353" i="32" s="1"/>
  <c r="R162" i="32"/>
  <c r="R120" i="32"/>
  <c r="R190" i="32"/>
  <c r="L358" i="32"/>
  <c r="AD87" i="32" s="1"/>
  <c r="AE87" i="32" s="1"/>
  <c r="R148" i="32"/>
  <c r="R176" i="32"/>
  <c r="I356" i="32"/>
  <c r="I357" i="32"/>
  <c r="L357" i="32" s="1"/>
  <c r="AD73" i="32" s="1"/>
  <c r="AE73" i="32" s="1"/>
  <c r="I358" i="32"/>
  <c r="I359" i="32"/>
  <c r="L359" i="32" s="1"/>
  <c r="AD101" i="32" s="1"/>
  <c r="AE101" i="32" s="1"/>
  <c r="I353" i="32"/>
  <c r="I355" i="32"/>
  <c r="L355" i="32" s="1"/>
  <c r="AD45" i="32" s="1"/>
  <c r="AE45" i="32" s="1"/>
  <c r="I354" i="32"/>
  <c r="R204" i="32"/>
  <c r="L356" i="32"/>
  <c r="AD59" i="32" s="1"/>
  <c r="AE59" i="32" s="1"/>
  <c r="R134" i="32"/>
  <c r="R164" i="31"/>
  <c r="I358" i="31"/>
  <c r="I359" i="31"/>
  <c r="I360" i="31"/>
  <c r="I361" i="31"/>
  <c r="I356" i="31"/>
  <c r="I357" i="31"/>
  <c r="I355" i="31"/>
  <c r="R122" i="31"/>
  <c r="R206" i="31"/>
  <c r="R136" i="31"/>
  <c r="R192" i="31"/>
  <c r="R150" i="31"/>
  <c r="R178" i="31"/>
  <c r="G356" i="31"/>
  <c r="G357" i="31"/>
  <c r="G358" i="31"/>
  <c r="G359" i="31"/>
  <c r="G355" i="31"/>
  <c r="L355" i="31" s="1"/>
  <c r="AD17" i="31" s="1"/>
  <c r="AE17" i="31" s="1"/>
  <c r="G361" i="31"/>
  <c r="G360" i="31"/>
  <c r="R320" i="30"/>
  <c r="H361" i="30" s="1"/>
  <c r="R307" i="30"/>
  <c r="H360" i="30" s="1"/>
  <c r="R178" i="30"/>
  <c r="I358" i="30"/>
  <c r="L358" i="30" s="1"/>
  <c r="AD60" i="30" s="1"/>
  <c r="AE60" i="30" s="1"/>
  <c r="I359" i="30"/>
  <c r="I360" i="30"/>
  <c r="I361" i="30"/>
  <c r="I356" i="30"/>
  <c r="L356" i="30" s="1"/>
  <c r="AD31" i="30" s="1"/>
  <c r="AE31" i="30" s="1"/>
  <c r="I357" i="30"/>
  <c r="I355" i="30"/>
  <c r="L355" i="30" s="1"/>
  <c r="AD17" i="30" s="1"/>
  <c r="AE17" i="30" s="1"/>
  <c r="R150" i="30"/>
  <c r="R294" i="30"/>
  <c r="H359" i="30" s="1"/>
  <c r="R192" i="30"/>
  <c r="R136" i="30"/>
  <c r="R122" i="30"/>
  <c r="R164" i="30"/>
  <c r="R206" i="30"/>
  <c r="G359" i="29"/>
  <c r="G358" i="29"/>
  <c r="R164" i="29"/>
  <c r="R136" i="29"/>
  <c r="G357" i="27"/>
  <c r="G356" i="27"/>
  <c r="L357" i="29"/>
  <c r="AD45" i="29" s="1"/>
  <c r="AE45" i="29" s="1"/>
  <c r="I358" i="29"/>
  <c r="I361" i="29"/>
  <c r="I356" i="29"/>
  <c r="I357" i="29"/>
  <c r="I355" i="29"/>
  <c r="R206" i="29"/>
  <c r="R150" i="29"/>
  <c r="R178" i="29"/>
  <c r="R122" i="29"/>
  <c r="R192" i="29"/>
  <c r="G355" i="27"/>
  <c r="G361" i="27"/>
  <c r="R281" i="27"/>
  <c r="H358" i="27" s="1"/>
  <c r="R294" i="27"/>
  <c r="H359" i="27" s="1"/>
  <c r="G360" i="27"/>
  <c r="R268" i="27"/>
  <c r="H357" i="27" s="1"/>
  <c r="G359" i="27"/>
  <c r="R255" i="27"/>
  <c r="H356" i="27" s="1"/>
  <c r="R320" i="27"/>
  <c r="H361" i="27" s="1"/>
  <c r="R307" i="27"/>
  <c r="H360" i="27" s="1"/>
  <c r="I358" i="25"/>
  <c r="I360" i="25"/>
  <c r="I361" i="25"/>
  <c r="I355" i="25"/>
  <c r="I357" i="25"/>
  <c r="I359" i="25"/>
  <c r="I356" i="25"/>
  <c r="Q268" i="25"/>
  <c r="H357" i="25" s="1"/>
  <c r="G356" i="25"/>
  <c r="G358" i="25"/>
  <c r="G359" i="25"/>
  <c r="G361" i="25"/>
  <c r="G355" i="25"/>
  <c r="G360" i="25"/>
  <c r="G357" i="25"/>
  <c r="R192" i="25"/>
  <c r="F360" i="25" s="1"/>
  <c r="R122" i="25"/>
  <c r="F355" i="25" s="1"/>
  <c r="R206" i="25"/>
  <c r="F361" i="25" s="1"/>
  <c r="R164" i="25"/>
  <c r="F358" i="25" s="1"/>
  <c r="R150" i="25"/>
  <c r="F357" i="25" s="1"/>
  <c r="R178" i="25"/>
  <c r="F359" i="25" s="1"/>
  <c r="Q281" i="25"/>
  <c r="H358" i="25" s="1"/>
  <c r="R136" i="25"/>
  <c r="F356" i="25" s="1"/>
  <c r="L359" i="31" l="1"/>
  <c r="AD75" i="31" s="1"/>
  <c r="AE75" i="31" s="1"/>
  <c r="AF75" i="31" s="1"/>
  <c r="AG75" i="31" s="1"/>
  <c r="AI75" i="31" s="1"/>
  <c r="L357" i="30"/>
  <c r="AD45" i="30" s="1"/>
  <c r="AE45" i="30" s="1"/>
  <c r="AF45" i="30" s="1"/>
  <c r="AG45" i="30" s="1"/>
  <c r="AI45" i="30" s="1"/>
  <c r="L359" i="30"/>
  <c r="AD75" i="30" s="1"/>
  <c r="AE75" i="30" s="1"/>
  <c r="L360" i="30"/>
  <c r="AD89" i="30" s="1"/>
  <c r="AE89" i="30" s="1"/>
  <c r="AF89" i="30" s="1"/>
  <c r="AG89" i="30" s="1"/>
  <c r="AI89" i="30" s="1"/>
  <c r="L361" i="30"/>
  <c r="AD103" i="30" s="1"/>
  <c r="AE103" i="30" s="1"/>
  <c r="AF103" i="30" s="1"/>
  <c r="AG103" i="30" s="1"/>
  <c r="AI103" i="30" s="1"/>
  <c r="L358" i="29"/>
  <c r="AD60" i="29" s="1"/>
  <c r="AE60" i="29" s="1"/>
  <c r="AF60" i="29" s="1"/>
  <c r="AG60" i="29" s="1"/>
  <c r="AI60" i="29" s="1"/>
  <c r="AI61" i="29" s="1"/>
  <c r="L356" i="29"/>
  <c r="AD31" i="29" s="1"/>
  <c r="AE31" i="29" s="1"/>
  <c r="AF31" i="29" s="1"/>
  <c r="AG31" i="29" s="1"/>
  <c r="AI31" i="29" s="1"/>
  <c r="I360" i="29"/>
  <c r="L360" i="29"/>
  <c r="AD89" i="29" s="1"/>
  <c r="AE89" i="29" s="1"/>
  <c r="L361" i="29"/>
  <c r="AD103" i="29" s="1"/>
  <c r="AE103" i="29" s="1"/>
  <c r="AF103" i="29" s="1"/>
  <c r="AG103" i="29" s="1"/>
  <c r="AI103" i="29" s="1"/>
  <c r="I355" i="27"/>
  <c r="I356" i="27"/>
  <c r="I360" i="27"/>
  <c r="I359" i="27"/>
  <c r="I358" i="27"/>
  <c r="I361" i="27"/>
  <c r="L359" i="25"/>
  <c r="AC75" i="25" s="1"/>
  <c r="AD75" i="25" s="1"/>
  <c r="L361" i="25"/>
  <c r="AC103" i="25" s="1"/>
  <c r="AD103" i="25" s="1"/>
  <c r="I356" i="33"/>
  <c r="L356" i="33" s="1"/>
  <c r="AD59" i="33" s="1"/>
  <c r="AE59" i="33" s="1"/>
  <c r="AF59" i="33" s="1"/>
  <c r="AG59" i="33" s="1"/>
  <c r="AI59" i="33" s="1"/>
  <c r="I354" i="33"/>
  <c r="L354" i="33" s="1"/>
  <c r="AD31" i="33" s="1"/>
  <c r="AE31" i="33" s="1"/>
  <c r="AF31" i="33" s="1"/>
  <c r="AG31" i="33" s="1"/>
  <c r="AI31" i="33" s="1"/>
  <c r="I353" i="33"/>
  <c r="L353" i="33" s="1"/>
  <c r="AD17" i="33" s="1"/>
  <c r="AE17" i="33" s="1"/>
  <c r="AF17" i="33" s="1"/>
  <c r="AG17" i="33" s="1"/>
  <c r="AI17" i="33" s="1"/>
  <c r="L357" i="33"/>
  <c r="AD73" i="33" s="1"/>
  <c r="AE73" i="33" s="1"/>
  <c r="AF73" i="33" s="1"/>
  <c r="AG73" i="33" s="1"/>
  <c r="AI73" i="33" s="1"/>
  <c r="L354" i="32"/>
  <c r="AD31" i="32" s="1"/>
  <c r="AE31" i="32" s="1"/>
  <c r="AF31" i="32" s="1"/>
  <c r="AG31" i="32" s="1"/>
  <c r="AI31" i="32" s="1"/>
  <c r="L358" i="31"/>
  <c r="AD60" i="31" s="1"/>
  <c r="AE60" i="31" s="1"/>
  <c r="AF60" i="31" s="1"/>
  <c r="AG60" i="31" s="1"/>
  <c r="AI60" i="31" s="1"/>
  <c r="AI61" i="31" s="1"/>
  <c r="L355" i="29"/>
  <c r="AF17" i="29" s="1"/>
  <c r="AG17" i="29" s="1"/>
  <c r="AI17" i="29" s="1"/>
  <c r="L359" i="27"/>
  <c r="AD75" i="27" s="1"/>
  <c r="AE75" i="27" s="1"/>
  <c r="L356" i="25"/>
  <c r="AC31" i="25" s="1"/>
  <c r="AD31" i="25" s="1"/>
  <c r="AE31" i="25" s="1"/>
  <c r="AF31" i="25" s="1"/>
  <c r="AH31" i="25" s="1"/>
  <c r="AF87" i="33"/>
  <c r="AG87" i="33" s="1"/>
  <c r="AI87" i="33" s="1"/>
  <c r="AF45" i="33"/>
  <c r="AG45" i="33" s="1"/>
  <c r="AI45" i="33" s="1"/>
  <c r="AF101" i="33"/>
  <c r="AG101" i="33" s="1"/>
  <c r="AI101" i="33" s="1"/>
  <c r="L353" i="32"/>
  <c r="AD17" i="32" s="1"/>
  <c r="AE17" i="32" s="1"/>
  <c r="AF17" i="32" s="1"/>
  <c r="AG17" i="32" s="1"/>
  <c r="AI17" i="32" s="1"/>
  <c r="AF73" i="32"/>
  <c r="AG73" i="32" s="1"/>
  <c r="AI73" i="32" s="1"/>
  <c r="AF101" i="32"/>
  <c r="AG101" i="32" s="1"/>
  <c r="AI101" i="32" s="1"/>
  <c r="AF59" i="32"/>
  <c r="AG59" i="32" s="1"/>
  <c r="AI59" i="32" s="1"/>
  <c r="AF45" i="32"/>
  <c r="AG45" i="32" s="1"/>
  <c r="AI45" i="32" s="1"/>
  <c r="AF87" i="32"/>
  <c r="AG87" i="32" s="1"/>
  <c r="AI87" i="32" s="1"/>
  <c r="AF17" i="31"/>
  <c r="AG17" i="31" s="1"/>
  <c r="AI17" i="31" s="1"/>
  <c r="L360" i="31"/>
  <c r="AD89" i="31" s="1"/>
  <c r="AE89" i="31" s="1"/>
  <c r="AD103" i="31"/>
  <c r="AE103" i="31" s="1"/>
  <c r="L357" i="31"/>
  <c r="AD45" i="31" s="1"/>
  <c r="AE45" i="31" s="1"/>
  <c r="L356" i="31"/>
  <c r="AD31" i="31" s="1"/>
  <c r="AE31" i="31" s="1"/>
  <c r="AF60" i="30"/>
  <c r="AG60" i="30" s="1"/>
  <c r="AI60" i="30" s="1"/>
  <c r="AI61" i="30" s="1"/>
  <c r="AF75" i="30"/>
  <c r="AG75" i="30" s="1"/>
  <c r="AI75" i="30" s="1"/>
  <c r="AF31" i="30"/>
  <c r="AG31" i="30" s="1"/>
  <c r="AI31" i="30" s="1"/>
  <c r="AF17" i="30"/>
  <c r="AG17" i="30" s="1"/>
  <c r="AI17" i="30" s="1"/>
  <c r="L360" i="27"/>
  <c r="AD89" i="27" s="1"/>
  <c r="AE89" i="27" s="1"/>
  <c r="AF89" i="27" s="1"/>
  <c r="AG89" i="27" s="1"/>
  <c r="AI89" i="27" s="1"/>
  <c r="L355" i="27"/>
  <c r="AD17" i="27" s="1"/>
  <c r="AE17" i="27" s="1"/>
  <c r="AF17" i="27" s="1"/>
  <c r="AG17" i="27" s="1"/>
  <c r="AI17" i="27" s="1"/>
  <c r="AF75" i="29"/>
  <c r="AG75" i="29" s="1"/>
  <c r="AI75" i="29" s="1"/>
  <c r="AF45" i="29"/>
  <c r="AG45" i="29" s="1"/>
  <c r="AI45" i="29" s="1"/>
  <c r="AF89" i="29"/>
  <c r="AG89" i="29" s="1"/>
  <c r="AI89" i="29" s="1"/>
  <c r="L356" i="27"/>
  <c r="AD31" i="27" s="1"/>
  <c r="AE31" i="27" s="1"/>
  <c r="AF31" i="27" s="1"/>
  <c r="AG31" i="27" s="1"/>
  <c r="AI31" i="27" s="1"/>
  <c r="L357" i="27"/>
  <c r="AD45" i="27" s="1"/>
  <c r="AE45" i="27" s="1"/>
  <c r="L358" i="27"/>
  <c r="AD60" i="27" s="1"/>
  <c r="AE60" i="27" s="1"/>
  <c r="L361" i="27"/>
  <c r="AD103" i="27" s="1"/>
  <c r="AE103" i="27" s="1"/>
  <c r="AE75" i="25"/>
  <c r="AF75" i="25" s="1"/>
  <c r="AH75" i="25" s="1"/>
  <c r="L357" i="25"/>
  <c r="AC45" i="25" s="1"/>
  <c r="AD45" i="25" s="1"/>
  <c r="L358" i="25"/>
  <c r="AC60" i="25" s="1"/>
  <c r="AD60" i="25" s="1"/>
  <c r="L355" i="25"/>
  <c r="AC17" i="25" s="1"/>
  <c r="AD17" i="25" s="1"/>
  <c r="AE103" i="25"/>
  <c r="AF103" i="25" s="1"/>
  <c r="AH103" i="25" s="1"/>
  <c r="L360" i="25"/>
  <c r="AC89" i="25" s="1"/>
  <c r="AD89" i="25" s="1"/>
  <c r="AI46" i="30" l="1"/>
  <c r="AI46" i="29"/>
  <c r="AI104" i="30"/>
  <c r="AI104" i="29"/>
  <c r="AF103" i="31"/>
  <c r="AG103" i="31" s="1"/>
  <c r="AI103" i="31" s="1"/>
  <c r="AF89" i="31"/>
  <c r="AG89" i="31" s="1"/>
  <c r="AI89" i="31" s="1"/>
  <c r="AF31" i="31"/>
  <c r="AG31" i="31" s="1"/>
  <c r="AI31" i="31" s="1"/>
  <c r="AF45" i="31"/>
  <c r="AG45" i="31" s="1"/>
  <c r="AI45" i="31" s="1"/>
  <c r="AF60" i="27"/>
  <c r="AG60" i="27" s="1"/>
  <c r="AI60" i="27" s="1"/>
  <c r="AI61" i="27" s="1"/>
  <c r="AF75" i="27"/>
  <c r="AG75" i="27" s="1"/>
  <c r="AI75" i="27" s="1"/>
  <c r="AF45" i="27"/>
  <c r="AG45" i="27" s="1"/>
  <c r="AI45" i="27" s="1"/>
  <c r="AI46" i="27" s="1"/>
  <c r="AF103" i="27"/>
  <c r="AG103" i="27" s="1"/>
  <c r="AI103" i="27" s="1"/>
  <c r="AE17" i="25"/>
  <c r="AF17" i="25" s="1"/>
  <c r="AH17" i="25" s="1"/>
  <c r="AE89" i="25"/>
  <c r="AF89" i="25" s="1"/>
  <c r="AH89" i="25" s="1"/>
  <c r="AH104" i="25" s="1"/>
  <c r="AE60" i="25"/>
  <c r="AF60" i="25" s="1"/>
  <c r="AH60" i="25" s="1"/>
  <c r="AH61" i="25" s="1"/>
  <c r="AE45" i="25"/>
  <c r="AF45" i="25" s="1"/>
  <c r="AH45" i="25" s="1"/>
  <c r="AI104" i="31" l="1"/>
  <c r="AI46" i="31"/>
  <c r="AI104" i="27"/>
  <c r="P241" i="17"/>
  <c r="L241" i="17"/>
  <c r="M241" i="17" s="1"/>
  <c r="O241" i="17" s="1"/>
  <c r="P240" i="17"/>
  <c r="L240" i="17"/>
  <c r="M240" i="17" s="1"/>
  <c r="O240" i="17" s="1"/>
  <c r="P239" i="17"/>
  <c r="L239" i="17"/>
  <c r="M239" i="17" s="1"/>
  <c r="O239" i="17" s="1"/>
  <c r="Q239" i="17" s="1"/>
  <c r="P238" i="17"/>
  <c r="L238" i="17"/>
  <c r="M238" i="17" s="1"/>
  <c r="O238" i="17" s="1"/>
  <c r="Q238" i="17" s="1"/>
  <c r="P237" i="17"/>
  <c r="L237" i="17"/>
  <c r="M237" i="17" s="1"/>
  <c r="O237" i="17" s="1"/>
  <c r="P236" i="17"/>
  <c r="L236" i="17"/>
  <c r="M236" i="17" s="1"/>
  <c r="O236" i="17" s="1"/>
  <c r="P235" i="17"/>
  <c r="L235" i="17"/>
  <c r="M235" i="17" s="1"/>
  <c r="O235" i="17" s="1"/>
  <c r="Q235" i="17" s="1"/>
  <c r="P234" i="17"/>
  <c r="L234" i="17"/>
  <c r="M234" i="17" s="1"/>
  <c r="O234" i="17" s="1"/>
  <c r="Q234" i="17" s="1"/>
  <c r="P233" i="17"/>
  <c r="L233" i="17"/>
  <c r="M233" i="17" s="1"/>
  <c r="O233" i="17" s="1"/>
  <c r="P232" i="17"/>
  <c r="L232" i="17"/>
  <c r="M232" i="17" s="1"/>
  <c r="O232" i="17" s="1"/>
  <c r="P231" i="17"/>
  <c r="L231" i="17"/>
  <c r="M231" i="17" s="1"/>
  <c r="O231" i="17" s="1"/>
  <c r="Q231" i="17" s="1"/>
  <c r="P230" i="17"/>
  <c r="L230" i="17"/>
  <c r="M230" i="17" s="1"/>
  <c r="O230" i="17" s="1"/>
  <c r="Q230" i="17" s="1"/>
  <c r="Q121" i="17"/>
  <c r="L121" i="17"/>
  <c r="H121" i="17"/>
  <c r="I121" i="17" s="1"/>
  <c r="M121" i="17" s="1"/>
  <c r="Q120" i="17"/>
  <c r="L120" i="17"/>
  <c r="H120" i="17"/>
  <c r="I120" i="17" s="1"/>
  <c r="M120" i="17" s="1"/>
  <c r="Q119" i="17"/>
  <c r="L119" i="17"/>
  <c r="H119" i="17"/>
  <c r="I119" i="17" s="1"/>
  <c r="M119" i="17" s="1"/>
  <c r="Q118" i="17"/>
  <c r="L118" i="17"/>
  <c r="H118" i="17"/>
  <c r="I118" i="17" s="1"/>
  <c r="M118" i="17" s="1"/>
  <c r="Q117" i="17"/>
  <c r="L117" i="17"/>
  <c r="H117" i="17"/>
  <c r="I117" i="17" s="1"/>
  <c r="M117" i="17" s="1"/>
  <c r="Q116" i="17"/>
  <c r="L116" i="17"/>
  <c r="H116" i="17"/>
  <c r="I116" i="17" s="1"/>
  <c r="M116" i="17" s="1"/>
  <c r="Q115" i="17"/>
  <c r="L115" i="17"/>
  <c r="H115" i="17"/>
  <c r="I115" i="17" s="1"/>
  <c r="M115" i="17" s="1"/>
  <c r="Q114" i="17"/>
  <c r="L114" i="17"/>
  <c r="H114" i="17"/>
  <c r="I114" i="17" s="1"/>
  <c r="M114" i="17" s="1"/>
  <c r="Q113" i="17"/>
  <c r="L113" i="17"/>
  <c r="H113" i="17"/>
  <c r="I113" i="17" s="1"/>
  <c r="M113" i="17" s="1"/>
  <c r="Q112" i="17"/>
  <c r="L112" i="17"/>
  <c r="H112" i="17"/>
  <c r="I112" i="17" s="1"/>
  <c r="M112" i="17" s="1"/>
  <c r="Q111" i="17"/>
  <c r="L111" i="17"/>
  <c r="H111" i="17"/>
  <c r="I111" i="17" s="1"/>
  <c r="M111" i="17" s="1"/>
  <c r="Q110" i="17"/>
  <c r="L110" i="17"/>
  <c r="H110" i="17"/>
  <c r="I110" i="17" s="1"/>
  <c r="M110" i="17" s="1"/>
  <c r="G349" i="17"/>
  <c r="H349" i="17" s="1"/>
  <c r="H350" i="17" s="1"/>
  <c r="K356" i="17" s="1"/>
  <c r="J343" i="17"/>
  <c r="K343" i="17" s="1"/>
  <c r="K344" i="17" s="1"/>
  <c r="J357" i="17" s="1"/>
  <c r="M337" i="17"/>
  <c r="M336" i="17"/>
  <c r="M335" i="17"/>
  <c r="M334" i="17"/>
  <c r="M333" i="17"/>
  <c r="M332" i="17"/>
  <c r="M331" i="17"/>
  <c r="M330" i="17"/>
  <c r="M329" i="17"/>
  <c r="M328" i="17"/>
  <c r="M327" i="17"/>
  <c r="M326" i="17"/>
  <c r="K327" i="17"/>
  <c r="K328" i="17"/>
  <c r="K329" i="17"/>
  <c r="K330" i="17"/>
  <c r="K331" i="17"/>
  <c r="K332" i="17"/>
  <c r="K333" i="17"/>
  <c r="K334" i="17"/>
  <c r="K335" i="17"/>
  <c r="K336" i="17"/>
  <c r="K337" i="17"/>
  <c r="I327" i="17"/>
  <c r="I328" i="17"/>
  <c r="I329" i="17"/>
  <c r="I330" i="17"/>
  <c r="I331" i="17"/>
  <c r="I332" i="17"/>
  <c r="I333" i="17"/>
  <c r="I334" i="17"/>
  <c r="I335" i="17"/>
  <c r="I336" i="17"/>
  <c r="I337" i="17"/>
  <c r="K326" i="17"/>
  <c r="I326" i="17"/>
  <c r="P319" i="17"/>
  <c r="L319" i="17"/>
  <c r="M319" i="17" s="1"/>
  <c r="O319" i="17" s="1"/>
  <c r="P318" i="17"/>
  <c r="L318" i="17"/>
  <c r="M318" i="17" s="1"/>
  <c r="O318" i="17" s="1"/>
  <c r="P317" i="17"/>
  <c r="L317" i="17"/>
  <c r="M317" i="17" s="1"/>
  <c r="O317" i="17" s="1"/>
  <c r="P316" i="17"/>
  <c r="L316" i="17"/>
  <c r="M316" i="17" s="1"/>
  <c r="O316" i="17" s="1"/>
  <c r="P315" i="17"/>
  <c r="L315" i="17"/>
  <c r="M315" i="17" s="1"/>
  <c r="O315" i="17" s="1"/>
  <c r="P314" i="17"/>
  <c r="L314" i="17"/>
  <c r="M314" i="17" s="1"/>
  <c r="O314" i="17" s="1"/>
  <c r="P313" i="17"/>
  <c r="L313" i="17"/>
  <c r="M313" i="17" s="1"/>
  <c r="O313" i="17" s="1"/>
  <c r="P312" i="17"/>
  <c r="L312" i="17"/>
  <c r="M312" i="17" s="1"/>
  <c r="O312" i="17" s="1"/>
  <c r="P311" i="17"/>
  <c r="L311" i="17"/>
  <c r="M311" i="17" s="1"/>
  <c r="O311" i="17" s="1"/>
  <c r="P310" i="17"/>
  <c r="L310" i="17"/>
  <c r="M310" i="17" s="1"/>
  <c r="O310" i="17" s="1"/>
  <c r="P309" i="17"/>
  <c r="L309" i="17"/>
  <c r="M309" i="17" s="1"/>
  <c r="O309" i="17" s="1"/>
  <c r="P308" i="17"/>
  <c r="L308" i="17"/>
  <c r="M308" i="17" s="1"/>
  <c r="O308" i="17" s="1"/>
  <c r="P306" i="17"/>
  <c r="L306" i="17"/>
  <c r="M306" i="17" s="1"/>
  <c r="O306" i="17" s="1"/>
  <c r="P305" i="17"/>
  <c r="L305" i="17"/>
  <c r="M305" i="17" s="1"/>
  <c r="O305" i="17" s="1"/>
  <c r="P304" i="17"/>
  <c r="L304" i="17"/>
  <c r="M304" i="17" s="1"/>
  <c r="O304" i="17" s="1"/>
  <c r="P303" i="17"/>
  <c r="L303" i="17"/>
  <c r="M303" i="17" s="1"/>
  <c r="O303" i="17" s="1"/>
  <c r="P302" i="17"/>
  <c r="L302" i="17"/>
  <c r="M302" i="17" s="1"/>
  <c r="O302" i="17" s="1"/>
  <c r="P301" i="17"/>
  <c r="L301" i="17"/>
  <c r="M301" i="17" s="1"/>
  <c r="O301" i="17" s="1"/>
  <c r="P300" i="17"/>
  <c r="L300" i="17"/>
  <c r="M300" i="17" s="1"/>
  <c r="O300" i="17" s="1"/>
  <c r="P299" i="17"/>
  <c r="L299" i="17"/>
  <c r="M299" i="17" s="1"/>
  <c r="O299" i="17" s="1"/>
  <c r="P298" i="17"/>
  <c r="L298" i="17"/>
  <c r="M298" i="17" s="1"/>
  <c r="O298" i="17" s="1"/>
  <c r="P297" i="17"/>
  <c r="L297" i="17"/>
  <c r="M297" i="17" s="1"/>
  <c r="O297" i="17" s="1"/>
  <c r="P296" i="17"/>
  <c r="L296" i="17"/>
  <c r="M296" i="17" s="1"/>
  <c r="O296" i="17" s="1"/>
  <c r="P295" i="17"/>
  <c r="L295" i="17"/>
  <c r="M295" i="17" s="1"/>
  <c r="O295" i="17" s="1"/>
  <c r="P293" i="17"/>
  <c r="L293" i="17"/>
  <c r="M293" i="17" s="1"/>
  <c r="O293" i="17" s="1"/>
  <c r="P292" i="17"/>
  <c r="L292" i="17"/>
  <c r="M292" i="17" s="1"/>
  <c r="O292" i="17" s="1"/>
  <c r="P291" i="17"/>
  <c r="L291" i="17"/>
  <c r="M291" i="17" s="1"/>
  <c r="O291" i="17" s="1"/>
  <c r="P290" i="17"/>
  <c r="L290" i="17"/>
  <c r="M290" i="17" s="1"/>
  <c r="O290" i="17" s="1"/>
  <c r="P289" i="17"/>
  <c r="L289" i="17"/>
  <c r="M289" i="17" s="1"/>
  <c r="O289" i="17" s="1"/>
  <c r="P288" i="17"/>
  <c r="L288" i="17"/>
  <c r="M288" i="17" s="1"/>
  <c r="O288" i="17" s="1"/>
  <c r="P287" i="17"/>
  <c r="L287" i="17"/>
  <c r="M287" i="17" s="1"/>
  <c r="O287" i="17" s="1"/>
  <c r="P286" i="17"/>
  <c r="L286" i="17"/>
  <c r="M286" i="17" s="1"/>
  <c r="O286" i="17" s="1"/>
  <c r="P285" i="17"/>
  <c r="L285" i="17"/>
  <c r="M285" i="17" s="1"/>
  <c r="O285" i="17" s="1"/>
  <c r="P284" i="17"/>
  <c r="L284" i="17"/>
  <c r="M284" i="17" s="1"/>
  <c r="O284" i="17" s="1"/>
  <c r="P283" i="17"/>
  <c r="L283" i="17"/>
  <c r="M283" i="17" s="1"/>
  <c r="O283" i="17" s="1"/>
  <c r="P282" i="17"/>
  <c r="L282" i="17"/>
  <c r="M282" i="17" s="1"/>
  <c r="O282" i="17" s="1"/>
  <c r="P280" i="17"/>
  <c r="L280" i="17"/>
  <c r="M280" i="17" s="1"/>
  <c r="O280" i="17" s="1"/>
  <c r="P279" i="17"/>
  <c r="L279" i="17"/>
  <c r="M279" i="17" s="1"/>
  <c r="O279" i="17" s="1"/>
  <c r="P278" i="17"/>
  <c r="L278" i="17"/>
  <c r="M278" i="17" s="1"/>
  <c r="O278" i="17" s="1"/>
  <c r="P277" i="17"/>
  <c r="L277" i="17"/>
  <c r="M277" i="17" s="1"/>
  <c r="O277" i="17" s="1"/>
  <c r="P276" i="17"/>
  <c r="L276" i="17"/>
  <c r="M276" i="17" s="1"/>
  <c r="O276" i="17" s="1"/>
  <c r="P275" i="17"/>
  <c r="L275" i="17"/>
  <c r="M275" i="17" s="1"/>
  <c r="O275" i="17" s="1"/>
  <c r="P274" i="17"/>
  <c r="L274" i="17"/>
  <c r="M274" i="17" s="1"/>
  <c r="O274" i="17" s="1"/>
  <c r="P273" i="17"/>
  <c r="L273" i="17"/>
  <c r="M273" i="17" s="1"/>
  <c r="O273" i="17" s="1"/>
  <c r="P272" i="17"/>
  <c r="L272" i="17"/>
  <c r="M272" i="17" s="1"/>
  <c r="O272" i="17" s="1"/>
  <c r="P271" i="17"/>
  <c r="L271" i="17"/>
  <c r="M271" i="17" s="1"/>
  <c r="O271" i="17" s="1"/>
  <c r="P270" i="17"/>
  <c r="L270" i="17"/>
  <c r="M270" i="17" s="1"/>
  <c r="O270" i="17" s="1"/>
  <c r="P269" i="17"/>
  <c r="L269" i="17"/>
  <c r="M269" i="17" s="1"/>
  <c r="O269" i="17" s="1"/>
  <c r="P267" i="17"/>
  <c r="L267" i="17"/>
  <c r="M267" i="17" s="1"/>
  <c r="O267" i="17" s="1"/>
  <c r="P266" i="17"/>
  <c r="L266" i="17"/>
  <c r="M266" i="17" s="1"/>
  <c r="O266" i="17" s="1"/>
  <c r="P265" i="17"/>
  <c r="L265" i="17"/>
  <c r="M265" i="17" s="1"/>
  <c r="O265" i="17" s="1"/>
  <c r="P264" i="17"/>
  <c r="L264" i="17"/>
  <c r="M264" i="17" s="1"/>
  <c r="O264" i="17" s="1"/>
  <c r="P263" i="17"/>
  <c r="L263" i="17"/>
  <c r="M263" i="17" s="1"/>
  <c r="O263" i="17" s="1"/>
  <c r="P262" i="17"/>
  <c r="L262" i="17"/>
  <c r="M262" i="17" s="1"/>
  <c r="O262" i="17" s="1"/>
  <c r="P261" i="17"/>
  <c r="L261" i="17"/>
  <c r="M261" i="17" s="1"/>
  <c r="O261" i="17" s="1"/>
  <c r="P260" i="17"/>
  <c r="L260" i="17"/>
  <c r="M260" i="17" s="1"/>
  <c r="O260" i="17" s="1"/>
  <c r="P259" i="17"/>
  <c r="L259" i="17"/>
  <c r="M259" i="17" s="1"/>
  <c r="O259" i="17" s="1"/>
  <c r="P258" i="17"/>
  <c r="L258" i="17"/>
  <c r="M258" i="17" s="1"/>
  <c r="O258" i="17" s="1"/>
  <c r="P257" i="17"/>
  <c r="L257" i="17"/>
  <c r="M257" i="17" s="1"/>
  <c r="O257" i="17" s="1"/>
  <c r="P256" i="17"/>
  <c r="L256" i="17"/>
  <c r="M256" i="17" s="1"/>
  <c r="O256" i="17" s="1"/>
  <c r="L244" i="17"/>
  <c r="M244" i="17" s="1"/>
  <c r="O244" i="17" s="1"/>
  <c r="L245" i="17"/>
  <c r="M245" i="17" s="1"/>
  <c r="O245" i="17" s="1"/>
  <c r="L246" i="17"/>
  <c r="M246" i="17" s="1"/>
  <c r="O246" i="17" s="1"/>
  <c r="L247" i="17"/>
  <c r="M247" i="17" s="1"/>
  <c r="O247" i="17" s="1"/>
  <c r="L248" i="17"/>
  <c r="M248" i="17" s="1"/>
  <c r="O248" i="17" s="1"/>
  <c r="L249" i="17"/>
  <c r="M249" i="17" s="1"/>
  <c r="O249" i="17" s="1"/>
  <c r="L250" i="17"/>
  <c r="M250" i="17" s="1"/>
  <c r="O250" i="17" s="1"/>
  <c r="L251" i="17"/>
  <c r="M251" i="17" s="1"/>
  <c r="O251" i="17" s="1"/>
  <c r="L252" i="17"/>
  <c r="M252" i="17" s="1"/>
  <c r="O252" i="17" s="1"/>
  <c r="L253" i="17"/>
  <c r="M253" i="17" s="1"/>
  <c r="O253" i="17" s="1"/>
  <c r="L254" i="17"/>
  <c r="M254" i="17" s="1"/>
  <c r="O254" i="17" s="1"/>
  <c r="L243" i="17"/>
  <c r="M243" i="17" s="1"/>
  <c r="O243" i="17" s="1"/>
  <c r="P254" i="17"/>
  <c r="P253" i="17"/>
  <c r="P252" i="17"/>
  <c r="P251" i="17"/>
  <c r="P250" i="17"/>
  <c r="P249" i="17"/>
  <c r="P248" i="17"/>
  <c r="P247" i="17"/>
  <c r="P246" i="17"/>
  <c r="P245" i="17"/>
  <c r="P244" i="17"/>
  <c r="P243" i="17"/>
  <c r="J223" i="17"/>
  <c r="J222" i="17"/>
  <c r="J221" i="17"/>
  <c r="J220" i="17"/>
  <c r="J219" i="17"/>
  <c r="J218" i="17"/>
  <c r="J217" i="17"/>
  <c r="J216" i="17"/>
  <c r="J215" i="17"/>
  <c r="J214" i="17"/>
  <c r="J213" i="17"/>
  <c r="J212" i="17"/>
  <c r="Q205" i="17"/>
  <c r="Q204" i="17"/>
  <c r="Q203" i="17"/>
  <c r="Q202" i="17"/>
  <c r="Q201" i="17"/>
  <c r="Q200" i="17"/>
  <c r="Q199" i="17"/>
  <c r="Q198" i="17"/>
  <c r="Q197" i="17"/>
  <c r="Q196" i="17"/>
  <c r="Q195" i="17"/>
  <c r="Q194" i="17"/>
  <c r="Q191" i="17"/>
  <c r="Q190" i="17"/>
  <c r="Q189" i="17"/>
  <c r="Q188" i="17"/>
  <c r="Q187" i="17"/>
  <c r="Q186" i="17"/>
  <c r="Q185" i="17"/>
  <c r="Q184" i="17"/>
  <c r="Q183" i="17"/>
  <c r="Q182" i="17"/>
  <c r="Q181" i="17"/>
  <c r="Q180" i="17"/>
  <c r="Q177" i="17"/>
  <c r="Q176" i="17"/>
  <c r="Q175" i="17"/>
  <c r="Q174" i="17"/>
  <c r="Q173" i="17"/>
  <c r="Q172" i="17"/>
  <c r="Q171" i="17"/>
  <c r="Q170" i="17"/>
  <c r="Q169" i="17"/>
  <c r="Q168" i="17"/>
  <c r="Q167" i="17"/>
  <c r="Q166" i="17"/>
  <c r="Q163" i="17"/>
  <c r="Q162" i="17"/>
  <c r="Q161" i="17"/>
  <c r="Q160" i="17"/>
  <c r="Q159" i="17"/>
  <c r="Q158" i="17"/>
  <c r="Q157" i="17"/>
  <c r="Q156" i="17"/>
  <c r="Q155" i="17"/>
  <c r="Q154" i="17"/>
  <c r="Q153" i="17"/>
  <c r="Q152" i="17"/>
  <c r="Q149" i="17"/>
  <c r="Q148" i="17"/>
  <c r="Q147" i="17"/>
  <c r="Q146" i="17"/>
  <c r="Q145" i="17"/>
  <c r="Q144" i="17"/>
  <c r="Q143" i="17"/>
  <c r="Q142" i="17"/>
  <c r="Q141" i="17"/>
  <c r="Q140" i="17"/>
  <c r="Q139" i="17"/>
  <c r="Q138" i="17"/>
  <c r="Q135" i="17"/>
  <c r="Q134" i="17"/>
  <c r="Q133" i="17"/>
  <c r="Q132" i="17"/>
  <c r="Q131" i="17"/>
  <c r="Q130" i="17"/>
  <c r="Q129" i="17"/>
  <c r="Q128" i="17"/>
  <c r="Q127" i="17"/>
  <c r="Q126" i="17"/>
  <c r="Q125" i="17"/>
  <c r="Q124" i="17"/>
  <c r="Q233" i="17" l="1"/>
  <c r="Q237" i="17"/>
  <c r="Q241" i="17"/>
  <c r="J355" i="17"/>
  <c r="J356" i="17"/>
  <c r="K361" i="17"/>
  <c r="Q232" i="17"/>
  <c r="Q236" i="17"/>
  <c r="Q240" i="17"/>
  <c r="K355" i="17"/>
  <c r="J361" i="17"/>
  <c r="K360" i="17"/>
  <c r="J360" i="17"/>
  <c r="K359" i="17"/>
  <c r="J359" i="17"/>
  <c r="K358" i="17"/>
  <c r="J358" i="17"/>
  <c r="K357" i="17"/>
  <c r="Q254" i="17"/>
  <c r="Q310" i="17"/>
  <c r="L331" i="17"/>
  <c r="Q309" i="17"/>
  <c r="Q313" i="17"/>
  <c r="Q317" i="17"/>
  <c r="Q251" i="17"/>
  <c r="Q286" i="17"/>
  <c r="Q290" i="17"/>
  <c r="Q295" i="17"/>
  <c r="Q299" i="17"/>
  <c r="Q285" i="17"/>
  <c r="Q289" i="17"/>
  <c r="Q293" i="17"/>
  <c r="L334" i="17"/>
  <c r="N334" i="17" s="1"/>
  <c r="Q253" i="17"/>
  <c r="Q258" i="17"/>
  <c r="Q262" i="17"/>
  <c r="Q266" i="17"/>
  <c r="Q271" i="17"/>
  <c r="Q284" i="17"/>
  <c r="L333" i="17"/>
  <c r="N333" i="17" s="1"/>
  <c r="L335" i="17"/>
  <c r="N335" i="17" s="1"/>
  <c r="Q248" i="17"/>
  <c r="Q312" i="17"/>
  <c r="Q316" i="17"/>
  <c r="L326" i="17"/>
  <c r="N326" i="17" s="1"/>
  <c r="Q257" i="17"/>
  <c r="Q261" i="17"/>
  <c r="Q265" i="17"/>
  <c r="Q270" i="17"/>
  <c r="Q274" i="17"/>
  <c r="Q278" i="17"/>
  <c r="Q283" i="17"/>
  <c r="N331" i="17"/>
  <c r="Q287" i="17"/>
  <c r="Q291" i="17"/>
  <c r="Q296" i="17"/>
  <c r="Q245" i="17"/>
  <c r="L337" i="17"/>
  <c r="N337" i="17" s="1"/>
  <c r="L329" i="17"/>
  <c r="N329" i="17" s="1"/>
  <c r="Q252" i="17"/>
  <c r="Q244" i="17"/>
  <c r="Q288" i="17"/>
  <c r="Q292" i="17"/>
  <c r="L336" i="17"/>
  <c r="N336" i="17" s="1"/>
  <c r="L328" i="17"/>
  <c r="N328" i="17" s="1"/>
  <c r="L327" i="17"/>
  <c r="N327" i="17" s="1"/>
  <c r="Q246" i="17"/>
  <c r="Q249" i="17"/>
  <c r="Q277" i="17"/>
  <c r="Q282" i="17"/>
  <c r="Q298" i="17"/>
  <c r="Q302" i="17"/>
  <c r="Q306" i="17"/>
  <c r="Q311" i="17"/>
  <c r="Q315" i="17"/>
  <c r="Q319" i="17"/>
  <c r="Q275" i="17"/>
  <c r="Q300" i="17"/>
  <c r="L330" i="17"/>
  <c r="N330" i="17" s="1"/>
  <c r="Q250" i="17"/>
  <c r="L332" i="17"/>
  <c r="N332" i="17" s="1"/>
  <c r="Q276" i="17"/>
  <c r="Q297" i="17"/>
  <c r="Q301" i="17"/>
  <c r="Q305" i="17"/>
  <c r="Q243" i="17"/>
  <c r="Q247" i="17"/>
  <c r="Q314" i="17"/>
  <c r="Q318" i="17"/>
  <c r="Q259" i="17"/>
  <c r="Q263" i="17"/>
  <c r="Q267" i="17"/>
  <c r="Q272" i="17"/>
  <c r="Q279" i="17"/>
  <c r="Q303" i="17"/>
  <c r="Q308" i="17"/>
  <c r="Q256" i="17"/>
  <c r="Q260" i="17"/>
  <c r="Q264" i="17"/>
  <c r="Q269" i="17"/>
  <c r="Q273" i="17"/>
  <c r="Q280" i="17"/>
  <c r="Q304" i="17"/>
  <c r="K213" i="17"/>
  <c r="K214" i="17"/>
  <c r="K215" i="17"/>
  <c r="K216" i="17"/>
  <c r="K217" i="17"/>
  <c r="K218" i="17"/>
  <c r="K219" i="17"/>
  <c r="K220" i="17"/>
  <c r="K221" i="17"/>
  <c r="K222" i="17"/>
  <c r="K223" i="17"/>
  <c r="K212" i="17"/>
  <c r="L149" i="17"/>
  <c r="L135" i="17"/>
  <c r="L195" i="17"/>
  <c r="L196" i="17"/>
  <c r="L197" i="17"/>
  <c r="L198" i="17"/>
  <c r="L199" i="17"/>
  <c r="L200" i="17"/>
  <c r="L201" i="17"/>
  <c r="L202" i="17"/>
  <c r="L203" i="17"/>
  <c r="L204" i="17"/>
  <c r="L205" i="17"/>
  <c r="L194" i="17"/>
  <c r="L181" i="17"/>
  <c r="L182" i="17"/>
  <c r="L183" i="17"/>
  <c r="L184" i="17"/>
  <c r="L185" i="17"/>
  <c r="L186" i="17"/>
  <c r="L187" i="17"/>
  <c r="L188" i="17"/>
  <c r="L189" i="17"/>
  <c r="L190" i="17"/>
  <c r="L191" i="17"/>
  <c r="L180" i="17"/>
  <c r="L167" i="17"/>
  <c r="L168" i="17"/>
  <c r="L169" i="17"/>
  <c r="L170" i="17"/>
  <c r="L171" i="17"/>
  <c r="L172" i="17"/>
  <c r="L173" i="17"/>
  <c r="L174" i="17"/>
  <c r="L175" i="17"/>
  <c r="L176" i="17"/>
  <c r="L177" i="17"/>
  <c r="L166" i="17"/>
  <c r="L153" i="17"/>
  <c r="L154" i="17"/>
  <c r="L155" i="17"/>
  <c r="L156" i="17"/>
  <c r="L157" i="17"/>
  <c r="L158" i="17"/>
  <c r="L159" i="17"/>
  <c r="L160" i="17"/>
  <c r="L161" i="17"/>
  <c r="L162" i="17"/>
  <c r="L163" i="17"/>
  <c r="L152" i="17"/>
  <c r="L139" i="17"/>
  <c r="L140" i="17"/>
  <c r="L141" i="17"/>
  <c r="L142" i="17"/>
  <c r="L143" i="17"/>
  <c r="L144" i="17"/>
  <c r="L145" i="17"/>
  <c r="L146" i="17"/>
  <c r="L147" i="17"/>
  <c r="L148" i="17"/>
  <c r="L138" i="17"/>
  <c r="L125" i="17"/>
  <c r="L126" i="17"/>
  <c r="L127" i="17"/>
  <c r="L128" i="17"/>
  <c r="L129" i="17"/>
  <c r="L130" i="17"/>
  <c r="L131" i="17"/>
  <c r="L132" i="17"/>
  <c r="L133" i="17"/>
  <c r="L134" i="17"/>
  <c r="L124" i="17"/>
  <c r="H195" i="17"/>
  <c r="I195" i="17" s="1"/>
  <c r="M195" i="17" s="1"/>
  <c r="H196" i="17"/>
  <c r="I196" i="17" s="1"/>
  <c r="M196" i="17" s="1"/>
  <c r="H197" i="17"/>
  <c r="I197" i="17" s="1"/>
  <c r="M197" i="17" s="1"/>
  <c r="H198" i="17"/>
  <c r="I198" i="17" s="1"/>
  <c r="M198" i="17" s="1"/>
  <c r="H199" i="17"/>
  <c r="I199" i="17" s="1"/>
  <c r="M199" i="17" s="1"/>
  <c r="H200" i="17"/>
  <c r="I200" i="17" s="1"/>
  <c r="M200" i="17" s="1"/>
  <c r="H201" i="17"/>
  <c r="I201" i="17" s="1"/>
  <c r="M201" i="17" s="1"/>
  <c r="H202" i="17"/>
  <c r="I202" i="17" s="1"/>
  <c r="M202" i="17" s="1"/>
  <c r="H203" i="17"/>
  <c r="I203" i="17" s="1"/>
  <c r="M203" i="17" s="1"/>
  <c r="H204" i="17"/>
  <c r="I204" i="17" s="1"/>
  <c r="M204" i="17" s="1"/>
  <c r="H205" i="17"/>
  <c r="I205" i="17" s="1"/>
  <c r="M205" i="17" s="1"/>
  <c r="H194" i="17"/>
  <c r="I194" i="17" s="1"/>
  <c r="M194" i="17" s="1"/>
  <c r="H181" i="17"/>
  <c r="I181" i="17" s="1"/>
  <c r="M181" i="17" s="1"/>
  <c r="H182" i="17"/>
  <c r="I182" i="17" s="1"/>
  <c r="M182" i="17" s="1"/>
  <c r="H183" i="17"/>
  <c r="I183" i="17" s="1"/>
  <c r="M183" i="17" s="1"/>
  <c r="H184" i="17"/>
  <c r="I184" i="17" s="1"/>
  <c r="M184" i="17" s="1"/>
  <c r="H185" i="17"/>
  <c r="I185" i="17" s="1"/>
  <c r="M185" i="17" s="1"/>
  <c r="H186" i="17"/>
  <c r="I186" i="17" s="1"/>
  <c r="M186" i="17" s="1"/>
  <c r="H187" i="17"/>
  <c r="I187" i="17" s="1"/>
  <c r="M187" i="17" s="1"/>
  <c r="H188" i="17"/>
  <c r="I188" i="17" s="1"/>
  <c r="M188" i="17" s="1"/>
  <c r="H189" i="17"/>
  <c r="I189" i="17" s="1"/>
  <c r="M189" i="17" s="1"/>
  <c r="H190" i="17"/>
  <c r="I190" i="17" s="1"/>
  <c r="M190" i="17" s="1"/>
  <c r="H191" i="17"/>
  <c r="I191" i="17" s="1"/>
  <c r="M191" i="17" s="1"/>
  <c r="H180" i="17"/>
  <c r="I180" i="17" s="1"/>
  <c r="M180" i="17" s="1"/>
  <c r="H167" i="17"/>
  <c r="I167" i="17" s="1"/>
  <c r="M167" i="17" s="1"/>
  <c r="H168" i="17"/>
  <c r="I168" i="17" s="1"/>
  <c r="M168" i="17" s="1"/>
  <c r="H169" i="17"/>
  <c r="I169" i="17" s="1"/>
  <c r="M169" i="17" s="1"/>
  <c r="H170" i="17"/>
  <c r="I170" i="17" s="1"/>
  <c r="M170" i="17" s="1"/>
  <c r="H171" i="17"/>
  <c r="I171" i="17" s="1"/>
  <c r="M171" i="17" s="1"/>
  <c r="H172" i="17"/>
  <c r="I172" i="17" s="1"/>
  <c r="M172" i="17" s="1"/>
  <c r="H173" i="17"/>
  <c r="I173" i="17" s="1"/>
  <c r="M173" i="17" s="1"/>
  <c r="H174" i="17"/>
  <c r="I174" i="17" s="1"/>
  <c r="M174" i="17" s="1"/>
  <c r="H175" i="17"/>
  <c r="I175" i="17" s="1"/>
  <c r="M175" i="17" s="1"/>
  <c r="H176" i="17"/>
  <c r="I176" i="17" s="1"/>
  <c r="M176" i="17" s="1"/>
  <c r="H177" i="17"/>
  <c r="I177" i="17" s="1"/>
  <c r="M177" i="17" s="1"/>
  <c r="H166" i="17"/>
  <c r="I166" i="17" s="1"/>
  <c r="M166" i="17" s="1"/>
  <c r="H152" i="17"/>
  <c r="I152" i="17" s="1"/>
  <c r="M152" i="17" s="1"/>
  <c r="H153" i="17"/>
  <c r="I153" i="17" s="1"/>
  <c r="M153" i="17" s="1"/>
  <c r="H154" i="17"/>
  <c r="I154" i="17" s="1"/>
  <c r="M154" i="17" s="1"/>
  <c r="H155" i="17"/>
  <c r="I155" i="17" s="1"/>
  <c r="M155" i="17" s="1"/>
  <c r="H156" i="17"/>
  <c r="I156" i="17" s="1"/>
  <c r="M156" i="17" s="1"/>
  <c r="H157" i="17"/>
  <c r="I157" i="17" s="1"/>
  <c r="M157" i="17" s="1"/>
  <c r="H158" i="17"/>
  <c r="I158" i="17" s="1"/>
  <c r="M158" i="17" s="1"/>
  <c r="H159" i="17"/>
  <c r="I159" i="17" s="1"/>
  <c r="M159" i="17" s="1"/>
  <c r="H160" i="17"/>
  <c r="I160" i="17" s="1"/>
  <c r="M160" i="17" s="1"/>
  <c r="H161" i="17"/>
  <c r="I161" i="17" s="1"/>
  <c r="M161" i="17" s="1"/>
  <c r="H162" i="17"/>
  <c r="I162" i="17" s="1"/>
  <c r="M162" i="17" s="1"/>
  <c r="H163" i="17"/>
  <c r="I163" i="17" s="1"/>
  <c r="M163" i="17" s="1"/>
  <c r="H139" i="17"/>
  <c r="I139" i="17" s="1"/>
  <c r="M139" i="17" s="1"/>
  <c r="H140" i="17"/>
  <c r="I140" i="17" s="1"/>
  <c r="M140" i="17" s="1"/>
  <c r="H141" i="17"/>
  <c r="I141" i="17" s="1"/>
  <c r="M141" i="17" s="1"/>
  <c r="H142" i="17"/>
  <c r="I142" i="17" s="1"/>
  <c r="M142" i="17" s="1"/>
  <c r="H143" i="17"/>
  <c r="I143" i="17" s="1"/>
  <c r="M143" i="17" s="1"/>
  <c r="H144" i="17"/>
  <c r="I144" i="17" s="1"/>
  <c r="M144" i="17" s="1"/>
  <c r="H145" i="17"/>
  <c r="I145" i="17" s="1"/>
  <c r="M145" i="17" s="1"/>
  <c r="H146" i="17"/>
  <c r="I146" i="17" s="1"/>
  <c r="M146" i="17" s="1"/>
  <c r="H147" i="17"/>
  <c r="I147" i="17" s="1"/>
  <c r="M147" i="17" s="1"/>
  <c r="H148" i="17"/>
  <c r="I148" i="17" s="1"/>
  <c r="M148" i="17" s="1"/>
  <c r="H149" i="17"/>
  <c r="I149" i="17" s="1"/>
  <c r="M149" i="17" s="1"/>
  <c r="H138" i="17"/>
  <c r="I138" i="17" s="1"/>
  <c r="M138" i="17" s="1"/>
  <c r="H125" i="17"/>
  <c r="I125" i="17" s="1"/>
  <c r="M125" i="17" s="1"/>
  <c r="H126" i="17"/>
  <c r="I126" i="17" s="1"/>
  <c r="M126" i="17" s="1"/>
  <c r="H127" i="17"/>
  <c r="I127" i="17" s="1"/>
  <c r="M127" i="17" s="1"/>
  <c r="H128" i="17"/>
  <c r="I128" i="17" s="1"/>
  <c r="M128" i="17" s="1"/>
  <c r="H129" i="17"/>
  <c r="I129" i="17" s="1"/>
  <c r="M129" i="17" s="1"/>
  <c r="H130" i="17"/>
  <c r="I130" i="17" s="1"/>
  <c r="M130" i="17" s="1"/>
  <c r="H131" i="17"/>
  <c r="I131" i="17" s="1"/>
  <c r="M131" i="17" s="1"/>
  <c r="H132" i="17"/>
  <c r="I132" i="17" s="1"/>
  <c r="M132" i="17" s="1"/>
  <c r="H133" i="17"/>
  <c r="I133" i="17" s="1"/>
  <c r="M133" i="17" s="1"/>
  <c r="H134" i="17"/>
  <c r="I134" i="17" s="1"/>
  <c r="M134" i="17" s="1"/>
  <c r="H135" i="17"/>
  <c r="I135" i="17" s="1"/>
  <c r="M135" i="17" s="1"/>
  <c r="H124" i="17"/>
  <c r="I124" i="17" s="1"/>
  <c r="M124" i="17" s="1"/>
  <c r="H57" i="8"/>
  <c r="H22" i="8"/>
  <c r="H5" i="8"/>
  <c r="H51" i="8"/>
  <c r="H50" i="8"/>
  <c r="H49" i="8"/>
  <c r="H48" i="8"/>
  <c r="H47" i="8"/>
  <c r="H46" i="8"/>
  <c r="H45" i="8"/>
  <c r="H44" i="8"/>
  <c r="H43" i="8"/>
  <c r="H42" i="8"/>
  <c r="H41" i="8"/>
  <c r="H40" i="8"/>
  <c r="H33" i="8"/>
  <c r="H32" i="8"/>
  <c r="H31" i="8"/>
  <c r="H30" i="8"/>
  <c r="H29" i="8"/>
  <c r="H28" i="8"/>
  <c r="H27" i="8"/>
  <c r="H26" i="8"/>
  <c r="H25" i="8"/>
  <c r="H24" i="8"/>
  <c r="H23" i="8"/>
  <c r="Q242" i="17" l="1"/>
  <c r="H355" i="17" s="1"/>
  <c r="J120" i="17"/>
  <c r="N120" i="17" s="1"/>
  <c r="R120" i="17" s="1"/>
  <c r="J118" i="17"/>
  <c r="N118" i="17" s="1"/>
  <c r="R118" i="17" s="1"/>
  <c r="J116" i="17"/>
  <c r="N116" i="17" s="1"/>
  <c r="R116" i="17" s="1"/>
  <c r="J114" i="17"/>
  <c r="N114" i="17" s="1"/>
  <c r="R114" i="17" s="1"/>
  <c r="J112" i="17"/>
  <c r="N112" i="17" s="1"/>
  <c r="R112" i="17" s="1"/>
  <c r="J115" i="17"/>
  <c r="N115" i="17" s="1"/>
  <c r="R115" i="17" s="1"/>
  <c r="J110" i="17"/>
  <c r="N110" i="17" s="1"/>
  <c r="R110" i="17" s="1"/>
  <c r="J113" i="17"/>
  <c r="N113" i="17" s="1"/>
  <c r="R113" i="17" s="1"/>
  <c r="J121" i="17"/>
  <c r="N121" i="17" s="1"/>
  <c r="R121" i="17" s="1"/>
  <c r="J119" i="17"/>
  <c r="N119" i="17" s="1"/>
  <c r="R119" i="17" s="1"/>
  <c r="J117" i="17"/>
  <c r="N117" i="17" s="1"/>
  <c r="R117" i="17" s="1"/>
  <c r="J111" i="17"/>
  <c r="N111" i="17" s="1"/>
  <c r="R111" i="17" s="1"/>
  <c r="Q294" i="17"/>
  <c r="H359" i="17" s="1"/>
  <c r="N338" i="17"/>
  <c r="Q255" i="17"/>
  <c r="H356" i="17" s="1"/>
  <c r="Q307" i="17"/>
  <c r="H360" i="17" s="1"/>
  <c r="Q281" i="17"/>
  <c r="H358" i="17" s="1"/>
  <c r="Q268" i="17"/>
  <c r="H357" i="17" s="1"/>
  <c r="Q320" i="17"/>
  <c r="H361" i="17" s="1"/>
  <c r="J196" i="17"/>
  <c r="N196" i="17" s="1"/>
  <c r="R196" i="17" s="1"/>
  <c r="J124" i="17"/>
  <c r="N124" i="17" s="1"/>
  <c r="R124" i="17" s="1"/>
  <c r="K224" i="17"/>
  <c r="J129" i="17"/>
  <c r="N129" i="17" s="1"/>
  <c r="R129" i="17" s="1"/>
  <c r="J175" i="17"/>
  <c r="N175" i="17" s="1"/>
  <c r="R175" i="17" s="1"/>
  <c r="J195" i="17"/>
  <c r="N195" i="17" s="1"/>
  <c r="R195" i="17" s="1"/>
  <c r="J128" i="17"/>
  <c r="N128" i="17" s="1"/>
  <c r="R128" i="17" s="1"/>
  <c r="J180" i="17"/>
  <c r="N180" i="17" s="1"/>
  <c r="R180" i="17" s="1"/>
  <c r="J202" i="17"/>
  <c r="N202" i="17" s="1"/>
  <c r="R202" i="17" s="1"/>
  <c r="J135" i="17"/>
  <c r="N135" i="17" s="1"/>
  <c r="R135" i="17" s="1"/>
  <c r="J145" i="17"/>
  <c r="N145" i="17" s="1"/>
  <c r="R145" i="17" s="1"/>
  <c r="J183" i="17"/>
  <c r="N183" i="17" s="1"/>
  <c r="R183" i="17" s="1"/>
  <c r="J134" i="17"/>
  <c r="N134" i="17" s="1"/>
  <c r="R134" i="17" s="1"/>
  <c r="J126" i="17"/>
  <c r="N126" i="17" s="1"/>
  <c r="R126" i="17" s="1"/>
  <c r="J144" i="17"/>
  <c r="N144" i="17" s="1"/>
  <c r="R144" i="17" s="1"/>
  <c r="J162" i="17"/>
  <c r="N162" i="17" s="1"/>
  <c r="R162" i="17" s="1"/>
  <c r="J154" i="17"/>
  <c r="N154" i="17" s="1"/>
  <c r="R154" i="17" s="1"/>
  <c r="J172" i="17"/>
  <c r="N172" i="17" s="1"/>
  <c r="R172" i="17" s="1"/>
  <c r="J190" i="17"/>
  <c r="N190" i="17" s="1"/>
  <c r="R190" i="17" s="1"/>
  <c r="J182" i="17"/>
  <c r="N182" i="17" s="1"/>
  <c r="R182" i="17" s="1"/>
  <c r="J200" i="17"/>
  <c r="N200" i="17" s="1"/>
  <c r="R200" i="17" s="1"/>
  <c r="J133" i="17"/>
  <c r="N133" i="17" s="1"/>
  <c r="R133" i="17" s="1"/>
  <c r="J125" i="17"/>
  <c r="N125" i="17" s="1"/>
  <c r="R125" i="17" s="1"/>
  <c r="J143" i="17"/>
  <c r="N143" i="17" s="1"/>
  <c r="R143" i="17" s="1"/>
  <c r="J161" i="17"/>
  <c r="N161" i="17" s="1"/>
  <c r="R161" i="17" s="1"/>
  <c r="J153" i="17"/>
  <c r="N153" i="17" s="1"/>
  <c r="R153" i="17" s="1"/>
  <c r="J171" i="17"/>
  <c r="N171" i="17" s="1"/>
  <c r="R171" i="17" s="1"/>
  <c r="J189" i="17"/>
  <c r="N189" i="17" s="1"/>
  <c r="R189" i="17" s="1"/>
  <c r="J181" i="17"/>
  <c r="N181" i="17" s="1"/>
  <c r="R181" i="17" s="1"/>
  <c r="J199" i="17"/>
  <c r="N199" i="17" s="1"/>
  <c r="R199" i="17" s="1"/>
  <c r="J139" i="17"/>
  <c r="N139" i="17" s="1"/>
  <c r="R139" i="17" s="1"/>
  <c r="J167" i="17"/>
  <c r="N167" i="17" s="1"/>
  <c r="R167" i="17" s="1"/>
  <c r="J203" i="17"/>
  <c r="N203" i="17" s="1"/>
  <c r="R203" i="17" s="1"/>
  <c r="J146" i="17"/>
  <c r="N146" i="17" s="1"/>
  <c r="R146" i="17" s="1"/>
  <c r="J156" i="17"/>
  <c r="N156" i="17" s="1"/>
  <c r="R156" i="17" s="1"/>
  <c r="J173" i="17"/>
  <c r="N173" i="17" s="1"/>
  <c r="R173" i="17" s="1"/>
  <c r="J138" i="17"/>
  <c r="N138" i="17" s="1"/>
  <c r="R138" i="17" s="1"/>
  <c r="J166" i="17"/>
  <c r="N166" i="17" s="1"/>
  <c r="R166" i="17" s="1"/>
  <c r="J188" i="17"/>
  <c r="N188" i="17" s="1"/>
  <c r="R188" i="17" s="1"/>
  <c r="J198" i="17"/>
  <c r="N198" i="17" s="1"/>
  <c r="R198" i="17" s="1"/>
  <c r="J131" i="17"/>
  <c r="N131" i="17" s="1"/>
  <c r="R131" i="17" s="1"/>
  <c r="J149" i="17"/>
  <c r="N149" i="17" s="1"/>
  <c r="R149" i="17" s="1"/>
  <c r="J141" i="17"/>
  <c r="N141" i="17" s="1"/>
  <c r="R141" i="17" s="1"/>
  <c r="J159" i="17"/>
  <c r="N159" i="17" s="1"/>
  <c r="R159" i="17" s="1"/>
  <c r="J177" i="17"/>
  <c r="N177" i="17" s="1"/>
  <c r="R177" i="17" s="1"/>
  <c r="J169" i="17"/>
  <c r="N169" i="17" s="1"/>
  <c r="R169" i="17" s="1"/>
  <c r="J187" i="17"/>
  <c r="N187" i="17" s="1"/>
  <c r="R187" i="17" s="1"/>
  <c r="J205" i="17"/>
  <c r="N205" i="17" s="1"/>
  <c r="R205" i="17" s="1"/>
  <c r="J197" i="17"/>
  <c r="N197" i="17" s="1"/>
  <c r="R197" i="17" s="1"/>
  <c r="J147" i="17"/>
  <c r="N147" i="17" s="1"/>
  <c r="R147" i="17" s="1"/>
  <c r="J157" i="17"/>
  <c r="N157" i="17" s="1"/>
  <c r="R157" i="17" s="1"/>
  <c r="J185" i="17"/>
  <c r="N185" i="17" s="1"/>
  <c r="R185" i="17" s="1"/>
  <c r="J152" i="17"/>
  <c r="N152" i="17" s="1"/>
  <c r="R152" i="17" s="1"/>
  <c r="J174" i="17"/>
  <c r="N174" i="17" s="1"/>
  <c r="R174" i="17" s="1"/>
  <c r="J184" i="17"/>
  <c r="N184" i="17" s="1"/>
  <c r="R184" i="17" s="1"/>
  <c r="J127" i="17"/>
  <c r="N127" i="17" s="1"/>
  <c r="R127" i="17" s="1"/>
  <c r="J163" i="17"/>
  <c r="N163" i="17" s="1"/>
  <c r="R163" i="17" s="1"/>
  <c r="J155" i="17"/>
  <c r="N155" i="17" s="1"/>
  <c r="R155" i="17" s="1"/>
  <c r="J191" i="17"/>
  <c r="N191" i="17" s="1"/>
  <c r="R191" i="17" s="1"/>
  <c r="J201" i="17"/>
  <c r="N201" i="17" s="1"/>
  <c r="R201" i="17" s="1"/>
  <c r="J132" i="17"/>
  <c r="N132" i="17" s="1"/>
  <c r="R132" i="17" s="1"/>
  <c r="J142" i="17"/>
  <c r="N142" i="17" s="1"/>
  <c r="R142" i="17" s="1"/>
  <c r="J160" i="17"/>
  <c r="N160" i="17" s="1"/>
  <c r="R160" i="17" s="1"/>
  <c r="J170" i="17"/>
  <c r="N170" i="17" s="1"/>
  <c r="R170" i="17" s="1"/>
  <c r="J194" i="17"/>
  <c r="N194" i="17" s="1"/>
  <c r="R194" i="17" s="1"/>
  <c r="J130" i="17"/>
  <c r="N130" i="17" s="1"/>
  <c r="R130" i="17" s="1"/>
  <c r="J148" i="17"/>
  <c r="N148" i="17" s="1"/>
  <c r="R148" i="17" s="1"/>
  <c r="J140" i="17"/>
  <c r="N140" i="17" s="1"/>
  <c r="R140" i="17" s="1"/>
  <c r="J158" i="17"/>
  <c r="N158" i="17" s="1"/>
  <c r="R158" i="17" s="1"/>
  <c r="J176" i="17"/>
  <c r="N176" i="17" s="1"/>
  <c r="R176" i="17" s="1"/>
  <c r="J168" i="17"/>
  <c r="N168" i="17" s="1"/>
  <c r="R168" i="17" s="1"/>
  <c r="J186" i="17"/>
  <c r="N186" i="17" s="1"/>
  <c r="R186" i="17" s="1"/>
  <c r="J204" i="17"/>
  <c r="N204" i="17" s="1"/>
  <c r="R204" i="17" s="1"/>
  <c r="G359" i="17" l="1"/>
  <c r="G360" i="17"/>
  <c r="G361" i="17"/>
  <c r="G355" i="17"/>
  <c r="G356" i="17"/>
  <c r="G357" i="17"/>
  <c r="G358" i="17"/>
  <c r="I358" i="17"/>
  <c r="I359" i="17"/>
  <c r="I360" i="17"/>
  <c r="I361" i="17"/>
  <c r="I355" i="17"/>
  <c r="I356" i="17"/>
  <c r="I357" i="17"/>
  <c r="R150" i="17"/>
  <c r="F357" i="17" s="1"/>
  <c r="L357" i="17" s="1"/>
  <c r="AC45" i="17" s="1"/>
  <c r="R206" i="17"/>
  <c r="F361" i="17" s="1"/>
  <c r="R192" i="17"/>
  <c r="F360" i="17" s="1"/>
  <c r="L360" i="17" s="1"/>
  <c r="AC89" i="17" s="1"/>
  <c r="R178" i="17"/>
  <c r="F359" i="17" s="1"/>
  <c r="L359" i="17" s="1"/>
  <c r="AC75" i="17" s="1"/>
  <c r="R136" i="17"/>
  <c r="F356" i="17" s="1"/>
  <c r="R164" i="17"/>
  <c r="F358" i="17" s="1"/>
  <c r="L355" i="17" l="1"/>
  <c r="AC17" i="17" s="1"/>
  <c r="L361" i="17"/>
  <c r="AC103" i="17" s="1"/>
  <c r="L358" i="17"/>
  <c r="AC60" i="17" s="1"/>
  <c r="L356" i="17"/>
  <c r="AC31" i="17" s="1"/>
  <c r="H165" i="8"/>
  <c r="H164" i="8"/>
  <c r="H163" i="8"/>
  <c r="H162" i="8"/>
  <c r="H152" i="8"/>
  <c r="H151" i="8"/>
  <c r="H150" i="8"/>
  <c r="H149" i="8"/>
  <c r="H148" i="8"/>
  <c r="H147" i="8"/>
  <c r="H112" i="8"/>
  <c r="H111" i="8"/>
  <c r="H110" i="8"/>
  <c r="H109" i="8"/>
  <c r="H92" i="8"/>
  <c r="H93" i="8"/>
  <c r="H94" i="8"/>
  <c r="H95" i="8"/>
  <c r="H91" i="8"/>
  <c r="M12" i="17" l="1"/>
  <c r="M10" i="17"/>
  <c r="P103" i="17"/>
  <c r="O103" i="17"/>
  <c r="N103" i="17"/>
  <c r="S103" i="17" s="1"/>
  <c r="M102" i="17"/>
  <c r="M101" i="17"/>
  <c r="M100" i="17"/>
  <c r="M99" i="17"/>
  <c r="M98" i="17"/>
  <c r="M97" i="17"/>
  <c r="M96" i="17"/>
  <c r="M95" i="17"/>
  <c r="M94" i="17"/>
  <c r="M93" i="17"/>
  <c r="M92" i="17"/>
  <c r="M91" i="17"/>
  <c r="P89" i="17"/>
  <c r="O89" i="17"/>
  <c r="N89" i="17"/>
  <c r="W89" i="17" s="1"/>
  <c r="M88" i="17"/>
  <c r="M87" i="17"/>
  <c r="M86" i="17"/>
  <c r="M85" i="17"/>
  <c r="M84" i="17"/>
  <c r="M83" i="17"/>
  <c r="M82" i="17"/>
  <c r="M81" i="17"/>
  <c r="M80" i="17"/>
  <c r="M79" i="17"/>
  <c r="M78" i="17"/>
  <c r="M77" i="17"/>
  <c r="P75" i="17"/>
  <c r="O75" i="17"/>
  <c r="N75" i="17"/>
  <c r="W75" i="17" s="1"/>
  <c r="M74" i="17"/>
  <c r="M73" i="17"/>
  <c r="M72" i="17"/>
  <c r="M71" i="17"/>
  <c r="M70" i="17"/>
  <c r="M69" i="17"/>
  <c r="M68" i="17"/>
  <c r="M67" i="17"/>
  <c r="M66" i="17"/>
  <c r="M65" i="17"/>
  <c r="M64" i="17"/>
  <c r="M63" i="17"/>
  <c r="P60" i="17"/>
  <c r="O60" i="17"/>
  <c r="N60" i="17"/>
  <c r="AA60" i="17" s="1"/>
  <c r="M59" i="17"/>
  <c r="M58" i="17"/>
  <c r="M57" i="17"/>
  <c r="M56" i="17"/>
  <c r="M55" i="17"/>
  <c r="M54" i="17"/>
  <c r="M53" i="17"/>
  <c r="M52" i="17"/>
  <c r="M51" i="17"/>
  <c r="M50" i="17"/>
  <c r="M49" i="17"/>
  <c r="M48" i="17"/>
  <c r="P45" i="17"/>
  <c r="O45" i="17"/>
  <c r="N45" i="17"/>
  <c r="W45" i="17" s="1"/>
  <c r="M44" i="17"/>
  <c r="M43" i="17"/>
  <c r="M42" i="17"/>
  <c r="M41" i="17"/>
  <c r="M40" i="17"/>
  <c r="M39" i="17"/>
  <c r="M38" i="17"/>
  <c r="M37" i="17"/>
  <c r="M36" i="17"/>
  <c r="M35" i="17"/>
  <c r="M34" i="17"/>
  <c r="M33" i="17"/>
  <c r="P31" i="17"/>
  <c r="O31" i="17"/>
  <c r="N31" i="17"/>
  <c r="AA31" i="17" s="1"/>
  <c r="M30" i="17"/>
  <c r="M29" i="17"/>
  <c r="M28" i="17"/>
  <c r="M27" i="17"/>
  <c r="M26" i="17"/>
  <c r="M25" i="17"/>
  <c r="M24" i="17"/>
  <c r="M23" i="17"/>
  <c r="M22" i="17"/>
  <c r="M21" i="17"/>
  <c r="M20" i="17"/>
  <c r="M19" i="17"/>
  <c r="P17" i="17"/>
  <c r="O17" i="17"/>
  <c r="N17" i="17"/>
  <c r="AA17" i="17" s="1"/>
  <c r="M16" i="17"/>
  <c r="M15" i="17"/>
  <c r="M14" i="17"/>
  <c r="M13" i="17"/>
  <c r="M11" i="17"/>
  <c r="M9" i="17"/>
  <c r="M8" i="17"/>
  <c r="M7" i="17"/>
  <c r="M6" i="17"/>
  <c r="M5" i="17"/>
  <c r="H16" i="8"/>
  <c r="H15" i="8"/>
  <c r="H14" i="8"/>
  <c r="H13" i="8"/>
  <c r="H12" i="8"/>
  <c r="H11" i="8"/>
  <c r="H10" i="8"/>
  <c r="H9" i="8"/>
  <c r="H8" i="8"/>
  <c r="H7" i="8"/>
  <c r="H6" i="8"/>
  <c r="H166" i="8"/>
  <c r="H173" i="8"/>
  <c r="H172" i="8"/>
  <c r="H171" i="8"/>
  <c r="H170" i="8"/>
  <c r="H169" i="8"/>
  <c r="H168" i="8"/>
  <c r="H167" i="8"/>
  <c r="H155" i="8"/>
  <c r="H154" i="8"/>
  <c r="H153" i="8"/>
  <c r="H146" i="8"/>
  <c r="H145" i="8"/>
  <c r="H144" i="8"/>
  <c r="H138" i="8"/>
  <c r="H137" i="8"/>
  <c r="H136" i="8"/>
  <c r="H135" i="8"/>
  <c r="H134" i="8"/>
  <c r="H133" i="8"/>
  <c r="H132" i="8"/>
  <c r="H131" i="8"/>
  <c r="H130" i="8"/>
  <c r="H129" i="8"/>
  <c r="H128" i="8"/>
  <c r="H127" i="8"/>
  <c r="H113" i="8"/>
  <c r="H120" i="8"/>
  <c r="H119" i="8"/>
  <c r="H118" i="8"/>
  <c r="H117" i="8"/>
  <c r="H116" i="8"/>
  <c r="H115" i="8"/>
  <c r="H114" i="8"/>
  <c r="H102" i="8"/>
  <c r="H101" i="8"/>
  <c r="H100" i="8"/>
  <c r="H99" i="8"/>
  <c r="H98" i="8"/>
  <c r="H97" i="8"/>
  <c r="H96" i="8"/>
  <c r="H85" i="8"/>
  <c r="H84" i="8"/>
  <c r="H83" i="8"/>
  <c r="H82" i="8"/>
  <c r="H81" i="8"/>
  <c r="H80" i="8"/>
  <c r="H79" i="8"/>
  <c r="H78" i="8"/>
  <c r="H77" i="8"/>
  <c r="H76" i="8"/>
  <c r="H75" i="8"/>
  <c r="H74" i="8"/>
  <c r="H58" i="8"/>
  <c r="H59" i="8"/>
  <c r="H60" i="8"/>
  <c r="H61" i="8"/>
  <c r="H62" i="8"/>
  <c r="H63" i="8"/>
  <c r="H64" i="8"/>
  <c r="H65" i="8"/>
  <c r="H66" i="8"/>
  <c r="H67" i="8"/>
  <c r="H68" i="8"/>
  <c r="X89" i="17" l="1"/>
  <c r="AB31" i="17"/>
  <c r="X75" i="17"/>
  <c r="AA45" i="17"/>
  <c r="AB45" i="17" s="1"/>
  <c r="S17" i="17"/>
  <c r="T17" i="17" s="1"/>
  <c r="AB17" i="17"/>
  <c r="T103" i="17"/>
  <c r="AB60" i="17"/>
  <c r="AA75" i="17"/>
  <c r="AB75" i="17" s="1"/>
  <c r="W103" i="17"/>
  <c r="X103" i="17" s="1"/>
  <c r="AA89" i="17"/>
  <c r="AB89" i="17" s="1"/>
  <c r="S31" i="17"/>
  <c r="T31" i="17" s="1"/>
  <c r="W17" i="17"/>
  <c r="X17" i="17" s="1"/>
  <c r="S45" i="17"/>
  <c r="T45" i="17" s="1"/>
  <c r="AA103" i="17"/>
  <c r="AB103" i="17" s="1"/>
  <c r="W31" i="17"/>
  <c r="X31" i="17" s="1"/>
  <c r="S60" i="17"/>
  <c r="T60" i="17" s="1"/>
  <c r="S75" i="17"/>
  <c r="T75" i="17" s="1"/>
  <c r="X45" i="17"/>
  <c r="W60" i="17"/>
  <c r="X60" i="17" s="1"/>
  <c r="S89" i="17"/>
  <c r="T89" i="17" s="1"/>
  <c r="AD17" i="17" l="1"/>
  <c r="AD89" i="17"/>
  <c r="AE89" i="17" s="1"/>
  <c r="AF89" i="17" s="1"/>
  <c r="AH89" i="17" s="1"/>
  <c r="AD60" i="17"/>
  <c r="AE60" i="17" s="1"/>
  <c r="AF60" i="17" s="1"/>
  <c r="AH60" i="17" s="1"/>
  <c r="AD45" i="17"/>
  <c r="AE45" i="17" s="1"/>
  <c r="AF45" i="17" s="1"/>
  <c r="AH45" i="17" s="1"/>
  <c r="AD31" i="17"/>
  <c r="AD75" i="17"/>
  <c r="AD103" i="17"/>
  <c r="AE103" i="17" l="1"/>
  <c r="AF103" i="17" s="1"/>
  <c r="AH103" i="17" s="1"/>
  <c r="AE17" i="17"/>
  <c r="AF17" i="17" s="1"/>
  <c r="AH17" i="17" s="1"/>
  <c r="AE75" i="17"/>
  <c r="AF75" i="17" s="1"/>
  <c r="AH75" i="17" s="1"/>
  <c r="AE31" i="17"/>
  <c r="AF31" i="17" s="1"/>
  <c r="AH31" i="17" s="1"/>
  <c r="AH104" i="17" l="1"/>
  <c r="P471" i="35"/>
  <c r="T471" i="35" s="1"/>
  <c r="T477" i="35" s="1"/>
  <c r="H579" i="35" s="1"/>
  <c r="N579" i="35" s="1"/>
  <c r="AF130" i="35" s="1"/>
  <c r="AG130" i="35" s="1"/>
  <c r="AH130" i="35" s="1"/>
  <c r="AI130" i="35" s="1"/>
  <c r="AK130" i="35" s="1"/>
  <c r="AL159" i="35" s="1"/>
  <c r="AN7" i="17" l="1"/>
  <c r="AN6" i="17"/>
  <c r="AN8" i="17" l="1"/>
  <c r="AP7" i="25" l="1"/>
  <c r="AP8" i="25"/>
  <c r="AP6" i="25"/>
  <c r="AH46" i="25" s="1"/>
  <c r="AP7" i="27"/>
  <c r="AP6" i="27"/>
  <c r="AP8" i="27"/>
  <c r="AQ8" i="29"/>
  <c r="AQ9" i="29"/>
  <c r="AQ7" i="29"/>
  <c r="AR7" i="30"/>
  <c r="AR8" i="30"/>
  <c r="AR9" i="30"/>
  <c r="AQ7" i="31"/>
  <c r="AQ8" i="31"/>
  <c r="AQ9" i="31"/>
  <c r="AI46" i="32" l="1"/>
</calcChain>
</file>

<file path=xl/sharedStrings.xml><?xml version="1.0" encoding="utf-8"?>
<sst xmlns="http://schemas.openxmlformats.org/spreadsheetml/2006/main" count="5117" uniqueCount="227">
  <si>
    <t>Month</t>
  </si>
  <si>
    <t>July</t>
  </si>
  <si>
    <r>
      <t>VCDD</t>
    </r>
    <r>
      <rPr>
        <vertAlign val="subscript"/>
        <sz val="10"/>
        <color theme="1"/>
        <rFont val="Arial"/>
        <family val="2"/>
      </rPr>
      <t>mth</t>
    </r>
  </si>
  <si>
    <t>Annual VCDD</t>
  </si>
  <si>
    <t>All Other Heat Loads</t>
  </si>
  <si>
    <t>BE+Other Loads</t>
  </si>
  <si>
    <t>10%SF</t>
  </si>
  <si>
    <t>EER</t>
  </si>
  <si>
    <t>Elec. Cons.</t>
  </si>
  <si>
    <t>Balance Point Temperature, Annual Variable Degree Days,  Thermal Load of Living Space and Annual Electricity Consumption Calculations for Chennai- Baseline and Solar Electricity Scenarios</t>
  </si>
  <si>
    <r>
      <t>AC hrs/24 hrs (f</t>
    </r>
    <r>
      <rPr>
        <vertAlign val="subscript"/>
        <sz val="10"/>
        <color theme="1"/>
        <rFont val="Arial"/>
        <family val="2"/>
      </rPr>
      <t>AC</t>
    </r>
    <r>
      <rPr>
        <sz val="10"/>
        <color theme="1"/>
        <rFont val="Arial"/>
        <family val="2"/>
      </rPr>
      <t>)</t>
    </r>
  </si>
  <si>
    <t>Conv (24/1000) KWh</t>
  </si>
  <si>
    <t>May</t>
  </si>
  <si>
    <t>Jun</t>
  </si>
  <si>
    <r>
      <t>W/m</t>
    </r>
    <r>
      <rPr>
        <vertAlign val="superscript"/>
        <sz val="10"/>
        <color theme="1"/>
        <rFont val="Arial"/>
        <family val="2"/>
      </rPr>
      <t>2</t>
    </r>
  </si>
  <si>
    <t>Jan</t>
  </si>
  <si>
    <t>Feb</t>
  </si>
  <si>
    <t>Mar</t>
  </si>
  <si>
    <t>Apr</t>
  </si>
  <si>
    <t>Aug</t>
  </si>
  <si>
    <t>Sep</t>
  </si>
  <si>
    <t>Oct</t>
  </si>
  <si>
    <t>Nov</t>
  </si>
  <si>
    <t>Dec</t>
  </si>
  <si>
    <t>Jul</t>
  </si>
  <si>
    <t>Hourly Solar Heat Gains for May-December for Manila, PE (14.5°N, 16°N Considered)</t>
  </si>
  <si>
    <t>Hourly Solar Heat Gains for May-December for Myanmar MM (16.8°N, 16°N Considered)</t>
  </si>
  <si>
    <t>Hourly Solar Heat Gains for May-December for Ho Chi Min City, VE (10°N; 16°N Considered)</t>
  </si>
  <si>
    <t>Hourly Solar Heat Gains for May-December for Chennai, IN (13°N; 16°N Considered)</t>
  </si>
  <si>
    <t>Hourly Solar Heat Gains for May-December for Ahmedabad, IN (23°N; 24°N Considered)</t>
  </si>
  <si>
    <t>Hourly Solar Heat Gains for May-December for Delhi, IN (28.7°N; 32°N Considered)</t>
  </si>
  <si>
    <t>Chennai (Warm and Humid Climate)</t>
  </si>
  <si>
    <t>Ahmedabad (Hot and Dry)</t>
  </si>
  <si>
    <t>Delhi (Composite)</t>
  </si>
  <si>
    <r>
      <t>CLTD</t>
    </r>
    <r>
      <rPr>
        <vertAlign val="subscript"/>
        <sz val="10"/>
        <color theme="1"/>
        <rFont val="Arial"/>
        <family val="2"/>
      </rPr>
      <t>gw</t>
    </r>
    <r>
      <rPr>
        <sz val="10"/>
        <color theme="1"/>
        <rFont val="Arial"/>
        <family val="2"/>
      </rPr>
      <t xml:space="preserve"> (°C)</t>
    </r>
  </si>
  <si>
    <t>DR/2</t>
  </si>
  <si>
    <t>DR</t>
  </si>
  <si>
    <r>
      <t xml:space="preserve"> T</t>
    </r>
    <r>
      <rPr>
        <b/>
        <vertAlign val="subscript"/>
        <sz val="11"/>
        <color theme="1"/>
        <rFont val="Times New Roman"/>
        <family val="1"/>
      </rPr>
      <t>max</t>
    </r>
    <r>
      <rPr>
        <b/>
        <sz val="11"/>
        <color theme="1"/>
        <rFont val="Times New Roman"/>
        <family val="1"/>
      </rPr>
      <t xml:space="preserve"> (°C)</t>
    </r>
  </si>
  <si>
    <t>06.00-07.00</t>
  </si>
  <si>
    <t>07.00-08.00</t>
  </si>
  <si>
    <t>08.00-09.00</t>
  </si>
  <si>
    <t>17.00-18.00</t>
  </si>
  <si>
    <t>18.00-19.00</t>
  </si>
  <si>
    <t>19.00-20.00</t>
  </si>
  <si>
    <t>20.00-21.00</t>
  </si>
  <si>
    <t>21.00-22.00</t>
  </si>
  <si>
    <t>22.00-23.00</t>
  </si>
  <si>
    <r>
      <t>TM = T</t>
    </r>
    <r>
      <rPr>
        <b/>
        <vertAlign val="subscript"/>
        <sz val="11"/>
        <color theme="1"/>
        <rFont val="Times New Roman"/>
        <family val="1"/>
      </rPr>
      <t>max</t>
    </r>
    <r>
      <rPr>
        <b/>
        <sz val="11"/>
        <color theme="1"/>
        <rFont val="Times New Roman"/>
        <family val="1"/>
      </rPr>
      <t>-(DR/2)</t>
    </r>
  </si>
  <si>
    <t>TM-29.4 (°C)</t>
  </si>
  <si>
    <t>AC-hrs/Month</t>
  </si>
  <si>
    <r>
      <t>T</t>
    </r>
    <r>
      <rPr>
        <b/>
        <vertAlign val="subscript"/>
        <sz val="10"/>
        <color theme="1"/>
        <rFont val="Arial"/>
        <family val="2"/>
      </rPr>
      <t>SP</t>
    </r>
    <r>
      <rPr>
        <b/>
        <sz val="10"/>
        <color theme="1"/>
        <rFont val="Arial"/>
        <family val="2"/>
      </rPr>
      <t xml:space="preserve"> (°C)</t>
    </r>
  </si>
  <si>
    <r>
      <t>25.5-T</t>
    </r>
    <r>
      <rPr>
        <b/>
        <vertAlign val="subscript"/>
        <sz val="10"/>
        <color theme="1"/>
        <rFont val="Arial"/>
        <family val="2"/>
      </rPr>
      <t>SP</t>
    </r>
    <r>
      <rPr>
        <b/>
        <sz val="10"/>
        <color theme="1"/>
        <rFont val="Arial"/>
        <family val="2"/>
      </rPr>
      <t xml:space="preserve"> (°C)</t>
    </r>
  </si>
  <si>
    <r>
      <t>CLTD</t>
    </r>
    <r>
      <rPr>
        <b/>
        <vertAlign val="subscript"/>
        <sz val="10"/>
        <color theme="1"/>
        <rFont val="Arial"/>
        <family val="2"/>
      </rPr>
      <t>glasscorr</t>
    </r>
  </si>
  <si>
    <r>
      <t>U</t>
    </r>
    <r>
      <rPr>
        <b/>
        <vertAlign val="subscript"/>
        <sz val="10"/>
        <color theme="1"/>
        <rFont val="Arial"/>
        <family val="2"/>
      </rPr>
      <t>gw-non op</t>
    </r>
    <r>
      <rPr>
        <b/>
        <sz val="10"/>
        <color theme="1"/>
        <rFont val="Arial"/>
        <family val="2"/>
      </rPr>
      <t xml:space="preserve"> (W/m</t>
    </r>
    <r>
      <rPr>
        <b/>
        <vertAlign val="superscript"/>
        <sz val="10"/>
        <color theme="1"/>
        <rFont val="Arial"/>
        <family val="2"/>
      </rPr>
      <t>2</t>
    </r>
    <r>
      <rPr>
        <b/>
        <sz val="10"/>
        <color theme="1"/>
        <rFont val="Arial"/>
        <family val="2"/>
      </rPr>
      <t>°C)</t>
    </r>
  </si>
  <si>
    <r>
      <t>A</t>
    </r>
    <r>
      <rPr>
        <b/>
        <vertAlign val="subscript"/>
        <sz val="10"/>
        <color theme="1"/>
        <rFont val="Arial"/>
        <family val="2"/>
      </rPr>
      <t>gw-nonop</t>
    </r>
    <r>
      <rPr>
        <b/>
        <sz val="10"/>
        <color theme="1"/>
        <rFont val="Arial"/>
        <family val="2"/>
      </rPr>
      <t xml:space="preserve"> (m</t>
    </r>
    <r>
      <rPr>
        <b/>
        <vertAlign val="superscript"/>
        <sz val="10"/>
        <color theme="1"/>
        <rFont val="Arial"/>
        <family val="2"/>
      </rPr>
      <t>2</t>
    </r>
    <r>
      <rPr>
        <b/>
        <sz val="10"/>
        <color theme="1"/>
        <rFont val="Arial"/>
        <family val="2"/>
      </rPr>
      <t>)</t>
    </r>
  </si>
  <si>
    <r>
      <t>TL</t>
    </r>
    <r>
      <rPr>
        <b/>
        <vertAlign val="subscript"/>
        <sz val="10"/>
        <color theme="1"/>
        <rFont val="Arial"/>
        <family val="2"/>
      </rPr>
      <t>gw</t>
    </r>
    <r>
      <rPr>
        <b/>
        <sz val="10"/>
        <color theme="1"/>
        <rFont val="Arial"/>
        <family val="2"/>
      </rPr>
      <t xml:space="preserve"> (monthly)-KWh</t>
    </r>
  </si>
  <si>
    <r>
      <t>CLTD</t>
    </r>
    <r>
      <rPr>
        <b/>
        <vertAlign val="subscript"/>
        <sz val="10"/>
        <color theme="1"/>
        <rFont val="Arial"/>
        <family val="2"/>
      </rPr>
      <t>gw-avg</t>
    </r>
    <r>
      <rPr>
        <b/>
        <sz val="10"/>
        <color theme="1"/>
        <rFont val="Arial"/>
        <family val="2"/>
      </rPr>
      <t xml:space="preserve"> (°C)</t>
    </r>
  </si>
  <si>
    <t>AC Opn hrs.</t>
  </si>
  <si>
    <r>
      <t>TL</t>
    </r>
    <r>
      <rPr>
        <b/>
        <vertAlign val="subscript"/>
        <sz val="10"/>
        <color theme="1"/>
        <rFont val="Arial"/>
        <family val="2"/>
      </rPr>
      <t xml:space="preserve">gw-CHN </t>
    </r>
    <r>
      <rPr>
        <b/>
        <sz val="10"/>
        <color theme="1"/>
        <rFont val="Arial"/>
        <family val="2"/>
      </rPr>
      <t>(KWh)</t>
    </r>
  </si>
  <si>
    <r>
      <t>Thermal Conductive Load (TL</t>
    </r>
    <r>
      <rPr>
        <b/>
        <vertAlign val="subscript"/>
        <sz val="10"/>
        <color theme="1"/>
        <rFont val="Arial"/>
        <family val="2"/>
      </rPr>
      <t>gw-x</t>
    </r>
    <r>
      <rPr>
        <b/>
        <sz val="10"/>
        <color theme="1"/>
        <rFont val="Arial"/>
        <family val="2"/>
      </rPr>
      <t>) Calculated for Three Climate Zones</t>
    </r>
  </si>
  <si>
    <r>
      <t>TL</t>
    </r>
    <r>
      <rPr>
        <b/>
        <vertAlign val="subscript"/>
        <sz val="10"/>
        <color theme="1"/>
        <rFont val="Arial"/>
        <family val="2"/>
      </rPr>
      <t xml:space="preserve">gw-AMD </t>
    </r>
    <r>
      <rPr>
        <b/>
        <sz val="10"/>
        <color theme="1"/>
        <rFont val="Arial"/>
        <family val="2"/>
      </rPr>
      <t>(KWh)</t>
    </r>
  </si>
  <si>
    <r>
      <t>TL</t>
    </r>
    <r>
      <rPr>
        <b/>
        <vertAlign val="subscript"/>
        <sz val="10"/>
        <color theme="1"/>
        <rFont val="Arial"/>
        <family val="2"/>
      </rPr>
      <t xml:space="preserve">gw-DEL </t>
    </r>
    <r>
      <rPr>
        <b/>
        <sz val="10"/>
        <color theme="1"/>
        <rFont val="Arial"/>
        <family val="2"/>
      </rPr>
      <t>(KWh)</t>
    </r>
  </si>
  <si>
    <t>Hourly Solar Heat Gains for May-December for Jakarta, ID (6°S, 8°N Considered)</t>
  </si>
  <si>
    <t>SC</t>
  </si>
  <si>
    <t>CLF</t>
  </si>
  <si>
    <t>00.00-01.00</t>
  </si>
  <si>
    <t>01.00-02.00</t>
  </si>
  <si>
    <t>02.00-03.00</t>
  </si>
  <si>
    <t>03.00-04.00</t>
  </si>
  <si>
    <t>04.00-05.00</t>
  </si>
  <si>
    <t>05.00-06.00</t>
  </si>
  <si>
    <t>23.00-00.00</t>
  </si>
  <si>
    <r>
      <t>Thermal Conductive Load (TL</t>
    </r>
    <r>
      <rPr>
        <b/>
        <vertAlign val="subscript"/>
        <sz val="10"/>
        <color theme="1"/>
        <rFont val="Arial"/>
        <family val="2"/>
      </rPr>
      <t>gw-x</t>
    </r>
    <r>
      <rPr>
        <b/>
        <sz val="10"/>
        <color theme="1"/>
        <rFont val="Arial"/>
        <family val="2"/>
      </rPr>
      <t>) Calculated for Chennai (Warm and Humid) for Setpoint T</t>
    </r>
    <r>
      <rPr>
        <b/>
        <vertAlign val="subscript"/>
        <sz val="10"/>
        <color theme="1"/>
        <rFont val="Arial"/>
        <family val="2"/>
      </rPr>
      <t>SP</t>
    </r>
    <r>
      <rPr>
        <b/>
        <sz val="10"/>
        <color theme="1"/>
        <rFont val="Arial"/>
        <family val="2"/>
      </rPr>
      <t xml:space="preserve"> = 24°C</t>
    </r>
  </si>
  <si>
    <r>
      <t>Thermal Conductive Load (TL</t>
    </r>
    <r>
      <rPr>
        <b/>
        <vertAlign val="subscript"/>
        <sz val="10"/>
        <color theme="1"/>
        <rFont val="Arial"/>
        <family val="2"/>
      </rPr>
      <t>gw-x</t>
    </r>
    <r>
      <rPr>
        <b/>
        <sz val="10"/>
        <color theme="1"/>
        <rFont val="Arial"/>
        <family val="2"/>
      </rPr>
      <t>) Calculated for Chennai (Warm and Humid) for Setpoint T</t>
    </r>
    <r>
      <rPr>
        <b/>
        <vertAlign val="subscript"/>
        <sz val="10"/>
        <color theme="1"/>
        <rFont val="Arial"/>
        <family val="2"/>
      </rPr>
      <t>SP</t>
    </r>
    <r>
      <rPr>
        <b/>
        <sz val="10"/>
        <color theme="1"/>
        <rFont val="Arial"/>
        <family val="2"/>
      </rPr>
      <t xml:space="preserve"> = 25°C</t>
    </r>
  </si>
  <si>
    <r>
      <t>Thermal Conductive Load (TL</t>
    </r>
    <r>
      <rPr>
        <b/>
        <vertAlign val="subscript"/>
        <sz val="10"/>
        <color theme="1"/>
        <rFont val="Arial"/>
        <family val="2"/>
      </rPr>
      <t>gw-x</t>
    </r>
    <r>
      <rPr>
        <b/>
        <sz val="10"/>
        <color theme="1"/>
        <rFont val="Arial"/>
        <family val="2"/>
      </rPr>
      <t>) Calculated for Chennai (Warm and Humid) for Setpoint T</t>
    </r>
    <r>
      <rPr>
        <b/>
        <vertAlign val="subscript"/>
        <sz val="10"/>
        <color theme="1"/>
        <rFont val="Arial"/>
        <family val="2"/>
      </rPr>
      <t>SP</t>
    </r>
    <r>
      <rPr>
        <b/>
        <sz val="10"/>
        <color theme="1"/>
        <rFont val="Arial"/>
        <family val="2"/>
      </rPr>
      <t xml:space="preserve"> = 26°C</t>
    </r>
  </si>
  <si>
    <r>
      <t>Thermal Conductive Load (TL</t>
    </r>
    <r>
      <rPr>
        <b/>
        <vertAlign val="subscript"/>
        <sz val="10"/>
        <color theme="1"/>
        <rFont val="Arial"/>
        <family val="2"/>
      </rPr>
      <t>gw-x</t>
    </r>
    <r>
      <rPr>
        <b/>
        <sz val="10"/>
        <color theme="1"/>
        <rFont val="Arial"/>
        <family val="2"/>
      </rPr>
      <t>) Calculated for Chennai (Warm and Humid) for Setpoint T</t>
    </r>
    <r>
      <rPr>
        <b/>
        <vertAlign val="subscript"/>
        <sz val="10"/>
        <color theme="1"/>
        <rFont val="Arial"/>
        <family val="2"/>
      </rPr>
      <t>SP</t>
    </r>
    <r>
      <rPr>
        <b/>
        <sz val="10"/>
        <color theme="1"/>
        <rFont val="Arial"/>
        <family val="2"/>
      </rPr>
      <t xml:space="preserve"> = 27°C</t>
    </r>
  </si>
  <si>
    <r>
      <t>Thermal Conductive Load (TL</t>
    </r>
    <r>
      <rPr>
        <b/>
        <vertAlign val="subscript"/>
        <sz val="10"/>
        <color theme="1"/>
        <rFont val="Arial"/>
        <family val="2"/>
      </rPr>
      <t>gw-x</t>
    </r>
    <r>
      <rPr>
        <b/>
        <sz val="10"/>
        <color theme="1"/>
        <rFont val="Arial"/>
        <family val="2"/>
      </rPr>
      <t>) Calculated for Chennai (Warm and Humid) for Setpoint T</t>
    </r>
    <r>
      <rPr>
        <b/>
        <vertAlign val="subscript"/>
        <sz val="10"/>
        <color theme="1"/>
        <rFont val="Arial"/>
        <family val="2"/>
      </rPr>
      <t>SP</t>
    </r>
    <r>
      <rPr>
        <b/>
        <sz val="10"/>
        <color theme="1"/>
        <rFont val="Arial"/>
        <family val="2"/>
      </rPr>
      <t xml:space="preserve"> = 28°C</t>
    </r>
  </si>
  <si>
    <r>
      <t>CLTD</t>
    </r>
    <r>
      <rPr>
        <vertAlign val="subscript"/>
        <sz val="10"/>
        <color theme="1"/>
        <rFont val="Arial"/>
        <family val="2"/>
      </rPr>
      <t>gw-avg</t>
    </r>
    <r>
      <rPr>
        <sz val="10"/>
        <color theme="1"/>
        <rFont val="Arial"/>
        <family val="2"/>
      </rPr>
      <t xml:space="preserve"> (°C)</t>
    </r>
  </si>
  <si>
    <t xml:space="preserve">Month </t>
  </si>
  <si>
    <t>Max SHGC</t>
  </si>
  <si>
    <r>
      <t>TL</t>
    </r>
    <r>
      <rPr>
        <b/>
        <vertAlign val="subscript"/>
        <sz val="10"/>
        <color theme="1"/>
        <rFont val="Arial"/>
        <family val="2"/>
      </rPr>
      <t>rad</t>
    </r>
  </si>
  <si>
    <t xml:space="preserve">Annual Radiation Thermal Load Through Glass Window </t>
  </si>
  <si>
    <r>
      <t>A</t>
    </r>
    <r>
      <rPr>
        <b/>
        <vertAlign val="subscript"/>
        <sz val="10"/>
        <color theme="1"/>
        <rFont val="Arial"/>
        <family val="2"/>
      </rPr>
      <t>gw-Non op</t>
    </r>
  </si>
  <si>
    <t>CLTDgw-avg (°C) for AC Opn hrs.</t>
  </si>
  <si>
    <t>ACH</t>
  </si>
  <si>
    <t>KJ/h to W</t>
  </si>
  <si>
    <t>AC opn hrs</t>
  </si>
  <si>
    <t>Tinf</t>
  </si>
  <si>
    <r>
      <t>T</t>
    </r>
    <r>
      <rPr>
        <b/>
        <vertAlign val="subscript"/>
        <sz val="10"/>
        <color theme="1"/>
        <rFont val="Arial"/>
        <family val="2"/>
      </rPr>
      <t>inf</t>
    </r>
    <r>
      <rPr>
        <b/>
        <sz val="10"/>
        <color theme="1"/>
        <rFont val="Arial"/>
        <family val="2"/>
      </rPr>
      <t xml:space="preserve"> for setpoint 23 degrees C</t>
    </r>
  </si>
  <si>
    <t>Inflitration Load for Different Setpoint Temperatures</t>
  </si>
  <si>
    <r>
      <t>T</t>
    </r>
    <r>
      <rPr>
        <b/>
        <vertAlign val="subscript"/>
        <sz val="10"/>
        <color theme="1"/>
        <rFont val="Arial"/>
        <family val="2"/>
      </rPr>
      <t>inf</t>
    </r>
    <r>
      <rPr>
        <b/>
        <sz val="10"/>
        <color theme="1"/>
        <rFont val="Arial"/>
        <family val="2"/>
      </rPr>
      <t xml:space="preserve"> for setpoint 24 degrees C</t>
    </r>
  </si>
  <si>
    <r>
      <t>T</t>
    </r>
    <r>
      <rPr>
        <b/>
        <vertAlign val="subscript"/>
        <sz val="10"/>
        <color theme="1"/>
        <rFont val="Arial"/>
        <family val="2"/>
      </rPr>
      <t>inf</t>
    </r>
    <r>
      <rPr>
        <b/>
        <sz val="10"/>
        <color theme="1"/>
        <rFont val="Arial"/>
        <family val="2"/>
      </rPr>
      <t xml:space="preserve"> for setpoint 25 degrees C</t>
    </r>
  </si>
  <si>
    <r>
      <t>T</t>
    </r>
    <r>
      <rPr>
        <b/>
        <vertAlign val="subscript"/>
        <sz val="10"/>
        <color theme="1"/>
        <rFont val="Arial"/>
        <family val="2"/>
      </rPr>
      <t>inf</t>
    </r>
    <r>
      <rPr>
        <b/>
        <sz val="10"/>
        <color theme="1"/>
        <rFont val="Arial"/>
        <family val="2"/>
      </rPr>
      <t xml:space="preserve"> for setpoint 26 degrees C</t>
    </r>
  </si>
  <si>
    <r>
      <t>T</t>
    </r>
    <r>
      <rPr>
        <b/>
        <vertAlign val="subscript"/>
        <sz val="10"/>
        <color theme="1"/>
        <rFont val="Arial"/>
        <family val="2"/>
      </rPr>
      <t>inf</t>
    </r>
    <r>
      <rPr>
        <b/>
        <sz val="10"/>
        <color theme="1"/>
        <rFont val="Arial"/>
        <family val="2"/>
      </rPr>
      <t xml:space="preserve"> for setpoint 27 degrees C</t>
    </r>
  </si>
  <si>
    <r>
      <t>T</t>
    </r>
    <r>
      <rPr>
        <b/>
        <vertAlign val="subscript"/>
        <sz val="10"/>
        <color theme="1"/>
        <rFont val="Arial"/>
        <family val="2"/>
      </rPr>
      <t>inf</t>
    </r>
    <r>
      <rPr>
        <b/>
        <sz val="10"/>
        <color theme="1"/>
        <rFont val="Arial"/>
        <family val="2"/>
      </rPr>
      <t xml:space="preserve"> for setpoint 28 degrees C</t>
    </r>
  </si>
  <si>
    <r>
      <t>V</t>
    </r>
    <r>
      <rPr>
        <b/>
        <vertAlign val="subscript"/>
        <sz val="10"/>
        <color theme="1"/>
        <rFont val="Arial"/>
        <family val="2"/>
      </rPr>
      <t>livingspace</t>
    </r>
  </si>
  <si>
    <r>
      <t>C</t>
    </r>
    <r>
      <rPr>
        <b/>
        <vertAlign val="subscript"/>
        <sz val="10"/>
        <color theme="1"/>
        <rFont val="Arial"/>
        <family val="2"/>
      </rPr>
      <t>air</t>
    </r>
  </si>
  <si>
    <r>
      <t>ρ</t>
    </r>
    <r>
      <rPr>
        <b/>
        <vertAlign val="subscript"/>
        <sz val="10"/>
        <color theme="1"/>
        <rFont val="Arial"/>
        <family val="2"/>
      </rPr>
      <t>air</t>
    </r>
  </si>
  <si>
    <r>
      <t>T</t>
    </r>
    <r>
      <rPr>
        <b/>
        <vertAlign val="subscript"/>
        <sz val="10"/>
        <color theme="1"/>
        <rFont val="Arial"/>
        <family val="2"/>
      </rPr>
      <t>dbt</t>
    </r>
  </si>
  <si>
    <r>
      <t>T</t>
    </r>
    <r>
      <rPr>
        <b/>
        <vertAlign val="subscript"/>
        <sz val="10"/>
        <color theme="1"/>
        <rFont val="Arial"/>
        <family val="2"/>
      </rPr>
      <t>SP</t>
    </r>
  </si>
  <si>
    <r>
      <t>T</t>
    </r>
    <r>
      <rPr>
        <b/>
        <vertAlign val="subscript"/>
        <sz val="10"/>
        <color theme="1"/>
        <rFont val="Arial"/>
        <family val="2"/>
      </rPr>
      <t>dbt</t>
    </r>
    <r>
      <rPr>
        <b/>
        <sz val="10"/>
        <color theme="1"/>
        <rFont val="Arial"/>
        <family val="2"/>
      </rPr>
      <t>-T</t>
    </r>
    <r>
      <rPr>
        <b/>
        <vertAlign val="subscript"/>
        <sz val="10"/>
        <color theme="1"/>
        <rFont val="Arial"/>
        <family val="2"/>
      </rPr>
      <t>Sp</t>
    </r>
  </si>
  <si>
    <r>
      <t>Q</t>
    </r>
    <r>
      <rPr>
        <b/>
        <vertAlign val="subscript"/>
        <sz val="10"/>
        <color theme="1"/>
        <rFont val="Arial"/>
        <family val="2"/>
      </rPr>
      <t>inf</t>
    </r>
    <r>
      <rPr>
        <b/>
        <sz val="10"/>
        <color theme="1"/>
        <rFont val="Arial"/>
        <family val="2"/>
      </rPr>
      <t xml:space="preserve"> (KJ/h)</t>
    </r>
  </si>
  <si>
    <r>
      <t>Q</t>
    </r>
    <r>
      <rPr>
        <b/>
        <vertAlign val="subscript"/>
        <sz val="10"/>
        <color theme="1"/>
        <rFont val="Arial"/>
        <family val="2"/>
      </rPr>
      <t xml:space="preserve">inf </t>
    </r>
    <r>
      <rPr>
        <b/>
        <sz val="10"/>
        <color theme="1"/>
        <rFont val="Arial"/>
        <family val="2"/>
      </rPr>
      <t>(W)</t>
    </r>
  </si>
  <si>
    <r>
      <t>T</t>
    </r>
    <r>
      <rPr>
        <b/>
        <vertAlign val="subscript"/>
        <sz val="10"/>
        <color theme="1"/>
        <rFont val="Arial"/>
        <family val="2"/>
      </rPr>
      <t>inf</t>
    </r>
    <r>
      <rPr>
        <b/>
        <sz val="10"/>
        <color theme="1"/>
        <rFont val="Arial"/>
        <family val="2"/>
      </rPr>
      <t xml:space="preserve"> (KWh)</t>
    </r>
  </si>
  <si>
    <t xml:space="preserve">People </t>
  </si>
  <si>
    <t>SenL/person</t>
  </si>
  <si>
    <t>SensL (W)</t>
  </si>
  <si>
    <t>Latent/Person</t>
  </si>
  <si>
    <t>LatentL (W)</t>
  </si>
  <si>
    <t>Total PL (KWh)</t>
  </si>
  <si>
    <t>Total peo L (W)</t>
  </si>
  <si>
    <t>Total Internal Load by People</t>
  </si>
  <si>
    <t>No. Bulbs</t>
  </si>
  <si>
    <t>Watt Rating</t>
  </si>
  <si>
    <t>bf</t>
  </si>
  <si>
    <t>Fu</t>
  </si>
  <si>
    <t>hrs (6hrs/day)</t>
  </si>
  <si>
    <r>
      <t>T</t>
    </r>
    <r>
      <rPr>
        <vertAlign val="subscript"/>
        <sz val="10"/>
        <color theme="1"/>
        <rFont val="Arial"/>
        <family val="2"/>
      </rPr>
      <t>ihlig</t>
    </r>
    <r>
      <rPr>
        <sz val="10"/>
        <color theme="1"/>
        <rFont val="Arial"/>
        <family val="2"/>
      </rPr>
      <t>(KWh)</t>
    </r>
  </si>
  <si>
    <t>Total Internal Heat Load of Lights per Year</t>
  </si>
  <si>
    <t>TV Rating W</t>
  </si>
  <si>
    <t>Hrs /day</t>
  </si>
  <si>
    <t>Total hrs</t>
  </si>
  <si>
    <t>Tihe (KWh)</t>
  </si>
  <si>
    <t>Total load Equipment</t>
  </si>
  <si>
    <t>Total Internal Heat Load-Equipment</t>
  </si>
  <si>
    <t>Tsp</t>
  </si>
  <si>
    <t>gw-Cond</t>
  </si>
  <si>
    <t>gw-rad</t>
  </si>
  <si>
    <t>People load</t>
  </si>
  <si>
    <t>Lighting Load</t>
  </si>
  <si>
    <t>Equp. Load</t>
  </si>
  <si>
    <t>Thermal Conductive Load (TLgw-x) Calculated for Chennai (Warm and Humid) for Setpoint TSP = 23°C</t>
  </si>
  <si>
    <r>
      <t>Thermal Conductive Load (TL</t>
    </r>
    <r>
      <rPr>
        <b/>
        <vertAlign val="subscript"/>
        <sz val="10"/>
        <color theme="1"/>
        <rFont val="Arial"/>
        <family val="2"/>
      </rPr>
      <t>gw-x</t>
    </r>
    <r>
      <rPr>
        <b/>
        <sz val="10"/>
        <color theme="1"/>
        <rFont val="Arial"/>
        <family val="2"/>
      </rPr>
      <t>) Calculated for Chennai (Warm and Humid) for Setpoint T</t>
    </r>
    <r>
      <rPr>
        <b/>
        <vertAlign val="subscript"/>
        <sz val="10"/>
        <color theme="1"/>
        <rFont val="Arial"/>
        <family val="2"/>
      </rPr>
      <t>SP</t>
    </r>
    <r>
      <rPr>
        <b/>
        <sz val="10"/>
        <color theme="1"/>
        <rFont val="Arial"/>
        <family val="2"/>
      </rPr>
      <t xml:space="preserve"> = 22°C</t>
    </r>
  </si>
  <si>
    <r>
      <t>T</t>
    </r>
    <r>
      <rPr>
        <b/>
        <vertAlign val="subscript"/>
        <sz val="10"/>
        <color theme="1"/>
        <rFont val="Arial"/>
        <family val="2"/>
      </rPr>
      <t>inf</t>
    </r>
    <r>
      <rPr>
        <b/>
        <sz val="10"/>
        <color theme="1"/>
        <rFont val="Arial"/>
        <family val="2"/>
      </rPr>
      <t xml:space="preserve"> for setpoint 22 degrees C</t>
    </r>
  </si>
  <si>
    <t>All Other Loads</t>
  </si>
  <si>
    <t>Hourly Solar Heat Gains for May-December for Colombo, SL (6.9°N; 8°N Considered)</t>
  </si>
  <si>
    <t>Hourly Solar Heat Gains for May-December for Bangkok, TH (13.75°N, 16°N Considered)</t>
  </si>
  <si>
    <r>
      <t>T</t>
    </r>
    <r>
      <rPr>
        <vertAlign val="subscript"/>
        <sz val="10"/>
        <color theme="1"/>
        <rFont val="Arial"/>
        <family val="2"/>
      </rPr>
      <t>bal-m</t>
    </r>
    <r>
      <rPr>
        <sz val="10"/>
        <color theme="1"/>
        <rFont val="Arial"/>
        <family val="2"/>
      </rPr>
      <t xml:space="preserve"> taken</t>
    </r>
  </si>
  <si>
    <r>
      <t>T</t>
    </r>
    <r>
      <rPr>
        <vertAlign val="subscript"/>
        <sz val="10"/>
        <color theme="1"/>
        <rFont val="Arial"/>
        <family val="2"/>
      </rPr>
      <t>bal-m</t>
    </r>
    <r>
      <rPr>
        <sz val="10"/>
        <color theme="1"/>
        <rFont val="Arial"/>
        <family val="2"/>
      </rPr>
      <t xml:space="preserve"> Calc.</t>
    </r>
  </si>
  <si>
    <t>Hourly Solar Heat Gains for May-December for Dhaka, BD (23.8 °N; 24°N Considered)</t>
  </si>
  <si>
    <t>VCDD-22 Deg</t>
  </si>
  <si>
    <t>VCDD-23 Deg</t>
  </si>
  <si>
    <t>VCDD-24 Deg</t>
  </si>
  <si>
    <t xml:space="preserve">Inflitration Load for Different Setpoint Temperatures for Chennai </t>
  </si>
  <si>
    <t xml:space="preserve">Summary of All Other Loads for Chennai </t>
  </si>
  <si>
    <t xml:space="preserve">Annual Radiation Thermal Load Through Glass Window- Chennai </t>
  </si>
  <si>
    <r>
      <t>TL</t>
    </r>
    <r>
      <rPr>
        <b/>
        <vertAlign val="subscript"/>
        <sz val="10"/>
        <color theme="1"/>
        <rFont val="Arial"/>
        <family val="2"/>
      </rPr>
      <t xml:space="preserve">gw-CHN </t>
    </r>
    <r>
      <rPr>
        <b/>
        <sz val="10"/>
        <color theme="1"/>
        <rFont val="Arial"/>
        <family val="2"/>
      </rPr>
      <t>(KWh)-22 Deg</t>
    </r>
  </si>
  <si>
    <r>
      <t>TL</t>
    </r>
    <r>
      <rPr>
        <b/>
        <vertAlign val="subscript"/>
        <sz val="10"/>
        <color theme="1"/>
        <rFont val="Arial"/>
        <family val="2"/>
      </rPr>
      <t xml:space="preserve">gw-CHN </t>
    </r>
    <r>
      <rPr>
        <b/>
        <sz val="10"/>
        <color theme="1"/>
        <rFont val="Arial"/>
        <family val="2"/>
      </rPr>
      <t>(KWh)-23 Deg</t>
    </r>
  </si>
  <si>
    <r>
      <t>TL</t>
    </r>
    <r>
      <rPr>
        <b/>
        <vertAlign val="subscript"/>
        <sz val="10"/>
        <color theme="1"/>
        <rFont val="Arial"/>
        <family val="2"/>
      </rPr>
      <t xml:space="preserve">gw-CHN </t>
    </r>
    <r>
      <rPr>
        <b/>
        <sz val="10"/>
        <color theme="1"/>
        <rFont val="Arial"/>
        <family val="2"/>
      </rPr>
      <t>(KWh)-24 Deg</t>
    </r>
  </si>
  <si>
    <r>
      <t>TL</t>
    </r>
    <r>
      <rPr>
        <b/>
        <vertAlign val="subscript"/>
        <sz val="10"/>
        <color theme="1"/>
        <rFont val="Arial"/>
        <family val="2"/>
      </rPr>
      <t xml:space="preserve">gw-AMD </t>
    </r>
    <r>
      <rPr>
        <b/>
        <sz val="10"/>
        <color theme="1"/>
        <rFont val="Arial"/>
        <family val="2"/>
      </rPr>
      <t>(KWh)-23 Deg</t>
    </r>
  </si>
  <si>
    <r>
      <t>TL</t>
    </r>
    <r>
      <rPr>
        <b/>
        <vertAlign val="subscript"/>
        <sz val="10"/>
        <color theme="1"/>
        <rFont val="Arial"/>
        <family val="2"/>
      </rPr>
      <t xml:space="preserve">gw-AMD </t>
    </r>
    <r>
      <rPr>
        <b/>
        <sz val="10"/>
        <color theme="1"/>
        <rFont val="Arial"/>
        <family val="2"/>
      </rPr>
      <t>(KWh)-24 Deg</t>
    </r>
  </si>
  <si>
    <t>Inflitration Load for Different Setpoint Temperatures for Ahmedabad</t>
  </si>
  <si>
    <t>Summary of All Other Loads for Ahmedabad</t>
  </si>
  <si>
    <r>
      <t>Thermal Conductive Load (TL</t>
    </r>
    <r>
      <rPr>
        <b/>
        <vertAlign val="subscript"/>
        <sz val="10"/>
        <color theme="1"/>
        <rFont val="Arial"/>
        <family val="2"/>
      </rPr>
      <t>gw-x</t>
    </r>
    <r>
      <rPr>
        <b/>
        <sz val="10"/>
        <color theme="1"/>
        <rFont val="Arial"/>
        <family val="2"/>
      </rPr>
      <t>) Calculated for Delhi (Composite) for Setpoint T</t>
    </r>
    <r>
      <rPr>
        <b/>
        <vertAlign val="subscript"/>
        <sz val="10"/>
        <color theme="1"/>
        <rFont val="Arial"/>
        <family val="2"/>
      </rPr>
      <t>SP</t>
    </r>
    <r>
      <rPr>
        <b/>
        <sz val="10"/>
        <color theme="1"/>
        <rFont val="Arial"/>
        <family val="2"/>
      </rPr>
      <t xml:space="preserve"> = 22°C</t>
    </r>
  </si>
  <si>
    <r>
      <t>TL</t>
    </r>
    <r>
      <rPr>
        <b/>
        <vertAlign val="subscript"/>
        <sz val="10"/>
        <color theme="1"/>
        <rFont val="Arial"/>
        <family val="2"/>
      </rPr>
      <t xml:space="preserve">gw-DEL </t>
    </r>
    <r>
      <rPr>
        <b/>
        <sz val="10"/>
        <color theme="1"/>
        <rFont val="Arial"/>
        <family val="2"/>
      </rPr>
      <t>(KWh)-23 Deg</t>
    </r>
  </si>
  <si>
    <r>
      <t>TL</t>
    </r>
    <r>
      <rPr>
        <b/>
        <vertAlign val="subscript"/>
        <sz val="10"/>
        <color theme="1"/>
        <rFont val="Arial"/>
        <family val="2"/>
      </rPr>
      <t xml:space="preserve">gw-DEL </t>
    </r>
    <r>
      <rPr>
        <b/>
        <sz val="10"/>
        <color theme="1"/>
        <rFont val="Arial"/>
        <family val="2"/>
      </rPr>
      <t>(KWh)-24 Deg</t>
    </r>
  </si>
  <si>
    <r>
      <t>Thermal Conductive Load (TL</t>
    </r>
    <r>
      <rPr>
        <b/>
        <vertAlign val="subscript"/>
        <sz val="10"/>
        <color theme="1"/>
        <rFont val="Arial"/>
        <family val="2"/>
      </rPr>
      <t>gw-x</t>
    </r>
    <r>
      <rPr>
        <b/>
        <sz val="10"/>
        <color theme="1"/>
        <rFont val="Arial"/>
        <family val="2"/>
      </rPr>
      <t>) Calculated for Ahmedabad (Hot and Dry) for Setpoint T</t>
    </r>
    <r>
      <rPr>
        <b/>
        <vertAlign val="subscript"/>
        <sz val="10"/>
        <color theme="1"/>
        <rFont val="Arial"/>
        <family val="2"/>
      </rPr>
      <t>SP</t>
    </r>
    <r>
      <rPr>
        <b/>
        <sz val="10"/>
        <color theme="1"/>
        <rFont val="Arial"/>
        <family val="2"/>
      </rPr>
      <t xml:space="preserve"> = 22°C</t>
    </r>
  </si>
  <si>
    <t>Annual Radiation Thermal Load Through Glass Window- Ahmedabad</t>
  </si>
  <si>
    <r>
      <t>Tl</t>
    </r>
    <r>
      <rPr>
        <b/>
        <vertAlign val="subscript"/>
        <sz val="10"/>
        <color theme="1"/>
        <rFont val="Arial"/>
        <family val="2"/>
      </rPr>
      <t>rad-AMD</t>
    </r>
  </si>
  <si>
    <r>
      <t>Tl</t>
    </r>
    <r>
      <rPr>
        <b/>
        <vertAlign val="subscript"/>
        <sz val="10"/>
        <color theme="1"/>
        <rFont val="Arial"/>
        <family val="2"/>
      </rPr>
      <t>rad-CHN</t>
    </r>
  </si>
  <si>
    <t>Summary of All Other Loads for Delhi</t>
  </si>
  <si>
    <t>T</t>
  </si>
  <si>
    <r>
      <t>TATL</t>
    </r>
    <r>
      <rPr>
        <vertAlign val="subscript"/>
        <sz val="10"/>
        <color theme="1"/>
        <rFont val="Arial"/>
        <family val="2"/>
      </rPr>
      <t>-x</t>
    </r>
  </si>
  <si>
    <t>AC Setpt- Elec Cons (KWh)</t>
  </si>
  <si>
    <t>Avg Elec Cons (KWh)</t>
  </si>
  <si>
    <r>
      <t>Balance Point Temperature, Annual Variable Degree Days,  Thermal Load of Living Space and Annual Electricity Consumption Calculations for No Insulation (Indian Electrical Grid Mix and Solar Electricity) for Baseline Scenario (Low Dengue Risk AC Temperature Zone (22-25°</t>
    </r>
    <r>
      <rPr>
        <b/>
        <sz val="9"/>
        <color theme="1"/>
        <rFont val="Arial"/>
        <family val="2"/>
      </rPr>
      <t xml:space="preserve">C) for all Three Climate Scenarios in India </t>
    </r>
  </si>
  <si>
    <t>Annual Radiation Thermal Load Through Glass Window- Delhi</t>
  </si>
  <si>
    <t>Inflitration Load for Different Setpoint Temperatures for Delhi</t>
  </si>
  <si>
    <r>
      <t>TL</t>
    </r>
    <r>
      <rPr>
        <vertAlign val="subscript"/>
        <sz val="10"/>
        <color theme="1"/>
        <rFont val="Arial"/>
        <family val="2"/>
      </rPr>
      <t>BE-r-x</t>
    </r>
  </si>
  <si>
    <r>
      <t>TL</t>
    </r>
    <r>
      <rPr>
        <vertAlign val="subscript"/>
        <sz val="10"/>
        <color theme="1"/>
        <rFont val="Arial"/>
        <family val="2"/>
      </rPr>
      <t>BE-f-x</t>
    </r>
  </si>
  <si>
    <r>
      <t>TL</t>
    </r>
    <r>
      <rPr>
        <vertAlign val="subscript"/>
        <sz val="10"/>
        <color theme="1"/>
        <rFont val="Arial"/>
        <family val="2"/>
      </rPr>
      <t>BE-wallop-x</t>
    </r>
  </si>
  <si>
    <r>
      <t>T</t>
    </r>
    <r>
      <rPr>
        <vertAlign val="subscript"/>
        <sz val="10"/>
        <color theme="1"/>
        <rFont val="Arial"/>
        <family val="2"/>
      </rPr>
      <t>bal-m calc</t>
    </r>
  </si>
  <si>
    <r>
      <t>T</t>
    </r>
    <r>
      <rPr>
        <vertAlign val="subscript"/>
        <sz val="10"/>
        <color theme="1"/>
        <rFont val="Arial"/>
        <family val="2"/>
      </rPr>
      <t>bal-m used</t>
    </r>
  </si>
  <si>
    <t>VCDD-21 Deg</t>
  </si>
  <si>
    <t>VCDD-20 Deg</t>
  </si>
  <si>
    <r>
      <t>TL</t>
    </r>
    <r>
      <rPr>
        <b/>
        <vertAlign val="subscript"/>
        <sz val="10"/>
        <color theme="1"/>
        <rFont val="Arial"/>
        <family val="2"/>
      </rPr>
      <t xml:space="preserve">gw-CHN </t>
    </r>
    <r>
      <rPr>
        <b/>
        <sz val="10"/>
        <color theme="1"/>
        <rFont val="Arial"/>
        <family val="2"/>
      </rPr>
      <t>(KWh)-20 Deg</t>
    </r>
  </si>
  <si>
    <r>
      <t>TL</t>
    </r>
    <r>
      <rPr>
        <b/>
        <vertAlign val="subscript"/>
        <sz val="10"/>
        <color theme="1"/>
        <rFont val="Arial"/>
        <family val="2"/>
      </rPr>
      <t xml:space="preserve">gw-CHN </t>
    </r>
    <r>
      <rPr>
        <b/>
        <sz val="10"/>
        <color theme="1"/>
        <rFont val="Arial"/>
        <family val="2"/>
      </rPr>
      <t>(KWh)-21 Deg</t>
    </r>
  </si>
  <si>
    <r>
      <t>T</t>
    </r>
    <r>
      <rPr>
        <b/>
        <vertAlign val="subscript"/>
        <sz val="10"/>
        <color theme="1"/>
        <rFont val="Arial"/>
        <family val="2"/>
      </rPr>
      <t>inf</t>
    </r>
    <r>
      <rPr>
        <b/>
        <sz val="10"/>
        <color theme="1"/>
        <rFont val="Arial"/>
        <family val="2"/>
      </rPr>
      <t xml:space="preserve"> for setpoint 20 degrees C</t>
    </r>
  </si>
  <si>
    <r>
      <t>T</t>
    </r>
    <r>
      <rPr>
        <b/>
        <vertAlign val="subscript"/>
        <sz val="10"/>
        <color theme="1"/>
        <rFont val="Arial"/>
        <family val="2"/>
      </rPr>
      <t>inf</t>
    </r>
    <r>
      <rPr>
        <b/>
        <sz val="10"/>
        <color theme="1"/>
        <rFont val="Arial"/>
        <family val="2"/>
      </rPr>
      <t xml:space="preserve"> for setpoint 21 degrees C</t>
    </r>
  </si>
  <si>
    <r>
      <t>TL</t>
    </r>
    <r>
      <rPr>
        <b/>
        <vertAlign val="subscript"/>
        <sz val="10"/>
        <color theme="1"/>
        <rFont val="Arial"/>
        <family val="2"/>
      </rPr>
      <t xml:space="preserve">gw-AMD </t>
    </r>
    <r>
      <rPr>
        <b/>
        <sz val="10"/>
        <color theme="1"/>
        <rFont val="Arial"/>
        <family val="2"/>
      </rPr>
      <t>(KWh)-20 Deg</t>
    </r>
  </si>
  <si>
    <r>
      <t>TL</t>
    </r>
    <r>
      <rPr>
        <b/>
        <vertAlign val="subscript"/>
        <sz val="10"/>
        <color theme="1"/>
        <rFont val="Arial"/>
        <family val="2"/>
      </rPr>
      <t xml:space="preserve">gw-AMD </t>
    </r>
    <r>
      <rPr>
        <b/>
        <sz val="10"/>
        <color theme="1"/>
        <rFont val="Arial"/>
        <family val="2"/>
      </rPr>
      <t>(KWh)-21 Deg</t>
    </r>
  </si>
  <si>
    <r>
      <t>TL</t>
    </r>
    <r>
      <rPr>
        <b/>
        <vertAlign val="subscript"/>
        <sz val="10"/>
        <color theme="1"/>
        <rFont val="Arial"/>
        <family val="2"/>
      </rPr>
      <t xml:space="preserve">gw-AMD </t>
    </r>
    <r>
      <rPr>
        <b/>
        <sz val="10"/>
        <color theme="1"/>
        <rFont val="Arial"/>
        <family val="2"/>
      </rPr>
      <t>(KWh)-22 Deg</t>
    </r>
  </si>
  <si>
    <r>
      <t>TL</t>
    </r>
    <r>
      <rPr>
        <b/>
        <vertAlign val="subscript"/>
        <sz val="10"/>
        <color theme="1"/>
        <rFont val="Arial"/>
        <family val="2"/>
      </rPr>
      <t xml:space="preserve">gw-DEL </t>
    </r>
    <r>
      <rPr>
        <b/>
        <sz val="10"/>
        <color theme="1"/>
        <rFont val="Arial"/>
        <family val="2"/>
      </rPr>
      <t>(KWh)-21 Deg</t>
    </r>
  </si>
  <si>
    <r>
      <t>TL</t>
    </r>
    <r>
      <rPr>
        <b/>
        <vertAlign val="subscript"/>
        <sz val="10"/>
        <color theme="1"/>
        <rFont val="Arial"/>
        <family val="2"/>
      </rPr>
      <t xml:space="preserve">gw-DEL </t>
    </r>
    <r>
      <rPr>
        <b/>
        <sz val="10"/>
        <color theme="1"/>
        <rFont val="Arial"/>
        <family val="2"/>
      </rPr>
      <t>(KWh)-20 Deg</t>
    </r>
  </si>
  <si>
    <r>
      <t>TL</t>
    </r>
    <r>
      <rPr>
        <b/>
        <vertAlign val="subscript"/>
        <sz val="10"/>
        <color theme="1"/>
        <rFont val="Arial"/>
        <family val="2"/>
      </rPr>
      <t xml:space="preserve">gw-DEL </t>
    </r>
    <r>
      <rPr>
        <b/>
        <sz val="10"/>
        <color theme="1"/>
        <rFont val="Arial"/>
        <family val="2"/>
      </rPr>
      <t>(KWh)-22 Deg</t>
    </r>
  </si>
  <si>
    <t>VCDD-18 Deg</t>
  </si>
  <si>
    <t>VCDD-19 Deg</t>
  </si>
  <si>
    <r>
      <t>TL</t>
    </r>
    <r>
      <rPr>
        <b/>
        <vertAlign val="subscript"/>
        <sz val="10"/>
        <color theme="1"/>
        <rFont val="Arial"/>
        <family val="2"/>
      </rPr>
      <t xml:space="preserve">gw-CHN </t>
    </r>
    <r>
      <rPr>
        <b/>
        <sz val="10"/>
        <color theme="1"/>
        <rFont val="Arial"/>
        <family val="2"/>
      </rPr>
      <t>(KWh)-18 Deg</t>
    </r>
  </si>
  <si>
    <r>
      <t>TL</t>
    </r>
    <r>
      <rPr>
        <b/>
        <vertAlign val="subscript"/>
        <sz val="10"/>
        <color theme="1"/>
        <rFont val="Arial"/>
        <family val="2"/>
      </rPr>
      <t xml:space="preserve">gw-CHN </t>
    </r>
    <r>
      <rPr>
        <b/>
        <sz val="10"/>
        <color theme="1"/>
        <rFont val="Arial"/>
        <family val="2"/>
      </rPr>
      <t>(KWh)-19 Deg</t>
    </r>
  </si>
  <si>
    <r>
      <t>T</t>
    </r>
    <r>
      <rPr>
        <b/>
        <vertAlign val="subscript"/>
        <sz val="10"/>
        <color theme="1"/>
        <rFont val="Arial"/>
        <family val="2"/>
      </rPr>
      <t>inf</t>
    </r>
    <r>
      <rPr>
        <b/>
        <sz val="10"/>
        <color theme="1"/>
        <rFont val="Arial"/>
        <family val="2"/>
      </rPr>
      <t xml:space="preserve"> for setpoint 18 degrees C</t>
    </r>
  </si>
  <si>
    <r>
      <t>TL</t>
    </r>
    <r>
      <rPr>
        <b/>
        <vertAlign val="subscript"/>
        <sz val="10"/>
        <color theme="1"/>
        <rFont val="Arial"/>
        <family val="2"/>
      </rPr>
      <t xml:space="preserve">gw-AMD </t>
    </r>
    <r>
      <rPr>
        <b/>
        <sz val="10"/>
        <color theme="1"/>
        <rFont val="Arial"/>
        <family val="2"/>
      </rPr>
      <t>(KWh)-18 Deg</t>
    </r>
  </si>
  <si>
    <r>
      <t>TL</t>
    </r>
    <r>
      <rPr>
        <b/>
        <vertAlign val="subscript"/>
        <sz val="10"/>
        <color theme="1"/>
        <rFont val="Arial"/>
        <family val="2"/>
      </rPr>
      <t xml:space="preserve">gw-AMD </t>
    </r>
    <r>
      <rPr>
        <b/>
        <sz val="10"/>
        <color theme="1"/>
        <rFont val="Arial"/>
        <family val="2"/>
      </rPr>
      <t>(KWh)-19 Deg</t>
    </r>
  </si>
  <si>
    <r>
      <t>T</t>
    </r>
    <r>
      <rPr>
        <b/>
        <vertAlign val="subscript"/>
        <sz val="10"/>
        <color theme="1"/>
        <rFont val="Arial"/>
        <family val="2"/>
      </rPr>
      <t>inf</t>
    </r>
    <r>
      <rPr>
        <b/>
        <sz val="10"/>
        <color theme="1"/>
        <rFont val="Arial"/>
        <family val="2"/>
      </rPr>
      <t xml:space="preserve"> for setpoint 19 degrees C</t>
    </r>
  </si>
  <si>
    <r>
      <t>TL</t>
    </r>
    <r>
      <rPr>
        <b/>
        <vertAlign val="subscript"/>
        <sz val="10"/>
        <color theme="1"/>
        <rFont val="Arial"/>
        <family val="2"/>
      </rPr>
      <t xml:space="preserve">gw-DEL </t>
    </r>
    <r>
      <rPr>
        <b/>
        <sz val="10"/>
        <color theme="1"/>
        <rFont val="Arial"/>
        <family val="2"/>
      </rPr>
      <t>(KWh)-18 Deg</t>
    </r>
  </si>
  <si>
    <r>
      <t>TL</t>
    </r>
    <r>
      <rPr>
        <b/>
        <vertAlign val="subscript"/>
        <sz val="10"/>
        <color theme="1"/>
        <rFont val="Arial"/>
        <family val="2"/>
      </rPr>
      <t xml:space="preserve">gw-DEL </t>
    </r>
    <r>
      <rPr>
        <b/>
        <sz val="10"/>
        <color theme="1"/>
        <rFont val="Arial"/>
        <family val="2"/>
      </rPr>
      <t>(KWh)-19 Deg</t>
    </r>
  </si>
  <si>
    <t>AC Setpoint Temp (°C)</t>
  </si>
  <si>
    <t xml:space="preserve">% Preference </t>
  </si>
  <si>
    <t>Adj. Pref %</t>
  </si>
  <si>
    <t>Total Energy Consumption for Operation of AC Unit Between Setpoint Temperature of 18-24°C (Based on User Setpoint Preferences) for Chennai (Warm and Humid)</t>
  </si>
  <si>
    <t>Total Energy Consumption for Operation of AC Unit Between Setpoint Temperature of 18-24°C (Based on User Setpoint Preferences) for Ahmedabad (Hot and Dry)</t>
  </si>
  <si>
    <t>Total Energy Consumption for Operation of AC Unit Between Setpoint Temperature of 18-24°C (Based on User Setpoint Preferences) for Delhi (Composite)</t>
  </si>
  <si>
    <t>Adj Pref. %</t>
  </si>
  <si>
    <t xml:space="preserve">LDRZ Setpoint Adjsuted Preference % </t>
  </si>
  <si>
    <t xml:space="preserve">MDRZ Setpoint Adjsuted Preference % </t>
  </si>
  <si>
    <t xml:space="preserve">HDRZ Setpoint Adjsuted Preference % </t>
  </si>
  <si>
    <t>LDRZ Use Temperature Setpoint Preference %</t>
  </si>
  <si>
    <t>VCDD-19Deg</t>
  </si>
  <si>
    <r>
      <t>T</t>
    </r>
    <r>
      <rPr>
        <vertAlign val="subscript"/>
        <sz val="10"/>
        <color theme="1"/>
        <rFont val="Arial"/>
        <family val="2"/>
      </rPr>
      <t>SP</t>
    </r>
    <r>
      <rPr>
        <sz val="10"/>
        <color theme="1"/>
        <rFont val="Arial"/>
        <family val="2"/>
      </rPr>
      <t xml:space="preserve"> (°C)</t>
    </r>
  </si>
  <si>
    <t>Total Energy Consumption for Operation of AC Unit Between Setpoint Temperature of 18-24°C (Based on User Setpoint Preferences) for Chennai (Warm and Humid) for ECBC Scenario</t>
  </si>
  <si>
    <t>Total Energy Consumption for Operation of AC Unit Between Setpoint Temperature of 18-24°C (Based on User Setpoint Preferences) for Ahmedabad (Hot and Dry) for ECBC Scenario</t>
  </si>
  <si>
    <t>Total Energy Consumption for Operation of AC Unit Between Setpoint Temperature of 18-24°C (Based on User Setpoint Preferences) for Delhi (Composite) for ECBC Scenario</t>
  </si>
  <si>
    <t>Avg Annual VCDD Based on Consumer Setpoint Prefreneces for Chennai-India (Warm and Humid) for Low Dengue Risk Zone (LDRZ)</t>
  </si>
  <si>
    <t>Avg Annual VCDD Based on Consumer Setpoint Prefreneces for Chennai-India (Warm and Humid) for Moderate Dengue Risk Zone (MDRZ)</t>
  </si>
  <si>
    <t>Avg Annual VCDD Based on Consumer Setpoint Prefreneces for Chennai-India (Warm and Humid) for High Dengue Risk Zone (HDRZ)</t>
  </si>
  <si>
    <t>Avg Annual VCDD Based on Consumer Setpoint Prefreneces for Bangkok, Thailand for Low Dengue Risk Zone (LDRZ)</t>
  </si>
  <si>
    <t>Avg Annual VCDD Based on Consumer Setpoint Prefreneces for Bangkok, Thailand for Moderate Dengue Risk Zone (MDRZ)</t>
  </si>
  <si>
    <t>Avg Annual VCDD Based on Consumer Setpoint Prefreneces for Bangkok, Thailand for High Dengue Risk Zone (HDRZ)</t>
  </si>
  <si>
    <t xml:space="preserve"> Avg Energy Consumption of AC Unit for HDRZ</t>
  </si>
  <si>
    <t>Avg Energy Consumption of AC Unit for HDRZ</t>
  </si>
  <si>
    <t xml:space="preserve"> Avg Energy Consumption of AC Unit for MDRZ</t>
  </si>
  <si>
    <t>Avg Energy Consumption of AC Unit for LDRZ</t>
  </si>
  <si>
    <t>Avg Energy Consumption of AC Unit for MDRZ</t>
  </si>
  <si>
    <t xml:space="preserve">Avg Energy Consumption of AC Unit for LDRZ </t>
  </si>
  <si>
    <t>Avg Energy Consumption of AC UnIt for LDRZ</t>
  </si>
  <si>
    <r>
      <t>Thermal Conductive Load (TL</t>
    </r>
    <r>
      <rPr>
        <b/>
        <vertAlign val="subscript"/>
        <sz val="10"/>
        <color theme="1"/>
        <rFont val="Arial"/>
        <family val="2"/>
      </rPr>
      <t>gw-x</t>
    </r>
    <r>
      <rPr>
        <b/>
        <sz val="10"/>
        <color theme="1"/>
        <rFont val="Arial"/>
        <family val="2"/>
      </rPr>
      <t>) Calculated for Chennai (Warm and Humid)</t>
    </r>
  </si>
  <si>
    <r>
      <t>Thermal Conductive Load (TL</t>
    </r>
    <r>
      <rPr>
        <b/>
        <vertAlign val="subscript"/>
        <sz val="10"/>
        <color theme="1"/>
        <rFont val="Arial"/>
        <family val="2"/>
      </rPr>
      <t>gw-x</t>
    </r>
    <r>
      <rPr>
        <b/>
        <sz val="10"/>
        <color theme="1"/>
        <rFont val="Arial"/>
        <family val="2"/>
      </rPr>
      <t>) Calculated for Ahmedabad (Hot and Dry)</t>
    </r>
  </si>
  <si>
    <r>
      <t>Thermal Conductive Load (TL</t>
    </r>
    <r>
      <rPr>
        <b/>
        <vertAlign val="subscript"/>
        <sz val="10"/>
        <color theme="1"/>
        <rFont val="Arial"/>
        <family val="2"/>
      </rPr>
      <t>gw-x</t>
    </r>
    <r>
      <rPr>
        <b/>
        <sz val="10"/>
        <color theme="1"/>
        <rFont val="Arial"/>
        <family val="2"/>
      </rPr>
      <t>) Calculated for Delhi (Composite)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</si>
</sst>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x14ac:knownFonts="1">
    <font>
      <sz val="10"/>
      <color theme="1"/>
      <name val="Arial"/>
      <family val="2"/>
    </font>
    <font>
      <b/>
      <sz val="10"/>
      <color theme="1"/>
      <name val="Arial"/>
      <family val="2"/>
    </font>
    <font>
      <vertAlign val="subscript"/>
      <sz val="10"/>
      <color theme="1"/>
      <name val="Arial"/>
      <family val="2"/>
    </font>
    <font>
      <b/>
      <sz val="11"/>
      <color theme="1"/>
      <name val="Times New Roman"/>
      <family val="1"/>
    </font>
    <font>
      <vertAlign val="superscript"/>
      <sz val="10"/>
      <color theme="1"/>
      <name val="Arial"/>
      <family val="2"/>
    </font>
    <font>
      <sz val="11"/>
      <color rgb="FF000000"/>
      <name val="Times New Roman"/>
      <family val="1"/>
    </font>
    <font>
      <sz val="10"/>
      <color rgb="FF000000"/>
      <name val="Arial"/>
      <family val="2"/>
    </font>
    <font>
      <sz val="11"/>
      <color theme="1"/>
      <name val="Times New Roman"/>
      <family val="1"/>
    </font>
    <font>
      <b/>
      <vertAlign val="subscript"/>
      <sz val="11"/>
      <color theme="1"/>
      <name val="Times New Roman"/>
      <family val="1"/>
    </font>
    <font>
      <b/>
      <sz val="11"/>
      <color rgb="FF000000"/>
      <name val="Times New Roman"/>
      <family val="1"/>
    </font>
    <font>
      <b/>
      <vertAlign val="subscript"/>
      <sz val="10"/>
      <color theme="1"/>
      <name val="Arial"/>
      <family val="2"/>
    </font>
    <font>
      <b/>
      <vertAlign val="superscript"/>
      <sz val="10"/>
      <color theme="1"/>
      <name val="Arial"/>
      <family val="2"/>
    </font>
    <font>
      <b/>
      <sz val="9"/>
      <color theme="1"/>
      <name val="Arial"/>
      <family val="2"/>
    </font>
    <font>
      <b/>
      <sz val="10"/>
      <name val="Arial"/>
      <family val="2"/>
    </font>
    <font>
      <sz val="8"/>
      <name val="Arial"/>
      <family val="2"/>
    </font>
  </fonts>
  <fills count="12">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0"/>
        <bgColor indexed="64"/>
      </patternFill>
    </fill>
    <fill>
      <patternFill patternType="solid">
        <fgColor rgb="FFFFFFFF"/>
        <bgColor indexed="64"/>
      </patternFill>
    </fill>
    <fill>
      <patternFill patternType="solid">
        <fgColor theme="8" tint="0.39997558519241921"/>
        <bgColor indexed="64"/>
      </patternFill>
    </fill>
    <fill>
      <patternFill patternType="solid">
        <fgColor theme="6" tint="0.79998168889431442"/>
        <bgColor indexed="64"/>
      </patternFill>
    </fill>
    <fill>
      <patternFill patternType="solid">
        <fgColor rgb="FFFF99CC"/>
        <bgColor indexed="64"/>
      </patternFill>
    </fill>
  </fills>
  <borders count="46">
    <border>
      <left/>
      <right/>
      <top/>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indexed="64"/>
      </top>
      <bottom/>
      <diagonal/>
    </border>
    <border>
      <left/>
      <right/>
      <top/>
      <bottom style="medium">
        <color indexed="64"/>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diagonal/>
    </border>
    <border>
      <left style="medium">
        <color auto="1"/>
      </left>
      <right/>
      <top style="thin">
        <color auto="1"/>
      </top>
      <bottom style="medium">
        <color auto="1"/>
      </bottom>
      <diagonal/>
    </border>
    <border>
      <left/>
      <right style="thin">
        <color auto="1"/>
      </right>
      <top style="thin">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diagonal/>
    </border>
    <border>
      <left/>
      <right style="medium">
        <color auto="1"/>
      </right>
      <top style="thin">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style="thin">
        <color auto="1"/>
      </top>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s>
  <cellStyleXfs count="1">
    <xf numFmtId="0" fontId="0" fillId="0" borderId="0"/>
  </cellStyleXfs>
  <cellXfs count="449">
    <xf numFmtId="0" fontId="0" fillId="0" borderId="0" xfId="0"/>
    <xf numFmtId="0" fontId="0" fillId="0" borderId="0" xfId="0" applyAlignment="1">
      <alignment horizontal="left"/>
    </xf>
    <xf numFmtId="0" fontId="0" fillId="0" borderId="2" xfId="0" applyBorder="1"/>
    <xf numFmtId="0" fontId="0" fillId="2" borderId="3" xfId="0" applyFill="1" applyBorder="1"/>
    <xf numFmtId="0" fontId="0" fillId="0" borderId="3" xfId="0" applyBorder="1"/>
    <xf numFmtId="0" fontId="0" fillId="0" borderId="3" xfId="0" applyBorder="1" applyAlignment="1">
      <alignment horizontal="left"/>
    </xf>
    <xf numFmtId="0" fontId="0" fillId="0" borderId="4" xfId="0" applyBorder="1"/>
    <xf numFmtId="0" fontId="0" fillId="2" borderId="3" xfId="0" applyFill="1" applyBorder="1" applyAlignment="1">
      <alignment horizontal="left" vertical="top"/>
    </xf>
    <xf numFmtId="0" fontId="0" fillId="0" borderId="3" xfId="0" applyBorder="1" applyAlignment="1">
      <alignment horizontal="left" vertical="top"/>
    </xf>
    <xf numFmtId="2" fontId="0" fillId="2" borderId="3" xfId="0" applyNumberFormat="1" applyFill="1" applyBorder="1" applyAlignment="1">
      <alignment horizontal="left" vertical="top"/>
    </xf>
    <xf numFmtId="0" fontId="1" fillId="2" borderId="2" xfId="0" applyFont="1" applyFill="1" applyBorder="1"/>
    <xf numFmtId="0" fontId="1" fillId="2" borderId="3" xfId="0" applyFont="1" applyFill="1" applyBorder="1" applyAlignment="1">
      <alignment horizontal="left" vertical="top"/>
    </xf>
    <xf numFmtId="0" fontId="3" fillId="2" borderId="3" xfId="0" applyFont="1" applyFill="1" applyBorder="1" applyAlignment="1">
      <alignment horizontal="justify" vertical="center" wrapText="1"/>
    </xf>
    <xf numFmtId="0" fontId="1" fillId="2" borderId="3" xfId="0" applyFont="1" applyFill="1" applyBorder="1" applyAlignment="1">
      <alignment horizontal="left"/>
    </xf>
    <xf numFmtId="2" fontId="1" fillId="2" borderId="3" xfId="0" applyNumberFormat="1" applyFont="1" applyFill="1" applyBorder="1" applyAlignment="1">
      <alignment horizontal="left" vertical="top"/>
    </xf>
    <xf numFmtId="0" fontId="0" fillId="3" borderId="3" xfId="0" applyFill="1" applyBorder="1"/>
    <xf numFmtId="0" fontId="0" fillId="3" borderId="3" xfId="0" applyFill="1" applyBorder="1" applyAlignment="1">
      <alignment horizontal="left"/>
    </xf>
    <xf numFmtId="0" fontId="0" fillId="3" borderId="3" xfId="0" applyFill="1" applyBorder="1" applyAlignment="1">
      <alignment horizontal="left" vertical="top"/>
    </xf>
    <xf numFmtId="2" fontId="0" fillId="0" borderId="3" xfId="0" applyNumberFormat="1" applyBorder="1" applyAlignment="1">
      <alignment horizontal="left"/>
    </xf>
    <xf numFmtId="2" fontId="1" fillId="5" borderId="3" xfId="0" applyNumberFormat="1" applyFont="1" applyFill="1" applyBorder="1"/>
    <xf numFmtId="1" fontId="1" fillId="6" borderId="4" xfId="0" applyNumberFormat="1" applyFont="1" applyFill="1" applyBorder="1" applyAlignment="1">
      <alignment horizontal="left"/>
    </xf>
    <xf numFmtId="0" fontId="0" fillId="0" borderId="6" xfId="0" applyBorder="1" applyAlignment="1">
      <alignment horizontal="left" vertical="top"/>
    </xf>
    <xf numFmtId="0" fontId="0" fillId="0" borderId="6" xfId="0" applyBorder="1" applyAlignment="1">
      <alignment horizontal="left"/>
    </xf>
    <xf numFmtId="2" fontId="0" fillId="0" borderId="6" xfId="0" applyNumberFormat="1" applyBorder="1" applyAlignment="1">
      <alignment horizontal="left"/>
    </xf>
    <xf numFmtId="0" fontId="0" fillId="0" borderId="6" xfId="0" applyBorder="1"/>
    <xf numFmtId="2" fontId="1" fillId="5" borderId="6" xfId="0" applyNumberFormat="1" applyFont="1" applyFill="1" applyBorder="1"/>
    <xf numFmtId="1" fontId="1" fillId="6" borderId="7" xfId="0" applyNumberFormat="1" applyFont="1" applyFill="1" applyBorder="1" applyAlignment="1">
      <alignment horizontal="left"/>
    </xf>
    <xf numFmtId="2" fontId="0" fillId="0" borderId="3" xfId="0" applyNumberFormat="1" applyBorder="1" applyAlignment="1">
      <alignment horizontal="left" vertical="top"/>
    </xf>
    <xf numFmtId="2" fontId="1" fillId="2" borderId="3" xfId="0" applyNumberFormat="1" applyFont="1" applyFill="1" applyBorder="1" applyAlignment="1">
      <alignment horizontal="left"/>
    </xf>
    <xf numFmtId="0" fontId="0" fillId="0" borderId="3" xfId="0" applyBorder="1" applyAlignment="1">
      <alignment horizontal="justify" vertical="center" wrapText="1"/>
    </xf>
    <xf numFmtId="0" fontId="0" fillId="0" borderId="11" xfId="0" applyBorder="1"/>
    <xf numFmtId="0" fontId="0" fillId="0" borderId="12" xfId="0" applyBorder="1"/>
    <xf numFmtId="0" fontId="0" fillId="0" borderId="0" xfId="0" applyAlignment="1">
      <alignment horizontal="left" vertical="top"/>
    </xf>
    <xf numFmtId="0" fontId="0" fillId="2" borderId="3" xfId="0" applyFill="1" applyBorder="1" applyAlignment="1">
      <alignment horizontal="left"/>
    </xf>
    <xf numFmtId="164" fontId="1" fillId="2" borderId="3" xfId="0" applyNumberFormat="1" applyFont="1" applyFill="1" applyBorder="1" applyAlignment="1">
      <alignment horizontal="left"/>
    </xf>
    <xf numFmtId="2" fontId="0" fillId="0" borderId="4" xfId="0" applyNumberFormat="1" applyBorder="1" applyAlignment="1">
      <alignment horizontal="left"/>
    </xf>
    <xf numFmtId="0" fontId="1" fillId="2" borderId="6" xfId="0" applyFont="1" applyFill="1" applyBorder="1" applyAlignment="1">
      <alignment horizontal="left" vertical="top"/>
    </xf>
    <xf numFmtId="0" fontId="1" fillId="0" borderId="3" xfId="0" applyFont="1" applyBorder="1" applyAlignment="1">
      <alignment horizontal="left" vertical="top"/>
    </xf>
    <xf numFmtId="0" fontId="0" fillId="7" borderId="2" xfId="0" applyFill="1" applyBorder="1" applyAlignment="1">
      <alignment horizontal="left" vertical="top"/>
    </xf>
    <xf numFmtId="0" fontId="1" fillId="0" borderId="0" xfId="0" applyFont="1" applyAlignment="1">
      <alignment horizontal="left" vertical="top"/>
    </xf>
    <xf numFmtId="2" fontId="0" fillId="0" borderId="4" xfId="0" applyNumberFormat="1" applyBorder="1" applyAlignment="1">
      <alignment horizontal="left" vertical="top"/>
    </xf>
    <xf numFmtId="0" fontId="5" fillId="7" borderId="3" xfId="0" applyFont="1" applyFill="1" applyBorder="1" applyAlignment="1">
      <alignment horizontal="justify" vertical="center" wrapText="1"/>
    </xf>
    <xf numFmtId="0" fontId="3" fillId="0" borderId="3" xfId="0" applyFont="1" applyBorder="1" applyAlignment="1">
      <alignment horizontal="left" vertical="top" wrapText="1"/>
    </xf>
    <xf numFmtId="0" fontId="9" fillId="7" borderId="2" xfId="0" applyFont="1" applyFill="1" applyBorder="1" applyAlignment="1">
      <alignment horizontal="left" vertical="top" wrapText="1"/>
    </xf>
    <xf numFmtId="0" fontId="0" fillId="0" borderId="2" xfId="0" applyBorder="1" applyAlignment="1">
      <alignment horizontal="left" vertical="top"/>
    </xf>
    <xf numFmtId="0" fontId="0" fillId="7" borderId="3" xfId="0" applyFill="1" applyBorder="1" applyAlignment="1">
      <alignment horizontal="left" vertical="top"/>
    </xf>
    <xf numFmtId="0" fontId="1" fillId="0" borderId="2" xfId="0" applyFont="1" applyBorder="1" applyAlignment="1">
      <alignment horizontal="left" vertical="top"/>
    </xf>
    <xf numFmtId="0" fontId="1" fillId="7" borderId="3" xfId="0" applyFont="1" applyFill="1" applyBorder="1" applyAlignment="1">
      <alignment horizontal="left" vertical="top"/>
    </xf>
    <xf numFmtId="2" fontId="1" fillId="0" borderId="4" xfId="0" applyNumberFormat="1" applyFont="1" applyBorder="1" applyAlignment="1">
      <alignment horizontal="left" vertical="top"/>
    </xf>
    <xf numFmtId="2" fontId="0" fillId="0" borderId="2" xfId="0" applyNumberFormat="1" applyBorder="1" applyAlignment="1">
      <alignment horizontal="left"/>
    </xf>
    <xf numFmtId="2" fontId="0" fillId="0" borderId="3" xfId="0" applyNumberFormat="1" applyBorder="1" applyAlignment="1">
      <alignment horizontal="center"/>
    </xf>
    <xf numFmtId="2" fontId="0" fillId="3" borderId="4" xfId="0" applyNumberFormat="1" applyFill="1" applyBorder="1" applyAlignment="1">
      <alignment horizontal="left"/>
    </xf>
    <xf numFmtId="2" fontId="0" fillId="0" borderId="3" xfId="0" applyNumberFormat="1" applyBorder="1"/>
    <xf numFmtId="2" fontId="0" fillId="0" borderId="0" xfId="0" applyNumberFormat="1"/>
    <xf numFmtId="2" fontId="0" fillId="0" borderId="0" xfId="0" applyNumberFormat="1" applyAlignment="1">
      <alignment horizontal="left"/>
    </xf>
    <xf numFmtId="2" fontId="0" fillId="7" borderId="0" xfId="0" applyNumberFormat="1" applyFill="1" applyAlignment="1">
      <alignment horizontal="left" vertical="top"/>
    </xf>
    <xf numFmtId="2" fontId="0" fillId="0" borderId="2" xfId="0" applyNumberFormat="1" applyBorder="1" applyAlignment="1">
      <alignment vertical="top"/>
    </xf>
    <xf numFmtId="2" fontId="0" fillId="0" borderId="3" xfId="0" applyNumberFormat="1" applyBorder="1" applyAlignment="1">
      <alignment vertical="top"/>
    </xf>
    <xf numFmtId="2" fontId="0" fillId="0" borderId="4" xfId="0" applyNumberFormat="1" applyBorder="1" applyAlignment="1">
      <alignment vertical="top"/>
    </xf>
    <xf numFmtId="2" fontId="0" fillId="7" borderId="3" xfId="0" applyNumberFormat="1" applyFill="1" applyBorder="1" applyAlignment="1">
      <alignment horizontal="left" vertical="top"/>
    </xf>
    <xf numFmtId="2" fontId="0" fillId="7" borderId="6" xfId="0" applyNumberFormat="1" applyFill="1" applyBorder="1" applyAlignment="1">
      <alignment horizontal="left" vertical="top"/>
    </xf>
    <xf numFmtId="2" fontId="6" fillId="8" borderId="3" xfId="0" applyNumberFormat="1" applyFont="1" applyFill="1" applyBorder="1" applyAlignment="1">
      <alignment horizontal="justify" vertical="center" wrapText="1"/>
    </xf>
    <xf numFmtId="0" fontId="6" fillId="0" borderId="3" xfId="0" applyFont="1" applyBorder="1" applyAlignment="1">
      <alignment horizontal="justify" vertical="center" wrapText="1"/>
    </xf>
    <xf numFmtId="0" fontId="6" fillId="8" borderId="3" xfId="0" applyFont="1" applyFill="1" applyBorder="1" applyAlignment="1">
      <alignment horizontal="justify" vertical="center" wrapText="1"/>
    </xf>
    <xf numFmtId="0" fontId="6" fillId="8" borderId="6" xfId="0" applyFont="1" applyFill="1" applyBorder="1" applyAlignment="1">
      <alignment horizontal="justify" vertical="center" wrapText="1"/>
    </xf>
    <xf numFmtId="0" fontId="6" fillId="8" borderId="15" xfId="0" applyFont="1" applyFill="1" applyBorder="1" applyAlignment="1">
      <alignment horizontal="justify" vertical="center" wrapText="1"/>
    </xf>
    <xf numFmtId="0" fontId="6" fillId="8" borderId="0" xfId="0" applyFont="1" applyFill="1" applyAlignment="1">
      <alignment horizontal="justify" vertical="center" wrapText="1"/>
    </xf>
    <xf numFmtId="0" fontId="6" fillId="8" borderId="16" xfId="0" applyFont="1" applyFill="1" applyBorder="1" applyAlignment="1">
      <alignment horizontal="justify" vertical="center" wrapText="1"/>
    </xf>
    <xf numFmtId="2" fontId="0" fillId="3" borderId="3" xfId="0" applyNumberFormat="1" applyFill="1" applyBorder="1" applyAlignment="1">
      <alignment horizontal="left" vertical="top"/>
    </xf>
    <xf numFmtId="2" fontId="1" fillId="3" borderId="4" xfId="0" applyNumberFormat="1" applyFont="1" applyFill="1" applyBorder="1" applyAlignment="1">
      <alignment horizontal="left" vertical="top"/>
    </xf>
    <xf numFmtId="2" fontId="1" fillId="3" borderId="7" xfId="0" applyNumberFormat="1" applyFont="1" applyFill="1" applyBorder="1" applyAlignment="1">
      <alignment horizontal="left" vertical="top"/>
    </xf>
    <xf numFmtId="0" fontId="7" fillId="0" borderId="3" xfId="0" applyFont="1" applyBorder="1" applyAlignment="1">
      <alignment horizontal="left" vertical="top" wrapText="1"/>
    </xf>
    <xf numFmtId="0" fontId="0" fillId="7" borderId="3" xfId="0" applyFill="1" applyBorder="1" applyAlignment="1">
      <alignment horizontal="left"/>
    </xf>
    <xf numFmtId="0" fontId="1" fillId="0" borderId="4" xfId="0" applyFont="1" applyBorder="1" applyAlignment="1">
      <alignment horizontal="left" vertical="top"/>
    </xf>
    <xf numFmtId="2" fontId="1" fillId="3" borderId="7" xfId="0" applyNumberFormat="1" applyFont="1" applyFill="1" applyBorder="1" applyAlignment="1">
      <alignment horizontal="left"/>
    </xf>
    <xf numFmtId="2" fontId="6" fillId="7" borderId="3" xfId="0" applyNumberFormat="1" applyFont="1" applyFill="1" applyBorder="1" applyAlignment="1">
      <alignment horizontal="justify" vertical="center" wrapText="1"/>
    </xf>
    <xf numFmtId="2" fontId="0" fillId="0" borderId="2" xfId="0" applyNumberFormat="1" applyBorder="1" applyAlignment="1">
      <alignment horizontal="left" vertical="top"/>
    </xf>
    <xf numFmtId="2" fontId="0" fillId="7" borderId="4" xfId="0" applyNumberFormat="1" applyFill="1" applyBorder="1" applyAlignment="1">
      <alignment horizontal="left" vertical="top"/>
    </xf>
    <xf numFmtId="2" fontId="0" fillId="7" borderId="2" xfId="0" applyNumberFormat="1" applyFill="1" applyBorder="1" applyAlignment="1">
      <alignment horizontal="justify" vertical="center" wrapText="1"/>
    </xf>
    <xf numFmtId="2" fontId="0" fillId="7" borderId="4" xfId="0" applyNumberFormat="1" applyFill="1" applyBorder="1" applyAlignment="1">
      <alignment horizontal="justify" vertical="center" wrapText="1"/>
    </xf>
    <xf numFmtId="2" fontId="0" fillId="7" borderId="5" xfId="0" applyNumberFormat="1" applyFill="1" applyBorder="1" applyAlignment="1">
      <alignment horizontal="left" vertical="top"/>
    </xf>
    <xf numFmtId="2" fontId="0" fillId="0" borderId="7" xfId="0" applyNumberFormat="1" applyBorder="1" applyAlignment="1">
      <alignment horizontal="left" vertical="top"/>
    </xf>
    <xf numFmtId="2" fontId="0" fillId="0" borderId="0" xfId="0" applyNumberFormat="1" applyAlignment="1">
      <alignment horizontal="left" vertical="top"/>
    </xf>
    <xf numFmtId="0" fontId="1" fillId="0" borderId="3" xfId="0" applyFont="1" applyBorder="1" applyAlignment="1">
      <alignment vertical="top"/>
    </xf>
    <xf numFmtId="2" fontId="1" fillId="3" borderId="4" xfId="0" applyNumberFormat="1" applyFont="1" applyFill="1" applyBorder="1" applyAlignment="1">
      <alignment horizontal="left"/>
    </xf>
    <xf numFmtId="0" fontId="0" fillId="0" borderId="4" xfId="0" applyBorder="1" applyAlignment="1">
      <alignment horizontal="left"/>
    </xf>
    <xf numFmtId="2" fontId="0" fillId="0" borderId="4" xfId="0" applyNumberFormat="1" applyBorder="1"/>
    <xf numFmtId="0" fontId="0" fillId="0" borderId="4" xfId="0" applyBorder="1" applyAlignment="1">
      <alignment horizontal="left" vertical="top"/>
    </xf>
    <xf numFmtId="0" fontId="1" fillId="3" borderId="7" xfId="0" applyFont="1" applyFill="1" applyBorder="1" applyAlignment="1">
      <alignment horizontal="left"/>
    </xf>
    <xf numFmtId="2" fontId="0" fillId="0" borderId="6" xfId="0" applyNumberFormat="1" applyBorder="1" applyAlignment="1">
      <alignment horizontal="left" vertical="top"/>
    </xf>
    <xf numFmtId="0" fontId="1" fillId="0" borderId="1" xfId="0" applyFont="1" applyBorder="1" applyAlignment="1">
      <alignment horizontal="left" vertical="top"/>
    </xf>
    <xf numFmtId="0" fontId="1" fillId="3" borderId="14" xfId="0" applyFont="1" applyFill="1" applyBorder="1" applyAlignment="1">
      <alignment horizontal="left" vertical="top"/>
    </xf>
    <xf numFmtId="2" fontId="0" fillId="3" borderId="7" xfId="0" applyNumberFormat="1" applyFill="1" applyBorder="1" applyAlignment="1">
      <alignment horizontal="left"/>
    </xf>
    <xf numFmtId="0" fontId="1" fillId="3" borderId="13" xfId="0" applyFont="1" applyFill="1" applyBorder="1" applyAlignment="1">
      <alignment horizontal="left" vertical="top"/>
    </xf>
    <xf numFmtId="0" fontId="0" fillId="3" borderId="2" xfId="0" applyFill="1" applyBorder="1" applyAlignment="1">
      <alignment horizontal="left" vertical="top"/>
    </xf>
    <xf numFmtId="0" fontId="0" fillId="3" borderId="5" xfId="0" applyFill="1" applyBorder="1" applyAlignment="1">
      <alignment horizontal="left" vertical="top"/>
    </xf>
    <xf numFmtId="2" fontId="0" fillId="4" borderId="3" xfId="0" applyNumberFormat="1" applyFill="1" applyBorder="1" applyAlignment="1">
      <alignment horizontal="left" vertical="top"/>
    </xf>
    <xf numFmtId="2" fontId="0" fillId="4" borderId="6" xfId="0" applyNumberFormat="1" applyFill="1" applyBorder="1" applyAlignment="1">
      <alignment horizontal="left" vertical="top"/>
    </xf>
    <xf numFmtId="0" fontId="5" fillId="7" borderId="3" xfId="0" applyFont="1" applyFill="1" applyBorder="1" applyAlignment="1">
      <alignment horizontal="left" vertical="center" wrapText="1"/>
    </xf>
    <xf numFmtId="2" fontId="0" fillId="9" borderId="3" xfId="0" applyNumberFormat="1" applyFill="1" applyBorder="1" applyAlignment="1">
      <alignment horizontal="left" vertical="top"/>
    </xf>
    <xf numFmtId="0" fontId="1" fillId="3" borderId="7" xfId="0" applyFont="1" applyFill="1" applyBorder="1" applyAlignment="1">
      <alignment horizontal="left" vertical="top"/>
    </xf>
    <xf numFmtId="0" fontId="0" fillId="0" borderId="26" xfId="0" applyBorder="1" applyAlignment="1">
      <alignment horizontal="left"/>
    </xf>
    <xf numFmtId="0" fontId="0" fillId="0" borderId="26" xfId="0" applyBorder="1" applyAlignment="1">
      <alignment horizontal="left" vertical="top"/>
    </xf>
    <xf numFmtId="0" fontId="1" fillId="3" borderId="27" xfId="0" applyFont="1" applyFill="1" applyBorder="1" applyAlignment="1">
      <alignment horizontal="left"/>
    </xf>
    <xf numFmtId="0" fontId="1" fillId="7" borderId="22" xfId="0" applyFont="1" applyFill="1" applyBorder="1"/>
    <xf numFmtId="2" fontId="1" fillId="7" borderId="22" xfId="0" applyNumberFormat="1" applyFont="1" applyFill="1" applyBorder="1" applyAlignment="1">
      <alignment horizontal="left" vertical="top"/>
    </xf>
    <xf numFmtId="0" fontId="1" fillId="7" borderId="22" xfId="0" applyFont="1" applyFill="1" applyBorder="1" applyAlignment="1">
      <alignment vertical="top"/>
    </xf>
    <xf numFmtId="2" fontId="1" fillId="3" borderId="26" xfId="0" applyNumberFormat="1" applyFont="1" applyFill="1" applyBorder="1" applyAlignment="1">
      <alignment horizontal="left" vertical="top"/>
    </xf>
    <xf numFmtId="2" fontId="0" fillId="0" borderId="26" xfId="0" applyNumberFormat="1" applyBorder="1" applyAlignment="1">
      <alignment horizontal="left" vertical="top"/>
    </xf>
    <xf numFmtId="0" fontId="0" fillId="0" borderId="22" xfId="0" applyBorder="1"/>
    <xf numFmtId="0" fontId="6" fillId="0" borderId="1" xfId="0" applyFont="1" applyBorder="1" applyAlignment="1">
      <alignment horizontal="justify" vertical="center" wrapText="1"/>
    </xf>
    <xf numFmtId="0" fontId="6" fillId="8" borderId="1" xfId="0" applyFont="1" applyFill="1" applyBorder="1" applyAlignment="1">
      <alignment horizontal="justify" vertical="center" wrapText="1"/>
    </xf>
    <xf numFmtId="0" fontId="0" fillId="0" borderId="20" xfId="0" applyBorder="1" applyAlignment="1">
      <alignment horizontal="left" vertical="top"/>
    </xf>
    <xf numFmtId="0" fontId="1" fillId="3" borderId="4" xfId="0" applyFont="1" applyFill="1" applyBorder="1" applyAlignment="1">
      <alignment horizontal="left" vertical="top"/>
    </xf>
    <xf numFmtId="0" fontId="0" fillId="0" borderId="20" xfId="0" applyBorder="1" applyAlignment="1">
      <alignment horizontal="left"/>
    </xf>
    <xf numFmtId="2" fontId="1" fillId="3" borderId="26" xfId="0" applyNumberFormat="1" applyFont="1" applyFill="1" applyBorder="1" applyAlignment="1">
      <alignment horizontal="left"/>
    </xf>
    <xf numFmtId="2" fontId="1" fillId="7" borderId="22" xfId="0" applyNumberFormat="1" applyFont="1" applyFill="1" applyBorder="1" applyAlignment="1">
      <alignment horizontal="left"/>
    </xf>
    <xf numFmtId="0" fontId="1" fillId="3" borderId="2" xfId="0" applyFont="1" applyFill="1" applyBorder="1" applyAlignment="1">
      <alignment horizontal="left" vertical="top"/>
    </xf>
    <xf numFmtId="0" fontId="6" fillId="7" borderId="3" xfId="0" applyFont="1" applyFill="1" applyBorder="1" applyAlignment="1">
      <alignment horizontal="justify" vertical="center" wrapText="1"/>
    </xf>
    <xf numFmtId="0" fontId="0" fillId="7" borderId="0" xfId="0" applyFill="1"/>
    <xf numFmtId="0" fontId="5" fillId="7" borderId="20" xfId="0" applyFont="1" applyFill="1" applyBorder="1" applyAlignment="1">
      <alignment horizontal="justify" vertical="center" wrapText="1"/>
    </xf>
    <xf numFmtId="0" fontId="7" fillId="7" borderId="3" xfId="0" applyFont="1" applyFill="1" applyBorder="1" applyAlignment="1">
      <alignment horizontal="left" vertical="top"/>
    </xf>
    <xf numFmtId="0" fontId="1" fillId="2" borderId="0" xfId="0" applyFont="1" applyFill="1" applyAlignment="1">
      <alignment horizontal="left" vertical="top"/>
    </xf>
    <xf numFmtId="0" fontId="1" fillId="2" borderId="0" xfId="0" applyFont="1" applyFill="1"/>
    <xf numFmtId="0" fontId="0" fillId="7" borderId="4" xfId="0" applyFill="1" applyBorder="1" applyAlignment="1">
      <alignment horizontal="left" vertical="top"/>
    </xf>
    <xf numFmtId="2" fontId="1" fillId="5" borderId="3" xfId="0" applyNumberFormat="1" applyFont="1" applyFill="1" applyBorder="1" applyAlignment="1">
      <alignment horizontal="left" vertical="top"/>
    </xf>
    <xf numFmtId="2" fontId="1" fillId="7" borderId="3" xfId="0" applyNumberFormat="1" applyFont="1" applyFill="1" applyBorder="1" applyAlignment="1">
      <alignment horizontal="left" vertical="top"/>
    </xf>
    <xf numFmtId="1" fontId="0" fillId="2" borderId="3" xfId="0" applyNumberFormat="1" applyFill="1" applyBorder="1" applyAlignment="1">
      <alignment horizontal="left" vertical="top"/>
    </xf>
    <xf numFmtId="2" fontId="1" fillId="0" borderId="22" xfId="0" applyNumberFormat="1" applyFont="1" applyBorder="1" applyAlignment="1">
      <alignment horizontal="left" vertical="top"/>
    </xf>
    <xf numFmtId="0" fontId="1" fillId="7" borderId="22" xfId="0" applyFont="1" applyFill="1" applyBorder="1" applyAlignment="1">
      <alignment horizontal="left" vertical="top"/>
    </xf>
    <xf numFmtId="1" fontId="1" fillId="6" borderId="3" xfId="0" applyNumberFormat="1" applyFont="1" applyFill="1" applyBorder="1" applyAlignment="1">
      <alignment horizontal="left" vertical="top"/>
    </xf>
    <xf numFmtId="1" fontId="1" fillId="7" borderId="3" xfId="0" applyNumberFormat="1" applyFont="1" applyFill="1" applyBorder="1" applyAlignment="1">
      <alignment horizontal="left" vertical="top"/>
    </xf>
    <xf numFmtId="0" fontId="0" fillId="0" borderId="3" xfId="0" applyBorder="1" applyAlignment="1">
      <alignment horizontal="left" vertical="top" wrapText="1"/>
    </xf>
    <xf numFmtId="0" fontId="1" fillId="7" borderId="4" xfId="0" applyFont="1" applyFill="1" applyBorder="1" applyAlignment="1">
      <alignment horizontal="left" vertical="top"/>
    </xf>
    <xf numFmtId="2" fontId="1" fillId="7" borderId="0" xfId="0" applyNumberFormat="1" applyFont="1" applyFill="1" applyAlignment="1">
      <alignment horizontal="left" vertical="top"/>
    </xf>
    <xf numFmtId="0" fontId="1" fillId="2" borderId="22" xfId="0" applyFont="1" applyFill="1" applyBorder="1"/>
    <xf numFmtId="2" fontId="1" fillId="3" borderId="20" xfId="0" applyNumberFormat="1" applyFont="1" applyFill="1" applyBorder="1" applyAlignment="1">
      <alignment horizontal="left"/>
    </xf>
    <xf numFmtId="2" fontId="1" fillId="0" borderId="3" xfId="0" applyNumberFormat="1" applyFont="1" applyBorder="1" applyAlignment="1">
      <alignment horizontal="left" vertical="top"/>
    </xf>
    <xf numFmtId="0" fontId="1" fillId="11" borderId="4" xfId="0" applyFont="1" applyFill="1" applyBorder="1" applyAlignment="1">
      <alignment horizontal="left" vertical="top"/>
    </xf>
    <xf numFmtId="0" fontId="0" fillId="0" borderId="7" xfId="0" applyBorder="1" applyAlignment="1">
      <alignment horizontal="left" vertical="top"/>
    </xf>
    <xf numFmtId="2" fontId="0" fillId="0" borderId="7" xfId="0" applyNumberFormat="1" applyBorder="1" applyAlignment="1">
      <alignment horizontal="left"/>
    </xf>
    <xf numFmtId="0" fontId="1" fillId="7" borderId="0" xfId="0" applyFont="1" applyFill="1"/>
    <xf numFmtId="2" fontId="0" fillId="0" borderId="5" xfId="0" applyNumberFormat="1" applyBorder="1" applyAlignment="1">
      <alignment horizontal="left" vertical="top"/>
    </xf>
    <xf numFmtId="2" fontId="0" fillId="0" borderId="15" xfId="0" applyNumberFormat="1" applyBorder="1" applyAlignment="1">
      <alignment horizontal="left" vertical="top"/>
    </xf>
    <xf numFmtId="2" fontId="0" fillId="0" borderId="15" xfId="0" applyNumberFormat="1" applyBorder="1" applyAlignment="1">
      <alignment horizontal="left"/>
    </xf>
    <xf numFmtId="164" fontId="0" fillId="0" borderId="4" xfId="0" applyNumberFormat="1" applyBorder="1" applyAlignment="1">
      <alignment horizontal="left"/>
    </xf>
    <xf numFmtId="0" fontId="0" fillId="0" borderId="5" xfId="0" applyBorder="1" applyAlignment="1">
      <alignment horizontal="left" vertical="top"/>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1" fontId="1" fillId="11" borderId="4" xfId="0" applyNumberFormat="1" applyFont="1" applyFill="1" applyBorder="1" applyAlignment="1">
      <alignment horizontal="left"/>
    </xf>
    <xf numFmtId="0" fontId="1" fillId="2" borderId="32" xfId="0" applyFont="1" applyFill="1" applyBorder="1"/>
    <xf numFmtId="0" fontId="1" fillId="2" borderId="11" xfId="0" applyFont="1" applyFill="1" applyBorder="1" applyAlignment="1">
      <alignment horizontal="left"/>
    </xf>
    <xf numFmtId="2" fontId="1" fillId="2" borderId="11" xfId="0" applyNumberFormat="1" applyFont="1" applyFill="1" applyBorder="1" applyAlignment="1">
      <alignment horizontal="left"/>
    </xf>
    <xf numFmtId="0" fontId="0" fillId="0" borderId="11" xfId="0" applyBorder="1" applyAlignment="1">
      <alignment horizontal="left" vertical="top"/>
    </xf>
    <xf numFmtId="0" fontId="0" fillId="0" borderId="11" xfId="0" applyBorder="1" applyAlignment="1">
      <alignment horizontal="left"/>
    </xf>
    <xf numFmtId="0" fontId="0" fillId="3" borderId="11" xfId="0" applyFill="1" applyBorder="1"/>
    <xf numFmtId="0" fontId="0" fillId="3" borderId="11" xfId="0" applyFill="1" applyBorder="1" applyAlignment="1">
      <alignment horizontal="left"/>
    </xf>
    <xf numFmtId="0" fontId="0" fillId="3" borderId="11" xfId="0" applyFill="1" applyBorder="1" applyAlignment="1">
      <alignment horizontal="left" vertical="top"/>
    </xf>
    <xf numFmtId="2" fontId="0" fillId="4" borderId="11" xfId="0" applyNumberFormat="1" applyFill="1" applyBorder="1" applyAlignment="1">
      <alignment horizontal="left" vertical="top"/>
    </xf>
    <xf numFmtId="2" fontId="0" fillId="0" borderId="11" xfId="0" applyNumberFormat="1" applyBorder="1" applyAlignment="1">
      <alignment horizontal="left"/>
    </xf>
    <xf numFmtId="2" fontId="1" fillId="5" borderId="11" xfId="0" applyNumberFormat="1" applyFont="1" applyFill="1" applyBorder="1"/>
    <xf numFmtId="0" fontId="1" fillId="11" borderId="34" xfId="0" applyFont="1" applyFill="1" applyBorder="1" applyAlignment="1">
      <alignment horizontal="left"/>
    </xf>
    <xf numFmtId="0" fontId="1" fillId="2" borderId="35" xfId="0" applyFont="1" applyFill="1" applyBorder="1" applyAlignment="1">
      <alignment horizontal="center"/>
    </xf>
    <xf numFmtId="0" fontId="1" fillId="2" borderId="36" xfId="0" applyFont="1" applyFill="1" applyBorder="1" applyAlignment="1">
      <alignment horizontal="center"/>
    </xf>
    <xf numFmtId="0" fontId="1" fillId="2" borderId="37" xfId="0" applyFont="1" applyFill="1" applyBorder="1" applyAlignment="1">
      <alignment horizontal="center"/>
    </xf>
    <xf numFmtId="1" fontId="1" fillId="6" borderId="12" xfId="0" applyNumberFormat="1" applyFont="1" applyFill="1" applyBorder="1" applyAlignment="1">
      <alignment horizontal="left"/>
    </xf>
    <xf numFmtId="0" fontId="1" fillId="11" borderId="33" xfId="0" applyFont="1" applyFill="1" applyBorder="1" applyAlignment="1">
      <alignment horizontal="left" vertical="top"/>
    </xf>
    <xf numFmtId="0" fontId="1" fillId="2" borderId="19" xfId="0" applyFont="1" applyFill="1" applyBorder="1"/>
    <xf numFmtId="0" fontId="1" fillId="2" borderId="11" xfId="0" applyFont="1" applyFill="1" applyBorder="1" applyAlignment="1">
      <alignment horizontal="left" vertical="top"/>
    </xf>
    <xf numFmtId="0" fontId="1" fillId="11" borderId="44" xfId="0" applyFont="1" applyFill="1" applyBorder="1" applyAlignment="1">
      <alignment horizontal="left"/>
    </xf>
    <xf numFmtId="0" fontId="1" fillId="7" borderId="20" xfId="0" applyFont="1" applyFill="1" applyBorder="1"/>
    <xf numFmtId="0" fontId="1" fillId="7" borderId="24" xfId="0" applyFont="1" applyFill="1" applyBorder="1"/>
    <xf numFmtId="1" fontId="1" fillId="0" borderId="0" xfId="0" applyNumberFormat="1" applyFont="1" applyAlignment="1">
      <alignment horizontal="left" vertical="top"/>
    </xf>
    <xf numFmtId="1" fontId="0" fillId="0" borderId="0" xfId="0" applyNumberFormat="1"/>
    <xf numFmtId="0" fontId="7" fillId="0" borderId="0" xfId="0" applyFont="1" applyAlignment="1">
      <alignment horizontal="justify" vertical="center" wrapText="1"/>
    </xf>
    <xf numFmtId="1" fontId="7" fillId="0" borderId="0" xfId="0" applyNumberFormat="1" applyFont="1" applyAlignment="1">
      <alignment horizontal="justify" vertical="center" wrapText="1"/>
    </xf>
    <xf numFmtId="0" fontId="0" fillId="0" borderId="3" xfId="0" applyBorder="1" applyAlignment="1">
      <alignment horizontal="center" vertical="top"/>
    </xf>
    <xf numFmtId="0" fontId="1" fillId="2" borderId="3" xfId="0" applyFont="1" applyFill="1" applyBorder="1" applyAlignment="1">
      <alignment horizontal="center" vertical="top"/>
    </xf>
    <xf numFmtId="0" fontId="1" fillId="7" borderId="3" xfId="0" applyFont="1" applyFill="1" applyBorder="1" applyAlignment="1">
      <alignment horizontal="center" vertical="top"/>
    </xf>
    <xf numFmtId="0" fontId="0" fillId="0" borderId="3" xfId="0" applyBorder="1" applyAlignment="1">
      <alignment horizontal="center"/>
    </xf>
    <xf numFmtId="0" fontId="0" fillId="7" borderId="3" xfId="0" applyFill="1" applyBorder="1" applyAlignment="1">
      <alignment horizontal="center" vertical="top"/>
    </xf>
    <xf numFmtId="0" fontId="0" fillId="0" borderId="26" xfId="0" applyBorder="1" applyAlignment="1">
      <alignment horizontal="center" vertical="top"/>
    </xf>
    <xf numFmtId="0" fontId="0" fillId="0" borderId="0" xfId="0" applyAlignment="1">
      <alignment horizontal="center"/>
    </xf>
    <xf numFmtId="0" fontId="0" fillId="0" borderId="0" xfId="0" applyAlignment="1">
      <alignment horizontal="center" vertical="top"/>
    </xf>
    <xf numFmtId="0" fontId="0" fillId="0" borderId="2" xfId="0" applyBorder="1" applyAlignment="1">
      <alignment horizontal="center"/>
    </xf>
    <xf numFmtId="0" fontId="0" fillId="2" borderId="3" xfId="0" applyFill="1" applyBorder="1" applyAlignment="1">
      <alignment horizontal="center" vertical="top"/>
    </xf>
    <xf numFmtId="0" fontId="0" fillId="2" borderId="3" xfId="0" applyFill="1" applyBorder="1" applyAlignment="1">
      <alignment horizontal="center"/>
    </xf>
    <xf numFmtId="0" fontId="0" fillId="0" borderId="4" xfId="0" applyBorder="1" applyAlignment="1">
      <alignment horizontal="center" vertical="top"/>
    </xf>
    <xf numFmtId="0" fontId="0" fillId="0" borderId="2" xfId="0" applyBorder="1" applyAlignment="1">
      <alignment horizontal="center" vertical="top"/>
    </xf>
    <xf numFmtId="2" fontId="0" fillId="0" borderId="3" xfId="0" applyNumberFormat="1" applyBorder="1" applyAlignment="1">
      <alignment horizontal="center" vertical="top"/>
    </xf>
    <xf numFmtId="2" fontId="0" fillId="2" borderId="3" xfId="0" applyNumberFormat="1" applyFill="1" applyBorder="1" applyAlignment="1">
      <alignment horizontal="center" vertical="top"/>
    </xf>
    <xf numFmtId="0" fontId="0" fillId="7" borderId="3" xfId="0" applyFill="1" applyBorder="1" applyAlignment="1">
      <alignment horizontal="center"/>
    </xf>
    <xf numFmtId="2" fontId="1" fillId="2" borderId="3" xfId="0" applyNumberFormat="1" applyFont="1" applyFill="1" applyBorder="1" applyAlignment="1">
      <alignment horizontal="center"/>
    </xf>
    <xf numFmtId="0" fontId="0" fillId="3" borderId="3" xfId="0" applyFill="1" applyBorder="1" applyAlignment="1">
      <alignment horizontal="center"/>
    </xf>
    <xf numFmtId="0" fontId="0" fillId="3" borderId="3" xfId="0" applyFill="1" applyBorder="1" applyAlignment="1">
      <alignment horizontal="center" vertical="top"/>
    </xf>
    <xf numFmtId="2" fontId="0" fillId="4" borderId="3" xfId="0" applyNumberFormat="1" applyFill="1" applyBorder="1" applyAlignment="1">
      <alignment horizontal="center" vertical="top"/>
    </xf>
    <xf numFmtId="2" fontId="1" fillId="5" borderId="3" xfId="0" applyNumberFormat="1" applyFont="1" applyFill="1" applyBorder="1" applyAlignment="1">
      <alignment horizontal="center"/>
    </xf>
    <xf numFmtId="1" fontId="1" fillId="6" borderId="3" xfId="0" applyNumberFormat="1" applyFont="1" applyFill="1" applyBorder="1" applyAlignment="1">
      <alignment horizontal="center"/>
    </xf>
    <xf numFmtId="0" fontId="0" fillId="0" borderId="5" xfId="0" applyBorder="1" applyAlignment="1">
      <alignment horizontal="center" vertical="top"/>
    </xf>
    <xf numFmtId="0" fontId="0" fillId="0" borderId="6" xfId="0" applyBorder="1" applyAlignment="1">
      <alignment horizontal="center" vertical="top"/>
    </xf>
    <xf numFmtId="0" fontId="0" fillId="0" borderId="7" xfId="0" applyBorder="1" applyAlignment="1">
      <alignment horizontal="center" vertical="top"/>
    </xf>
    <xf numFmtId="2" fontId="0" fillId="0" borderId="0" xfId="0" applyNumberFormat="1" applyAlignment="1">
      <alignment horizontal="center" vertical="top"/>
    </xf>
    <xf numFmtId="2" fontId="1" fillId="7" borderId="3" xfId="0" applyNumberFormat="1" applyFont="1" applyFill="1" applyBorder="1" applyAlignment="1">
      <alignment horizontal="center"/>
    </xf>
    <xf numFmtId="0" fontId="0" fillId="0" borderId="3" xfId="0" applyBorder="1" applyAlignment="1">
      <alignment horizontal="center" vertical="center" wrapText="1"/>
    </xf>
    <xf numFmtId="0" fontId="0" fillId="0" borderId="4" xfId="0" applyBorder="1" applyAlignment="1">
      <alignment horizontal="center"/>
    </xf>
    <xf numFmtId="1" fontId="1" fillId="7" borderId="3" xfId="0" applyNumberFormat="1" applyFont="1" applyFill="1" applyBorder="1" applyAlignment="1">
      <alignment horizontal="center"/>
    </xf>
    <xf numFmtId="0" fontId="1" fillId="7" borderId="4" xfId="0" applyFont="1" applyFill="1" applyBorder="1" applyAlignment="1">
      <alignment horizontal="center"/>
    </xf>
    <xf numFmtId="0" fontId="1" fillId="11" borderId="4" xfId="0" applyFont="1" applyFill="1" applyBorder="1" applyAlignment="1">
      <alignment horizontal="center"/>
    </xf>
    <xf numFmtId="2" fontId="0" fillId="0" borderId="0" xfId="0" applyNumberFormat="1" applyAlignment="1">
      <alignment horizontal="center"/>
    </xf>
    <xf numFmtId="0" fontId="1" fillId="7" borderId="3" xfId="0" applyFont="1" applyFill="1" applyBorder="1" applyAlignment="1">
      <alignment horizontal="center"/>
    </xf>
    <xf numFmtId="0" fontId="1" fillId="11" borderId="21" xfId="0" applyFont="1" applyFill="1" applyBorder="1" applyAlignment="1">
      <alignment horizontal="center"/>
    </xf>
    <xf numFmtId="0" fontId="1" fillId="7" borderId="0" xfId="0" applyFont="1" applyFill="1" applyAlignment="1">
      <alignment horizontal="center" vertical="top"/>
    </xf>
    <xf numFmtId="0" fontId="0" fillId="7" borderId="0" xfId="0" applyFill="1" applyAlignment="1">
      <alignment horizontal="center"/>
    </xf>
    <xf numFmtId="2" fontId="0" fillId="7" borderId="2" xfId="0" applyNumberFormat="1" applyFill="1" applyBorder="1" applyAlignment="1">
      <alignment horizontal="center" vertical="center" wrapText="1"/>
    </xf>
    <xf numFmtId="2" fontId="0" fillId="7" borderId="4" xfId="0" applyNumberFormat="1" applyFill="1" applyBorder="1" applyAlignment="1">
      <alignment horizontal="center" vertical="center" wrapText="1"/>
    </xf>
    <xf numFmtId="0" fontId="9" fillId="7" borderId="2" xfId="0" applyFont="1" applyFill="1" applyBorder="1" applyAlignment="1">
      <alignment horizontal="center" vertical="top" wrapText="1"/>
    </xf>
    <xf numFmtId="0" fontId="3" fillId="0" borderId="3" xfId="0" applyFont="1" applyBorder="1" applyAlignment="1">
      <alignment horizontal="center" vertical="top" wrapText="1"/>
    </xf>
    <xf numFmtId="0" fontId="1" fillId="0" borderId="3" xfId="0" applyFont="1" applyBorder="1" applyAlignment="1">
      <alignment horizontal="center" vertical="top"/>
    </xf>
    <xf numFmtId="2" fontId="1" fillId="0" borderId="4" xfId="0" applyNumberFormat="1" applyFont="1" applyBorder="1" applyAlignment="1">
      <alignment horizontal="center" vertical="top"/>
    </xf>
    <xf numFmtId="0" fontId="7" fillId="0" borderId="3" xfId="0" applyFont="1" applyBorder="1" applyAlignment="1">
      <alignment horizontal="center" vertical="top" wrapText="1"/>
    </xf>
    <xf numFmtId="2" fontId="0" fillId="7" borderId="3" xfId="0" applyNumberFormat="1" applyFill="1" applyBorder="1" applyAlignment="1">
      <alignment horizontal="center" vertical="top"/>
    </xf>
    <xf numFmtId="2" fontId="0" fillId="0" borderId="4" xfId="0" applyNumberFormat="1" applyBorder="1" applyAlignment="1">
      <alignment horizontal="center" vertical="top"/>
    </xf>
    <xf numFmtId="0" fontId="5" fillId="7" borderId="3" xfId="0" applyFont="1" applyFill="1" applyBorder="1" applyAlignment="1">
      <alignment horizontal="center" vertical="center" wrapText="1"/>
    </xf>
    <xf numFmtId="0" fontId="1" fillId="3" borderId="2" xfId="0" applyFont="1" applyFill="1" applyBorder="1" applyAlignment="1">
      <alignment horizontal="center" vertical="top"/>
    </xf>
    <xf numFmtId="2" fontId="1" fillId="3" borderId="4" xfId="0" applyNumberFormat="1" applyFont="1" applyFill="1" applyBorder="1" applyAlignment="1">
      <alignment horizontal="center" vertical="top"/>
    </xf>
    <xf numFmtId="2" fontId="0" fillId="7" borderId="5" xfId="0" applyNumberFormat="1" applyFill="1" applyBorder="1" applyAlignment="1">
      <alignment horizontal="center" vertical="top"/>
    </xf>
    <xf numFmtId="2" fontId="0" fillId="0" borderId="7" xfId="0" applyNumberFormat="1" applyBorder="1" applyAlignment="1">
      <alignment horizontal="center" vertical="top"/>
    </xf>
    <xf numFmtId="0" fontId="7" fillId="0" borderId="0" xfId="0" applyFont="1" applyAlignment="1">
      <alignment horizontal="center" vertical="center" wrapText="1"/>
    </xf>
    <xf numFmtId="0" fontId="7" fillId="7" borderId="3" xfId="0" applyFont="1" applyFill="1" applyBorder="1" applyAlignment="1">
      <alignment horizontal="center" vertical="top"/>
    </xf>
    <xf numFmtId="0" fontId="1" fillId="0" borderId="2" xfId="0" applyFont="1" applyBorder="1" applyAlignment="1">
      <alignment horizontal="center" vertical="top"/>
    </xf>
    <xf numFmtId="0" fontId="1" fillId="0" borderId="4" xfId="0" applyFont="1" applyBorder="1" applyAlignment="1">
      <alignment horizontal="center" vertical="top"/>
    </xf>
    <xf numFmtId="2" fontId="6" fillId="7" borderId="3" xfId="0" applyNumberFormat="1" applyFont="1" applyFill="1" applyBorder="1" applyAlignment="1">
      <alignment horizontal="center" vertical="center" wrapText="1"/>
    </xf>
    <xf numFmtId="2" fontId="1" fillId="3" borderId="7" xfId="0" applyNumberFormat="1" applyFont="1" applyFill="1" applyBorder="1" applyAlignment="1">
      <alignment horizontal="center"/>
    </xf>
    <xf numFmtId="0" fontId="1" fillId="7" borderId="22" xfId="0" applyFont="1" applyFill="1" applyBorder="1" applyAlignment="1">
      <alignment horizontal="center"/>
    </xf>
    <xf numFmtId="2" fontId="1" fillId="3" borderId="4" xfId="0" applyNumberFormat="1" applyFont="1" applyFill="1" applyBorder="1" applyAlignment="1">
      <alignment horizontal="center"/>
    </xf>
    <xf numFmtId="0" fontId="1" fillId="3" borderId="27" xfId="0" applyFont="1" applyFill="1" applyBorder="1" applyAlignment="1">
      <alignment horizontal="center" vertical="top"/>
    </xf>
    <xf numFmtId="0" fontId="1" fillId="3" borderId="7" xfId="0" applyFont="1" applyFill="1" applyBorder="1" applyAlignment="1">
      <alignment horizontal="center"/>
    </xf>
    <xf numFmtId="2" fontId="0" fillId="0" borderId="2" xfId="0" applyNumberFormat="1" applyBorder="1" applyAlignment="1">
      <alignment horizontal="center"/>
    </xf>
    <xf numFmtId="2" fontId="0" fillId="0" borderId="4" xfId="0" applyNumberFormat="1" applyBorder="1" applyAlignment="1">
      <alignment horizontal="center"/>
    </xf>
    <xf numFmtId="0" fontId="0" fillId="3" borderId="2" xfId="0" applyFill="1" applyBorder="1" applyAlignment="1">
      <alignment horizontal="center" vertical="top"/>
    </xf>
    <xf numFmtId="0" fontId="0" fillId="3" borderId="4" xfId="0" applyFill="1" applyBorder="1" applyAlignment="1">
      <alignment horizontal="center" vertical="top"/>
    </xf>
    <xf numFmtId="2" fontId="0" fillId="3" borderId="4" xfId="0" applyNumberFormat="1" applyFill="1" applyBorder="1" applyAlignment="1">
      <alignment horizontal="center"/>
    </xf>
    <xf numFmtId="0" fontId="1" fillId="7" borderId="22" xfId="0" applyFont="1" applyFill="1" applyBorder="1" applyAlignment="1">
      <alignment horizontal="center" vertical="top"/>
    </xf>
    <xf numFmtId="0" fontId="6" fillId="7" borderId="3" xfId="0" applyFont="1" applyFill="1" applyBorder="1" applyAlignment="1">
      <alignment horizontal="center" vertical="center" wrapText="1"/>
    </xf>
    <xf numFmtId="0" fontId="1" fillId="3" borderId="4" xfId="0" applyFont="1" applyFill="1" applyBorder="1" applyAlignment="1">
      <alignment horizontal="center" vertical="top"/>
    </xf>
    <xf numFmtId="2" fontId="1" fillId="3" borderId="7" xfId="0" applyNumberFormat="1" applyFont="1" applyFill="1" applyBorder="1" applyAlignment="1">
      <alignment horizontal="center" vertical="top"/>
    </xf>
    <xf numFmtId="2" fontId="1" fillId="0" borderId="3" xfId="0" applyNumberFormat="1" applyFont="1" applyBorder="1" applyAlignment="1">
      <alignment horizontal="center" vertical="top"/>
    </xf>
    <xf numFmtId="0" fontId="0" fillId="0" borderId="0" xfId="0"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26" xfId="0" applyBorder="1" applyAlignment="1">
      <alignment horizontal="center" vertical="top" wrapText="1"/>
    </xf>
    <xf numFmtId="0" fontId="0" fillId="0" borderId="4" xfId="0" applyBorder="1" applyAlignment="1">
      <alignment horizontal="center" wrapText="1"/>
    </xf>
    <xf numFmtId="0" fontId="1" fillId="0" borderId="2" xfId="0" applyFont="1" applyBorder="1" applyAlignment="1">
      <alignment horizontal="left" vertical="top"/>
    </xf>
    <xf numFmtId="0" fontId="1" fillId="0" borderId="3" xfId="0" applyFont="1" applyBorder="1" applyAlignment="1">
      <alignment horizontal="left" vertical="top"/>
    </xf>
    <xf numFmtId="2" fontId="0" fillId="0" borderId="2" xfId="0" applyNumberFormat="1" applyBorder="1" applyAlignment="1">
      <alignment horizontal="center" vertical="top"/>
    </xf>
    <xf numFmtId="164" fontId="0" fillId="0" borderId="4" xfId="0" applyNumberFormat="1" applyBorder="1" applyAlignment="1">
      <alignment horizontal="center"/>
    </xf>
    <xf numFmtId="2" fontId="0" fillId="0" borderId="5" xfId="0" applyNumberFormat="1" applyBorder="1" applyAlignment="1">
      <alignment horizontal="center" vertical="top"/>
    </xf>
    <xf numFmtId="2" fontId="0" fillId="0" borderId="6" xfId="0" applyNumberFormat="1" applyBorder="1" applyAlignment="1">
      <alignment horizontal="center" vertical="top"/>
    </xf>
    <xf numFmtId="2" fontId="0" fillId="0" borderId="7" xfId="0" applyNumberFormat="1" applyBorder="1" applyAlignment="1">
      <alignment horizontal="center"/>
    </xf>
    <xf numFmtId="0" fontId="3" fillId="2" borderId="3" xfId="0" applyFont="1" applyFill="1" applyBorder="1" applyAlignment="1">
      <alignment horizontal="center" vertical="center" wrapText="1"/>
    </xf>
    <xf numFmtId="2" fontId="1" fillId="2" borderId="3" xfId="0" applyNumberFormat="1" applyFont="1" applyFill="1" applyBorder="1" applyAlignment="1">
      <alignment horizontal="center" vertical="top"/>
    </xf>
    <xf numFmtId="164" fontId="1" fillId="2" borderId="3" xfId="0" applyNumberFormat="1" applyFont="1" applyFill="1" applyBorder="1" applyAlignment="1">
      <alignment horizontal="center"/>
    </xf>
    <xf numFmtId="1" fontId="1" fillId="6" borderId="4" xfId="0" applyNumberFormat="1" applyFont="1" applyFill="1" applyBorder="1" applyAlignment="1">
      <alignment horizontal="center"/>
    </xf>
    <xf numFmtId="0" fontId="1" fillId="0" borderId="0" xfId="0" applyFont="1" applyAlignment="1">
      <alignment horizontal="center" vertical="top"/>
    </xf>
    <xf numFmtId="0" fontId="1" fillId="7" borderId="0" xfId="0" applyFont="1" applyFill="1" applyAlignment="1">
      <alignment horizontal="center"/>
    </xf>
    <xf numFmtId="1" fontId="1" fillId="11" borderId="4" xfId="0" applyNumberFormat="1" applyFont="1" applyFill="1" applyBorder="1" applyAlignment="1">
      <alignment horizontal="center"/>
    </xf>
    <xf numFmtId="2" fontId="0" fillId="0" borderId="15" xfId="0" applyNumberFormat="1" applyBorder="1" applyAlignment="1">
      <alignment horizontal="center" vertical="top"/>
    </xf>
    <xf numFmtId="2" fontId="0" fillId="0" borderId="15" xfId="0" applyNumberForma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 fillId="2" borderId="32" xfId="0" applyFont="1" applyFill="1" applyBorder="1" applyAlignment="1">
      <alignment horizontal="center"/>
    </xf>
    <xf numFmtId="0" fontId="1" fillId="2" borderId="11" xfId="0" applyFont="1" applyFill="1" applyBorder="1" applyAlignment="1">
      <alignment horizontal="center"/>
    </xf>
    <xf numFmtId="2" fontId="1" fillId="2" borderId="11" xfId="0" applyNumberFormat="1" applyFont="1" applyFill="1" applyBorder="1" applyAlignment="1">
      <alignment horizontal="center"/>
    </xf>
    <xf numFmtId="0" fontId="0" fillId="0" borderId="11" xfId="0" applyBorder="1" applyAlignment="1">
      <alignment horizontal="center" vertical="top"/>
    </xf>
    <xf numFmtId="0" fontId="0" fillId="3" borderId="11" xfId="0" applyFill="1" applyBorder="1" applyAlignment="1">
      <alignment horizontal="center"/>
    </xf>
    <xf numFmtId="0" fontId="0" fillId="3" borderId="11" xfId="0" applyFill="1" applyBorder="1" applyAlignment="1">
      <alignment horizontal="center" vertical="top"/>
    </xf>
    <xf numFmtId="2" fontId="0" fillId="4" borderId="11" xfId="0" applyNumberFormat="1" applyFill="1" applyBorder="1" applyAlignment="1">
      <alignment horizontal="center" vertical="top"/>
    </xf>
    <xf numFmtId="2" fontId="0" fillId="0" borderId="11" xfId="0" applyNumberFormat="1" applyBorder="1" applyAlignment="1">
      <alignment horizontal="center"/>
    </xf>
    <xf numFmtId="2" fontId="1" fillId="5" borderId="11" xfId="0" applyNumberFormat="1" applyFont="1" applyFill="1" applyBorder="1" applyAlignment="1">
      <alignment horizontal="center"/>
    </xf>
    <xf numFmtId="1" fontId="1" fillId="6" borderId="7" xfId="0" applyNumberFormat="1" applyFont="1" applyFill="1" applyBorder="1" applyAlignment="1">
      <alignment horizontal="center"/>
    </xf>
    <xf numFmtId="0" fontId="1" fillId="11" borderId="34" xfId="0" applyFont="1" applyFill="1" applyBorder="1" applyAlignment="1">
      <alignment horizontal="center"/>
    </xf>
    <xf numFmtId="2" fontId="0" fillId="7" borderId="4" xfId="0" applyNumberFormat="1" applyFill="1" applyBorder="1" applyAlignment="1">
      <alignment horizontal="center" vertical="top"/>
    </xf>
    <xf numFmtId="2" fontId="6" fillId="8" borderId="3" xfId="0" applyNumberFormat="1" applyFont="1" applyFill="1" applyBorder="1" applyAlignment="1">
      <alignment horizontal="center" vertical="center" wrapText="1"/>
    </xf>
    <xf numFmtId="0" fontId="1" fillId="3" borderId="13" xfId="0" applyFont="1" applyFill="1" applyBorder="1" applyAlignment="1">
      <alignment horizontal="center" vertical="top"/>
    </xf>
    <xf numFmtId="0" fontId="1" fillId="0" borderId="1" xfId="0" applyFont="1" applyBorder="1" applyAlignment="1">
      <alignment horizontal="center" vertical="top"/>
    </xf>
    <xf numFmtId="0" fontId="1" fillId="3" borderId="14" xfId="0" applyFont="1" applyFill="1" applyBorder="1" applyAlignment="1">
      <alignment horizontal="center" vertical="top"/>
    </xf>
    <xf numFmtId="0" fontId="0" fillId="3" borderId="5" xfId="0" applyFill="1" applyBorder="1" applyAlignment="1">
      <alignment horizontal="center" vertical="top"/>
    </xf>
    <xf numFmtId="2" fontId="0" fillId="3" borderId="7" xfId="0" applyNumberFormat="1" applyFill="1" applyBorder="1" applyAlignment="1">
      <alignment horizontal="center"/>
    </xf>
    <xf numFmtId="2" fontId="1" fillId="2" borderId="13" xfId="0" applyNumberFormat="1" applyFont="1" applyFill="1" applyBorder="1" applyAlignment="1">
      <alignment horizontal="center"/>
    </xf>
    <xf numFmtId="2" fontId="1" fillId="2" borderId="1" xfId="0" applyNumberFormat="1" applyFont="1" applyFill="1" applyBorder="1" applyAlignment="1">
      <alignment horizontal="center"/>
    </xf>
    <xf numFmtId="2" fontId="1" fillId="2" borderId="14" xfId="0" applyNumberFormat="1" applyFont="1" applyFill="1" applyBorder="1" applyAlignment="1">
      <alignment horizontal="center"/>
    </xf>
    <xf numFmtId="2" fontId="1" fillId="2" borderId="13" xfId="0" applyNumberFormat="1" applyFont="1" applyFill="1" applyBorder="1" applyAlignment="1">
      <alignment horizontal="left"/>
    </xf>
    <xf numFmtId="2" fontId="1" fillId="2" borderId="1" xfId="0" applyNumberFormat="1" applyFont="1" applyFill="1" applyBorder="1" applyAlignment="1">
      <alignment horizontal="left"/>
    </xf>
    <xf numFmtId="2" fontId="1" fillId="2" borderId="14" xfId="0" applyNumberFormat="1" applyFont="1" applyFill="1" applyBorder="1" applyAlignment="1">
      <alignment horizontal="left"/>
    </xf>
    <xf numFmtId="0" fontId="1" fillId="2" borderId="13" xfId="0" applyFont="1" applyFill="1" applyBorder="1" applyAlignment="1">
      <alignment horizontal="center"/>
    </xf>
    <xf numFmtId="0" fontId="1" fillId="2" borderId="1" xfId="0" applyFont="1" applyFill="1" applyBorder="1" applyAlignment="1">
      <alignment horizontal="center"/>
    </xf>
    <xf numFmtId="0" fontId="1" fillId="2" borderId="14" xfId="0" applyFont="1" applyFill="1" applyBorder="1" applyAlignment="1">
      <alignment horizontal="center"/>
    </xf>
    <xf numFmtId="0" fontId="1" fillId="2" borderId="8" xfId="0" applyFont="1" applyFill="1" applyBorder="1" applyAlignment="1">
      <alignment horizontal="center" vertical="top"/>
    </xf>
    <xf numFmtId="0" fontId="1" fillId="2" borderId="9" xfId="0" applyFont="1" applyFill="1" applyBorder="1" applyAlignment="1">
      <alignment horizontal="center" vertical="top"/>
    </xf>
    <xf numFmtId="0" fontId="1" fillId="2" borderId="10" xfId="0" applyFont="1" applyFill="1" applyBorder="1" applyAlignment="1">
      <alignment horizontal="center" vertical="top"/>
    </xf>
    <xf numFmtId="0" fontId="1" fillId="3" borderId="5" xfId="0" applyFont="1" applyFill="1" applyBorder="1" applyAlignment="1">
      <alignment horizontal="left" vertical="top"/>
    </xf>
    <xf numFmtId="0" fontId="1" fillId="3" borderId="6" xfId="0" applyFont="1" applyFill="1" applyBorder="1" applyAlignment="1">
      <alignment horizontal="left" vertical="top"/>
    </xf>
    <xf numFmtId="0" fontId="1" fillId="3" borderId="2" xfId="0" applyFont="1" applyFill="1" applyBorder="1" applyAlignment="1">
      <alignment horizontal="left" vertical="top"/>
    </xf>
    <xf numFmtId="0" fontId="1" fillId="3" borderId="3" xfId="0" applyFont="1" applyFill="1" applyBorder="1" applyAlignment="1">
      <alignment horizontal="left" vertical="top"/>
    </xf>
    <xf numFmtId="0" fontId="1" fillId="3" borderId="19" xfId="0" applyFont="1" applyFill="1" applyBorder="1" applyAlignment="1">
      <alignment horizontal="left"/>
    </xf>
    <xf numFmtId="0" fontId="1" fillId="3" borderId="20" xfId="0" applyFont="1" applyFill="1" applyBorder="1" applyAlignment="1">
      <alignment horizontal="left"/>
    </xf>
    <xf numFmtId="0" fontId="1" fillId="3" borderId="24" xfId="0" applyFont="1" applyFill="1" applyBorder="1" applyAlignment="1">
      <alignment horizontal="left"/>
    </xf>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0" borderId="5" xfId="0" applyFont="1" applyBorder="1" applyAlignment="1">
      <alignment horizontal="left"/>
    </xf>
    <xf numFmtId="0" fontId="1" fillId="0" borderId="6" xfId="0" applyFont="1" applyBorder="1" applyAlignment="1">
      <alignment horizontal="left"/>
    </xf>
    <xf numFmtId="0" fontId="1" fillId="3" borderId="5" xfId="0" applyFont="1" applyFill="1" applyBorder="1" applyAlignment="1">
      <alignment horizontal="left"/>
    </xf>
    <xf numFmtId="0" fontId="1" fillId="3" borderId="6" xfId="0" applyFont="1" applyFill="1" applyBorder="1" applyAlignment="1">
      <alignment horizontal="left"/>
    </xf>
    <xf numFmtId="0" fontId="1" fillId="3" borderId="2" xfId="0" applyFont="1" applyFill="1" applyBorder="1" applyAlignment="1">
      <alignment horizontal="left"/>
    </xf>
    <xf numFmtId="0" fontId="1" fillId="3" borderId="3" xfId="0" applyFont="1" applyFill="1" applyBorder="1" applyAlignment="1">
      <alignment horizontal="left"/>
    </xf>
    <xf numFmtId="0" fontId="1" fillId="2" borderId="25" xfId="0" applyFont="1" applyFill="1" applyBorder="1" applyAlignment="1">
      <alignment horizontal="center"/>
    </xf>
    <xf numFmtId="0" fontId="1" fillId="2" borderId="13" xfId="0" applyFont="1" applyFill="1" applyBorder="1" applyAlignment="1">
      <alignment horizontal="center" vertical="top"/>
    </xf>
    <xf numFmtId="0" fontId="1" fillId="2" borderId="1" xfId="0" applyFont="1" applyFill="1" applyBorder="1" applyAlignment="1">
      <alignment horizontal="center" vertical="top"/>
    </xf>
    <xf numFmtId="0" fontId="1" fillId="2" borderId="14" xfId="0" applyFont="1" applyFill="1" applyBorder="1" applyAlignment="1">
      <alignment horizontal="center" vertical="top"/>
    </xf>
    <xf numFmtId="0" fontId="1" fillId="2" borderId="2" xfId="0" applyFont="1" applyFill="1" applyBorder="1" applyAlignment="1">
      <alignment horizontal="center" vertical="top"/>
    </xf>
    <xf numFmtId="0" fontId="1" fillId="2" borderId="3" xfId="0" applyFont="1" applyFill="1" applyBorder="1" applyAlignment="1">
      <alignment horizontal="center" vertical="top"/>
    </xf>
    <xf numFmtId="0" fontId="1" fillId="2" borderId="4" xfId="0" applyFont="1" applyFill="1" applyBorder="1" applyAlignment="1">
      <alignment horizontal="center" vertical="top"/>
    </xf>
    <xf numFmtId="2" fontId="0" fillId="2" borderId="30" xfId="0" applyNumberFormat="1" applyFill="1" applyBorder="1" applyAlignment="1">
      <alignment horizontal="center" vertical="top"/>
    </xf>
    <xf numFmtId="2" fontId="0" fillId="2" borderId="31" xfId="0" applyNumberFormat="1" applyFill="1" applyBorder="1" applyAlignment="1">
      <alignment horizontal="center" vertical="top"/>
    </xf>
    <xf numFmtId="2" fontId="0" fillId="2" borderId="17" xfId="0" applyNumberFormat="1" applyFill="1" applyBorder="1" applyAlignment="1">
      <alignment horizontal="center" vertical="top"/>
    </xf>
    <xf numFmtId="2" fontId="0" fillId="2" borderId="18" xfId="0" applyNumberFormat="1" applyFill="1" applyBorder="1" applyAlignment="1">
      <alignment horizontal="center" vertical="top"/>
    </xf>
    <xf numFmtId="2" fontId="1" fillId="3" borderId="5" xfId="0" applyNumberFormat="1" applyFont="1" applyFill="1" applyBorder="1" applyAlignment="1">
      <alignment horizontal="left"/>
    </xf>
    <xf numFmtId="2" fontId="1" fillId="3" borderId="6" xfId="0" applyNumberFormat="1" applyFont="1" applyFill="1" applyBorder="1" applyAlignment="1">
      <alignment horizontal="left"/>
    </xf>
    <xf numFmtId="0" fontId="1" fillId="10" borderId="13" xfId="0" applyFont="1" applyFill="1" applyBorder="1" applyAlignment="1">
      <alignment horizontal="center"/>
    </xf>
    <xf numFmtId="0" fontId="1" fillId="10" borderId="1" xfId="0" applyFont="1" applyFill="1" applyBorder="1" applyAlignment="1">
      <alignment horizontal="center"/>
    </xf>
    <xf numFmtId="0" fontId="1" fillId="10" borderId="14" xfId="0" applyFont="1" applyFill="1" applyBorder="1" applyAlignment="1">
      <alignment horizontal="center"/>
    </xf>
    <xf numFmtId="0" fontId="1" fillId="9" borderId="2" xfId="0" applyFont="1" applyFill="1" applyBorder="1" applyAlignment="1">
      <alignment horizontal="center"/>
    </xf>
    <xf numFmtId="0" fontId="1" fillId="9" borderId="3" xfId="0" applyFont="1" applyFill="1" applyBorder="1" applyAlignment="1">
      <alignment horizontal="center"/>
    </xf>
    <xf numFmtId="0" fontId="1" fillId="9" borderId="4" xfId="0" applyFont="1" applyFill="1" applyBorder="1" applyAlignment="1">
      <alignment horizontal="center"/>
    </xf>
    <xf numFmtId="0" fontId="1" fillId="7" borderId="3" xfId="0" applyFont="1" applyFill="1" applyBorder="1" applyAlignment="1">
      <alignment horizontal="center" vertical="top"/>
    </xf>
    <xf numFmtId="0" fontId="0" fillId="7" borderId="3" xfId="0" applyFill="1" applyBorder="1" applyAlignment="1">
      <alignment horizontal="center" vertical="top"/>
    </xf>
    <xf numFmtId="0" fontId="13" fillId="11" borderId="2" xfId="0" applyFont="1" applyFill="1" applyBorder="1" applyAlignment="1">
      <alignment horizontal="center"/>
    </xf>
    <xf numFmtId="0" fontId="13" fillId="11" borderId="3" xfId="0" applyFont="1" applyFill="1" applyBorder="1" applyAlignment="1">
      <alignment horizontal="center"/>
    </xf>
    <xf numFmtId="0" fontId="0" fillId="0" borderId="3" xfId="0" applyBorder="1" applyAlignment="1">
      <alignment horizontal="center" vertical="top"/>
    </xf>
    <xf numFmtId="0" fontId="0" fillId="0" borderId="3" xfId="0" applyBorder="1" applyAlignment="1">
      <alignment horizontal="center"/>
    </xf>
    <xf numFmtId="0" fontId="13" fillId="11" borderId="5" xfId="0" applyFont="1" applyFill="1" applyBorder="1" applyAlignment="1">
      <alignment horizontal="center"/>
    </xf>
    <xf numFmtId="0" fontId="13" fillId="11" borderId="6" xfId="0" applyFont="1" applyFill="1" applyBorder="1" applyAlignment="1">
      <alignment horizontal="center"/>
    </xf>
    <xf numFmtId="0" fontId="1" fillId="3" borderId="19" xfId="0" applyFont="1" applyFill="1" applyBorder="1" applyAlignment="1">
      <alignment horizontal="center"/>
    </xf>
    <xf numFmtId="0" fontId="1" fillId="3" borderId="20" xfId="0" applyFont="1" applyFill="1" applyBorder="1" applyAlignment="1">
      <alignment horizontal="center"/>
    </xf>
    <xf numFmtId="0" fontId="1" fillId="3" borderId="24" xfId="0" applyFont="1" applyFill="1" applyBorder="1" applyAlignment="1">
      <alignment horizontal="center"/>
    </xf>
    <xf numFmtId="0" fontId="1" fillId="3" borderId="19" xfId="0" applyFont="1" applyFill="1" applyBorder="1" applyAlignment="1">
      <alignment horizontal="center" vertical="top"/>
    </xf>
    <xf numFmtId="0" fontId="1" fillId="3" borderId="20" xfId="0" applyFont="1" applyFill="1" applyBorder="1" applyAlignment="1">
      <alignment horizontal="center" vertical="top"/>
    </xf>
    <xf numFmtId="0" fontId="1" fillId="3" borderId="24" xfId="0" applyFont="1" applyFill="1" applyBorder="1" applyAlignment="1">
      <alignment horizontal="center" vertical="top"/>
    </xf>
    <xf numFmtId="0" fontId="1" fillId="3" borderId="23" xfId="0" applyFont="1" applyFill="1" applyBorder="1" applyAlignment="1">
      <alignment horizontal="center" vertical="top"/>
    </xf>
    <xf numFmtId="0" fontId="1" fillId="3" borderId="28" xfId="0" applyFont="1" applyFill="1" applyBorder="1" applyAlignment="1">
      <alignment horizontal="center" vertical="top"/>
    </xf>
    <xf numFmtId="0" fontId="1" fillId="3" borderId="29" xfId="0" applyFont="1" applyFill="1" applyBorder="1" applyAlignment="1">
      <alignment horizontal="center" vertical="top"/>
    </xf>
    <xf numFmtId="0" fontId="0" fillId="7" borderId="26" xfId="0" applyFill="1" applyBorder="1" applyAlignment="1">
      <alignment horizontal="center" vertical="top"/>
    </xf>
    <xf numFmtId="0" fontId="0" fillId="7" borderId="20" xfId="0" applyFill="1" applyBorder="1" applyAlignment="1">
      <alignment horizontal="center" vertical="top"/>
    </xf>
    <xf numFmtId="0" fontId="0" fillId="7" borderId="24" xfId="0" applyFill="1" applyBorder="1" applyAlignment="1">
      <alignment horizontal="center" vertical="top"/>
    </xf>
    <xf numFmtId="0" fontId="0" fillId="0" borderId="26" xfId="0" applyBorder="1" applyAlignment="1">
      <alignment horizontal="center" vertical="top"/>
    </xf>
    <xf numFmtId="0" fontId="0" fillId="0" borderId="20" xfId="0" applyBorder="1" applyAlignment="1">
      <alignment horizontal="center" vertical="top"/>
    </xf>
    <xf numFmtId="0" fontId="0" fillId="0" borderId="24" xfId="0" applyBorder="1" applyAlignment="1">
      <alignment horizontal="center" vertical="top"/>
    </xf>
    <xf numFmtId="2" fontId="1" fillId="3" borderId="5" xfId="0" applyNumberFormat="1" applyFont="1" applyFill="1" applyBorder="1" applyAlignment="1">
      <alignment horizontal="center"/>
    </xf>
    <xf numFmtId="2" fontId="1" fillId="3" borderId="6" xfId="0" applyNumberFormat="1" applyFont="1" applyFill="1" applyBorder="1" applyAlignment="1">
      <alignment horizontal="center"/>
    </xf>
    <xf numFmtId="0" fontId="13" fillId="11" borderId="7" xfId="0" applyFont="1" applyFill="1" applyBorder="1" applyAlignment="1">
      <alignment horizontal="center"/>
    </xf>
    <xf numFmtId="0" fontId="1" fillId="7" borderId="26" xfId="0" applyFont="1" applyFill="1" applyBorder="1" applyAlignment="1">
      <alignment horizontal="center" vertical="top"/>
    </xf>
    <xf numFmtId="0" fontId="1" fillId="7" borderId="20" xfId="0" applyFont="1" applyFill="1" applyBorder="1" applyAlignment="1">
      <alignment horizontal="center" vertical="top"/>
    </xf>
    <xf numFmtId="0" fontId="1" fillId="7" borderId="24" xfId="0" applyFont="1" applyFill="1" applyBorder="1" applyAlignment="1">
      <alignment horizontal="center" vertical="top"/>
    </xf>
    <xf numFmtId="0" fontId="1" fillId="0" borderId="5" xfId="0" applyFont="1" applyBorder="1" applyAlignment="1">
      <alignment horizontal="center"/>
    </xf>
    <xf numFmtId="0" fontId="1" fillId="0" borderId="6" xfId="0" applyFont="1" applyBorder="1" applyAlignment="1">
      <alignment horizontal="center"/>
    </xf>
    <xf numFmtId="0" fontId="1" fillId="3" borderId="2" xfId="0" applyFont="1" applyFill="1" applyBorder="1" applyAlignment="1">
      <alignment horizontal="center" vertical="top"/>
    </xf>
    <xf numFmtId="0" fontId="1" fillId="3" borderId="3" xfId="0" applyFont="1" applyFill="1" applyBorder="1" applyAlignment="1">
      <alignment horizontal="center" vertical="top"/>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2" borderId="13" xfId="0" applyFont="1" applyFill="1" applyBorder="1" applyAlignment="1">
      <alignment horizontal="center" wrapText="1"/>
    </xf>
    <xf numFmtId="0" fontId="1" fillId="2" borderId="1" xfId="0" applyFont="1" applyFill="1" applyBorder="1" applyAlignment="1">
      <alignment horizontal="center" wrapText="1"/>
    </xf>
    <xf numFmtId="0" fontId="1" fillId="2" borderId="25" xfId="0" applyFont="1" applyFill="1" applyBorder="1" applyAlignment="1">
      <alignment horizontal="center" wrapText="1"/>
    </xf>
    <xf numFmtId="0" fontId="1" fillId="2" borderId="14" xfId="0" applyFont="1" applyFill="1" applyBorder="1" applyAlignment="1">
      <alignment horizontal="center" wrapText="1"/>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0" borderId="2" xfId="0" applyFont="1" applyBorder="1" applyAlignment="1">
      <alignment horizontal="center" vertical="top"/>
    </xf>
    <xf numFmtId="0" fontId="1" fillId="0" borderId="3" xfId="0" applyFont="1" applyBorder="1" applyAlignment="1">
      <alignment horizontal="center" vertical="top"/>
    </xf>
    <xf numFmtId="0" fontId="0" fillId="0" borderId="0" xfId="0" applyAlignment="1">
      <alignment horizontal="center"/>
    </xf>
    <xf numFmtId="0" fontId="1" fillId="11" borderId="19" xfId="0" applyFont="1" applyFill="1" applyBorder="1" applyAlignment="1">
      <alignment horizontal="center"/>
    </xf>
    <xf numFmtId="0" fontId="1" fillId="11" borderId="20" xfId="0" applyFont="1" applyFill="1" applyBorder="1" applyAlignment="1">
      <alignment horizontal="center"/>
    </xf>
    <xf numFmtId="0" fontId="1" fillId="11" borderId="24" xfId="0" applyFont="1" applyFill="1" applyBorder="1" applyAlignment="1">
      <alignment horizontal="center"/>
    </xf>
    <xf numFmtId="0" fontId="1" fillId="11" borderId="23" xfId="0" applyFont="1" applyFill="1" applyBorder="1" applyAlignment="1">
      <alignment horizontal="center"/>
    </xf>
    <xf numFmtId="0" fontId="1" fillId="11" borderId="28" xfId="0" applyFont="1" applyFill="1" applyBorder="1" applyAlignment="1">
      <alignment horizontal="center"/>
    </xf>
    <xf numFmtId="2" fontId="0" fillId="2" borderId="13" xfId="0" applyNumberFormat="1" applyFill="1" applyBorder="1" applyAlignment="1">
      <alignment horizontal="center" vertical="top"/>
    </xf>
    <xf numFmtId="2" fontId="0" fillId="2" borderId="14" xfId="0" applyNumberFormat="1" applyFill="1" applyBorder="1" applyAlignment="1">
      <alignment horizontal="center" vertical="top"/>
    </xf>
    <xf numFmtId="2" fontId="0" fillId="2" borderId="2" xfId="0" applyNumberFormat="1" applyFill="1" applyBorder="1" applyAlignment="1">
      <alignment horizontal="center" vertical="top"/>
    </xf>
    <xf numFmtId="2" fontId="0" fillId="2" borderId="4" xfId="0" applyNumberFormat="1" applyFill="1" applyBorder="1" applyAlignment="1">
      <alignment horizontal="center" vertical="top"/>
    </xf>
    <xf numFmtId="0" fontId="1" fillId="2" borderId="19" xfId="0" applyFont="1" applyFill="1" applyBorder="1" applyAlignment="1">
      <alignment horizontal="center" vertical="top"/>
    </xf>
    <xf numFmtId="0" fontId="1" fillId="2" borderId="20" xfId="0" applyFont="1" applyFill="1" applyBorder="1" applyAlignment="1">
      <alignment horizontal="center" vertical="top"/>
    </xf>
    <xf numFmtId="0" fontId="1" fillId="2" borderId="21" xfId="0" applyFont="1" applyFill="1" applyBorder="1" applyAlignment="1">
      <alignment horizontal="center" vertical="top"/>
    </xf>
    <xf numFmtId="0" fontId="1" fillId="7" borderId="26" xfId="0" applyFont="1" applyFill="1" applyBorder="1" applyAlignment="1">
      <alignment horizontal="center"/>
    </xf>
    <xf numFmtId="0" fontId="1" fillId="7" borderId="20" xfId="0" applyFont="1" applyFill="1" applyBorder="1" applyAlignment="1">
      <alignment horizontal="center"/>
    </xf>
    <xf numFmtId="0" fontId="1" fillId="7" borderId="24" xfId="0" applyFont="1" applyFill="1" applyBorder="1" applyAlignment="1">
      <alignment horizontal="center"/>
    </xf>
    <xf numFmtId="0" fontId="1" fillId="0" borderId="5" xfId="0" applyFont="1" applyBorder="1" applyAlignment="1">
      <alignment horizontal="center" vertical="top"/>
    </xf>
    <xf numFmtId="0" fontId="1" fillId="0" borderId="6" xfId="0" applyFont="1" applyBorder="1" applyAlignment="1">
      <alignment horizontal="center" vertical="top"/>
    </xf>
    <xf numFmtId="0" fontId="1" fillId="7" borderId="38" xfId="0" applyFont="1" applyFill="1" applyBorder="1" applyAlignment="1">
      <alignment horizontal="center"/>
    </xf>
    <xf numFmtId="0" fontId="1" fillId="7" borderId="39" xfId="0" applyFont="1" applyFill="1" applyBorder="1" applyAlignment="1">
      <alignment horizontal="center"/>
    </xf>
    <xf numFmtId="0" fontId="1" fillId="7" borderId="40" xfId="0" applyFont="1" applyFill="1" applyBorder="1" applyAlignment="1">
      <alignment horizontal="center"/>
    </xf>
    <xf numFmtId="0" fontId="1" fillId="0" borderId="2" xfId="0" applyFont="1" applyBorder="1" applyAlignment="1">
      <alignment horizontal="left" vertical="top"/>
    </xf>
    <xf numFmtId="0" fontId="1" fillId="0" borderId="3" xfId="0" applyFont="1" applyBorder="1" applyAlignment="1">
      <alignment horizontal="left" vertical="top"/>
    </xf>
    <xf numFmtId="0" fontId="1" fillId="0" borderId="5" xfId="0" applyFont="1" applyBorder="1" applyAlignment="1">
      <alignment horizontal="left" vertical="top"/>
    </xf>
    <xf numFmtId="0" fontId="1" fillId="0" borderId="6" xfId="0" applyFont="1" applyBorder="1" applyAlignment="1">
      <alignment horizontal="left" vertical="top"/>
    </xf>
    <xf numFmtId="2" fontId="0" fillId="2" borderId="13" xfId="0" applyNumberFormat="1" applyFill="1" applyBorder="1" applyAlignment="1">
      <alignment horizontal="left" vertical="top"/>
    </xf>
    <xf numFmtId="2" fontId="0" fillId="2" borderId="14" xfId="0" applyNumberFormat="1" applyFill="1" applyBorder="1" applyAlignment="1">
      <alignment horizontal="left" vertical="top"/>
    </xf>
    <xf numFmtId="2" fontId="0" fillId="2" borderId="2" xfId="0" applyNumberFormat="1" applyFill="1" applyBorder="1" applyAlignment="1">
      <alignment horizontal="left" vertical="top"/>
    </xf>
    <xf numFmtId="2" fontId="0" fillId="2" borderId="4" xfId="0" applyNumberFormat="1" applyFill="1" applyBorder="1" applyAlignment="1">
      <alignment horizontal="left" vertical="top"/>
    </xf>
    <xf numFmtId="0" fontId="1" fillId="2" borderId="19" xfId="0" applyFont="1" applyFill="1" applyBorder="1" applyAlignment="1">
      <alignment horizontal="center"/>
    </xf>
    <xf numFmtId="0" fontId="1" fillId="2" borderId="20" xfId="0" applyFont="1" applyFill="1" applyBorder="1" applyAlignment="1">
      <alignment horizontal="center"/>
    </xf>
    <xf numFmtId="0" fontId="1" fillId="11" borderId="42" xfId="0" applyFont="1" applyFill="1" applyBorder="1" applyAlignment="1">
      <alignment horizontal="center"/>
    </xf>
    <xf numFmtId="0" fontId="1" fillId="11" borderId="43" xfId="0" applyFont="1" applyFill="1" applyBorder="1" applyAlignment="1">
      <alignment horizontal="center"/>
    </xf>
    <xf numFmtId="0" fontId="1" fillId="3" borderId="19" xfId="0" applyFont="1" applyFill="1" applyBorder="1" applyAlignment="1">
      <alignment horizontal="left" vertical="top"/>
    </xf>
    <xf numFmtId="0" fontId="1" fillId="3" borderId="20" xfId="0" applyFont="1" applyFill="1" applyBorder="1" applyAlignment="1">
      <alignment horizontal="left" vertical="top"/>
    </xf>
    <xf numFmtId="0" fontId="1" fillId="3" borderId="24" xfId="0" applyFont="1" applyFill="1" applyBorder="1" applyAlignment="1">
      <alignment horizontal="left" vertical="top"/>
    </xf>
    <xf numFmtId="0" fontId="1" fillId="3" borderId="23" xfId="0" applyFont="1" applyFill="1" applyBorder="1" applyAlignment="1">
      <alignment horizontal="left" vertical="top"/>
    </xf>
    <xf numFmtId="0" fontId="1" fillId="3" borderId="28" xfId="0" applyFont="1" applyFill="1" applyBorder="1" applyAlignment="1">
      <alignment horizontal="left" vertical="top"/>
    </xf>
    <xf numFmtId="0" fontId="1" fillId="3" borderId="29" xfId="0" applyFont="1" applyFill="1" applyBorder="1" applyAlignment="1">
      <alignment horizontal="left" vertical="top"/>
    </xf>
    <xf numFmtId="0" fontId="1" fillId="2" borderId="19" xfId="0" applyFont="1" applyFill="1" applyBorder="1" applyAlignment="1">
      <alignment horizontal="left"/>
    </xf>
    <xf numFmtId="0" fontId="1" fillId="2" borderId="20" xfId="0" applyFont="1" applyFill="1" applyBorder="1" applyAlignment="1">
      <alignment horizontal="left"/>
    </xf>
    <xf numFmtId="0" fontId="1" fillId="2" borderId="24" xfId="0" applyFont="1" applyFill="1" applyBorder="1" applyAlignment="1">
      <alignment horizontal="left"/>
    </xf>
    <xf numFmtId="0" fontId="1" fillId="2" borderId="41" xfId="0" applyFont="1" applyFill="1" applyBorder="1" applyAlignment="1">
      <alignment horizontal="left"/>
    </xf>
    <xf numFmtId="0" fontId="1" fillId="2" borderId="39" xfId="0" applyFont="1" applyFill="1" applyBorder="1" applyAlignment="1">
      <alignment horizontal="left"/>
    </xf>
    <xf numFmtId="0" fontId="1" fillId="2" borderId="40" xfId="0" applyFont="1" applyFill="1" applyBorder="1" applyAlignment="1">
      <alignment horizontal="left"/>
    </xf>
    <xf numFmtId="0" fontId="1" fillId="11" borderId="45" xfId="0" applyFont="1" applyFill="1" applyBorder="1" applyAlignment="1">
      <alignment horizontal="center"/>
    </xf>
    <xf numFmtId="0" fontId="1" fillId="2" borderId="23" xfId="0" applyFont="1" applyFill="1" applyBorder="1" applyAlignment="1">
      <alignment horizontal="left"/>
    </xf>
    <xf numFmtId="0" fontId="1" fillId="2" borderId="28" xfId="0" applyFont="1" applyFill="1" applyBorder="1" applyAlignment="1">
      <alignment horizontal="left"/>
    </xf>
    <xf numFmtId="0" fontId="1" fillId="2" borderId="29" xfId="0" applyFont="1" applyFill="1" applyBorder="1" applyAlignment="1">
      <alignment horizontal="left"/>
    </xf>
    <xf numFmtId="0" fontId="1" fillId="3" borderId="23" xfId="0" applyFont="1" applyFill="1" applyBorder="1" applyAlignment="1">
      <alignment horizontal="left"/>
    </xf>
    <xf numFmtId="0" fontId="1" fillId="3" borderId="28" xfId="0" applyFont="1" applyFill="1" applyBorder="1" applyAlignment="1">
      <alignment horizontal="left"/>
    </xf>
    <xf numFmtId="0" fontId="1" fillId="3" borderId="29" xfId="0" applyFont="1" applyFill="1" applyBorder="1" applyAlignment="1">
      <alignment horizontal="left"/>
    </xf>
    <xf numFmtId="0" fontId="6" fillId="7" borderId="0" xfId="0" applyFont="1" applyFill="1" applyAlignment="1">
      <alignment horizontal="justify" vertical="center" wrapText="1"/>
    </xf>
    <xf numFmtId="2" fontId="0" fillId="7" borderId="2" xfId="0" applyNumberFormat="1" applyFill="1" applyBorder="1"/>
    <xf numFmtId="2" fontId="0" fillId="7" borderId="3" xfId="0" applyNumberFormat="1" applyFill="1" applyBorder="1" applyAlignment="1">
      <alignment horizontal="left"/>
    </xf>
    <xf numFmtId="2" fontId="0" fillId="7" borderId="4" xfId="0" applyNumberFormat="1" applyFill="1" applyBorder="1" applyAlignment="1">
      <alignment horizontal="left"/>
    </xf>
    <xf numFmtId="2" fontId="0" fillId="7" borderId="5" xfId="0" applyNumberFormat="1" applyFill="1" applyBorder="1"/>
    <xf numFmtId="2" fontId="0" fillId="7" borderId="6" xfId="0" applyNumberFormat="1" applyFill="1" applyBorder="1" applyAlignment="1">
      <alignment horizontal="left"/>
    </xf>
    <xf numFmtId="2" fontId="6" fillId="7" borderId="6" xfId="0" applyNumberFormat="1" applyFont="1" applyFill="1" applyBorder="1" applyAlignment="1">
      <alignment horizontal="justify" vertical="center" wrapText="1"/>
    </xf>
    <xf numFmtId="2" fontId="0" fillId="7" borderId="7" xfId="0" applyNumberFormat="1" applyFill="1" applyBorder="1" applyAlignment="1">
      <alignment horizontal="left"/>
    </xf>
    <xf numFmtId="0" fontId="6" fillId="7" borderId="6" xfId="0" applyFont="1" applyFill="1" applyBorder="1" applyAlignment="1">
      <alignment horizontal="justify" vertical="center" wrapText="1"/>
    </xf>
    <xf numFmtId="0" fontId="6" fillId="7" borderId="15" xfId="0" applyFont="1" applyFill="1" applyBorder="1" applyAlignment="1">
      <alignment horizontal="justify" vertical="center" wrapText="1"/>
    </xf>
    <xf numFmtId="0" fontId="6" fillId="7" borderId="16" xfId="0" applyFont="1" applyFill="1" applyBorder="1" applyAlignment="1">
      <alignment horizontal="justify" vertical="center" wrapText="1"/>
    </xf>
    <xf numFmtId="0" fontId="6" fillId="7" borderId="1" xfId="0" applyFont="1" applyFill="1" applyBorder="1" applyAlignment="1">
      <alignment horizontal="justify" vertical="center" wrapText="1"/>
    </xf>
    <xf numFmtId="2" fontId="0" fillId="7" borderId="2" xfId="0" applyNumberFormat="1" applyFill="1" applyBorder="1" applyAlignment="1">
      <alignment horizontal="left"/>
    </xf>
  </cellXfs>
  <cellStyles count="1">
    <cellStyle name="Normal" xfId="0" builtinId="0"/>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2.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2.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drawing4.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13.png"/><Relationship Id="rId18" Type="http://schemas.openxmlformats.org/officeDocument/2006/relationships/image" Target="../media/image20.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2.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5.png"/><Relationship Id="rId1" Type="http://schemas.openxmlformats.org/officeDocument/2006/relationships/image" Target="../media/image2.png"/><Relationship Id="rId6" Type="http://schemas.openxmlformats.org/officeDocument/2006/relationships/image" Target="../media/image8.png"/><Relationship Id="rId11" Type="http://schemas.openxmlformats.org/officeDocument/2006/relationships/image" Target="../media/image17.png"/><Relationship Id="rId5" Type="http://schemas.openxmlformats.org/officeDocument/2006/relationships/image" Target="../media/image7.png"/><Relationship Id="rId15" Type="http://schemas.openxmlformats.org/officeDocument/2006/relationships/image" Target="../media/image14.png"/><Relationship Id="rId10" Type="http://schemas.openxmlformats.org/officeDocument/2006/relationships/image" Target="../media/image11.png"/><Relationship Id="rId4" Type="http://schemas.openxmlformats.org/officeDocument/2006/relationships/image" Target="../media/image6.png"/><Relationship Id="rId9" Type="http://schemas.openxmlformats.org/officeDocument/2006/relationships/image" Target="../media/image10.png"/><Relationship Id="rId14" Type="http://schemas.openxmlformats.org/officeDocument/2006/relationships/image" Target="../media/image18.png"/></Relationships>
</file>

<file path=xl/drawings/_rels/drawing5.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13.png"/><Relationship Id="rId18" Type="http://schemas.openxmlformats.org/officeDocument/2006/relationships/image" Target="../media/image20.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2.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5.png"/><Relationship Id="rId1" Type="http://schemas.openxmlformats.org/officeDocument/2006/relationships/image" Target="../media/image2.png"/><Relationship Id="rId6" Type="http://schemas.openxmlformats.org/officeDocument/2006/relationships/image" Target="../media/image8.png"/><Relationship Id="rId11" Type="http://schemas.openxmlformats.org/officeDocument/2006/relationships/image" Target="../media/image17.png"/><Relationship Id="rId5" Type="http://schemas.openxmlformats.org/officeDocument/2006/relationships/image" Target="../media/image7.png"/><Relationship Id="rId15" Type="http://schemas.openxmlformats.org/officeDocument/2006/relationships/image" Target="../media/image14.png"/><Relationship Id="rId10" Type="http://schemas.openxmlformats.org/officeDocument/2006/relationships/image" Target="../media/image11.png"/><Relationship Id="rId4" Type="http://schemas.openxmlformats.org/officeDocument/2006/relationships/image" Target="../media/image6.png"/><Relationship Id="rId9" Type="http://schemas.openxmlformats.org/officeDocument/2006/relationships/image" Target="../media/image10.png"/><Relationship Id="rId14" Type="http://schemas.openxmlformats.org/officeDocument/2006/relationships/image" Target="../media/image18.png"/></Relationships>
</file>

<file path=xl/drawings/_rels/drawing6.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8.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3.png"/><Relationship Id="rId17" Type="http://schemas.openxmlformats.org/officeDocument/2006/relationships/image" Target="../media/image20.png"/><Relationship Id="rId2" Type="http://schemas.openxmlformats.org/officeDocument/2006/relationships/image" Target="../media/image4.png"/><Relationship Id="rId16" Type="http://schemas.openxmlformats.org/officeDocument/2006/relationships/image" Target="../media/image19.png"/><Relationship Id="rId1" Type="http://schemas.openxmlformats.org/officeDocument/2006/relationships/image" Target="../media/image2.png"/><Relationship Id="rId6" Type="http://schemas.openxmlformats.org/officeDocument/2006/relationships/image" Target="../media/image8.png"/><Relationship Id="rId11" Type="http://schemas.openxmlformats.org/officeDocument/2006/relationships/image" Target="../media/image12.png"/><Relationship Id="rId5" Type="http://schemas.openxmlformats.org/officeDocument/2006/relationships/image" Target="../media/image7.png"/><Relationship Id="rId15" Type="http://schemas.openxmlformats.org/officeDocument/2006/relationships/image" Target="../media/image15.png"/><Relationship Id="rId10" Type="http://schemas.openxmlformats.org/officeDocument/2006/relationships/image" Target="../media/image17.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4.png"/></Relationships>
</file>

<file path=xl/drawings/_rels/drawing7.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8.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3.png"/><Relationship Id="rId17" Type="http://schemas.openxmlformats.org/officeDocument/2006/relationships/image" Target="../media/image20.png"/><Relationship Id="rId2" Type="http://schemas.openxmlformats.org/officeDocument/2006/relationships/image" Target="../media/image4.png"/><Relationship Id="rId16" Type="http://schemas.openxmlformats.org/officeDocument/2006/relationships/image" Target="../media/image19.png"/><Relationship Id="rId1" Type="http://schemas.openxmlformats.org/officeDocument/2006/relationships/image" Target="../media/image2.png"/><Relationship Id="rId6" Type="http://schemas.openxmlformats.org/officeDocument/2006/relationships/image" Target="../media/image8.png"/><Relationship Id="rId11" Type="http://schemas.openxmlformats.org/officeDocument/2006/relationships/image" Target="../media/image12.png"/><Relationship Id="rId5" Type="http://schemas.openxmlformats.org/officeDocument/2006/relationships/image" Target="../media/image7.png"/><Relationship Id="rId15" Type="http://schemas.openxmlformats.org/officeDocument/2006/relationships/image" Target="../media/image15.png"/><Relationship Id="rId10" Type="http://schemas.openxmlformats.org/officeDocument/2006/relationships/image" Target="../media/image17.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4.png"/></Relationships>
</file>

<file path=xl/drawings/_rels/drawing8.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8.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3.png"/><Relationship Id="rId17" Type="http://schemas.openxmlformats.org/officeDocument/2006/relationships/image" Target="../media/image20.png"/><Relationship Id="rId2" Type="http://schemas.openxmlformats.org/officeDocument/2006/relationships/image" Target="../media/image4.png"/><Relationship Id="rId16" Type="http://schemas.openxmlformats.org/officeDocument/2006/relationships/image" Target="../media/image19.png"/><Relationship Id="rId1" Type="http://schemas.openxmlformats.org/officeDocument/2006/relationships/image" Target="../media/image2.png"/><Relationship Id="rId6" Type="http://schemas.openxmlformats.org/officeDocument/2006/relationships/image" Target="../media/image8.png"/><Relationship Id="rId11" Type="http://schemas.openxmlformats.org/officeDocument/2006/relationships/image" Target="../media/image12.png"/><Relationship Id="rId5" Type="http://schemas.openxmlformats.org/officeDocument/2006/relationships/image" Target="../media/image7.png"/><Relationship Id="rId15" Type="http://schemas.openxmlformats.org/officeDocument/2006/relationships/image" Target="../media/image15.png"/><Relationship Id="rId10" Type="http://schemas.openxmlformats.org/officeDocument/2006/relationships/image" Target="../media/image17.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4.png"/></Relationships>
</file>

<file path=xl/drawings/_rels/drawing9.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8.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3.png"/><Relationship Id="rId17" Type="http://schemas.openxmlformats.org/officeDocument/2006/relationships/image" Target="../media/image20.png"/><Relationship Id="rId2" Type="http://schemas.openxmlformats.org/officeDocument/2006/relationships/image" Target="../media/image4.png"/><Relationship Id="rId16" Type="http://schemas.openxmlformats.org/officeDocument/2006/relationships/image" Target="../media/image19.png"/><Relationship Id="rId1" Type="http://schemas.openxmlformats.org/officeDocument/2006/relationships/image" Target="../media/image2.png"/><Relationship Id="rId6" Type="http://schemas.openxmlformats.org/officeDocument/2006/relationships/image" Target="../media/image8.png"/><Relationship Id="rId11" Type="http://schemas.openxmlformats.org/officeDocument/2006/relationships/image" Target="../media/image12.png"/><Relationship Id="rId5" Type="http://schemas.openxmlformats.org/officeDocument/2006/relationships/image" Target="../media/image7.png"/><Relationship Id="rId15" Type="http://schemas.openxmlformats.org/officeDocument/2006/relationships/image" Target="../media/image15.png"/><Relationship Id="rId10" Type="http://schemas.openxmlformats.org/officeDocument/2006/relationships/image" Target="../media/image17.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4.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8.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3.png"/><Relationship Id="rId17" Type="http://schemas.openxmlformats.org/officeDocument/2006/relationships/image" Target="../media/image20.png"/><Relationship Id="rId2" Type="http://schemas.openxmlformats.org/officeDocument/2006/relationships/image" Target="../media/image4.png"/><Relationship Id="rId16" Type="http://schemas.openxmlformats.org/officeDocument/2006/relationships/image" Target="../media/image19.png"/><Relationship Id="rId1" Type="http://schemas.openxmlformats.org/officeDocument/2006/relationships/image" Target="../media/image2.png"/><Relationship Id="rId6" Type="http://schemas.openxmlformats.org/officeDocument/2006/relationships/image" Target="../media/image8.png"/><Relationship Id="rId11" Type="http://schemas.openxmlformats.org/officeDocument/2006/relationships/image" Target="../media/image12.png"/><Relationship Id="rId5" Type="http://schemas.openxmlformats.org/officeDocument/2006/relationships/image" Target="../media/image7.png"/><Relationship Id="rId15" Type="http://schemas.openxmlformats.org/officeDocument/2006/relationships/image" Target="../media/image15.png"/><Relationship Id="rId10" Type="http://schemas.openxmlformats.org/officeDocument/2006/relationships/image" Target="../media/image17.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8.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3.png"/><Relationship Id="rId17" Type="http://schemas.openxmlformats.org/officeDocument/2006/relationships/image" Target="../media/image20.png"/><Relationship Id="rId2" Type="http://schemas.openxmlformats.org/officeDocument/2006/relationships/image" Target="../media/image4.png"/><Relationship Id="rId16" Type="http://schemas.openxmlformats.org/officeDocument/2006/relationships/image" Target="../media/image19.png"/><Relationship Id="rId1" Type="http://schemas.openxmlformats.org/officeDocument/2006/relationships/image" Target="../media/image2.png"/><Relationship Id="rId6" Type="http://schemas.openxmlformats.org/officeDocument/2006/relationships/image" Target="../media/image8.png"/><Relationship Id="rId11" Type="http://schemas.openxmlformats.org/officeDocument/2006/relationships/image" Target="../media/image12.png"/><Relationship Id="rId5" Type="http://schemas.openxmlformats.org/officeDocument/2006/relationships/image" Target="../media/image7.png"/><Relationship Id="rId15" Type="http://schemas.openxmlformats.org/officeDocument/2006/relationships/image" Target="../media/image15.png"/><Relationship Id="rId10" Type="http://schemas.openxmlformats.org/officeDocument/2006/relationships/image" Target="../media/image17.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3</xdr:col>
      <xdr:colOff>215900</xdr:colOff>
      <xdr:row>54</xdr:row>
      <xdr:rowOff>0</xdr:rowOff>
    </xdr:from>
    <xdr:to>
      <xdr:col>3</xdr:col>
      <xdr:colOff>622300</xdr:colOff>
      <xdr:row>54</xdr:row>
      <xdr:rowOff>157779</xdr:rowOff>
    </xdr:to>
    <xdr:pic>
      <xdr:nvPicPr>
        <xdr:cNvPr id="2" name="Picture 1">
          <a:extLst>
            <a:ext uri="{FF2B5EF4-FFF2-40B4-BE49-F238E27FC236}">
              <a16:creationId xmlns:a16="http://schemas.microsoft.com/office/drawing/2014/main" id="{3199D77F-D5BD-6070-D38D-2EC1B25DEC73}"/>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35100" y="317500"/>
          <a:ext cx="406400" cy="157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54</xdr:row>
      <xdr:rowOff>0</xdr:rowOff>
    </xdr:from>
    <xdr:to>
      <xdr:col>7</xdr:col>
      <xdr:colOff>508000</xdr:colOff>
      <xdr:row>54</xdr:row>
      <xdr:rowOff>147131</xdr:rowOff>
    </xdr:to>
    <xdr:pic>
      <xdr:nvPicPr>
        <xdr:cNvPr id="7" name="Picture 6">
          <a:extLst>
            <a:ext uri="{FF2B5EF4-FFF2-40B4-BE49-F238E27FC236}">
              <a16:creationId xmlns:a16="http://schemas.microsoft.com/office/drawing/2014/main" id="{B207E923-1462-0A6B-FFBB-FCFE8F070DDF}"/>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987800" y="317500"/>
          <a:ext cx="419100" cy="147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215900</xdr:colOff>
      <xdr:row>71</xdr:row>
      <xdr:rowOff>0</xdr:rowOff>
    </xdr:from>
    <xdr:to>
      <xdr:col>3</xdr:col>
      <xdr:colOff>622300</xdr:colOff>
      <xdr:row>71</xdr:row>
      <xdr:rowOff>157779</xdr:rowOff>
    </xdr:to>
    <xdr:pic>
      <xdr:nvPicPr>
        <xdr:cNvPr id="8" name="Picture 7">
          <a:extLst>
            <a:ext uri="{FF2B5EF4-FFF2-40B4-BE49-F238E27FC236}">
              <a16:creationId xmlns:a16="http://schemas.microsoft.com/office/drawing/2014/main" id="{52C02F4C-888F-4A11-8423-9DE4732D00F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36800" y="330200"/>
          <a:ext cx="406400" cy="157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71</xdr:row>
      <xdr:rowOff>0</xdr:rowOff>
    </xdr:from>
    <xdr:to>
      <xdr:col>7</xdr:col>
      <xdr:colOff>508000</xdr:colOff>
      <xdr:row>71</xdr:row>
      <xdr:rowOff>147131</xdr:rowOff>
    </xdr:to>
    <xdr:pic>
      <xdr:nvPicPr>
        <xdr:cNvPr id="12" name="Picture 11">
          <a:extLst>
            <a:ext uri="{FF2B5EF4-FFF2-40B4-BE49-F238E27FC236}">
              <a16:creationId xmlns:a16="http://schemas.microsoft.com/office/drawing/2014/main" id="{76B3A50C-B694-4EBD-A007-F20DA097B7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35650" y="330200"/>
          <a:ext cx="419100" cy="147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215900</xdr:colOff>
      <xdr:row>88</xdr:row>
      <xdr:rowOff>0</xdr:rowOff>
    </xdr:from>
    <xdr:to>
      <xdr:col>3</xdr:col>
      <xdr:colOff>622300</xdr:colOff>
      <xdr:row>88</xdr:row>
      <xdr:rowOff>157779</xdr:rowOff>
    </xdr:to>
    <xdr:pic>
      <xdr:nvPicPr>
        <xdr:cNvPr id="13" name="Picture 12">
          <a:extLst>
            <a:ext uri="{FF2B5EF4-FFF2-40B4-BE49-F238E27FC236}">
              <a16:creationId xmlns:a16="http://schemas.microsoft.com/office/drawing/2014/main" id="{3DE50D67-6A6E-4986-AEB2-E807F07CBFD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36800" y="3657600"/>
          <a:ext cx="406400" cy="157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88</xdr:row>
      <xdr:rowOff>0</xdr:rowOff>
    </xdr:from>
    <xdr:to>
      <xdr:col>7</xdr:col>
      <xdr:colOff>508000</xdr:colOff>
      <xdr:row>88</xdr:row>
      <xdr:rowOff>147131</xdr:rowOff>
    </xdr:to>
    <xdr:pic>
      <xdr:nvPicPr>
        <xdr:cNvPr id="17" name="Picture 16">
          <a:extLst>
            <a:ext uri="{FF2B5EF4-FFF2-40B4-BE49-F238E27FC236}">
              <a16:creationId xmlns:a16="http://schemas.microsoft.com/office/drawing/2014/main" id="{40748E05-4C08-4006-8042-EAE434949557}"/>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35650" y="3657600"/>
          <a:ext cx="419100" cy="147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215900</xdr:colOff>
      <xdr:row>106</xdr:row>
      <xdr:rowOff>0</xdr:rowOff>
    </xdr:from>
    <xdr:to>
      <xdr:col>3</xdr:col>
      <xdr:colOff>622300</xdr:colOff>
      <xdr:row>106</xdr:row>
      <xdr:rowOff>157779</xdr:rowOff>
    </xdr:to>
    <xdr:pic>
      <xdr:nvPicPr>
        <xdr:cNvPr id="18" name="Picture 17">
          <a:extLst>
            <a:ext uri="{FF2B5EF4-FFF2-40B4-BE49-F238E27FC236}">
              <a16:creationId xmlns:a16="http://schemas.microsoft.com/office/drawing/2014/main" id="{38D29CFC-DF77-4D3B-8689-09BE12D4A29F}"/>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36800" y="6946900"/>
          <a:ext cx="406400" cy="157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106</xdr:row>
      <xdr:rowOff>0</xdr:rowOff>
    </xdr:from>
    <xdr:to>
      <xdr:col>7</xdr:col>
      <xdr:colOff>508000</xdr:colOff>
      <xdr:row>106</xdr:row>
      <xdr:rowOff>147131</xdr:rowOff>
    </xdr:to>
    <xdr:pic>
      <xdr:nvPicPr>
        <xdr:cNvPr id="22" name="Picture 21">
          <a:extLst>
            <a:ext uri="{FF2B5EF4-FFF2-40B4-BE49-F238E27FC236}">
              <a16:creationId xmlns:a16="http://schemas.microsoft.com/office/drawing/2014/main" id="{E64B4E13-F9C9-41E3-98DE-B766B45A096D}"/>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35650" y="6946900"/>
          <a:ext cx="419100" cy="147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215900</xdr:colOff>
      <xdr:row>2</xdr:row>
      <xdr:rowOff>0</xdr:rowOff>
    </xdr:from>
    <xdr:to>
      <xdr:col>3</xdr:col>
      <xdr:colOff>622300</xdr:colOff>
      <xdr:row>2</xdr:row>
      <xdr:rowOff>157779</xdr:rowOff>
    </xdr:to>
    <xdr:pic>
      <xdr:nvPicPr>
        <xdr:cNvPr id="23" name="Picture 22">
          <a:extLst>
            <a:ext uri="{FF2B5EF4-FFF2-40B4-BE49-F238E27FC236}">
              <a16:creationId xmlns:a16="http://schemas.microsoft.com/office/drawing/2014/main" id="{C6E06F41-54C9-44F5-AB79-DF1445DE28B9}"/>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36800" y="3663950"/>
          <a:ext cx="406400" cy="157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2</xdr:row>
      <xdr:rowOff>0</xdr:rowOff>
    </xdr:from>
    <xdr:to>
      <xdr:col>7</xdr:col>
      <xdr:colOff>508000</xdr:colOff>
      <xdr:row>2</xdr:row>
      <xdr:rowOff>147131</xdr:rowOff>
    </xdr:to>
    <xdr:pic>
      <xdr:nvPicPr>
        <xdr:cNvPr id="27" name="Picture 26">
          <a:extLst>
            <a:ext uri="{FF2B5EF4-FFF2-40B4-BE49-F238E27FC236}">
              <a16:creationId xmlns:a16="http://schemas.microsoft.com/office/drawing/2014/main" id="{C2DF6CD2-682C-43CA-981B-E2B17D656BD5}"/>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35650" y="3663950"/>
          <a:ext cx="419100" cy="147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215900</xdr:colOff>
      <xdr:row>19</xdr:row>
      <xdr:rowOff>0</xdr:rowOff>
    </xdr:from>
    <xdr:to>
      <xdr:col>3</xdr:col>
      <xdr:colOff>622300</xdr:colOff>
      <xdr:row>19</xdr:row>
      <xdr:rowOff>157779</xdr:rowOff>
    </xdr:to>
    <xdr:pic>
      <xdr:nvPicPr>
        <xdr:cNvPr id="3" name="Picture 2">
          <a:extLst>
            <a:ext uri="{FF2B5EF4-FFF2-40B4-BE49-F238E27FC236}">
              <a16:creationId xmlns:a16="http://schemas.microsoft.com/office/drawing/2014/main" id="{9B1C4F6E-EEB8-43C9-B6BC-E9DEEE285EB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36800" y="14001750"/>
          <a:ext cx="406400" cy="157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19</xdr:row>
      <xdr:rowOff>0</xdr:rowOff>
    </xdr:from>
    <xdr:to>
      <xdr:col>7</xdr:col>
      <xdr:colOff>508000</xdr:colOff>
      <xdr:row>19</xdr:row>
      <xdr:rowOff>147131</xdr:rowOff>
    </xdr:to>
    <xdr:pic>
      <xdr:nvPicPr>
        <xdr:cNvPr id="31" name="Picture 30">
          <a:extLst>
            <a:ext uri="{FF2B5EF4-FFF2-40B4-BE49-F238E27FC236}">
              <a16:creationId xmlns:a16="http://schemas.microsoft.com/office/drawing/2014/main" id="{8658EB61-0165-4910-A4F2-2E580F120748}"/>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35650" y="14001750"/>
          <a:ext cx="419100" cy="147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215900</xdr:colOff>
      <xdr:row>37</xdr:row>
      <xdr:rowOff>0</xdr:rowOff>
    </xdr:from>
    <xdr:to>
      <xdr:col>3</xdr:col>
      <xdr:colOff>622300</xdr:colOff>
      <xdr:row>37</xdr:row>
      <xdr:rowOff>157779</xdr:rowOff>
    </xdr:to>
    <xdr:pic>
      <xdr:nvPicPr>
        <xdr:cNvPr id="32" name="Picture 31">
          <a:extLst>
            <a:ext uri="{FF2B5EF4-FFF2-40B4-BE49-F238E27FC236}">
              <a16:creationId xmlns:a16="http://schemas.microsoft.com/office/drawing/2014/main" id="{21D14CF5-2607-4925-95AC-D1295D737077}"/>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36800" y="3575050"/>
          <a:ext cx="406400" cy="157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37</xdr:row>
      <xdr:rowOff>0</xdr:rowOff>
    </xdr:from>
    <xdr:to>
      <xdr:col>7</xdr:col>
      <xdr:colOff>508000</xdr:colOff>
      <xdr:row>37</xdr:row>
      <xdr:rowOff>147131</xdr:rowOff>
    </xdr:to>
    <xdr:pic>
      <xdr:nvPicPr>
        <xdr:cNvPr id="36" name="Picture 35">
          <a:extLst>
            <a:ext uri="{FF2B5EF4-FFF2-40B4-BE49-F238E27FC236}">
              <a16:creationId xmlns:a16="http://schemas.microsoft.com/office/drawing/2014/main" id="{18A6CB04-B3BB-47D9-9356-FFBDCA1B6895}"/>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35650" y="3575050"/>
          <a:ext cx="419100" cy="147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215900</xdr:colOff>
      <xdr:row>124</xdr:row>
      <xdr:rowOff>0</xdr:rowOff>
    </xdr:from>
    <xdr:to>
      <xdr:col>3</xdr:col>
      <xdr:colOff>622300</xdr:colOff>
      <xdr:row>124</xdr:row>
      <xdr:rowOff>157779</xdr:rowOff>
    </xdr:to>
    <xdr:pic>
      <xdr:nvPicPr>
        <xdr:cNvPr id="37" name="Picture 36">
          <a:extLst>
            <a:ext uri="{FF2B5EF4-FFF2-40B4-BE49-F238E27FC236}">
              <a16:creationId xmlns:a16="http://schemas.microsoft.com/office/drawing/2014/main" id="{78508F97-CDEF-40FB-91C7-8FF3B7AF428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36800" y="20262850"/>
          <a:ext cx="406400" cy="157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124</xdr:row>
      <xdr:rowOff>0</xdr:rowOff>
    </xdr:from>
    <xdr:to>
      <xdr:col>7</xdr:col>
      <xdr:colOff>508000</xdr:colOff>
      <xdr:row>124</xdr:row>
      <xdr:rowOff>147131</xdr:rowOff>
    </xdr:to>
    <xdr:pic>
      <xdr:nvPicPr>
        <xdr:cNvPr id="41" name="Picture 40">
          <a:extLst>
            <a:ext uri="{FF2B5EF4-FFF2-40B4-BE49-F238E27FC236}">
              <a16:creationId xmlns:a16="http://schemas.microsoft.com/office/drawing/2014/main" id="{5DFD4123-365D-44DB-AC9D-C26E963A77C3}"/>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35650" y="20262850"/>
          <a:ext cx="419100" cy="147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215900</xdr:colOff>
      <xdr:row>141</xdr:row>
      <xdr:rowOff>0</xdr:rowOff>
    </xdr:from>
    <xdr:to>
      <xdr:col>3</xdr:col>
      <xdr:colOff>622300</xdr:colOff>
      <xdr:row>141</xdr:row>
      <xdr:rowOff>157779</xdr:rowOff>
    </xdr:to>
    <xdr:pic>
      <xdr:nvPicPr>
        <xdr:cNvPr id="42" name="Picture 41">
          <a:extLst>
            <a:ext uri="{FF2B5EF4-FFF2-40B4-BE49-F238E27FC236}">
              <a16:creationId xmlns:a16="http://schemas.microsoft.com/office/drawing/2014/main" id="{A6A3E170-B04E-42BF-95BD-0C8581BA891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36800" y="23672800"/>
          <a:ext cx="406400" cy="157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141</xdr:row>
      <xdr:rowOff>0</xdr:rowOff>
    </xdr:from>
    <xdr:to>
      <xdr:col>7</xdr:col>
      <xdr:colOff>508000</xdr:colOff>
      <xdr:row>141</xdr:row>
      <xdr:rowOff>147131</xdr:rowOff>
    </xdr:to>
    <xdr:pic>
      <xdr:nvPicPr>
        <xdr:cNvPr id="46" name="Picture 45">
          <a:extLst>
            <a:ext uri="{FF2B5EF4-FFF2-40B4-BE49-F238E27FC236}">
              <a16:creationId xmlns:a16="http://schemas.microsoft.com/office/drawing/2014/main" id="{571E3F87-08D2-485C-9135-62F13F8B7919}"/>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35650" y="23672800"/>
          <a:ext cx="419100" cy="147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215900</xdr:colOff>
      <xdr:row>159</xdr:row>
      <xdr:rowOff>0</xdr:rowOff>
    </xdr:from>
    <xdr:to>
      <xdr:col>3</xdr:col>
      <xdr:colOff>622300</xdr:colOff>
      <xdr:row>159</xdr:row>
      <xdr:rowOff>157779</xdr:rowOff>
    </xdr:to>
    <xdr:pic>
      <xdr:nvPicPr>
        <xdr:cNvPr id="47" name="Picture 46">
          <a:extLst>
            <a:ext uri="{FF2B5EF4-FFF2-40B4-BE49-F238E27FC236}">
              <a16:creationId xmlns:a16="http://schemas.microsoft.com/office/drawing/2014/main" id="{B74B9937-EA04-439D-AC26-86B2BDDD554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36800" y="26924000"/>
          <a:ext cx="406400" cy="157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159</xdr:row>
      <xdr:rowOff>0</xdr:rowOff>
    </xdr:from>
    <xdr:to>
      <xdr:col>7</xdr:col>
      <xdr:colOff>508000</xdr:colOff>
      <xdr:row>159</xdr:row>
      <xdr:rowOff>147131</xdr:rowOff>
    </xdr:to>
    <xdr:pic>
      <xdr:nvPicPr>
        <xdr:cNvPr id="51" name="Picture 50">
          <a:extLst>
            <a:ext uri="{FF2B5EF4-FFF2-40B4-BE49-F238E27FC236}">
              <a16:creationId xmlns:a16="http://schemas.microsoft.com/office/drawing/2014/main" id="{FA9B10FE-1387-4691-8F5C-F26068BF161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35650" y="26924000"/>
          <a:ext cx="419100" cy="147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76200</xdr:colOff>
      <xdr:row>2</xdr:row>
      <xdr:rowOff>57150</xdr:rowOff>
    </xdr:from>
    <xdr:to>
      <xdr:col>4</xdr:col>
      <xdr:colOff>811357</xdr:colOff>
      <xdr:row>2</xdr:row>
      <xdr:rowOff>171450</xdr:rowOff>
    </xdr:to>
    <xdr:pic>
      <xdr:nvPicPr>
        <xdr:cNvPr id="63" name="Picture 62">
          <a:extLst>
            <a:ext uri="{FF2B5EF4-FFF2-40B4-BE49-F238E27FC236}">
              <a16:creationId xmlns:a16="http://schemas.microsoft.com/office/drawing/2014/main" id="{872F06BB-44AC-A0F0-B403-81C6B36698E8}"/>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32100" y="387350"/>
          <a:ext cx="735157"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19</xdr:row>
      <xdr:rowOff>0</xdr:rowOff>
    </xdr:from>
    <xdr:to>
      <xdr:col>4</xdr:col>
      <xdr:colOff>735157</xdr:colOff>
      <xdr:row>19</xdr:row>
      <xdr:rowOff>114300</xdr:rowOff>
    </xdr:to>
    <xdr:pic>
      <xdr:nvPicPr>
        <xdr:cNvPr id="64" name="Picture 63">
          <a:extLst>
            <a:ext uri="{FF2B5EF4-FFF2-40B4-BE49-F238E27FC236}">
              <a16:creationId xmlns:a16="http://schemas.microsoft.com/office/drawing/2014/main" id="{ECDED058-54B3-4055-8196-BA173AA9E353}"/>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55900" y="3581400"/>
          <a:ext cx="735157"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63500</xdr:colOff>
      <xdr:row>37</xdr:row>
      <xdr:rowOff>38100</xdr:rowOff>
    </xdr:from>
    <xdr:to>
      <xdr:col>4</xdr:col>
      <xdr:colOff>798657</xdr:colOff>
      <xdr:row>37</xdr:row>
      <xdr:rowOff>152400</xdr:rowOff>
    </xdr:to>
    <xdr:pic>
      <xdr:nvPicPr>
        <xdr:cNvPr id="65" name="Picture 64">
          <a:extLst>
            <a:ext uri="{FF2B5EF4-FFF2-40B4-BE49-F238E27FC236}">
              <a16:creationId xmlns:a16="http://schemas.microsoft.com/office/drawing/2014/main" id="{6D555655-F583-4589-9F29-BA0615880393}"/>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19400" y="7029450"/>
          <a:ext cx="735157"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54</xdr:row>
      <xdr:rowOff>0</xdr:rowOff>
    </xdr:from>
    <xdr:to>
      <xdr:col>4</xdr:col>
      <xdr:colOff>735157</xdr:colOff>
      <xdr:row>54</xdr:row>
      <xdr:rowOff>114300</xdr:rowOff>
    </xdr:to>
    <xdr:pic>
      <xdr:nvPicPr>
        <xdr:cNvPr id="66" name="Picture 65">
          <a:extLst>
            <a:ext uri="{FF2B5EF4-FFF2-40B4-BE49-F238E27FC236}">
              <a16:creationId xmlns:a16="http://schemas.microsoft.com/office/drawing/2014/main" id="{689FA0F4-2F7F-456B-AB26-E3A0AB5A65A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55900" y="10318750"/>
          <a:ext cx="735157"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71</xdr:row>
      <xdr:rowOff>0</xdr:rowOff>
    </xdr:from>
    <xdr:to>
      <xdr:col>4</xdr:col>
      <xdr:colOff>735157</xdr:colOff>
      <xdr:row>71</xdr:row>
      <xdr:rowOff>114300</xdr:rowOff>
    </xdr:to>
    <xdr:pic>
      <xdr:nvPicPr>
        <xdr:cNvPr id="67" name="Picture 66">
          <a:extLst>
            <a:ext uri="{FF2B5EF4-FFF2-40B4-BE49-F238E27FC236}">
              <a16:creationId xmlns:a16="http://schemas.microsoft.com/office/drawing/2014/main" id="{A64E475C-5040-4174-8F7A-DBB6C92831E8}"/>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55900" y="13646150"/>
          <a:ext cx="735157"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88</xdr:row>
      <xdr:rowOff>0</xdr:rowOff>
    </xdr:from>
    <xdr:to>
      <xdr:col>4</xdr:col>
      <xdr:colOff>735157</xdr:colOff>
      <xdr:row>88</xdr:row>
      <xdr:rowOff>114300</xdr:rowOff>
    </xdr:to>
    <xdr:pic>
      <xdr:nvPicPr>
        <xdr:cNvPr id="68" name="Picture 67">
          <a:extLst>
            <a:ext uri="{FF2B5EF4-FFF2-40B4-BE49-F238E27FC236}">
              <a16:creationId xmlns:a16="http://schemas.microsoft.com/office/drawing/2014/main" id="{163E2DB3-B9F1-4E0C-8220-9D0D2B284338}"/>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55900" y="16935450"/>
          <a:ext cx="735157"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106</xdr:row>
      <xdr:rowOff>0</xdr:rowOff>
    </xdr:from>
    <xdr:to>
      <xdr:col>4</xdr:col>
      <xdr:colOff>735157</xdr:colOff>
      <xdr:row>106</xdr:row>
      <xdr:rowOff>114300</xdr:rowOff>
    </xdr:to>
    <xdr:pic>
      <xdr:nvPicPr>
        <xdr:cNvPr id="69" name="Picture 68">
          <a:extLst>
            <a:ext uri="{FF2B5EF4-FFF2-40B4-BE49-F238E27FC236}">
              <a16:creationId xmlns:a16="http://schemas.microsoft.com/office/drawing/2014/main" id="{A4575936-A7BB-448D-BBA7-7A4D5CD132AF}"/>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55900" y="20345400"/>
          <a:ext cx="735157"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124</xdr:row>
      <xdr:rowOff>0</xdr:rowOff>
    </xdr:from>
    <xdr:to>
      <xdr:col>4</xdr:col>
      <xdr:colOff>735157</xdr:colOff>
      <xdr:row>124</xdr:row>
      <xdr:rowOff>114300</xdr:rowOff>
    </xdr:to>
    <xdr:pic>
      <xdr:nvPicPr>
        <xdr:cNvPr id="70" name="Picture 69">
          <a:extLst>
            <a:ext uri="{FF2B5EF4-FFF2-40B4-BE49-F238E27FC236}">
              <a16:creationId xmlns:a16="http://schemas.microsoft.com/office/drawing/2014/main" id="{7E7E92E8-891D-4AF5-A0F6-C5C327D9CF65}"/>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55900" y="23755350"/>
          <a:ext cx="735157"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141</xdr:row>
      <xdr:rowOff>0</xdr:rowOff>
    </xdr:from>
    <xdr:to>
      <xdr:col>4</xdr:col>
      <xdr:colOff>735157</xdr:colOff>
      <xdr:row>141</xdr:row>
      <xdr:rowOff>114300</xdr:rowOff>
    </xdr:to>
    <xdr:pic>
      <xdr:nvPicPr>
        <xdr:cNvPr id="71" name="Picture 70">
          <a:extLst>
            <a:ext uri="{FF2B5EF4-FFF2-40B4-BE49-F238E27FC236}">
              <a16:creationId xmlns:a16="http://schemas.microsoft.com/office/drawing/2014/main" id="{EF57EB5D-6F98-44B8-B61A-F7EC05B5447F}"/>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55900" y="27006550"/>
          <a:ext cx="735157"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159</xdr:row>
      <xdr:rowOff>0</xdr:rowOff>
    </xdr:from>
    <xdr:to>
      <xdr:col>4</xdr:col>
      <xdr:colOff>735157</xdr:colOff>
      <xdr:row>159</xdr:row>
      <xdr:rowOff>114300</xdr:rowOff>
    </xdr:to>
    <xdr:pic>
      <xdr:nvPicPr>
        <xdr:cNvPr id="72" name="Picture 71">
          <a:extLst>
            <a:ext uri="{FF2B5EF4-FFF2-40B4-BE49-F238E27FC236}">
              <a16:creationId xmlns:a16="http://schemas.microsoft.com/office/drawing/2014/main" id="{2AF81BDA-A363-4A5D-A76F-357771C37D7F}"/>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55900" y="30416500"/>
          <a:ext cx="735157"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132644</xdr:colOff>
      <xdr:row>3</xdr:row>
      <xdr:rowOff>130110</xdr:rowOff>
    </xdr:from>
    <xdr:to>
      <xdr:col>8</xdr:col>
      <xdr:colOff>444500</xdr:colOff>
      <xdr:row>5</xdr:row>
      <xdr:rowOff>0</xdr:rowOff>
    </xdr:to>
    <xdr:pic>
      <xdr:nvPicPr>
        <xdr:cNvPr id="2" name="Picture 1">
          <a:extLst>
            <a:ext uri="{FF2B5EF4-FFF2-40B4-BE49-F238E27FC236}">
              <a16:creationId xmlns:a16="http://schemas.microsoft.com/office/drawing/2014/main" id="{51FF467A-45E1-4AF1-8A37-3A08D0D2D7B6}"/>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38194" y="619060"/>
          <a:ext cx="311856" cy="225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88900</xdr:colOff>
      <xdr:row>4</xdr:row>
      <xdr:rowOff>6350</xdr:rowOff>
    </xdr:from>
    <xdr:to>
      <xdr:col>9</xdr:col>
      <xdr:colOff>577850</xdr:colOff>
      <xdr:row>4</xdr:row>
      <xdr:rowOff>161498</xdr:rowOff>
    </xdr:to>
    <xdr:pic>
      <xdr:nvPicPr>
        <xdr:cNvPr id="3" name="Picture 2">
          <a:extLst>
            <a:ext uri="{FF2B5EF4-FFF2-40B4-BE49-F238E27FC236}">
              <a16:creationId xmlns:a16="http://schemas.microsoft.com/office/drawing/2014/main" id="{EE8CA710-AC11-4F42-A4B5-CE5F43E60F05}"/>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023100" y="6604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105127</xdr:colOff>
      <xdr:row>3</xdr:row>
      <xdr:rowOff>134931</xdr:rowOff>
    </xdr:from>
    <xdr:to>
      <xdr:col>10</xdr:col>
      <xdr:colOff>423333</xdr:colOff>
      <xdr:row>5</xdr:row>
      <xdr:rowOff>0</xdr:rowOff>
    </xdr:to>
    <xdr:pic>
      <xdr:nvPicPr>
        <xdr:cNvPr id="4" name="Picture 3">
          <a:extLst>
            <a:ext uri="{FF2B5EF4-FFF2-40B4-BE49-F238E27FC236}">
              <a16:creationId xmlns:a16="http://schemas.microsoft.com/office/drawing/2014/main" id="{18ED2F12-4A02-4315-97D2-4AC7279A5F04}"/>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5777" y="623881"/>
          <a:ext cx="318206" cy="2206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63500</xdr:colOff>
      <xdr:row>4</xdr:row>
      <xdr:rowOff>0</xdr:rowOff>
    </xdr:from>
    <xdr:to>
      <xdr:col>11</xdr:col>
      <xdr:colOff>546100</xdr:colOff>
      <xdr:row>4</xdr:row>
      <xdr:rowOff>162508</xdr:rowOff>
    </xdr:to>
    <xdr:pic>
      <xdr:nvPicPr>
        <xdr:cNvPr id="5" name="Picture 4">
          <a:extLst>
            <a:ext uri="{FF2B5EF4-FFF2-40B4-BE49-F238E27FC236}">
              <a16:creationId xmlns:a16="http://schemas.microsoft.com/office/drawing/2014/main" id="{A0957A17-5B13-47B5-94BE-CE58BBCDEB07}"/>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66200" y="6540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101600</xdr:colOff>
      <xdr:row>4</xdr:row>
      <xdr:rowOff>6350</xdr:rowOff>
    </xdr:from>
    <xdr:to>
      <xdr:col>12</xdr:col>
      <xdr:colOff>533400</xdr:colOff>
      <xdr:row>4</xdr:row>
      <xdr:rowOff>157185</xdr:rowOff>
    </xdr:to>
    <xdr:pic>
      <xdr:nvPicPr>
        <xdr:cNvPr id="6" name="Picture 5">
          <a:extLst>
            <a:ext uri="{FF2B5EF4-FFF2-40B4-BE49-F238E27FC236}">
              <a16:creationId xmlns:a16="http://schemas.microsoft.com/office/drawing/2014/main" id="{171F2311-7810-42B3-A34B-E95C8325F6E7}"/>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26650" y="6604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88901</xdr:colOff>
      <xdr:row>4</xdr:row>
      <xdr:rowOff>6350</xdr:rowOff>
    </xdr:from>
    <xdr:to>
      <xdr:col>13</xdr:col>
      <xdr:colOff>857250</xdr:colOff>
      <xdr:row>4</xdr:row>
      <xdr:rowOff>161051</xdr:rowOff>
    </xdr:to>
    <xdr:pic>
      <xdr:nvPicPr>
        <xdr:cNvPr id="7" name="Picture 6">
          <a:extLst>
            <a:ext uri="{FF2B5EF4-FFF2-40B4-BE49-F238E27FC236}">
              <a16:creationId xmlns:a16="http://schemas.microsoft.com/office/drawing/2014/main" id="{86DBFE08-4B9B-45E5-BC1C-2974FAEDFFC4}"/>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756901" y="6604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29826</xdr:colOff>
      <xdr:row>4</xdr:row>
      <xdr:rowOff>0</xdr:rowOff>
    </xdr:from>
    <xdr:to>
      <xdr:col>7</xdr:col>
      <xdr:colOff>196850</xdr:colOff>
      <xdr:row>4</xdr:row>
      <xdr:rowOff>177800</xdr:rowOff>
    </xdr:to>
    <xdr:pic>
      <xdr:nvPicPr>
        <xdr:cNvPr id="8" name="Picture 7">
          <a:extLst>
            <a:ext uri="{FF2B5EF4-FFF2-40B4-BE49-F238E27FC236}">
              <a16:creationId xmlns:a16="http://schemas.microsoft.com/office/drawing/2014/main" id="{F2DFC651-30CD-4D42-B0F9-56E27C037504}"/>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560676" y="654050"/>
          <a:ext cx="167024"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56</xdr:row>
      <xdr:rowOff>0</xdr:rowOff>
    </xdr:from>
    <xdr:to>
      <xdr:col>8</xdr:col>
      <xdr:colOff>527050</xdr:colOff>
      <xdr:row>56</xdr:row>
      <xdr:rowOff>160059</xdr:rowOff>
    </xdr:to>
    <xdr:pic>
      <xdr:nvPicPr>
        <xdr:cNvPr id="10" name="Picture 9">
          <a:extLst>
            <a:ext uri="{FF2B5EF4-FFF2-40B4-BE49-F238E27FC236}">
              <a16:creationId xmlns:a16="http://schemas.microsoft.com/office/drawing/2014/main" id="{32E35786-CDF1-4122-A152-5BCAEB866F34}"/>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75400" y="5803900"/>
          <a:ext cx="457200" cy="160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88900</xdr:colOff>
      <xdr:row>56</xdr:row>
      <xdr:rowOff>6350</xdr:rowOff>
    </xdr:from>
    <xdr:to>
      <xdr:col>9</xdr:col>
      <xdr:colOff>577850</xdr:colOff>
      <xdr:row>56</xdr:row>
      <xdr:rowOff>161498</xdr:rowOff>
    </xdr:to>
    <xdr:pic>
      <xdr:nvPicPr>
        <xdr:cNvPr id="11" name="Picture 10">
          <a:extLst>
            <a:ext uri="{FF2B5EF4-FFF2-40B4-BE49-F238E27FC236}">
              <a16:creationId xmlns:a16="http://schemas.microsoft.com/office/drawing/2014/main" id="{AFE0789C-71ED-4F18-9530-DB1F6854BF17}"/>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023100" y="58102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69850</xdr:colOff>
      <xdr:row>56</xdr:row>
      <xdr:rowOff>0</xdr:rowOff>
    </xdr:from>
    <xdr:to>
      <xdr:col>10</xdr:col>
      <xdr:colOff>533400</xdr:colOff>
      <xdr:row>56</xdr:row>
      <xdr:rowOff>154672</xdr:rowOff>
    </xdr:to>
    <xdr:pic>
      <xdr:nvPicPr>
        <xdr:cNvPr id="12" name="Picture 11">
          <a:extLst>
            <a:ext uri="{FF2B5EF4-FFF2-40B4-BE49-F238E27FC236}">
              <a16:creationId xmlns:a16="http://schemas.microsoft.com/office/drawing/2014/main" id="{A4FC5723-E3B8-4205-B645-A0C38D6607D1}"/>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0" y="58039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63500</xdr:colOff>
      <xdr:row>56</xdr:row>
      <xdr:rowOff>0</xdr:rowOff>
    </xdr:from>
    <xdr:to>
      <xdr:col>11</xdr:col>
      <xdr:colOff>546100</xdr:colOff>
      <xdr:row>56</xdr:row>
      <xdr:rowOff>162508</xdr:rowOff>
    </xdr:to>
    <xdr:pic>
      <xdr:nvPicPr>
        <xdr:cNvPr id="13" name="Picture 12">
          <a:extLst>
            <a:ext uri="{FF2B5EF4-FFF2-40B4-BE49-F238E27FC236}">
              <a16:creationId xmlns:a16="http://schemas.microsoft.com/office/drawing/2014/main" id="{BDD63E44-2635-4108-A33E-2A788BAC3E04}"/>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66200" y="58039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101600</xdr:colOff>
      <xdr:row>56</xdr:row>
      <xdr:rowOff>6350</xdr:rowOff>
    </xdr:from>
    <xdr:to>
      <xdr:col>12</xdr:col>
      <xdr:colOff>533400</xdr:colOff>
      <xdr:row>56</xdr:row>
      <xdr:rowOff>157185</xdr:rowOff>
    </xdr:to>
    <xdr:pic>
      <xdr:nvPicPr>
        <xdr:cNvPr id="14" name="Picture 13">
          <a:extLst>
            <a:ext uri="{FF2B5EF4-FFF2-40B4-BE49-F238E27FC236}">
              <a16:creationId xmlns:a16="http://schemas.microsoft.com/office/drawing/2014/main" id="{14C01B37-9A4E-404F-93CC-12CCC91D71AF}"/>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26650" y="58102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88901</xdr:colOff>
      <xdr:row>56</xdr:row>
      <xdr:rowOff>6350</xdr:rowOff>
    </xdr:from>
    <xdr:to>
      <xdr:col>13</xdr:col>
      <xdr:colOff>857250</xdr:colOff>
      <xdr:row>56</xdr:row>
      <xdr:rowOff>161051</xdr:rowOff>
    </xdr:to>
    <xdr:pic>
      <xdr:nvPicPr>
        <xdr:cNvPr id="15" name="Picture 14">
          <a:extLst>
            <a:ext uri="{FF2B5EF4-FFF2-40B4-BE49-F238E27FC236}">
              <a16:creationId xmlns:a16="http://schemas.microsoft.com/office/drawing/2014/main" id="{2E11B30D-E744-45BD-B722-EB06C50F9FEE}"/>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756901" y="58102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38100</xdr:colOff>
      <xdr:row>56</xdr:row>
      <xdr:rowOff>0</xdr:rowOff>
    </xdr:from>
    <xdr:to>
      <xdr:col>7</xdr:col>
      <xdr:colOff>196850</xdr:colOff>
      <xdr:row>56</xdr:row>
      <xdr:rowOff>148508</xdr:rowOff>
    </xdr:to>
    <xdr:pic>
      <xdr:nvPicPr>
        <xdr:cNvPr id="16" name="Picture 15">
          <a:extLst>
            <a:ext uri="{FF2B5EF4-FFF2-40B4-BE49-F238E27FC236}">
              <a16:creationId xmlns:a16="http://schemas.microsoft.com/office/drawing/2014/main" id="{A081B90A-00FA-4684-A6C2-28832B657C9A}"/>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568950" y="580390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76200</xdr:colOff>
      <xdr:row>108</xdr:row>
      <xdr:rowOff>0</xdr:rowOff>
    </xdr:from>
    <xdr:to>
      <xdr:col>8</xdr:col>
      <xdr:colOff>533400</xdr:colOff>
      <xdr:row>108</xdr:row>
      <xdr:rowOff>153709</xdr:rowOff>
    </xdr:to>
    <xdr:pic>
      <xdr:nvPicPr>
        <xdr:cNvPr id="18" name="Picture 17">
          <a:extLst>
            <a:ext uri="{FF2B5EF4-FFF2-40B4-BE49-F238E27FC236}">
              <a16:creationId xmlns:a16="http://schemas.microsoft.com/office/drawing/2014/main" id="{484A7D5D-810A-44DC-A6F5-E29EB1DB80B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81750" y="1071880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88900</xdr:colOff>
      <xdr:row>108</xdr:row>
      <xdr:rowOff>6350</xdr:rowOff>
    </xdr:from>
    <xdr:to>
      <xdr:col>9</xdr:col>
      <xdr:colOff>577850</xdr:colOff>
      <xdr:row>108</xdr:row>
      <xdr:rowOff>161498</xdr:rowOff>
    </xdr:to>
    <xdr:pic>
      <xdr:nvPicPr>
        <xdr:cNvPr id="19" name="Picture 18">
          <a:extLst>
            <a:ext uri="{FF2B5EF4-FFF2-40B4-BE49-F238E27FC236}">
              <a16:creationId xmlns:a16="http://schemas.microsoft.com/office/drawing/2014/main" id="{4BF603FB-E5F2-4A13-965C-A380BD3053F7}"/>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023100" y="107251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69850</xdr:colOff>
      <xdr:row>108</xdr:row>
      <xdr:rowOff>0</xdr:rowOff>
    </xdr:from>
    <xdr:to>
      <xdr:col>10</xdr:col>
      <xdr:colOff>533400</xdr:colOff>
      <xdr:row>108</xdr:row>
      <xdr:rowOff>154672</xdr:rowOff>
    </xdr:to>
    <xdr:pic>
      <xdr:nvPicPr>
        <xdr:cNvPr id="20" name="Picture 19">
          <a:extLst>
            <a:ext uri="{FF2B5EF4-FFF2-40B4-BE49-F238E27FC236}">
              <a16:creationId xmlns:a16="http://schemas.microsoft.com/office/drawing/2014/main" id="{29D49861-9D59-428B-802C-E8BBCD41BDFF}"/>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0" y="107188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63500</xdr:colOff>
      <xdr:row>108</xdr:row>
      <xdr:rowOff>0</xdr:rowOff>
    </xdr:from>
    <xdr:to>
      <xdr:col>11</xdr:col>
      <xdr:colOff>546100</xdr:colOff>
      <xdr:row>108</xdr:row>
      <xdr:rowOff>162508</xdr:rowOff>
    </xdr:to>
    <xdr:pic>
      <xdr:nvPicPr>
        <xdr:cNvPr id="21" name="Picture 20">
          <a:extLst>
            <a:ext uri="{FF2B5EF4-FFF2-40B4-BE49-F238E27FC236}">
              <a16:creationId xmlns:a16="http://schemas.microsoft.com/office/drawing/2014/main" id="{81375149-D92E-441C-9074-AE5F4998112C}"/>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66200" y="107188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101600</xdr:colOff>
      <xdr:row>108</xdr:row>
      <xdr:rowOff>6350</xdr:rowOff>
    </xdr:from>
    <xdr:to>
      <xdr:col>12</xdr:col>
      <xdr:colOff>533400</xdr:colOff>
      <xdr:row>108</xdr:row>
      <xdr:rowOff>157185</xdr:rowOff>
    </xdr:to>
    <xdr:pic>
      <xdr:nvPicPr>
        <xdr:cNvPr id="22" name="Picture 21">
          <a:extLst>
            <a:ext uri="{FF2B5EF4-FFF2-40B4-BE49-F238E27FC236}">
              <a16:creationId xmlns:a16="http://schemas.microsoft.com/office/drawing/2014/main" id="{DA60F674-9459-4B0A-97EA-6A17B1635D85}"/>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26650" y="107251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88901</xdr:colOff>
      <xdr:row>108</xdr:row>
      <xdr:rowOff>6350</xdr:rowOff>
    </xdr:from>
    <xdr:to>
      <xdr:col>13</xdr:col>
      <xdr:colOff>857250</xdr:colOff>
      <xdr:row>108</xdr:row>
      <xdr:rowOff>161051</xdr:rowOff>
    </xdr:to>
    <xdr:pic>
      <xdr:nvPicPr>
        <xdr:cNvPr id="23" name="Picture 22">
          <a:extLst>
            <a:ext uri="{FF2B5EF4-FFF2-40B4-BE49-F238E27FC236}">
              <a16:creationId xmlns:a16="http://schemas.microsoft.com/office/drawing/2014/main" id="{E5F41F99-C901-487F-91F2-A6BE68C00D49}"/>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756901" y="107251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50800</xdr:colOff>
      <xdr:row>108</xdr:row>
      <xdr:rowOff>0</xdr:rowOff>
    </xdr:from>
    <xdr:to>
      <xdr:col>7</xdr:col>
      <xdr:colOff>196850</xdr:colOff>
      <xdr:row>108</xdr:row>
      <xdr:rowOff>136627</xdr:rowOff>
    </xdr:to>
    <xdr:pic>
      <xdr:nvPicPr>
        <xdr:cNvPr id="24" name="Picture 23">
          <a:extLst>
            <a:ext uri="{FF2B5EF4-FFF2-40B4-BE49-F238E27FC236}">
              <a16:creationId xmlns:a16="http://schemas.microsoft.com/office/drawing/2014/main" id="{9546596B-C998-4BFF-9A03-4F30309A8338}"/>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581650" y="10718800"/>
          <a:ext cx="146050" cy="1366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38100</xdr:colOff>
      <xdr:row>4</xdr:row>
      <xdr:rowOff>0</xdr:rowOff>
    </xdr:from>
    <xdr:to>
      <xdr:col>19</xdr:col>
      <xdr:colOff>165100</xdr:colOff>
      <xdr:row>4</xdr:row>
      <xdr:rowOff>146538</xdr:rowOff>
    </xdr:to>
    <xdr:pic>
      <xdr:nvPicPr>
        <xdr:cNvPr id="26" name="Picture 25">
          <a:extLst>
            <a:ext uri="{FF2B5EF4-FFF2-40B4-BE49-F238E27FC236}">
              <a16:creationId xmlns:a16="http://schemas.microsoft.com/office/drawing/2014/main" id="{1AED8AC7-C61E-467E-8C36-FF949A88F847}"/>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116300" y="654050"/>
          <a:ext cx="127000" cy="146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49530</xdr:colOff>
      <xdr:row>4</xdr:row>
      <xdr:rowOff>0</xdr:rowOff>
    </xdr:from>
    <xdr:to>
      <xdr:col>20</xdr:col>
      <xdr:colOff>165100</xdr:colOff>
      <xdr:row>4</xdr:row>
      <xdr:rowOff>133350</xdr:rowOff>
    </xdr:to>
    <xdr:pic>
      <xdr:nvPicPr>
        <xdr:cNvPr id="27" name="Picture 26">
          <a:extLst>
            <a:ext uri="{FF2B5EF4-FFF2-40B4-BE49-F238E27FC236}">
              <a16:creationId xmlns:a16="http://schemas.microsoft.com/office/drawing/2014/main" id="{13B9DFF8-5EB0-49E5-BD75-61EE91FB4751}"/>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118330" y="654050"/>
          <a:ext cx="115570"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28864</xdr:colOff>
      <xdr:row>4</xdr:row>
      <xdr:rowOff>0</xdr:rowOff>
    </xdr:from>
    <xdr:to>
      <xdr:col>23</xdr:col>
      <xdr:colOff>158750</xdr:colOff>
      <xdr:row>4</xdr:row>
      <xdr:rowOff>171450</xdr:rowOff>
    </xdr:to>
    <xdr:pic>
      <xdr:nvPicPr>
        <xdr:cNvPr id="28" name="Picture 27">
          <a:extLst>
            <a:ext uri="{FF2B5EF4-FFF2-40B4-BE49-F238E27FC236}">
              <a16:creationId xmlns:a16="http://schemas.microsoft.com/office/drawing/2014/main" id="{73206FF6-5CF8-4F9E-825B-9D86AA34DA86}"/>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967864" y="654050"/>
          <a:ext cx="129886"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43294</xdr:colOff>
      <xdr:row>4</xdr:row>
      <xdr:rowOff>0</xdr:rowOff>
    </xdr:from>
    <xdr:to>
      <xdr:col>24</xdr:col>
      <xdr:colOff>158749</xdr:colOff>
      <xdr:row>4</xdr:row>
      <xdr:rowOff>152400</xdr:rowOff>
    </xdr:to>
    <xdr:pic>
      <xdr:nvPicPr>
        <xdr:cNvPr id="29" name="Picture 28">
          <a:extLst>
            <a:ext uri="{FF2B5EF4-FFF2-40B4-BE49-F238E27FC236}">
              <a16:creationId xmlns:a16="http://schemas.microsoft.com/office/drawing/2014/main" id="{9060E831-F71E-4996-9945-B9EACF35528F}"/>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591894" y="654050"/>
          <a:ext cx="11545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31750</xdr:colOff>
      <xdr:row>4</xdr:row>
      <xdr:rowOff>0</xdr:rowOff>
    </xdr:from>
    <xdr:to>
      <xdr:col>27</xdr:col>
      <xdr:colOff>234950</xdr:colOff>
      <xdr:row>4</xdr:row>
      <xdr:rowOff>181232</xdr:rowOff>
    </xdr:to>
    <xdr:pic>
      <xdr:nvPicPr>
        <xdr:cNvPr id="30" name="Picture 29">
          <a:extLst>
            <a:ext uri="{FF2B5EF4-FFF2-40B4-BE49-F238E27FC236}">
              <a16:creationId xmlns:a16="http://schemas.microsoft.com/office/drawing/2014/main" id="{26F78DDF-9989-49EB-BC77-39C2416F9085}"/>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637750" y="654050"/>
          <a:ext cx="203200" cy="181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35598</xdr:colOff>
      <xdr:row>4</xdr:row>
      <xdr:rowOff>0</xdr:rowOff>
    </xdr:from>
    <xdr:to>
      <xdr:col>28</xdr:col>
      <xdr:colOff>234950</xdr:colOff>
      <xdr:row>4</xdr:row>
      <xdr:rowOff>177800</xdr:rowOff>
    </xdr:to>
    <xdr:pic>
      <xdr:nvPicPr>
        <xdr:cNvPr id="31" name="Picture 30">
          <a:extLst>
            <a:ext uri="{FF2B5EF4-FFF2-40B4-BE49-F238E27FC236}">
              <a16:creationId xmlns:a16="http://schemas.microsoft.com/office/drawing/2014/main" id="{90782FAF-CAE7-40D7-9262-156D474B8EC2}"/>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251198" y="654050"/>
          <a:ext cx="199352"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132644</xdr:colOff>
      <xdr:row>3</xdr:row>
      <xdr:rowOff>130110</xdr:rowOff>
    </xdr:from>
    <xdr:to>
      <xdr:col>8</xdr:col>
      <xdr:colOff>444500</xdr:colOff>
      <xdr:row>5</xdr:row>
      <xdr:rowOff>0</xdr:rowOff>
    </xdr:to>
    <xdr:pic>
      <xdr:nvPicPr>
        <xdr:cNvPr id="2" name="Picture 1">
          <a:extLst>
            <a:ext uri="{FF2B5EF4-FFF2-40B4-BE49-F238E27FC236}">
              <a16:creationId xmlns:a16="http://schemas.microsoft.com/office/drawing/2014/main" id="{9C02FAD6-CF0D-4619-8F1A-91FB848E205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298494" y="619060"/>
          <a:ext cx="311856" cy="225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88900</xdr:colOff>
      <xdr:row>4</xdr:row>
      <xdr:rowOff>6350</xdr:rowOff>
    </xdr:from>
    <xdr:to>
      <xdr:col>9</xdr:col>
      <xdr:colOff>577850</xdr:colOff>
      <xdr:row>4</xdr:row>
      <xdr:rowOff>161498</xdr:rowOff>
    </xdr:to>
    <xdr:pic>
      <xdr:nvPicPr>
        <xdr:cNvPr id="3" name="Picture 2">
          <a:extLst>
            <a:ext uri="{FF2B5EF4-FFF2-40B4-BE49-F238E27FC236}">
              <a16:creationId xmlns:a16="http://schemas.microsoft.com/office/drawing/2014/main" id="{EDAA0B3C-69D3-4647-B7C5-3A2CF34DBF45}"/>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883400" y="6604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105127</xdr:colOff>
      <xdr:row>3</xdr:row>
      <xdr:rowOff>134931</xdr:rowOff>
    </xdr:from>
    <xdr:to>
      <xdr:col>10</xdr:col>
      <xdr:colOff>423333</xdr:colOff>
      <xdr:row>5</xdr:row>
      <xdr:rowOff>0</xdr:rowOff>
    </xdr:to>
    <xdr:pic>
      <xdr:nvPicPr>
        <xdr:cNvPr id="4" name="Picture 3">
          <a:extLst>
            <a:ext uri="{FF2B5EF4-FFF2-40B4-BE49-F238E27FC236}">
              <a16:creationId xmlns:a16="http://schemas.microsoft.com/office/drawing/2014/main" id="{CABA7F34-2090-4D0B-8032-6500647528D6}"/>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06077" y="623881"/>
          <a:ext cx="318206" cy="2206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63500</xdr:colOff>
      <xdr:row>4</xdr:row>
      <xdr:rowOff>0</xdr:rowOff>
    </xdr:from>
    <xdr:to>
      <xdr:col>11</xdr:col>
      <xdr:colOff>546100</xdr:colOff>
      <xdr:row>4</xdr:row>
      <xdr:rowOff>162508</xdr:rowOff>
    </xdr:to>
    <xdr:pic>
      <xdr:nvPicPr>
        <xdr:cNvPr id="5" name="Picture 4">
          <a:extLst>
            <a:ext uri="{FF2B5EF4-FFF2-40B4-BE49-F238E27FC236}">
              <a16:creationId xmlns:a16="http://schemas.microsoft.com/office/drawing/2014/main" id="{BD1AEA5F-E213-493A-ABB5-72C330522EF7}"/>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6500" y="6540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101600</xdr:colOff>
      <xdr:row>4</xdr:row>
      <xdr:rowOff>6350</xdr:rowOff>
    </xdr:from>
    <xdr:to>
      <xdr:col>12</xdr:col>
      <xdr:colOff>533400</xdr:colOff>
      <xdr:row>4</xdr:row>
      <xdr:rowOff>157185</xdr:rowOff>
    </xdr:to>
    <xdr:pic>
      <xdr:nvPicPr>
        <xdr:cNvPr id="6" name="Picture 5">
          <a:extLst>
            <a:ext uri="{FF2B5EF4-FFF2-40B4-BE49-F238E27FC236}">
              <a16:creationId xmlns:a16="http://schemas.microsoft.com/office/drawing/2014/main" id="{FA7540D1-6230-4437-964E-0AB1A3C05FE9}"/>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86950" y="6604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88901</xdr:colOff>
      <xdr:row>4</xdr:row>
      <xdr:rowOff>6350</xdr:rowOff>
    </xdr:from>
    <xdr:to>
      <xdr:col>13</xdr:col>
      <xdr:colOff>857250</xdr:colOff>
      <xdr:row>4</xdr:row>
      <xdr:rowOff>161051</xdr:rowOff>
    </xdr:to>
    <xdr:pic>
      <xdr:nvPicPr>
        <xdr:cNvPr id="7" name="Picture 6">
          <a:extLst>
            <a:ext uri="{FF2B5EF4-FFF2-40B4-BE49-F238E27FC236}">
              <a16:creationId xmlns:a16="http://schemas.microsoft.com/office/drawing/2014/main" id="{18CD0E7C-1A5E-490C-B921-D76B92F79C19}"/>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17201" y="6604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29826</xdr:colOff>
      <xdr:row>4</xdr:row>
      <xdr:rowOff>0</xdr:rowOff>
    </xdr:from>
    <xdr:to>
      <xdr:col>7</xdr:col>
      <xdr:colOff>196850</xdr:colOff>
      <xdr:row>4</xdr:row>
      <xdr:rowOff>177800</xdr:rowOff>
    </xdr:to>
    <xdr:pic>
      <xdr:nvPicPr>
        <xdr:cNvPr id="8" name="Picture 7">
          <a:extLst>
            <a:ext uri="{FF2B5EF4-FFF2-40B4-BE49-F238E27FC236}">
              <a16:creationId xmlns:a16="http://schemas.microsoft.com/office/drawing/2014/main" id="{CD3F124C-2A88-4598-9F52-05F0328B744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20976" y="654050"/>
          <a:ext cx="167024"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56</xdr:row>
      <xdr:rowOff>0</xdr:rowOff>
    </xdr:from>
    <xdr:to>
      <xdr:col>8</xdr:col>
      <xdr:colOff>527050</xdr:colOff>
      <xdr:row>56</xdr:row>
      <xdr:rowOff>160059</xdr:rowOff>
    </xdr:to>
    <xdr:pic>
      <xdr:nvPicPr>
        <xdr:cNvPr id="10" name="Picture 9">
          <a:extLst>
            <a:ext uri="{FF2B5EF4-FFF2-40B4-BE49-F238E27FC236}">
              <a16:creationId xmlns:a16="http://schemas.microsoft.com/office/drawing/2014/main" id="{B378D355-3FF2-47FA-BF29-D1F8D7099A2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235700" y="4413250"/>
          <a:ext cx="457200" cy="160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88900</xdr:colOff>
      <xdr:row>56</xdr:row>
      <xdr:rowOff>6350</xdr:rowOff>
    </xdr:from>
    <xdr:to>
      <xdr:col>9</xdr:col>
      <xdr:colOff>577850</xdr:colOff>
      <xdr:row>56</xdr:row>
      <xdr:rowOff>161498</xdr:rowOff>
    </xdr:to>
    <xdr:pic>
      <xdr:nvPicPr>
        <xdr:cNvPr id="11" name="Picture 10">
          <a:extLst>
            <a:ext uri="{FF2B5EF4-FFF2-40B4-BE49-F238E27FC236}">
              <a16:creationId xmlns:a16="http://schemas.microsoft.com/office/drawing/2014/main" id="{505985A3-3E39-43CD-8D42-38395AD457EE}"/>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883400" y="44196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69850</xdr:colOff>
      <xdr:row>56</xdr:row>
      <xdr:rowOff>0</xdr:rowOff>
    </xdr:from>
    <xdr:to>
      <xdr:col>10</xdr:col>
      <xdr:colOff>533400</xdr:colOff>
      <xdr:row>56</xdr:row>
      <xdr:rowOff>154672</xdr:rowOff>
    </xdr:to>
    <xdr:pic>
      <xdr:nvPicPr>
        <xdr:cNvPr id="12" name="Picture 11">
          <a:extLst>
            <a:ext uri="{FF2B5EF4-FFF2-40B4-BE49-F238E27FC236}">
              <a16:creationId xmlns:a16="http://schemas.microsoft.com/office/drawing/2014/main" id="{E0D135FE-84A3-47D3-9AEF-6C010B6DA4C4}"/>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70800" y="44132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63500</xdr:colOff>
      <xdr:row>56</xdr:row>
      <xdr:rowOff>0</xdr:rowOff>
    </xdr:from>
    <xdr:to>
      <xdr:col>11</xdr:col>
      <xdr:colOff>546100</xdr:colOff>
      <xdr:row>56</xdr:row>
      <xdr:rowOff>162508</xdr:rowOff>
    </xdr:to>
    <xdr:pic>
      <xdr:nvPicPr>
        <xdr:cNvPr id="13" name="Picture 12">
          <a:extLst>
            <a:ext uri="{FF2B5EF4-FFF2-40B4-BE49-F238E27FC236}">
              <a16:creationId xmlns:a16="http://schemas.microsoft.com/office/drawing/2014/main" id="{98AEA01D-C756-42D5-A4D5-D96A1FF62217}"/>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6500" y="44132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101600</xdr:colOff>
      <xdr:row>56</xdr:row>
      <xdr:rowOff>6350</xdr:rowOff>
    </xdr:from>
    <xdr:to>
      <xdr:col>12</xdr:col>
      <xdr:colOff>533400</xdr:colOff>
      <xdr:row>56</xdr:row>
      <xdr:rowOff>157185</xdr:rowOff>
    </xdr:to>
    <xdr:pic>
      <xdr:nvPicPr>
        <xdr:cNvPr id="14" name="Picture 13">
          <a:extLst>
            <a:ext uri="{FF2B5EF4-FFF2-40B4-BE49-F238E27FC236}">
              <a16:creationId xmlns:a16="http://schemas.microsoft.com/office/drawing/2014/main" id="{9DFD201F-0D67-47F8-B98B-1DB32072E275}"/>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86950" y="44196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88901</xdr:colOff>
      <xdr:row>56</xdr:row>
      <xdr:rowOff>6350</xdr:rowOff>
    </xdr:from>
    <xdr:to>
      <xdr:col>13</xdr:col>
      <xdr:colOff>857250</xdr:colOff>
      <xdr:row>56</xdr:row>
      <xdr:rowOff>161051</xdr:rowOff>
    </xdr:to>
    <xdr:pic>
      <xdr:nvPicPr>
        <xdr:cNvPr id="15" name="Picture 14">
          <a:extLst>
            <a:ext uri="{FF2B5EF4-FFF2-40B4-BE49-F238E27FC236}">
              <a16:creationId xmlns:a16="http://schemas.microsoft.com/office/drawing/2014/main" id="{62772BBE-2313-4BDC-B1AF-F8322CD916C9}"/>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17201" y="44196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38100</xdr:colOff>
      <xdr:row>56</xdr:row>
      <xdr:rowOff>0</xdr:rowOff>
    </xdr:from>
    <xdr:to>
      <xdr:col>7</xdr:col>
      <xdr:colOff>196850</xdr:colOff>
      <xdr:row>56</xdr:row>
      <xdr:rowOff>148508</xdr:rowOff>
    </xdr:to>
    <xdr:pic>
      <xdr:nvPicPr>
        <xdr:cNvPr id="16" name="Picture 15">
          <a:extLst>
            <a:ext uri="{FF2B5EF4-FFF2-40B4-BE49-F238E27FC236}">
              <a16:creationId xmlns:a16="http://schemas.microsoft.com/office/drawing/2014/main" id="{22302D99-11E4-41EC-8778-0C835A45157D}"/>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29250" y="441325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76200</xdr:colOff>
      <xdr:row>108</xdr:row>
      <xdr:rowOff>0</xdr:rowOff>
    </xdr:from>
    <xdr:to>
      <xdr:col>8</xdr:col>
      <xdr:colOff>533400</xdr:colOff>
      <xdr:row>108</xdr:row>
      <xdr:rowOff>153709</xdr:rowOff>
    </xdr:to>
    <xdr:pic>
      <xdr:nvPicPr>
        <xdr:cNvPr id="18" name="Picture 17">
          <a:extLst>
            <a:ext uri="{FF2B5EF4-FFF2-40B4-BE49-F238E27FC236}">
              <a16:creationId xmlns:a16="http://schemas.microsoft.com/office/drawing/2014/main" id="{197519D1-DB3C-445A-B80A-C7554C70E85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242050" y="802640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88900</xdr:colOff>
      <xdr:row>108</xdr:row>
      <xdr:rowOff>6350</xdr:rowOff>
    </xdr:from>
    <xdr:to>
      <xdr:col>9</xdr:col>
      <xdr:colOff>577850</xdr:colOff>
      <xdr:row>108</xdr:row>
      <xdr:rowOff>161498</xdr:rowOff>
    </xdr:to>
    <xdr:pic>
      <xdr:nvPicPr>
        <xdr:cNvPr id="19" name="Picture 18">
          <a:extLst>
            <a:ext uri="{FF2B5EF4-FFF2-40B4-BE49-F238E27FC236}">
              <a16:creationId xmlns:a16="http://schemas.microsoft.com/office/drawing/2014/main" id="{463DAA94-2825-465A-992F-29FA30EE1351}"/>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883400" y="80327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69850</xdr:colOff>
      <xdr:row>108</xdr:row>
      <xdr:rowOff>0</xdr:rowOff>
    </xdr:from>
    <xdr:to>
      <xdr:col>10</xdr:col>
      <xdr:colOff>533400</xdr:colOff>
      <xdr:row>108</xdr:row>
      <xdr:rowOff>154672</xdr:rowOff>
    </xdr:to>
    <xdr:pic>
      <xdr:nvPicPr>
        <xdr:cNvPr id="20" name="Picture 19">
          <a:extLst>
            <a:ext uri="{FF2B5EF4-FFF2-40B4-BE49-F238E27FC236}">
              <a16:creationId xmlns:a16="http://schemas.microsoft.com/office/drawing/2014/main" id="{2D3CE203-E9D5-4C8A-80A7-36CCDBC4AC34}"/>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70800" y="80264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63500</xdr:colOff>
      <xdr:row>108</xdr:row>
      <xdr:rowOff>0</xdr:rowOff>
    </xdr:from>
    <xdr:to>
      <xdr:col>11</xdr:col>
      <xdr:colOff>546100</xdr:colOff>
      <xdr:row>108</xdr:row>
      <xdr:rowOff>162508</xdr:rowOff>
    </xdr:to>
    <xdr:pic>
      <xdr:nvPicPr>
        <xdr:cNvPr id="21" name="Picture 20">
          <a:extLst>
            <a:ext uri="{FF2B5EF4-FFF2-40B4-BE49-F238E27FC236}">
              <a16:creationId xmlns:a16="http://schemas.microsoft.com/office/drawing/2014/main" id="{CF934259-44CC-4ED8-9656-909EF18CCE42}"/>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6500" y="80264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101600</xdr:colOff>
      <xdr:row>108</xdr:row>
      <xdr:rowOff>6350</xdr:rowOff>
    </xdr:from>
    <xdr:to>
      <xdr:col>12</xdr:col>
      <xdr:colOff>533400</xdr:colOff>
      <xdr:row>108</xdr:row>
      <xdr:rowOff>157185</xdr:rowOff>
    </xdr:to>
    <xdr:pic>
      <xdr:nvPicPr>
        <xdr:cNvPr id="22" name="Picture 21">
          <a:extLst>
            <a:ext uri="{FF2B5EF4-FFF2-40B4-BE49-F238E27FC236}">
              <a16:creationId xmlns:a16="http://schemas.microsoft.com/office/drawing/2014/main" id="{F98632F9-BD8E-4AFD-A538-BEF54A327A89}"/>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86950" y="80327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88901</xdr:colOff>
      <xdr:row>108</xdr:row>
      <xdr:rowOff>6350</xdr:rowOff>
    </xdr:from>
    <xdr:to>
      <xdr:col>13</xdr:col>
      <xdr:colOff>857250</xdr:colOff>
      <xdr:row>108</xdr:row>
      <xdr:rowOff>161051</xdr:rowOff>
    </xdr:to>
    <xdr:pic>
      <xdr:nvPicPr>
        <xdr:cNvPr id="23" name="Picture 22">
          <a:extLst>
            <a:ext uri="{FF2B5EF4-FFF2-40B4-BE49-F238E27FC236}">
              <a16:creationId xmlns:a16="http://schemas.microsoft.com/office/drawing/2014/main" id="{0C1BF5A6-39C7-485A-AAFD-2B4D3CAD7F09}"/>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17201" y="80327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50800</xdr:colOff>
      <xdr:row>108</xdr:row>
      <xdr:rowOff>0</xdr:rowOff>
    </xdr:from>
    <xdr:to>
      <xdr:col>7</xdr:col>
      <xdr:colOff>196850</xdr:colOff>
      <xdr:row>108</xdr:row>
      <xdr:rowOff>136627</xdr:rowOff>
    </xdr:to>
    <xdr:pic>
      <xdr:nvPicPr>
        <xdr:cNvPr id="24" name="Picture 23">
          <a:extLst>
            <a:ext uri="{FF2B5EF4-FFF2-40B4-BE49-F238E27FC236}">
              <a16:creationId xmlns:a16="http://schemas.microsoft.com/office/drawing/2014/main" id="{B1CC9F36-4847-4574-9F6D-EC2F6222DA21}"/>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41950" y="8026400"/>
          <a:ext cx="146050" cy="1366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38100</xdr:colOff>
      <xdr:row>4</xdr:row>
      <xdr:rowOff>0</xdr:rowOff>
    </xdr:from>
    <xdr:to>
      <xdr:col>19</xdr:col>
      <xdr:colOff>165100</xdr:colOff>
      <xdr:row>4</xdr:row>
      <xdr:rowOff>146538</xdr:rowOff>
    </xdr:to>
    <xdr:pic>
      <xdr:nvPicPr>
        <xdr:cNvPr id="26" name="Picture 25">
          <a:extLst>
            <a:ext uri="{FF2B5EF4-FFF2-40B4-BE49-F238E27FC236}">
              <a16:creationId xmlns:a16="http://schemas.microsoft.com/office/drawing/2014/main" id="{6EB870D6-8B50-4323-838B-92C317F6210E}"/>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976600" y="654050"/>
          <a:ext cx="127000" cy="146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49530</xdr:colOff>
      <xdr:row>4</xdr:row>
      <xdr:rowOff>0</xdr:rowOff>
    </xdr:from>
    <xdr:to>
      <xdr:col>20</xdr:col>
      <xdr:colOff>165100</xdr:colOff>
      <xdr:row>4</xdr:row>
      <xdr:rowOff>133350</xdr:rowOff>
    </xdr:to>
    <xdr:pic>
      <xdr:nvPicPr>
        <xdr:cNvPr id="27" name="Picture 26">
          <a:extLst>
            <a:ext uri="{FF2B5EF4-FFF2-40B4-BE49-F238E27FC236}">
              <a16:creationId xmlns:a16="http://schemas.microsoft.com/office/drawing/2014/main" id="{72EA6D34-1508-4EB3-AC1E-834B0EE8EB6B}"/>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680180" y="654050"/>
          <a:ext cx="115570"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28864</xdr:colOff>
      <xdr:row>4</xdr:row>
      <xdr:rowOff>0</xdr:rowOff>
    </xdr:from>
    <xdr:to>
      <xdr:col>23</xdr:col>
      <xdr:colOff>158750</xdr:colOff>
      <xdr:row>4</xdr:row>
      <xdr:rowOff>171450</xdr:rowOff>
    </xdr:to>
    <xdr:pic>
      <xdr:nvPicPr>
        <xdr:cNvPr id="29" name="Picture 28">
          <a:extLst>
            <a:ext uri="{FF2B5EF4-FFF2-40B4-BE49-F238E27FC236}">
              <a16:creationId xmlns:a16="http://schemas.microsoft.com/office/drawing/2014/main" id="{93B3ED97-FD77-4082-8918-ED2FB312EC14}"/>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529714" y="654050"/>
          <a:ext cx="129886"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43294</xdr:colOff>
      <xdr:row>4</xdr:row>
      <xdr:rowOff>0</xdr:rowOff>
    </xdr:from>
    <xdr:to>
      <xdr:col>24</xdr:col>
      <xdr:colOff>158749</xdr:colOff>
      <xdr:row>4</xdr:row>
      <xdr:rowOff>152400</xdr:rowOff>
    </xdr:to>
    <xdr:pic>
      <xdr:nvPicPr>
        <xdr:cNvPr id="30" name="Picture 29">
          <a:extLst>
            <a:ext uri="{FF2B5EF4-FFF2-40B4-BE49-F238E27FC236}">
              <a16:creationId xmlns:a16="http://schemas.microsoft.com/office/drawing/2014/main" id="{B802EAA3-D3F4-4B5F-AE6F-FCF1BA040464}"/>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153744" y="654050"/>
          <a:ext cx="11545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31750</xdr:colOff>
      <xdr:row>4</xdr:row>
      <xdr:rowOff>0</xdr:rowOff>
    </xdr:from>
    <xdr:to>
      <xdr:col>27</xdr:col>
      <xdr:colOff>234950</xdr:colOff>
      <xdr:row>4</xdr:row>
      <xdr:rowOff>181232</xdr:rowOff>
    </xdr:to>
    <xdr:pic>
      <xdr:nvPicPr>
        <xdr:cNvPr id="32" name="Picture 31">
          <a:extLst>
            <a:ext uri="{FF2B5EF4-FFF2-40B4-BE49-F238E27FC236}">
              <a16:creationId xmlns:a16="http://schemas.microsoft.com/office/drawing/2014/main" id="{2D9247F2-FDE3-4D29-9C36-BE28DC58DE9A}"/>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199600" y="654050"/>
          <a:ext cx="203200" cy="181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35598</xdr:colOff>
      <xdr:row>4</xdr:row>
      <xdr:rowOff>0</xdr:rowOff>
    </xdr:from>
    <xdr:to>
      <xdr:col>28</xdr:col>
      <xdr:colOff>234950</xdr:colOff>
      <xdr:row>4</xdr:row>
      <xdr:rowOff>177800</xdr:rowOff>
    </xdr:to>
    <xdr:pic>
      <xdr:nvPicPr>
        <xdr:cNvPr id="33" name="Picture 32">
          <a:extLst>
            <a:ext uri="{FF2B5EF4-FFF2-40B4-BE49-F238E27FC236}">
              <a16:creationId xmlns:a16="http://schemas.microsoft.com/office/drawing/2014/main" id="{D43C83EB-3F18-488A-B9C9-046B8C8633FC}"/>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813048" y="654050"/>
          <a:ext cx="199352"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76200</xdr:colOff>
      <xdr:row>2</xdr:row>
      <xdr:rowOff>133350</xdr:rowOff>
    </xdr:from>
    <xdr:to>
      <xdr:col>6</xdr:col>
      <xdr:colOff>533400</xdr:colOff>
      <xdr:row>3</xdr:row>
      <xdr:rowOff>153709</xdr:rowOff>
    </xdr:to>
    <xdr:pic>
      <xdr:nvPicPr>
        <xdr:cNvPr id="2" name="Picture 1">
          <a:extLst>
            <a:ext uri="{FF2B5EF4-FFF2-40B4-BE49-F238E27FC236}">
              <a16:creationId xmlns:a16="http://schemas.microsoft.com/office/drawing/2014/main" id="{D52F9F71-206B-480E-943A-4FD7FAEF9989}"/>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65350" y="457200"/>
          <a:ext cx="457200" cy="1854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3</xdr:row>
      <xdr:rowOff>6350</xdr:rowOff>
    </xdr:from>
    <xdr:to>
      <xdr:col>7</xdr:col>
      <xdr:colOff>577850</xdr:colOff>
      <xdr:row>3</xdr:row>
      <xdr:rowOff>161498</xdr:rowOff>
    </xdr:to>
    <xdr:pic>
      <xdr:nvPicPr>
        <xdr:cNvPr id="3" name="Picture 2">
          <a:extLst>
            <a:ext uri="{FF2B5EF4-FFF2-40B4-BE49-F238E27FC236}">
              <a16:creationId xmlns:a16="http://schemas.microsoft.com/office/drawing/2014/main" id="{83D26791-EFB6-4DA6-BD73-5F4754D76DD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06700" y="4953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2</xdr:row>
      <xdr:rowOff>152400</xdr:rowOff>
    </xdr:from>
    <xdr:to>
      <xdr:col>8</xdr:col>
      <xdr:colOff>533400</xdr:colOff>
      <xdr:row>3</xdr:row>
      <xdr:rowOff>154672</xdr:rowOff>
    </xdr:to>
    <xdr:pic>
      <xdr:nvPicPr>
        <xdr:cNvPr id="4" name="Picture 3">
          <a:extLst>
            <a:ext uri="{FF2B5EF4-FFF2-40B4-BE49-F238E27FC236}">
              <a16:creationId xmlns:a16="http://schemas.microsoft.com/office/drawing/2014/main" id="{A2729160-568E-4ABB-A0CF-431E1633F69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29000" y="476250"/>
          <a:ext cx="463550" cy="167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3</xdr:row>
      <xdr:rowOff>0</xdr:rowOff>
    </xdr:from>
    <xdr:to>
      <xdr:col>9</xdr:col>
      <xdr:colOff>546100</xdr:colOff>
      <xdr:row>3</xdr:row>
      <xdr:rowOff>162508</xdr:rowOff>
    </xdr:to>
    <xdr:pic>
      <xdr:nvPicPr>
        <xdr:cNvPr id="5" name="Picture 4">
          <a:extLst>
            <a:ext uri="{FF2B5EF4-FFF2-40B4-BE49-F238E27FC236}">
              <a16:creationId xmlns:a16="http://schemas.microsoft.com/office/drawing/2014/main" id="{119AB627-42E2-481C-B8A0-C2C71B3D3B17}"/>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2250" y="4889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3</xdr:row>
      <xdr:rowOff>6350</xdr:rowOff>
    </xdr:from>
    <xdr:to>
      <xdr:col>10</xdr:col>
      <xdr:colOff>533400</xdr:colOff>
      <xdr:row>3</xdr:row>
      <xdr:rowOff>157185</xdr:rowOff>
    </xdr:to>
    <xdr:pic>
      <xdr:nvPicPr>
        <xdr:cNvPr id="6" name="Picture 5">
          <a:extLst>
            <a:ext uri="{FF2B5EF4-FFF2-40B4-BE49-F238E27FC236}">
              <a16:creationId xmlns:a16="http://schemas.microsoft.com/office/drawing/2014/main" id="{5B67D33E-9185-4A47-A2BF-44B718D93879}"/>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679950" y="4953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3</xdr:row>
      <xdr:rowOff>6350</xdr:rowOff>
    </xdr:from>
    <xdr:to>
      <xdr:col>11</xdr:col>
      <xdr:colOff>857250</xdr:colOff>
      <xdr:row>3</xdr:row>
      <xdr:rowOff>161051</xdr:rowOff>
    </xdr:to>
    <xdr:pic>
      <xdr:nvPicPr>
        <xdr:cNvPr id="7" name="Picture 6">
          <a:extLst>
            <a:ext uri="{FF2B5EF4-FFF2-40B4-BE49-F238E27FC236}">
              <a16:creationId xmlns:a16="http://schemas.microsoft.com/office/drawing/2014/main" id="{4A630D74-3824-41B7-89D9-1D5C67B46B06}"/>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10201" y="4953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29826</xdr:colOff>
      <xdr:row>3</xdr:row>
      <xdr:rowOff>0</xdr:rowOff>
    </xdr:from>
    <xdr:to>
      <xdr:col>5</xdr:col>
      <xdr:colOff>196850</xdr:colOff>
      <xdr:row>3</xdr:row>
      <xdr:rowOff>177800</xdr:rowOff>
    </xdr:to>
    <xdr:pic>
      <xdr:nvPicPr>
        <xdr:cNvPr id="8" name="Picture 7">
          <a:extLst>
            <a:ext uri="{FF2B5EF4-FFF2-40B4-BE49-F238E27FC236}">
              <a16:creationId xmlns:a16="http://schemas.microsoft.com/office/drawing/2014/main" id="{DFDE8C8E-27AB-4331-8327-68D5765BB6DF}"/>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09376" y="488950"/>
          <a:ext cx="167024"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63500</xdr:colOff>
      <xdr:row>2</xdr:row>
      <xdr:rowOff>126999</xdr:rowOff>
    </xdr:from>
    <xdr:to>
      <xdr:col>12</xdr:col>
      <xdr:colOff>501650</xdr:colOff>
      <xdr:row>3</xdr:row>
      <xdr:rowOff>155222</xdr:rowOff>
    </xdr:to>
    <xdr:pic>
      <xdr:nvPicPr>
        <xdr:cNvPr id="9" name="Picture 8">
          <a:extLst>
            <a:ext uri="{FF2B5EF4-FFF2-40B4-BE49-F238E27FC236}">
              <a16:creationId xmlns:a16="http://schemas.microsoft.com/office/drawing/2014/main" id="{EC66FF78-6B2A-4351-83B3-C2D6F07F7F2E}"/>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50000" y="450849"/>
          <a:ext cx="438150" cy="1933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69850</xdr:colOff>
      <xdr:row>31</xdr:row>
      <xdr:rowOff>0</xdr:rowOff>
    </xdr:from>
    <xdr:to>
      <xdr:col>6</xdr:col>
      <xdr:colOff>527050</xdr:colOff>
      <xdr:row>31</xdr:row>
      <xdr:rowOff>160059</xdr:rowOff>
    </xdr:to>
    <xdr:pic>
      <xdr:nvPicPr>
        <xdr:cNvPr id="10" name="Picture 9">
          <a:extLst>
            <a:ext uri="{FF2B5EF4-FFF2-40B4-BE49-F238E27FC236}">
              <a16:creationId xmlns:a16="http://schemas.microsoft.com/office/drawing/2014/main" id="{8B7FDAFE-C82B-4574-B986-69C6BC3DA0A6}"/>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59000" y="5219700"/>
          <a:ext cx="457200" cy="160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31</xdr:row>
      <xdr:rowOff>6350</xdr:rowOff>
    </xdr:from>
    <xdr:to>
      <xdr:col>7</xdr:col>
      <xdr:colOff>577850</xdr:colOff>
      <xdr:row>31</xdr:row>
      <xdr:rowOff>161498</xdr:rowOff>
    </xdr:to>
    <xdr:pic>
      <xdr:nvPicPr>
        <xdr:cNvPr id="11" name="Picture 10">
          <a:extLst>
            <a:ext uri="{FF2B5EF4-FFF2-40B4-BE49-F238E27FC236}">
              <a16:creationId xmlns:a16="http://schemas.microsoft.com/office/drawing/2014/main" id="{E92704C1-DC52-401B-9B48-45C70291451B}"/>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06700" y="52260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31</xdr:row>
      <xdr:rowOff>0</xdr:rowOff>
    </xdr:from>
    <xdr:to>
      <xdr:col>8</xdr:col>
      <xdr:colOff>533400</xdr:colOff>
      <xdr:row>31</xdr:row>
      <xdr:rowOff>154672</xdr:rowOff>
    </xdr:to>
    <xdr:pic>
      <xdr:nvPicPr>
        <xdr:cNvPr id="12" name="Picture 11">
          <a:extLst>
            <a:ext uri="{FF2B5EF4-FFF2-40B4-BE49-F238E27FC236}">
              <a16:creationId xmlns:a16="http://schemas.microsoft.com/office/drawing/2014/main" id="{728852D3-C5E7-40B9-96FD-B3818926CFFC}"/>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29000" y="52197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31</xdr:row>
      <xdr:rowOff>0</xdr:rowOff>
    </xdr:from>
    <xdr:to>
      <xdr:col>9</xdr:col>
      <xdr:colOff>546100</xdr:colOff>
      <xdr:row>31</xdr:row>
      <xdr:rowOff>162508</xdr:rowOff>
    </xdr:to>
    <xdr:pic>
      <xdr:nvPicPr>
        <xdr:cNvPr id="13" name="Picture 12">
          <a:extLst>
            <a:ext uri="{FF2B5EF4-FFF2-40B4-BE49-F238E27FC236}">
              <a16:creationId xmlns:a16="http://schemas.microsoft.com/office/drawing/2014/main" id="{FB84740C-D8DA-431B-B0F1-0C0221B97988}"/>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2250" y="52197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31</xdr:row>
      <xdr:rowOff>6350</xdr:rowOff>
    </xdr:from>
    <xdr:to>
      <xdr:col>10</xdr:col>
      <xdr:colOff>533400</xdr:colOff>
      <xdr:row>31</xdr:row>
      <xdr:rowOff>157185</xdr:rowOff>
    </xdr:to>
    <xdr:pic>
      <xdr:nvPicPr>
        <xdr:cNvPr id="14" name="Picture 13">
          <a:extLst>
            <a:ext uri="{FF2B5EF4-FFF2-40B4-BE49-F238E27FC236}">
              <a16:creationId xmlns:a16="http://schemas.microsoft.com/office/drawing/2014/main" id="{5CBD751F-4637-464F-A7AD-43A34FA35E57}"/>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679950" y="52260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31</xdr:row>
      <xdr:rowOff>6350</xdr:rowOff>
    </xdr:from>
    <xdr:to>
      <xdr:col>11</xdr:col>
      <xdr:colOff>857250</xdr:colOff>
      <xdr:row>31</xdr:row>
      <xdr:rowOff>161051</xdr:rowOff>
    </xdr:to>
    <xdr:pic>
      <xdr:nvPicPr>
        <xdr:cNvPr id="15" name="Picture 14">
          <a:extLst>
            <a:ext uri="{FF2B5EF4-FFF2-40B4-BE49-F238E27FC236}">
              <a16:creationId xmlns:a16="http://schemas.microsoft.com/office/drawing/2014/main" id="{3CDB7A24-36FF-4CD3-8B36-C5663BC61C09}"/>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10201" y="52260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31</xdr:row>
      <xdr:rowOff>0</xdr:rowOff>
    </xdr:from>
    <xdr:to>
      <xdr:col>5</xdr:col>
      <xdr:colOff>196850</xdr:colOff>
      <xdr:row>31</xdr:row>
      <xdr:rowOff>148508</xdr:rowOff>
    </xdr:to>
    <xdr:pic>
      <xdr:nvPicPr>
        <xdr:cNvPr id="16" name="Picture 15">
          <a:extLst>
            <a:ext uri="{FF2B5EF4-FFF2-40B4-BE49-F238E27FC236}">
              <a16:creationId xmlns:a16="http://schemas.microsoft.com/office/drawing/2014/main" id="{95D580B7-A78D-4593-8DD8-5A374143DB9E}"/>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17650" y="521970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31</xdr:row>
      <xdr:rowOff>0</xdr:rowOff>
    </xdr:from>
    <xdr:to>
      <xdr:col>12</xdr:col>
      <xdr:colOff>438150</xdr:colOff>
      <xdr:row>32</xdr:row>
      <xdr:rowOff>0</xdr:rowOff>
    </xdr:to>
    <xdr:pic>
      <xdr:nvPicPr>
        <xdr:cNvPr id="17" name="Picture 16">
          <a:extLst>
            <a:ext uri="{FF2B5EF4-FFF2-40B4-BE49-F238E27FC236}">
              <a16:creationId xmlns:a16="http://schemas.microsoft.com/office/drawing/2014/main" id="{4F13C3F4-EEA1-4767-B17A-F5B14499E632}"/>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286500" y="5219700"/>
          <a:ext cx="438150" cy="19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46</xdr:row>
      <xdr:rowOff>0</xdr:rowOff>
    </xdr:from>
    <xdr:to>
      <xdr:col>6</xdr:col>
      <xdr:colOff>533400</xdr:colOff>
      <xdr:row>46</xdr:row>
      <xdr:rowOff>153709</xdr:rowOff>
    </xdr:to>
    <xdr:pic>
      <xdr:nvPicPr>
        <xdr:cNvPr id="18" name="Picture 17">
          <a:extLst>
            <a:ext uri="{FF2B5EF4-FFF2-40B4-BE49-F238E27FC236}">
              <a16:creationId xmlns:a16="http://schemas.microsoft.com/office/drawing/2014/main" id="{C4ED67F0-9F68-42B8-AFDF-38112BA8329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65350" y="748665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46</xdr:row>
      <xdr:rowOff>6350</xdr:rowOff>
    </xdr:from>
    <xdr:to>
      <xdr:col>7</xdr:col>
      <xdr:colOff>577850</xdr:colOff>
      <xdr:row>46</xdr:row>
      <xdr:rowOff>161498</xdr:rowOff>
    </xdr:to>
    <xdr:pic>
      <xdr:nvPicPr>
        <xdr:cNvPr id="19" name="Picture 18">
          <a:extLst>
            <a:ext uri="{FF2B5EF4-FFF2-40B4-BE49-F238E27FC236}">
              <a16:creationId xmlns:a16="http://schemas.microsoft.com/office/drawing/2014/main" id="{3B2FBA75-FFAF-4089-85DD-7461CF05285E}"/>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06700" y="74930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46</xdr:row>
      <xdr:rowOff>0</xdr:rowOff>
    </xdr:from>
    <xdr:to>
      <xdr:col>8</xdr:col>
      <xdr:colOff>533400</xdr:colOff>
      <xdr:row>46</xdr:row>
      <xdr:rowOff>154672</xdr:rowOff>
    </xdr:to>
    <xdr:pic>
      <xdr:nvPicPr>
        <xdr:cNvPr id="20" name="Picture 19">
          <a:extLst>
            <a:ext uri="{FF2B5EF4-FFF2-40B4-BE49-F238E27FC236}">
              <a16:creationId xmlns:a16="http://schemas.microsoft.com/office/drawing/2014/main" id="{147CD131-F768-42A4-9D6A-5B81061428D9}"/>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29000" y="74866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46</xdr:row>
      <xdr:rowOff>0</xdr:rowOff>
    </xdr:from>
    <xdr:to>
      <xdr:col>9</xdr:col>
      <xdr:colOff>546100</xdr:colOff>
      <xdr:row>46</xdr:row>
      <xdr:rowOff>162508</xdr:rowOff>
    </xdr:to>
    <xdr:pic>
      <xdr:nvPicPr>
        <xdr:cNvPr id="21" name="Picture 20">
          <a:extLst>
            <a:ext uri="{FF2B5EF4-FFF2-40B4-BE49-F238E27FC236}">
              <a16:creationId xmlns:a16="http://schemas.microsoft.com/office/drawing/2014/main" id="{773F774F-007D-4562-88CD-D47861C2F92D}"/>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2250" y="74866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46</xdr:row>
      <xdr:rowOff>6350</xdr:rowOff>
    </xdr:from>
    <xdr:to>
      <xdr:col>10</xdr:col>
      <xdr:colOff>533400</xdr:colOff>
      <xdr:row>46</xdr:row>
      <xdr:rowOff>157185</xdr:rowOff>
    </xdr:to>
    <xdr:pic>
      <xdr:nvPicPr>
        <xdr:cNvPr id="22" name="Picture 21">
          <a:extLst>
            <a:ext uri="{FF2B5EF4-FFF2-40B4-BE49-F238E27FC236}">
              <a16:creationId xmlns:a16="http://schemas.microsoft.com/office/drawing/2014/main" id="{70482BEE-45B3-4788-BA67-BD8BBFEB9ACA}"/>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679950" y="74930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46</xdr:row>
      <xdr:rowOff>6350</xdr:rowOff>
    </xdr:from>
    <xdr:to>
      <xdr:col>11</xdr:col>
      <xdr:colOff>857250</xdr:colOff>
      <xdr:row>46</xdr:row>
      <xdr:rowOff>161051</xdr:rowOff>
    </xdr:to>
    <xdr:pic>
      <xdr:nvPicPr>
        <xdr:cNvPr id="23" name="Picture 22">
          <a:extLst>
            <a:ext uri="{FF2B5EF4-FFF2-40B4-BE49-F238E27FC236}">
              <a16:creationId xmlns:a16="http://schemas.microsoft.com/office/drawing/2014/main" id="{8ACD03F8-AB1A-431D-ADB2-00650AE33FA7}"/>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10201" y="74930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50800</xdr:colOff>
      <xdr:row>46</xdr:row>
      <xdr:rowOff>0</xdr:rowOff>
    </xdr:from>
    <xdr:to>
      <xdr:col>5</xdr:col>
      <xdr:colOff>196850</xdr:colOff>
      <xdr:row>46</xdr:row>
      <xdr:rowOff>136627</xdr:rowOff>
    </xdr:to>
    <xdr:pic>
      <xdr:nvPicPr>
        <xdr:cNvPr id="24" name="Picture 23">
          <a:extLst>
            <a:ext uri="{FF2B5EF4-FFF2-40B4-BE49-F238E27FC236}">
              <a16:creationId xmlns:a16="http://schemas.microsoft.com/office/drawing/2014/main" id="{03DD6881-479F-4D4A-804D-312AAFAD83E7}"/>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30350" y="7486650"/>
          <a:ext cx="146050" cy="1366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46</xdr:row>
      <xdr:rowOff>0</xdr:rowOff>
    </xdr:from>
    <xdr:to>
      <xdr:col>12</xdr:col>
      <xdr:colOff>438150</xdr:colOff>
      <xdr:row>47</xdr:row>
      <xdr:rowOff>0</xdr:rowOff>
    </xdr:to>
    <xdr:pic>
      <xdr:nvPicPr>
        <xdr:cNvPr id="25" name="Picture 24">
          <a:extLst>
            <a:ext uri="{FF2B5EF4-FFF2-40B4-BE49-F238E27FC236}">
              <a16:creationId xmlns:a16="http://schemas.microsoft.com/office/drawing/2014/main" id="{40822721-4BC3-4D78-8D23-B3F2DFDB5119}"/>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286500" y="7486650"/>
          <a:ext cx="438150" cy="19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61</xdr:row>
      <xdr:rowOff>0</xdr:rowOff>
    </xdr:from>
    <xdr:to>
      <xdr:col>6</xdr:col>
      <xdr:colOff>533400</xdr:colOff>
      <xdr:row>61</xdr:row>
      <xdr:rowOff>153709</xdr:rowOff>
    </xdr:to>
    <xdr:pic>
      <xdr:nvPicPr>
        <xdr:cNvPr id="26" name="Picture 25">
          <a:extLst>
            <a:ext uri="{FF2B5EF4-FFF2-40B4-BE49-F238E27FC236}">
              <a16:creationId xmlns:a16="http://schemas.microsoft.com/office/drawing/2014/main" id="{0BFBD12E-A3C1-4121-86B7-71760DB1E933}"/>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65350" y="975360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61</xdr:row>
      <xdr:rowOff>6350</xdr:rowOff>
    </xdr:from>
    <xdr:to>
      <xdr:col>7</xdr:col>
      <xdr:colOff>577850</xdr:colOff>
      <xdr:row>61</xdr:row>
      <xdr:rowOff>161498</xdr:rowOff>
    </xdr:to>
    <xdr:pic>
      <xdr:nvPicPr>
        <xdr:cNvPr id="27" name="Picture 26">
          <a:extLst>
            <a:ext uri="{FF2B5EF4-FFF2-40B4-BE49-F238E27FC236}">
              <a16:creationId xmlns:a16="http://schemas.microsoft.com/office/drawing/2014/main" id="{F6C85E52-5DAC-4346-9207-2AF06A9DD215}"/>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06700" y="97599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61</xdr:row>
      <xdr:rowOff>0</xdr:rowOff>
    </xdr:from>
    <xdr:to>
      <xdr:col>8</xdr:col>
      <xdr:colOff>533400</xdr:colOff>
      <xdr:row>61</xdr:row>
      <xdr:rowOff>154672</xdr:rowOff>
    </xdr:to>
    <xdr:pic>
      <xdr:nvPicPr>
        <xdr:cNvPr id="28" name="Picture 27">
          <a:extLst>
            <a:ext uri="{FF2B5EF4-FFF2-40B4-BE49-F238E27FC236}">
              <a16:creationId xmlns:a16="http://schemas.microsoft.com/office/drawing/2014/main" id="{174E073E-D8D1-4B9D-B77C-C05806D0C278}"/>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29000" y="97536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61</xdr:row>
      <xdr:rowOff>0</xdr:rowOff>
    </xdr:from>
    <xdr:to>
      <xdr:col>9</xdr:col>
      <xdr:colOff>546100</xdr:colOff>
      <xdr:row>61</xdr:row>
      <xdr:rowOff>162508</xdr:rowOff>
    </xdr:to>
    <xdr:pic>
      <xdr:nvPicPr>
        <xdr:cNvPr id="29" name="Picture 28">
          <a:extLst>
            <a:ext uri="{FF2B5EF4-FFF2-40B4-BE49-F238E27FC236}">
              <a16:creationId xmlns:a16="http://schemas.microsoft.com/office/drawing/2014/main" id="{B1C5786C-D6F4-4E88-B7FA-5C6FDB0A81ED}"/>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2250" y="97536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61</xdr:row>
      <xdr:rowOff>6350</xdr:rowOff>
    </xdr:from>
    <xdr:to>
      <xdr:col>10</xdr:col>
      <xdr:colOff>533400</xdr:colOff>
      <xdr:row>61</xdr:row>
      <xdr:rowOff>157185</xdr:rowOff>
    </xdr:to>
    <xdr:pic>
      <xdr:nvPicPr>
        <xdr:cNvPr id="30" name="Picture 29">
          <a:extLst>
            <a:ext uri="{FF2B5EF4-FFF2-40B4-BE49-F238E27FC236}">
              <a16:creationId xmlns:a16="http://schemas.microsoft.com/office/drawing/2014/main" id="{A350D623-E3C2-4C6E-8B00-99C1891F6C2F}"/>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679950" y="97599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61</xdr:row>
      <xdr:rowOff>6350</xdr:rowOff>
    </xdr:from>
    <xdr:to>
      <xdr:col>11</xdr:col>
      <xdr:colOff>857250</xdr:colOff>
      <xdr:row>61</xdr:row>
      <xdr:rowOff>161051</xdr:rowOff>
    </xdr:to>
    <xdr:pic>
      <xdr:nvPicPr>
        <xdr:cNvPr id="31" name="Picture 30">
          <a:extLst>
            <a:ext uri="{FF2B5EF4-FFF2-40B4-BE49-F238E27FC236}">
              <a16:creationId xmlns:a16="http://schemas.microsoft.com/office/drawing/2014/main" id="{06CFB8E7-80A9-4E6C-A408-AC6504FC0CCA}"/>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10201" y="97599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61</xdr:row>
      <xdr:rowOff>0</xdr:rowOff>
    </xdr:from>
    <xdr:to>
      <xdr:col>5</xdr:col>
      <xdr:colOff>196850</xdr:colOff>
      <xdr:row>61</xdr:row>
      <xdr:rowOff>148508</xdr:rowOff>
    </xdr:to>
    <xdr:pic>
      <xdr:nvPicPr>
        <xdr:cNvPr id="32" name="Picture 31">
          <a:extLst>
            <a:ext uri="{FF2B5EF4-FFF2-40B4-BE49-F238E27FC236}">
              <a16:creationId xmlns:a16="http://schemas.microsoft.com/office/drawing/2014/main" id="{F1B001E3-52E6-45EA-98E1-75E48EDE9A01}"/>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17650" y="975360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61</xdr:row>
      <xdr:rowOff>0</xdr:rowOff>
    </xdr:from>
    <xdr:to>
      <xdr:col>12</xdr:col>
      <xdr:colOff>438150</xdr:colOff>
      <xdr:row>62</xdr:row>
      <xdr:rowOff>0</xdr:rowOff>
    </xdr:to>
    <xdr:pic>
      <xdr:nvPicPr>
        <xdr:cNvPr id="33" name="Picture 32">
          <a:extLst>
            <a:ext uri="{FF2B5EF4-FFF2-40B4-BE49-F238E27FC236}">
              <a16:creationId xmlns:a16="http://schemas.microsoft.com/office/drawing/2014/main" id="{804EA28B-C71A-45C6-A86D-9841F8869832}"/>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286500" y="9753600"/>
          <a:ext cx="438150" cy="19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75</xdr:row>
      <xdr:rowOff>0</xdr:rowOff>
    </xdr:from>
    <xdr:to>
      <xdr:col>6</xdr:col>
      <xdr:colOff>533400</xdr:colOff>
      <xdr:row>75</xdr:row>
      <xdr:rowOff>153709</xdr:rowOff>
    </xdr:to>
    <xdr:pic>
      <xdr:nvPicPr>
        <xdr:cNvPr id="34" name="Picture 33">
          <a:extLst>
            <a:ext uri="{FF2B5EF4-FFF2-40B4-BE49-F238E27FC236}">
              <a16:creationId xmlns:a16="http://schemas.microsoft.com/office/drawing/2014/main" id="{33D8656D-FC1D-4238-830C-AF19FFEF3BB9}"/>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65350" y="1202055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75</xdr:row>
      <xdr:rowOff>6350</xdr:rowOff>
    </xdr:from>
    <xdr:to>
      <xdr:col>7</xdr:col>
      <xdr:colOff>577850</xdr:colOff>
      <xdr:row>75</xdr:row>
      <xdr:rowOff>161498</xdr:rowOff>
    </xdr:to>
    <xdr:pic>
      <xdr:nvPicPr>
        <xdr:cNvPr id="35" name="Picture 34">
          <a:extLst>
            <a:ext uri="{FF2B5EF4-FFF2-40B4-BE49-F238E27FC236}">
              <a16:creationId xmlns:a16="http://schemas.microsoft.com/office/drawing/2014/main" id="{826576A9-2917-4DC7-93A9-F1AB74C8306D}"/>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06700" y="120269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75</xdr:row>
      <xdr:rowOff>0</xdr:rowOff>
    </xdr:from>
    <xdr:to>
      <xdr:col>8</xdr:col>
      <xdr:colOff>533400</xdr:colOff>
      <xdr:row>75</xdr:row>
      <xdr:rowOff>154672</xdr:rowOff>
    </xdr:to>
    <xdr:pic>
      <xdr:nvPicPr>
        <xdr:cNvPr id="36" name="Picture 35">
          <a:extLst>
            <a:ext uri="{FF2B5EF4-FFF2-40B4-BE49-F238E27FC236}">
              <a16:creationId xmlns:a16="http://schemas.microsoft.com/office/drawing/2014/main" id="{89B68FCA-62C6-4DB0-B8ED-80F90DFCCFC8}"/>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29000" y="120205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75</xdr:row>
      <xdr:rowOff>0</xdr:rowOff>
    </xdr:from>
    <xdr:to>
      <xdr:col>9</xdr:col>
      <xdr:colOff>546100</xdr:colOff>
      <xdr:row>75</xdr:row>
      <xdr:rowOff>162508</xdr:rowOff>
    </xdr:to>
    <xdr:pic>
      <xdr:nvPicPr>
        <xdr:cNvPr id="37" name="Picture 36">
          <a:extLst>
            <a:ext uri="{FF2B5EF4-FFF2-40B4-BE49-F238E27FC236}">
              <a16:creationId xmlns:a16="http://schemas.microsoft.com/office/drawing/2014/main" id="{EEAE5B78-DD01-4AF5-BD78-833ED470473E}"/>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2250" y="120205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75</xdr:row>
      <xdr:rowOff>6350</xdr:rowOff>
    </xdr:from>
    <xdr:to>
      <xdr:col>10</xdr:col>
      <xdr:colOff>533400</xdr:colOff>
      <xdr:row>75</xdr:row>
      <xdr:rowOff>157185</xdr:rowOff>
    </xdr:to>
    <xdr:pic>
      <xdr:nvPicPr>
        <xdr:cNvPr id="38" name="Picture 37">
          <a:extLst>
            <a:ext uri="{FF2B5EF4-FFF2-40B4-BE49-F238E27FC236}">
              <a16:creationId xmlns:a16="http://schemas.microsoft.com/office/drawing/2014/main" id="{4DDFF726-41FE-419E-912E-36F91F28A0BF}"/>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679950" y="120269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75</xdr:row>
      <xdr:rowOff>6350</xdr:rowOff>
    </xdr:from>
    <xdr:to>
      <xdr:col>11</xdr:col>
      <xdr:colOff>857250</xdr:colOff>
      <xdr:row>75</xdr:row>
      <xdr:rowOff>161051</xdr:rowOff>
    </xdr:to>
    <xdr:pic>
      <xdr:nvPicPr>
        <xdr:cNvPr id="39" name="Picture 38">
          <a:extLst>
            <a:ext uri="{FF2B5EF4-FFF2-40B4-BE49-F238E27FC236}">
              <a16:creationId xmlns:a16="http://schemas.microsoft.com/office/drawing/2014/main" id="{F884F06A-87A6-4F63-B8D6-7B396D56AD6F}"/>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10201" y="120269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75</xdr:row>
      <xdr:rowOff>0</xdr:rowOff>
    </xdr:from>
    <xdr:to>
      <xdr:col>5</xdr:col>
      <xdr:colOff>196850</xdr:colOff>
      <xdr:row>75</xdr:row>
      <xdr:rowOff>148508</xdr:rowOff>
    </xdr:to>
    <xdr:pic>
      <xdr:nvPicPr>
        <xdr:cNvPr id="40" name="Picture 39">
          <a:extLst>
            <a:ext uri="{FF2B5EF4-FFF2-40B4-BE49-F238E27FC236}">
              <a16:creationId xmlns:a16="http://schemas.microsoft.com/office/drawing/2014/main" id="{9CC3AE70-C270-4C30-8BB8-10079F503F49}"/>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17650" y="1202055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75</xdr:row>
      <xdr:rowOff>0</xdr:rowOff>
    </xdr:from>
    <xdr:to>
      <xdr:col>12</xdr:col>
      <xdr:colOff>438150</xdr:colOff>
      <xdr:row>76</xdr:row>
      <xdr:rowOff>0</xdr:rowOff>
    </xdr:to>
    <xdr:pic>
      <xdr:nvPicPr>
        <xdr:cNvPr id="41" name="Picture 40">
          <a:extLst>
            <a:ext uri="{FF2B5EF4-FFF2-40B4-BE49-F238E27FC236}">
              <a16:creationId xmlns:a16="http://schemas.microsoft.com/office/drawing/2014/main" id="{594F7AA3-E768-487A-84A8-4D4E01B66ADB}"/>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286500" y="12020550"/>
          <a:ext cx="438150" cy="19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89</xdr:row>
      <xdr:rowOff>0</xdr:rowOff>
    </xdr:from>
    <xdr:to>
      <xdr:col>6</xdr:col>
      <xdr:colOff>533400</xdr:colOff>
      <xdr:row>89</xdr:row>
      <xdr:rowOff>153709</xdr:rowOff>
    </xdr:to>
    <xdr:pic>
      <xdr:nvPicPr>
        <xdr:cNvPr id="42" name="Picture 41">
          <a:extLst>
            <a:ext uri="{FF2B5EF4-FFF2-40B4-BE49-F238E27FC236}">
              <a16:creationId xmlns:a16="http://schemas.microsoft.com/office/drawing/2014/main" id="{1A1968FC-FC6A-4DCF-8E9E-9C0FDF308963}"/>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65350" y="1428750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89</xdr:row>
      <xdr:rowOff>6350</xdr:rowOff>
    </xdr:from>
    <xdr:to>
      <xdr:col>7</xdr:col>
      <xdr:colOff>577850</xdr:colOff>
      <xdr:row>89</xdr:row>
      <xdr:rowOff>161498</xdr:rowOff>
    </xdr:to>
    <xdr:pic>
      <xdr:nvPicPr>
        <xdr:cNvPr id="43" name="Picture 42">
          <a:extLst>
            <a:ext uri="{FF2B5EF4-FFF2-40B4-BE49-F238E27FC236}">
              <a16:creationId xmlns:a16="http://schemas.microsoft.com/office/drawing/2014/main" id="{41FE2F12-75F8-4D84-92C8-3CE4A4FDF629}"/>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06700" y="142938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89</xdr:row>
      <xdr:rowOff>0</xdr:rowOff>
    </xdr:from>
    <xdr:to>
      <xdr:col>8</xdr:col>
      <xdr:colOff>533400</xdr:colOff>
      <xdr:row>89</xdr:row>
      <xdr:rowOff>154672</xdr:rowOff>
    </xdr:to>
    <xdr:pic>
      <xdr:nvPicPr>
        <xdr:cNvPr id="44" name="Picture 43">
          <a:extLst>
            <a:ext uri="{FF2B5EF4-FFF2-40B4-BE49-F238E27FC236}">
              <a16:creationId xmlns:a16="http://schemas.microsoft.com/office/drawing/2014/main" id="{CE17BFA5-7678-4D04-B056-23E9EC36861A}"/>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29000" y="142875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89</xdr:row>
      <xdr:rowOff>0</xdr:rowOff>
    </xdr:from>
    <xdr:to>
      <xdr:col>9</xdr:col>
      <xdr:colOff>546100</xdr:colOff>
      <xdr:row>89</xdr:row>
      <xdr:rowOff>162508</xdr:rowOff>
    </xdr:to>
    <xdr:pic>
      <xdr:nvPicPr>
        <xdr:cNvPr id="45" name="Picture 44">
          <a:extLst>
            <a:ext uri="{FF2B5EF4-FFF2-40B4-BE49-F238E27FC236}">
              <a16:creationId xmlns:a16="http://schemas.microsoft.com/office/drawing/2014/main" id="{BF719A79-DB7C-4A99-823F-A340119FB6C6}"/>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2250" y="142875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89</xdr:row>
      <xdr:rowOff>6350</xdr:rowOff>
    </xdr:from>
    <xdr:to>
      <xdr:col>10</xdr:col>
      <xdr:colOff>533400</xdr:colOff>
      <xdr:row>89</xdr:row>
      <xdr:rowOff>157185</xdr:rowOff>
    </xdr:to>
    <xdr:pic>
      <xdr:nvPicPr>
        <xdr:cNvPr id="46" name="Picture 45">
          <a:extLst>
            <a:ext uri="{FF2B5EF4-FFF2-40B4-BE49-F238E27FC236}">
              <a16:creationId xmlns:a16="http://schemas.microsoft.com/office/drawing/2014/main" id="{D8089EDB-3EF0-4340-9D7E-E9B425961748}"/>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679950" y="142938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89</xdr:row>
      <xdr:rowOff>6350</xdr:rowOff>
    </xdr:from>
    <xdr:to>
      <xdr:col>11</xdr:col>
      <xdr:colOff>857250</xdr:colOff>
      <xdr:row>89</xdr:row>
      <xdr:rowOff>161051</xdr:rowOff>
    </xdr:to>
    <xdr:pic>
      <xdr:nvPicPr>
        <xdr:cNvPr id="47" name="Picture 46">
          <a:extLst>
            <a:ext uri="{FF2B5EF4-FFF2-40B4-BE49-F238E27FC236}">
              <a16:creationId xmlns:a16="http://schemas.microsoft.com/office/drawing/2014/main" id="{E98772C3-26F7-4A46-A16A-50EDE6B69268}"/>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10201" y="142938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57150</xdr:colOff>
      <xdr:row>89</xdr:row>
      <xdr:rowOff>0</xdr:rowOff>
    </xdr:from>
    <xdr:to>
      <xdr:col>5</xdr:col>
      <xdr:colOff>196850</xdr:colOff>
      <xdr:row>89</xdr:row>
      <xdr:rowOff>130687</xdr:rowOff>
    </xdr:to>
    <xdr:pic>
      <xdr:nvPicPr>
        <xdr:cNvPr id="48" name="Picture 47">
          <a:extLst>
            <a:ext uri="{FF2B5EF4-FFF2-40B4-BE49-F238E27FC236}">
              <a16:creationId xmlns:a16="http://schemas.microsoft.com/office/drawing/2014/main" id="{F63C6C03-8058-4C79-B01E-828F685867B1}"/>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36700" y="14287500"/>
          <a:ext cx="139700" cy="130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89</xdr:row>
      <xdr:rowOff>0</xdr:rowOff>
    </xdr:from>
    <xdr:to>
      <xdr:col>12</xdr:col>
      <xdr:colOff>438150</xdr:colOff>
      <xdr:row>90</xdr:row>
      <xdr:rowOff>0</xdr:rowOff>
    </xdr:to>
    <xdr:pic>
      <xdr:nvPicPr>
        <xdr:cNvPr id="49" name="Picture 48">
          <a:extLst>
            <a:ext uri="{FF2B5EF4-FFF2-40B4-BE49-F238E27FC236}">
              <a16:creationId xmlns:a16="http://schemas.microsoft.com/office/drawing/2014/main" id="{9ACEAA96-F55D-4FEE-8DA7-DAC377C798DD}"/>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286500" y="14287500"/>
          <a:ext cx="438150" cy="19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38100</xdr:colOff>
      <xdr:row>3</xdr:row>
      <xdr:rowOff>0</xdr:rowOff>
    </xdr:from>
    <xdr:to>
      <xdr:col>16</xdr:col>
      <xdr:colOff>165100</xdr:colOff>
      <xdr:row>3</xdr:row>
      <xdr:rowOff>146538</xdr:rowOff>
    </xdr:to>
    <xdr:pic>
      <xdr:nvPicPr>
        <xdr:cNvPr id="50" name="Picture 49">
          <a:extLst>
            <a:ext uri="{FF2B5EF4-FFF2-40B4-BE49-F238E27FC236}">
              <a16:creationId xmlns:a16="http://schemas.microsoft.com/office/drawing/2014/main" id="{785F786A-D848-434A-A6A7-4F32ADB10BF1}"/>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67950" y="488950"/>
          <a:ext cx="127000" cy="146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49530</xdr:colOff>
      <xdr:row>3</xdr:row>
      <xdr:rowOff>0</xdr:rowOff>
    </xdr:from>
    <xdr:to>
      <xdr:col>17</xdr:col>
      <xdr:colOff>165100</xdr:colOff>
      <xdr:row>3</xdr:row>
      <xdr:rowOff>133350</xdr:rowOff>
    </xdr:to>
    <xdr:pic>
      <xdr:nvPicPr>
        <xdr:cNvPr id="51" name="Picture 50">
          <a:extLst>
            <a:ext uri="{FF2B5EF4-FFF2-40B4-BE49-F238E27FC236}">
              <a16:creationId xmlns:a16="http://schemas.microsoft.com/office/drawing/2014/main" id="{5CD4C4CA-BC2D-467A-AD4F-3A4CB276CB28}"/>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888980" y="488950"/>
          <a:ext cx="115570"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101600</xdr:colOff>
      <xdr:row>3</xdr:row>
      <xdr:rowOff>19050</xdr:rowOff>
    </xdr:from>
    <xdr:to>
      <xdr:col>19</xdr:col>
      <xdr:colOff>615950</xdr:colOff>
      <xdr:row>3</xdr:row>
      <xdr:rowOff>150935</xdr:rowOff>
    </xdr:to>
    <xdr:pic>
      <xdr:nvPicPr>
        <xdr:cNvPr id="52" name="Picture 51">
          <a:extLst>
            <a:ext uri="{FF2B5EF4-FFF2-40B4-BE49-F238E27FC236}">
              <a16:creationId xmlns:a16="http://schemas.microsoft.com/office/drawing/2014/main" id="{5C73CAA0-5895-45B0-BAA4-EFC22D7379B2}"/>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357100" y="508000"/>
          <a:ext cx="514350" cy="131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28864</xdr:colOff>
      <xdr:row>3</xdr:row>
      <xdr:rowOff>0</xdr:rowOff>
    </xdr:from>
    <xdr:to>
      <xdr:col>20</xdr:col>
      <xdr:colOff>158750</xdr:colOff>
      <xdr:row>3</xdr:row>
      <xdr:rowOff>171450</xdr:rowOff>
    </xdr:to>
    <xdr:pic>
      <xdr:nvPicPr>
        <xdr:cNvPr id="53" name="Picture 52">
          <a:extLst>
            <a:ext uri="{FF2B5EF4-FFF2-40B4-BE49-F238E27FC236}">
              <a16:creationId xmlns:a16="http://schemas.microsoft.com/office/drawing/2014/main" id="{31153F04-FD35-41F1-A144-6F634229EDF7}"/>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963814" y="488950"/>
          <a:ext cx="129886"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43294</xdr:colOff>
      <xdr:row>3</xdr:row>
      <xdr:rowOff>0</xdr:rowOff>
    </xdr:from>
    <xdr:to>
      <xdr:col>21</xdr:col>
      <xdr:colOff>158749</xdr:colOff>
      <xdr:row>3</xdr:row>
      <xdr:rowOff>152400</xdr:rowOff>
    </xdr:to>
    <xdr:pic>
      <xdr:nvPicPr>
        <xdr:cNvPr id="54" name="Picture 53">
          <a:extLst>
            <a:ext uri="{FF2B5EF4-FFF2-40B4-BE49-F238E27FC236}">
              <a16:creationId xmlns:a16="http://schemas.microsoft.com/office/drawing/2014/main" id="{587701AA-4940-44D5-A9E1-1307081E2449}"/>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587844" y="488950"/>
          <a:ext cx="11545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76200</xdr:colOff>
      <xdr:row>3</xdr:row>
      <xdr:rowOff>0</xdr:rowOff>
    </xdr:from>
    <xdr:to>
      <xdr:col>23</xdr:col>
      <xdr:colOff>533400</xdr:colOff>
      <xdr:row>3</xdr:row>
      <xdr:rowOff>139700</xdr:rowOff>
    </xdr:to>
    <xdr:pic>
      <xdr:nvPicPr>
        <xdr:cNvPr id="55" name="Picture 54">
          <a:extLst>
            <a:ext uri="{FF2B5EF4-FFF2-40B4-BE49-F238E27FC236}">
              <a16:creationId xmlns:a16="http://schemas.microsoft.com/office/drawing/2014/main" id="{F56FD146-16D1-485B-924D-23034A228BB6}"/>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068550" y="488950"/>
          <a:ext cx="457200" cy="13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31750</xdr:colOff>
      <xdr:row>3</xdr:row>
      <xdr:rowOff>0</xdr:rowOff>
    </xdr:from>
    <xdr:to>
      <xdr:col>24</xdr:col>
      <xdr:colOff>234950</xdr:colOff>
      <xdr:row>3</xdr:row>
      <xdr:rowOff>181232</xdr:rowOff>
    </xdr:to>
    <xdr:pic>
      <xdr:nvPicPr>
        <xdr:cNvPr id="56" name="Picture 55">
          <a:extLst>
            <a:ext uri="{FF2B5EF4-FFF2-40B4-BE49-F238E27FC236}">
              <a16:creationId xmlns:a16="http://schemas.microsoft.com/office/drawing/2014/main" id="{5114084E-8E1D-47AC-A7A0-8A595D578134}"/>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633700" y="488950"/>
          <a:ext cx="203200" cy="181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35598</xdr:colOff>
      <xdr:row>3</xdr:row>
      <xdr:rowOff>0</xdr:rowOff>
    </xdr:from>
    <xdr:to>
      <xdr:col>25</xdr:col>
      <xdr:colOff>234950</xdr:colOff>
      <xdr:row>3</xdr:row>
      <xdr:rowOff>177800</xdr:rowOff>
    </xdr:to>
    <xdr:pic>
      <xdr:nvPicPr>
        <xdr:cNvPr id="57" name="Picture 56">
          <a:extLst>
            <a:ext uri="{FF2B5EF4-FFF2-40B4-BE49-F238E27FC236}">
              <a16:creationId xmlns:a16="http://schemas.microsoft.com/office/drawing/2014/main" id="{8B8AA444-B0D2-4C42-8C5E-0AC7719A3429}"/>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247148" y="488950"/>
          <a:ext cx="199352"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88900</xdr:colOff>
      <xdr:row>3</xdr:row>
      <xdr:rowOff>12700</xdr:rowOff>
    </xdr:from>
    <xdr:to>
      <xdr:col>27</xdr:col>
      <xdr:colOff>666173</xdr:colOff>
      <xdr:row>3</xdr:row>
      <xdr:rowOff>139700</xdr:rowOff>
    </xdr:to>
    <xdr:pic>
      <xdr:nvPicPr>
        <xdr:cNvPr id="58" name="Picture 57">
          <a:extLst>
            <a:ext uri="{FF2B5EF4-FFF2-40B4-BE49-F238E27FC236}">
              <a16:creationId xmlns:a16="http://schemas.microsoft.com/office/drawing/2014/main" id="{6A9019AB-A1A4-4A26-98EF-8CB052F3E776}"/>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697450" y="501650"/>
          <a:ext cx="577273" cy="12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63500</xdr:colOff>
      <xdr:row>3</xdr:row>
      <xdr:rowOff>6350</xdr:rowOff>
    </xdr:from>
    <xdr:to>
      <xdr:col>31</xdr:col>
      <xdr:colOff>488950</xdr:colOff>
      <xdr:row>3</xdr:row>
      <xdr:rowOff>146608</xdr:rowOff>
    </xdr:to>
    <xdr:pic>
      <xdr:nvPicPr>
        <xdr:cNvPr id="59" name="Picture 58">
          <a:extLst>
            <a:ext uri="{FF2B5EF4-FFF2-40B4-BE49-F238E27FC236}">
              <a16:creationId xmlns:a16="http://schemas.microsoft.com/office/drawing/2014/main" id="{39D20FDD-A4C8-4AF4-B4EF-C939EF77ABCF}"/>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297900" y="495300"/>
          <a:ext cx="425450" cy="140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69850</xdr:colOff>
      <xdr:row>17</xdr:row>
      <xdr:rowOff>0</xdr:rowOff>
    </xdr:from>
    <xdr:to>
      <xdr:col>6</xdr:col>
      <xdr:colOff>527050</xdr:colOff>
      <xdr:row>17</xdr:row>
      <xdr:rowOff>160059</xdr:rowOff>
    </xdr:to>
    <xdr:pic>
      <xdr:nvPicPr>
        <xdr:cNvPr id="60" name="Picture 59">
          <a:extLst>
            <a:ext uri="{FF2B5EF4-FFF2-40B4-BE49-F238E27FC236}">
              <a16:creationId xmlns:a16="http://schemas.microsoft.com/office/drawing/2014/main" id="{8A3AB0FF-8F69-4D2A-BFB7-8483986D728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59000" y="2952750"/>
          <a:ext cx="457200" cy="160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17</xdr:row>
      <xdr:rowOff>6350</xdr:rowOff>
    </xdr:from>
    <xdr:to>
      <xdr:col>7</xdr:col>
      <xdr:colOff>577850</xdr:colOff>
      <xdr:row>17</xdr:row>
      <xdr:rowOff>161498</xdr:rowOff>
    </xdr:to>
    <xdr:pic>
      <xdr:nvPicPr>
        <xdr:cNvPr id="61" name="Picture 60">
          <a:extLst>
            <a:ext uri="{FF2B5EF4-FFF2-40B4-BE49-F238E27FC236}">
              <a16:creationId xmlns:a16="http://schemas.microsoft.com/office/drawing/2014/main" id="{C4E73B77-0B93-4ABD-ACF7-F9018B389E8A}"/>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06700" y="29591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17</xdr:row>
      <xdr:rowOff>0</xdr:rowOff>
    </xdr:from>
    <xdr:to>
      <xdr:col>8</xdr:col>
      <xdr:colOff>533400</xdr:colOff>
      <xdr:row>17</xdr:row>
      <xdr:rowOff>154672</xdr:rowOff>
    </xdr:to>
    <xdr:pic>
      <xdr:nvPicPr>
        <xdr:cNvPr id="62" name="Picture 61">
          <a:extLst>
            <a:ext uri="{FF2B5EF4-FFF2-40B4-BE49-F238E27FC236}">
              <a16:creationId xmlns:a16="http://schemas.microsoft.com/office/drawing/2014/main" id="{BF5552A6-9B5E-491B-A9D5-F22DBEA5506C}"/>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29000" y="29527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17</xdr:row>
      <xdr:rowOff>0</xdr:rowOff>
    </xdr:from>
    <xdr:to>
      <xdr:col>9</xdr:col>
      <xdr:colOff>546100</xdr:colOff>
      <xdr:row>17</xdr:row>
      <xdr:rowOff>162508</xdr:rowOff>
    </xdr:to>
    <xdr:pic>
      <xdr:nvPicPr>
        <xdr:cNvPr id="63" name="Picture 62">
          <a:extLst>
            <a:ext uri="{FF2B5EF4-FFF2-40B4-BE49-F238E27FC236}">
              <a16:creationId xmlns:a16="http://schemas.microsoft.com/office/drawing/2014/main" id="{52E76D54-D851-47D6-A7B9-9B1A2ED07E5F}"/>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2250" y="29527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17</xdr:row>
      <xdr:rowOff>6350</xdr:rowOff>
    </xdr:from>
    <xdr:to>
      <xdr:col>10</xdr:col>
      <xdr:colOff>533400</xdr:colOff>
      <xdr:row>17</xdr:row>
      <xdr:rowOff>157185</xdr:rowOff>
    </xdr:to>
    <xdr:pic>
      <xdr:nvPicPr>
        <xdr:cNvPr id="64" name="Picture 63">
          <a:extLst>
            <a:ext uri="{FF2B5EF4-FFF2-40B4-BE49-F238E27FC236}">
              <a16:creationId xmlns:a16="http://schemas.microsoft.com/office/drawing/2014/main" id="{668F5D30-B214-40C2-9DC6-1A22697F117E}"/>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679950" y="29591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17</xdr:row>
      <xdr:rowOff>6350</xdr:rowOff>
    </xdr:from>
    <xdr:to>
      <xdr:col>11</xdr:col>
      <xdr:colOff>857250</xdr:colOff>
      <xdr:row>17</xdr:row>
      <xdr:rowOff>161051</xdr:rowOff>
    </xdr:to>
    <xdr:pic>
      <xdr:nvPicPr>
        <xdr:cNvPr id="65" name="Picture 64">
          <a:extLst>
            <a:ext uri="{FF2B5EF4-FFF2-40B4-BE49-F238E27FC236}">
              <a16:creationId xmlns:a16="http://schemas.microsoft.com/office/drawing/2014/main" id="{83F42FF4-53C2-4965-B4C5-65D7194DB586}"/>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10201" y="29591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17</xdr:row>
      <xdr:rowOff>0</xdr:rowOff>
    </xdr:from>
    <xdr:to>
      <xdr:col>5</xdr:col>
      <xdr:colOff>196850</xdr:colOff>
      <xdr:row>17</xdr:row>
      <xdr:rowOff>148508</xdr:rowOff>
    </xdr:to>
    <xdr:pic>
      <xdr:nvPicPr>
        <xdr:cNvPr id="66" name="Picture 65">
          <a:extLst>
            <a:ext uri="{FF2B5EF4-FFF2-40B4-BE49-F238E27FC236}">
              <a16:creationId xmlns:a16="http://schemas.microsoft.com/office/drawing/2014/main" id="{982247E3-912F-4EBA-8E34-A774171F1929}"/>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17650" y="295275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17</xdr:row>
      <xdr:rowOff>0</xdr:rowOff>
    </xdr:from>
    <xdr:to>
      <xdr:col>12</xdr:col>
      <xdr:colOff>438150</xdr:colOff>
      <xdr:row>18</xdr:row>
      <xdr:rowOff>0</xdr:rowOff>
    </xdr:to>
    <xdr:pic>
      <xdr:nvPicPr>
        <xdr:cNvPr id="67" name="Picture 66">
          <a:extLst>
            <a:ext uri="{FF2B5EF4-FFF2-40B4-BE49-F238E27FC236}">
              <a16:creationId xmlns:a16="http://schemas.microsoft.com/office/drawing/2014/main" id="{A905CD9B-D037-4CF5-8E4D-1E319654BC8C}"/>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286500" y="2952750"/>
          <a:ext cx="438150" cy="19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76200</xdr:colOff>
      <xdr:row>2</xdr:row>
      <xdr:rowOff>133350</xdr:rowOff>
    </xdr:from>
    <xdr:to>
      <xdr:col>6</xdr:col>
      <xdr:colOff>533400</xdr:colOff>
      <xdr:row>3</xdr:row>
      <xdr:rowOff>153709</xdr:rowOff>
    </xdr:to>
    <xdr:pic>
      <xdr:nvPicPr>
        <xdr:cNvPr id="2" name="Picture 1">
          <a:extLst>
            <a:ext uri="{FF2B5EF4-FFF2-40B4-BE49-F238E27FC236}">
              <a16:creationId xmlns:a16="http://schemas.microsoft.com/office/drawing/2014/main" id="{0528325B-A337-4E55-9262-C426C42BDFF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457200"/>
          <a:ext cx="457200" cy="1854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3</xdr:row>
      <xdr:rowOff>6350</xdr:rowOff>
    </xdr:from>
    <xdr:to>
      <xdr:col>7</xdr:col>
      <xdr:colOff>577850</xdr:colOff>
      <xdr:row>3</xdr:row>
      <xdr:rowOff>161498</xdr:rowOff>
    </xdr:to>
    <xdr:pic>
      <xdr:nvPicPr>
        <xdr:cNvPr id="3" name="Picture 2">
          <a:extLst>
            <a:ext uri="{FF2B5EF4-FFF2-40B4-BE49-F238E27FC236}">
              <a16:creationId xmlns:a16="http://schemas.microsoft.com/office/drawing/2014/main" id="{1B5E3208-50AA-4431-B679-BAB19BBDCB4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4953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2</xdr:row>
      <xdr:rowOff>152400</xdr:rowOff>
    </xdr:from>
    <xdr:to>
      <xdr:col>8</xdr:col>
      <xdr:colOff>533400</xdr:colOff>
      <xdr:row>3</xdr:row>
      <xdr:rowOff>154672</xdr:rowOff>
    </xdr:to>
    <xdr:pic>
      <xdr:nvPicPr>
        <xdr:cNvPr id="4" name="Picture 3">
          <a:extLst>
            <a:ext uri="{FF2B5EF4-FFF2-40B4-BE49-F238E27FC236}">
              <a16:creationId xmlns:a16="http://schemas.microsoft.com/office/drawing/2014/main" id="{7F158B1F-9EDF-4C05-BC73-C46BB4DF92FF}"/>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476250"/>
          <a:ext cx="463550" cy="167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3</xdr:row>
      <xdr:rowOff>0</xdr:rowOff>
    </xdr:from>
    <xdr:to>
      <xdr:col>9</xdr:col>
      <xdr:colOff>546100</xdr:colOff>
      <xdr:row>3</xdr:row>
      <xdr:rowOff>162508</xdr:rowOff>
    </xdr:to>
    <xdr:pic>
      <xdr:nvPicPr>
        <xdr:cNvPr id="5" name="Picture 4">
          <a:extLst>
            <a:ext uri="{FF2B5EF4-FFF2-40B4-BE49-F238E27FC236}">
              <a16:creationId xmlns:a16="http://schemas.microsoft.com/office/drawing/2014/main" id="{C4F2ABA7-E805-4BA7-BBDD-61ADED5E21EA}"/>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4889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3</xdr:row>
      <xdr:rowOff>6350</xdr:rowOff>
    </xdr:from>
    <xdr:to>
      <xdr:col>10</xdr:col>
      <xdr:colOff>533400</xdr:colOff>
      <xdr:row>3</xdr:row>
      <xdr:rowOff>157185</xdr:rowOff>
    </xdr:to>
    <xdr:pic>
      <xdr:nvPicPr>
        <xdr:cNvPr id="6" name="Picture 5">
          <a:extLst>
            <a:ext uri="{FF2B5EF4-FFF2-40B4-BE49-F238E27FC236}">
              <a16:creationId xmlns:a16="http://schemas.microsoft.com/office/drawing/2014/main" id="{2C21F550-BBA0-43F5-BAF8-70DC99E7A3AA}"/>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4953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3</xdr:row>
      <xdr:rowOff>6350</xdr:rowOff>
    </xdr:from>
    <xdr:to>
      <xdr:col>11</xdr:col>
      <xdr:colOff>857250</xdr:colOff>
      <xdr:row>3</xdr:row>
      <xdr:rowOff>161051</xdr:rowOff>
    </xdr:to>
    <xdr:pic>
      <xdr:nvPicPr>
        <xdr:cNvPr id="7" name="Picture 6">
          <a:extLst>
            <a:ext uri="{FF2B5EF4-FFF2-40B4-BE49-F238E27FC236}">
              <a16:creationId xmlns:a16="http://schemas.microsoft.com/office/drawing/2014/main" id="{62C173B6-F1CB-4A6F-B080-E089DC39F683}"/>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4953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29826</xdr:colOff>
      <xdr:row>3</xdr:row>
      <xdr:rowOff>0</xdr:rowOff>
    </xdr:from>
    <xdr:to>
      <xdr:col>5</xdr:col>
      <xdr:colOff>196850</xdr:colOff>
      <xdr:row>3</xdr:row>
      <xdr:rowOff>177800</xdr:rowOff>
    </xdr:to>
    <xdr:pic>
      <xdr:nvPicPr>
        <xdr:cNvPr id="8" name="Picture 7">
          <a:extLst>
            <a:ext uri="{FF2B5EF4-FFF2-40B4-BE49-F238E27FC236}">
              <a16:creationId xmlns:a16="http://schemas.microsoft.com/office/drawing/2014/main" id="{57B047A3-6A68-4CD3-89C8-535D4F4F9C23}"/>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04976" y="488950"/>
          <a:ext cx="167024"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63500</xdr:colOff>
      <xdr:row>2</xdr:row>
      <xdr:rowOff>126999</xdr:rowOff>
    </xdr:from>
    <xdr:to>
      <xdr:col>12</xdr:col>
      <xdr:colOff>501650</xdr:colOff>
      <xdr:row>3</xdr:row>
      <xdr:rowOff>155222</xdr:rowOff>
    </xdr:to>
    <xdr:pic>
      <xdr:nvPicPr>
        <xdr:cNvPr id="9" name="Picture 8">
          <a:extLst>
            <a:ext uri="{FF2B5EF4-FFF2-40B4-BE49-F238E27FC236}">
              <a16:creationId xmlns:a16="http://schemas.microsoft.com/office/drawing/2014/main" id="{9198A877-07DE-4C6C-9040-7A2907B8497E}"/>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55300" y="450849"/>
          <a:ext cx="438150" cy="1933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69850</xdr:colOff>
      <xdr:row>31</xdr:row>
      <xdr:rowOff>0</xdr:rowOff>
    </xdr:from>
    <xdr:to>
      <xdr:col>6</xdr:col>
      <xdr:colOff>527050</xdr:colOff>
      <xdr:row>31</xdr:row>
      <xdr:rowOff>160059</xdr:rowOff>
    </xdr:to>
    <xdr:pic>
      <xdr:nvPicPr>
        <xdr:cNvPr id="10" name="Picture 9">
          <a:extLst>
            <a:ext uri="{FF2B5EF4-FFF2-40B4-BE49-F238E27FC236}">
              <a16:creationId xmlns:a16="http://schemas.microsoft.com/office/drawing/2014/main" id="{D62107F4-920F-4E8E-A595-61213705E96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1450" y="5219700"/>
          <a:ext cx="457200" cy="160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31</xdr:row>
      <xdr:rowOff>6350</xdr:rowOff>
    </xdr:from>
    <xdr:to>
      <xdr:col>7</xdr:col>
      <xdr:colOff>577850</xdr:colOff>
      <xdr:row>31</xdr:row>
      <xdr:rowOff>161498</xdr:rowOff>
    </xdr:to>
    <xdr:pic>
      <xdr:nvPicPr>
        <xdr:cNvPr id="11" name="Picture 10">
          <a:extLst>
            <a:ext uri="{FF2B5EF4-FFF2-40B4-BE49-F238E27FC236}">
              <a16:creationId xmlns:a16="http://schemas.microsoft.com/office/drawing/2014/main" id="{192F5AF2-438A-49A1-A39E-032E3E630A0D}"/>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52260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31</xdr:row>
      <xdr:rowOff>0</xdr:rowOff>
    </xdr:from>
    <xdr:to>
      <xdr:col>8</xdr:col>
      <xdr:colOff>533400</xdr:colOff>
      <xdr:row>31</xdr:row>
      <xdr:rowOff>154672</xdr:rowOff>
    </xdr:to>
    <xdr:pic>
      <xdr:nvPicPr>
        <xdr:cNvPr id="12" name="Picture 11">
          <a:extLst>
            <a:ext uri="{FF2B5EF4-FFF2-40B4-BE49-F238E27FC236}">
              <a16:creationId xmlns:a16="http://schemas.microsoft.com/office/drawing/2014/main" id="{B48B1C04-ECCC-4ABC-A19E-BF746112AE1F}"/>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52197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31</xdr:row>
      <xdr:rowOff>0</xdr:rowOff>
    </xdr:from>
    <xdr:to>
      <xdr:col>9</xdr:col>
      <xdr:colOff>546100</xdr:colOff>
      <xdr:row>31</xdr:row>
      <xdr:rowOff>162508</xdr:rowOff>
    </xdr:to>
    <xdr:pic>
      <xdr:nvPicPr>
        <xdr:cNvPr id="13" name="Picture 12">
          <a:extLst>
            <a:ext uri="{FF2B5EF4-FFF2-40B4-BE49-F238E27FC236}">
              <a16:creationId xmlns:a16="http://schemas.microsoft.com/office/drawing/2014/main" id="{138D0FD7-50BA-45B2-B0BE-904F003D5E18}"/>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52197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31</xdr:row>
      <xdr:rowOff>6350</xdr:rowOff>
    </xdr:from>
    <xdr:to>
      <xdr:col>10</xdr:col>
      <xdr:colOff>533400</xdr:colOff>
      <xdr:row>31</xdr:row>
      <xdr:rowOff>157185</xdr:rowOff>
    </xdr:to>
    <xdr:pic>
      <xdr:nvPicPr>
        <xdr:cNvPr id="14" name="Picture 13">
          <a:extLst>
            <a:ext uri="{FF2B5EF4-FFF2-40B4-BE49-F238E27FC236}">
              <a16:creationId xmlns:a16="http://schemas.microsoft.com/office/drawing/2014/main" id="{737BA01C-D7AB-4C62-AFEE-6F59D4E0438F}"/>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52260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31</xdr:row>
      <xdr:rowOff>6350</xdr:rowOff>
    </xdr:from>
    <xdr:to>
      <xdr:col>11</xdr:col>
      <xdr:colOff>857250</xdr:colOff>
      <xdr:row>31</xdr:row>
      <xdr:rowOff>161051</xdr:rowOff>
    </xdr:to>
    <xdr:pic>
      <xdr:nvPicPr>
        <xdr:cNvPr id="15" name="Picture 14">
          <a:extLst>
            <a:ext uri="{FF2B5EF4-FFF2-40B4-BE49-F238E27FC236}">
              <a16:creationId xmlns:a16="http://schemas.microsoft.com/office/drawing/2014/main" id="{B494F2EC-F048-4741-92C2-F6AA9B704B0B}"/>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52260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31</xdr:row>
      <xdr:rowOff>0</xdr:rowOff>
    </xdr:from>
    <xdr:to>
      <xdr:col>5</xdr:col>
      <xdr:colOff>196850</xdr:colOff>
      <xdr:row>31</xdr:row>
      <xdr:rowOff>148508</xdr:rowOff>
    </xdr:to>
    <xdr:pic>
      <xdr:nvPicPr>
        <xdr:cNvPr id="16" name="Picture 15">
          <a:extLst>
            <a:ext uri="{FF2B5EF4-FFF2-40B4-BE49-F238E27FC236}">
              <a16:creationId xmlns:a16="http://schemas.microsoft.com/office/drawing/2014/main" id="{7B0C0989-C88D-44DE-8FC4-0001BF50AD01}"/>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521970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31</xdr:row>
      <xdr:rowOff>0</xdr:rowOff>
    </xdr:from>
    <xdr:to>
      <xdr:col>12</xdr:col>
      <xdr:colOff>438150</xdr:colOff>
      <xdr:row>32</xdr:row>
      <xdr:rowOff>0</xdr:rowOff>
    </xdr:to>
    <xdr:pic>
      <xdr:nvPicPr>
        <xdr:cNvPr id="17" name="Picture 16">
          <a:extLst>
            <a:ext uri="{FF2B5EF4-FFF2-40B4-BE49-F238E27FC236}">
              <a16:creationId xmlns:a16="http://schemas.microsoft.com/office/drawing/2014/main" id="{27EA20DB-B1DA-4A9D-A802-9D2352DB95B5}"/>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591800" y="5219700"/>
          <a:ext cx="438150" cy="19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46</xdr:row>
      <xdr:rowOff>0</xdr:rowOff>
    </xdr:from>
    <xdr:to>
      <xdr:col>6</xdr:col>
      <xdr:colOff>533400</xdr:colOff>
      <xdr:row>46</xdr:row>
      <xdr:rowOff>153709</xdr:rowOff>
    </xdr:to>
    <xdr:pic>
      <xdr:nvPicPr>
        <xdr:cNvPr id="18" name="Picture 17">
          <a:extLst>
            <a:ext uri="{FF2B5EF4-FFF2-40B4-BE49-F238E27FC236}">
              <a16:creationId xmlns:a16="http://schemas.microsoft.com/office/drawing/2014/main" id="{E7DB5DD7-207A-4BB2-BC24-C519E29C3C25}"/>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748665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46</xdr:row>
      <xdr:rowOff>6350</xdr:rowOff>
    </xdr:from>
    <xdr:to>
      <xdr:col>7</xdr:col>
      <xdr:colOff>577850</xdr:colOff>
      <xdr:row>46</xdr:row>
      <xdr:rowOff>161498</xdr:rowOff>
    </xdr:to>
    <xdr:pic>
      <xdr:nvPicPr>
        <xdr:cNvPr id="19" name="Picture 18">
          <a:extLst>
            <a:ext uri="{FF2B5EF4-FFF2-40B4-BE49-F238E27FC236}">
              <a16:creationId xmlns:a16="http://schemas.microsoft.com/office/drawing/2014/main" id="{1F6B0E7D-9E14-4A6D-BB82-49492701AF4E}"/>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74930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46</xdr:row>
      <xdr:rowOff>0</xdr:rowOff>
    </xdr:from>
    <xdr:to>
      <xdr:col>8</xdr:col>
      <xdr:colOff>533400</xdr:colOff>
      <xdr:row>46</xdr:row>
      <xdr:rowOff>154672</xdr:rowOff>
    </xdr:to>
    <xdr:pic>
      <xdr:nvPicPr>
        <xdr:cNvPr id="20" name="Picture 19">
          <a:extLst>
            <a:ext uri="{FF2B5EF4-FFF2-40B4-BE49-F238E27FC236}">
              <a16:creationId xmlns:a16="http://schemas.microsoft.com/office/drawing/2014/main" id="{E8278F7A-FD91-4F45-9003-D81F1E767B46}"/>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74866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46</xdr:row>
      <xdr:rowOff>0</xdr:rowOff>
    </xdr:from>
    <xdr:to>
      <xdr:col>9</xdr:col>
      <xdr:colOff>546100</xdr:colOff>
      <xdr:row>46</xdr:row>
      <xdr:rowOff>162508</xdr:rowOff>
    </xdr:to>
    <xdr:pic>
      <xdr:nvPicPr>
        <xdr:cNvPr id="21" name="Picture 20">
          <a:extLst>
            <a:ext uri="{FF2B5EF4-FFF2-40B4-BE49-F238E27FC236}">
              <a16:creationId xmlns:a16="http://schemas.microsoft.com/office/drawing/2014/main" id="{4DA3EC13-4083-4629-B588-11B9B44B188F}"/>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74866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46</xdr:row>
      <xdr:rowOff>6350</xdr:rowOff>
    </xdr:from>
    <xdr:to>
      <xdr:col>10</xdr:col>
      <xdr:colOff>533400</xdr:colOff>
      <xdr:row>46</xdr:row>
      <xdr:rowOff>157185</xdr:rowOff>
    </xdr:to>
    <xdr:pic>
      <xdr:nvPicPr>
        <xdr:cNvPr id="22" name="Picture 21">
          <a:extLst>
            <a:ext uri="{FF2B5EF4-FFF2-40B4-BE49-F238E27FC236}">
              <a16:creationId xmlns:a16="http://schemas.microsoft.com/office/drawing/2014/main" id="{BDACE7E0-0A99-4865-9985-8CD28A9632A1}"/>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74930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46</xdr:row>
      <xdr:rowOff>6350</xdr:rowOff>
    </xdr:from>
    <xdr:to>
      <xdr:col>11</xdr:col>
      <xdr:colOff>857250</xdr:colOff>
      <xdr:row>46</xdr:row>
      <xdr:rowOff>161051</xdr:rowOff>
    </xdr:to>
    <xdr:pic>
      <xdr:nvPicPr>
        <xdr:cNvPr id="23" name="Picture 22">
          <a:extLst>
            <a:ext uri="{FF2B5EF4-FFF2-40B4-BE49-F238E27FC236}">
              <a16:creationId xmlns:a16="http://schemas.microsoft.com/office/drawing/2014/main" id="{21972406-BDDF-42CF-927F-7E750F157077}"/>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74930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50800</xdr:colOff>
      <xdr:row>46</xdr:row>
      <xdr:rowOff>0</xdr:rowOff>
    </xdr:from>
    <xdr:to>
      <xdr:col>5</xdr:col>
      <xdr:colOff>196850</xdr:colOff>
      <xdr:row>46</xdr:row>
      <xdr:rowOff>136627</xdr:rowOff>
    </xdr:to>
    <xdr:pic>
      <xdr:nvPicPr>
        <xdr:cNvPr id="24" name="Picture 23">
          <a:extLst>
            <a:ext uri="{FF2B5EF4-FFF2-40B4-BE49-F238E27FC236}">
              <a16:creationId xmlns:a16="http://schemas.microsoft.com/office/drawing/2014/main" id="{22C2AA2E-48D3-4E22-B4E7-3CAAFF5CB436}"/>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25950" y="7486650"/>
          <a:ext cx="146050" cy="1366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46</xdr:row>
      <xdr:rowOff>0</xdr:rowOff>
    </xdr:from>
    <xdr:to>
      <xdr:col>12</xdr:col>
      <xdr:colOff>438150</xdr:colOff>
      <xdr:row>47</xdr:row>
      <xdr:rowOff>0</xdr:rowOff>
    </xdr:to>
    <xdr:pic>
      <xdr:nvPicPr>
        <xdr:cNvPr id="25" name="Picture 24">
          <a:extLst>
            <a:ext uri="{FF2B5EF4-FFF2-40B4-BE49-F238E27FC236}">
              <a16:creationId xmlns:a16="http://schemas.microsoft.com/office/drawing/2014/main" id="{72AD9028-24CE-4DE0-840E-CF3775ADD159}"/>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591800" y="7486650"/>
          <a:ext cx="438150" cy="19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61</xdr:row>
      <xdr:rowOff>0</xdr:rowOff>
    </xdr:from>
    <xdr:to>
      <xdr:col>6</xdr:col>
      <xdr:colOff>533400</xdr:colOff>
      <xdr:row>61</xdr:row>
      <xdr:rowOff>153709</xdr:rowOff>
    </xdr:to>
    <xdr:pic>
      <xdr:nvPicPr>
        <xdr:cNvPr id="26" name="Picture 25">
          <a:extLst>
            <a:ext uri="{FF2B5EF4-FFF2-40B4-BE49-F238E27FC236}">
              <a16:creationId xmlns:a16="http://schemas.microsoft.com/office/drawing/2014/main" id="{8D27EED8-FEA0-41C1-84DF-A71B55963E8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975360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61</xdr:row>
      <xdr:rowOff>6350</xdr:rowOff>
    </xdr:from>
    <xdr:to>
      <xdr:col>7</xdr:col>
      <xdr:colOff>577850</xdr:colOff>
      <xdr:row>61</xdr:row>
      <xdr:rowOff>161498</xdr:rowOff>
    </xdr:to>
    <xdr:pic>
      <xdr:nvPicPr>
        <xdr:cNvPr id="27" name="Picture 26">
          <a:extLst>
            <a:ext uri="{FF2B5EF4-FFF2-40B4-BE49-F238E27FC236}">
              <a16:creationId xmlns:a16="http://schemas.microsoft.com/office/drawing/2014/main" id="{D3A2F84B-3480-4EDF-88B8-98EF02B4135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97599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61</xdr:row>
      <xdr:rowOff>0</xdr:rowOff>
    </xdr:from>
    <xdr:to>
      <xdr:col>8</xdr:col>
      <xdr:colOff>533400</xdr:colOff>
      <xdr:row>61</xdr:row>
      <xdr:rowOff>154672</xdr:rowOff>
    </xdr:to>
    <xdr:pic>
      <xdr:nvPicPr>
        <xdr:cNvPr id="28" name="Picture 27">
          <a:extLst>
            <a:ext uri="{FF2B5EF4-FFF2-40B4-BE49-F238E27FC236}">
              <a16:creationId xmlns:a16="http://schemas.microsoft.com/office/drawing/2014/main" id="{2D827953-AAAA-4137-8080-D057B218D26F}"/>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97536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61</xdr:row>
      <xdr:rowOff>0</xdr:rowOff>
    </xdr:from>
    <xdr:to>
      <xdr:col>9</xdr:col>
      <xdr:colOff>546100</xdr:colOff>
      <xdr:row>61</xdr:row>
      <xdr:rowOff>162508</xdr:rowOff>
    </xdr:to>
    <xdr:pic>
      <xdr:nvPicPr>
        <xdr:cNvPr id="29" name="Picture 28">
          <a:extLst>
            <a:ext uri="{FF2B5EF4-FFF2-40B4-BE49-F238E27FC236}">
              <a16:creationId xmlns:a16="http://schemas.microsoft.com/office/drawing/2014/main" id="{9DE03AEA-F5AC-4ADB-813E-64413DD528D3}"/>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97536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61</xdr:row>
      <xdr:rowOff>6350</xdr:rowOff>
    </xdr:from>
    <xdr:to>
      <xdr:col>10</xdr:col>
      <xdr:colOff>533400</xdr:colOff>
      <xdr:row>61</xdr:row>
      <xdr:rowOff>157185</xdr:rowOff>
    </xdr:to>
    <xdr:pic>
      <xdr:nvPicPr>
        <xdr:cNvPr id="30" name="Picture 29">
          <a:extLst>
            <a:ext uri="{FF2B5EF4-FFF2-40B4-BE49-F238E27FC236}">
              <a16:creationId xmlns:a16="http://schemas.microsoft.com/office/drawing/2014/main" id="{6D661CEE-C97F-429D-948C-B2153BF47424}"/>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97599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61</xdr:row>
      <xdr:rowOff>6350</xdr:rowOff>
    </xdr:from>
    <xdr:to>
      <xdr:col>11</xdr:col>
      <xdr:colOff>857250</xdr:colOff>
      <xdr:row>61</xdr:row>
      <xdr:rowOff>161051</xdr:rowOff>
    </xdr:to>
    <xdr:pic>
      <xdr:nvPicPr>
        <xdr:cNvPr id="31" name="Picture 30">
          <a:extLst>
            <a:ext uri="{FF2B5EF4-FFF2-40B4-BE49-F238E27FC236}">
              <a16:creationId xmlns:a16="http://schemas.microsoft.com/office/drawing/2014/main" id="{3E208984-2F60-4D2D-82E3-8917D46DBBC6}"/>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97599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61</xdr:row>
      <xdr:rowOff>0</xdr:rowOff>
    </xdr:from>
    <xdr:to>
      <xdr:col>5</xdr:col>
      <xdr:colOff>196850</xdr:colOff>
      <xdr:row>61</xdr:row>
      <xdr:rowOff>148508</xdr:rowOff>
    </xdr:to>
    <xdr:pic>
      <xdr:nvPicPr>
        <xdr:cNvPr id="32" name="Picture 31">
          <a:extLst>
            <a:ext uri="{FF2B5EF4-FFF2-40B4-BE49-F238E27FC236}">
              <a16:creationId xmlns:a16="http://schemas.microsoft.com/office/drawing/2014/main" id="{38CCED2F-8B2A-48AA-A183-23DAD3417F32}"/>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975360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61</xdr:row>
      <xdr:rowOff>0</xdr:rowOff>
    </xdr:from>
    <xdr:to>
      <xdr:col>12</xdr:col>
      <xdr:colOff>438150</xdr:colOff>
      <xdr:row>62</xdr:row>
      <xdr:rowOff>0</xdr:rowOff>
    </xdr:to>
    <xdr:pic>
      <xdr:nvPicPr>
        <xdr:cNvPr id="33" name="Picture 32">
          <a:extLst>
            <a:ext uri="{FF2B5EF4-FFF2-40B4-BE49-F238E27FC236}">
              <a16:creationId xmlns:a16="http://schemas.microsoft.com/office/drawing/2014/main" id="{D79E38F2-0B68-4C91-9B52-9D2705E5AC93}"/>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591800" y="9753600"/>
          <a:ext cx="438150" cy="19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75</xdr:row>
      <xdr:rowOff>0</xdr:rowOff>
    </xdr:from>
    <xdr:to>
      <xdr:col>6</xdr:col>
      <xdr:colOff>533400</xdr:colOff>
      <xdr:row>75</xdr:row>
      <xdr:rowOff>153709</xdr:rowOff>
    </xdr:to>
    <xdr:pic>
      <xdr:nvPicPr>
        <xdr:cNvPr id="34" name="Picture 33">
          <a:extLst>
            <a:ext uri="{FF2B5EF4-FFF2-40B4-BE49-F238E27FC236}">
              <a16:creationId xmlns:a16="http://schemas.microsoft.com/office/drawing/2014/main" id="{585368E7-4366-43F9-B64E-FEDDA0143CE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1202055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75</xdr:row>
      <xdr:rowOff>6350</xdr:rowOff>
    </xdr:from>
    <xdr:to>
      <xdr:col>7</xdr:col>
      <xdr:colOff>577850</xdr:colOff>
      <xdr:row>75</xdr:row>
      <xdr:rowOff>161498</xdr:rowOff>
    </xdr:to>
    <xdr:pic>
      <xdr:nvPicPr>
        <xdr:cNvPr id="35" name="Picture 34">
          <a:extLst>
            <a:ext uri="{FF2B5EF4-FFF2-40B4-BE49-F238E27FC236}">
              <a16:creationId xmlns:a16="http://schemas.microsoft.com/office/drawing/2014/main" id="{3A3CA58A-4CE7-4071-9F09-5B2CC6F0B7B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120269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75</xdr:row>
      <xdr:rowOff>0</xdr:rowOff>
    </xdr:from>
    <xdr:to>
      <xdr:col>8</xdr:col>
      <xdr:colOff>533400</xdr:colOff>
      <xdr:row>75</xdr:row>
      <xdr:rowOff>154672</xdr:rowOff>
    </xdr:to>
    <xdr:pic>
      <xdr:nvPicPr>
        <xdr:cNvPr id="36" name="Picture 35">
          <a:extLst>
            <a:ext uri="{FF2B5EF4-FFF2-40B4-BE49-F238E27FC236}">
              <a16:creationId xmlns:a16="http://schemas.microsoft.com/office/drawing/2014/main" id="{F1EEB452-6E0F-473C-A458-078C3B7D9493}"/>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120205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75</xdr:row>
      <xdr:rowOff>0</xdr:rowOff>
    </xdr:from>
    <xdr:to>
      <xdr:col>9</xdr:col>
      <xdr:colOff>546100</xdr:colOff>
      <xdr:row>75</xdr:row>
      <xdr:rowOff>162508</xdr:rowOff>
    </xdr:to>
    <xdr:pic>
      <xdr:nvPicPr>
        <xdr:cNvPr id="37" name="Picture 36">
          <a:extLst>
            <a:ext uri="{FF2B5EF4-FFF2-40B4-BE49-F238E27FC236}">
              <a16:creationId xmlns:a16="http://schemas.microsoft.com/office/drawing/2014/main" id="{296CB764-5540-4094-AB32-DAB0D0368525}"/>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120205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75</xdr:row>
      <xdr:rowOff>6350</xdr:rowOff>
    </xdr:from>
    <xdr:to>
      <xdr:col>10</xdr:col>
      <xdr:colOff>533400</xdr:colOff>
      <xdr:row>75</xdr:row>
      <xdr:rowOff>157185</xdr:rowOff>
    </xdr:to>
    <xdr:pic>
      <xdr:nvPicPr>
        <xdr:cNvPr id="38" name="Picture 37">
          <a:extLst>
            <a:ext uri="{FF2B5EF4-FFF2-40B4-BE49-F238E27FC236}">
              <a16:creationId xmlns:a16="http://schemas.microsoft.com/office/drawing/2014/main" id="{FBB02DFB-7B70-4EE1-A040-63AFF389C05F}"/>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120269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75</xdr:row>
      <xdr:rowOff>6350</xdr:rowOff>
    </xdr:from>
    <xdr:to>
      <xdr:col>11</xdr:col>
      <xdr:colOff>857250</xdr:colOff>
      <xdr:row>75</xdr:row>
      <xdr:rowOff>161051</xdr:rowOff>
    </xdr:to>
    <xdr:pic>
      <xdr:nvPicPr>
        <xdr:cNvPr id="39" name="Picture 38">
          <a:extLst>
            <a:ext uri="{FF2B5EF4-FFF2-40B4-BE49-F238E27FC236}">
              <a16:creationId xmlns:a16="http://schemas.microsoft.com/office/drawing/2014/main" id="{EA86C9E8-6CF3-4FA7-B748-A960A8BC5F3B}"/>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120269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75</xdr:row>
      <xdr:rowOff>0</xdr:rowOff>
    </xdr:from>
    <xdr:to>
      <xdr:col>5</xdr:col>
      <xdr:colOff>196850</xdr:colOff>
      <xdr:row>75</xdr:row>
      <xdr:rowOff>148508</xdr:rowOff>
    </xdr:to>
    <xdr:pic>
      <xdr:nvPicPr>
        <xdr:cNvPr id="40" name="Picture 39">
          <a:extLst>
            <a:ext uri="{FF2B5EF4-FFF2-40B4-BE49-F238E27FC236}">
              <a16:creationId xmlns:a16="http://schemas.microsoft.com/office/drawing/2014/main" id="{1C50D557-A41B-4AB5-B291-23F965F2E288}"/>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1202055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75</xdr:row>
      <xdr:rowOff>0</xdr:rowOff>
    </xdr:from>
    <xdr:to>
      <xdr:col>12</xdr:col>
      <xdr:colOff>438150</xdr:colOff>
      <xdr:row>76</xdr:row>
      <xdr:rowOff>0</xdr:rowOff>
    </xdr:to>
    <xdr:pic>
      <xdr:nvPicPr>
        <xdr:cNvPr id="41" name="Picture 40">
          <a:extLst>
            <a:ext uri="{FF2B5EF4-FFF2-40B4-BE49-F238E27FC236}">
              <a16:creationId xmlns:a16="http://schemas.microsoft.com/office/drawing/2014/main" id="{31A630A3-044D-47E2-8CE7-3FE873A6BE4D}"/>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591800" y="12020550"/>
          <a:ext cx="438150" cy="19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89</xdr:row>
      <xdr:rowOff>0</xdr:rowOff>
    </xdr:from>
    <xdr:to>
      <xdr:col>6</xdr:col>
      <xdr:colOff>533400</xdr:colOff>
      <xdr:row>89</xdr:row>
      <xdr:rowOff>153709</xdr:rowOff>
    </xdr:to>
    <xdr:pic>
      <xdr:nvPicPr>
        <xdr:cNvPr id="42" name="Picture 41">
          <a:extLst>
            <a:ext uri="{FF2B5EF4-FFF2-40B4-BE49-F238E27FC236}">
              <a16:creationId xmlns:a16="http://schemas.microsoft.com/office/drawing/2014/main" id="{191F19FF-B974-459C-BC55-C5F2BFCC036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1428750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89</xdr:row>
      <xdr:rowOff>6350</xdr:rowOff>
    </xdr:from>
    <xdr:to>
      <xdr:col>7</xdr:col>
      <xdr:colOff>577850</xdr:colOff>
      <xdr:row>89</xdr:row>
      <xdr:rowOff>161498</xdr:rowOff>
    </xdr:to>
    <xdr:pic>
      <xdr:nvPicPr>
        <xdr:cNvPr id="43" name="Picture 42">
          <a:extLst>
            <a:ext uri="{FF2B5EF4-FFF2-40B4-BE49-F238E27FC236}">
              <a16:creationId xmlns:a16="http://schemas.microsoft.com/office/drawing/2014/main" id="{F5CCE167-544F-4980-A782-7FBD63D112E1}"/>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142938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89</xdr:row>
      <xdr:rowOff>0</xdr:rowOff>
    </xdr:from>
    <xdr:to>
      <xdr:col>8</xdr:col>
      <xdr:colOff>533400</xdr:colOff>
      <xdr:row>89</xdr:row>
      <xdr:rowOff>154672</xdr:rowOff>
    </xdr:to>
    <xdr:pic>
      <xdr:nvPicPr>
        <xdr:cNvPr id="44" name="Picture 43">
          <a:extLst>
            <a:ext uri="{FF2B5EF4-FFF2-40B4-BE49-F238E27FC236}">
              <a16:creationId xmlns:a16="http://schemas.microsoft.com/office/drawing/2014/main" id="{0EEA2E6B-AC73-4BD1-92BC-2C4386C4F9A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142875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89</xdr:row>
      <xdr:rowOff>0</xdr:rowOff>
    </xdr:from>
    <xdr:to>
      <xdr:col>9</xdr:col>
      <xdr:colOff>546100</xdr:colOff>
      <xdr:row>89</xdr:row>
      <xdr:rowOff>162508</xdr:rowOff>
    </xdr:to>
    <xdr:pic>
      <xdr:nvPicPr>
        <xdr:cNvPr id="45" name="Picture 44">
          <a:extLst>
            <a:ext uri="{FF2B5EF4-FFF2-40B4-BE49-F238E27FC236}">
              <a16:creationId xmlns:a16="http://schemas.microsoft.com/office/drawing/2014/main" id="{038F145D-A6CF-4548-B7D5-83AF21D68B5C}"/>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142875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89</xdr:row>
      <xdr:rowOff>6350</xdr:rowOff>
    </xdr:from>
    <xdr:to>
      <xdr:col>10</xdr:col>
      <xdr:colOff>533400</xdr:colOff>
      <xdr:row>89</xdr:row>
      <xdr:rowOff>157185</xdr:rowOff>
    </xdr:to>
    <xdr:pic>
      <xdr:nvPicPr>
        <xdr:cNvPr id="46" name="Picture 45">
          <a:extLst>
            <a:ext uri="{FF2B5EF4-FFF2-40B4-BE49-F238E27FC236}">
              <a16:creationId xmlns:a16="http://schemas.microsoft.com/office/drawing/2014/main" id="{837655A7-B111-498F-B295-5D13D9324911}"/>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142938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89</xdr:row>
      <xdr:rowOff>6350</xdr:rowOff>
    </xdr:from>
    <xdr:to>
      <xdr:col>11</xdr:col>
      <xdr:colOff>857250</xdr:colOff>
      <xdr:row>89</xdr:row>
      <xdr:rowOff>161051</xdr:rowOff>
    </xdr:to>
    <xdr:pic>
      <xdr:nvPicPr>
        <xdr:cNvPr id="47" name="Picture 46">
          <a:extLst>
            <a:ext uri="{FF2B5EF4-FFF2-40B4-BE49-F238E27FC236}">
              <a16:creationId xmlns:a16="http://schemas.microsoft.com/office/drawing/2014/main" id="{3046781A-C9BA-4A63-AC52-92F0596EB561}"/>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142938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57150</xdr:colOff>
      <xdr:row>89</xdr:row>
      <xdr:rowOff>0</xdr:rowOff>
    </xdr:from>
    <xdr:to>
      <xdr:col>5</xdr:col>
      <xdr:colOff>196850</xdr:colOff>
      <xdr:row>89</xdr:row>
      <xdr:rowOff>130687</xdr:rowOff>
    </xdr:to>
    <xdr:pic>
      <xdr:nvPicPr>
        <xdr:cNvPr id="48" name="Picture 47">
          <a:extLst>
            <a:ext uri="{FF2B5EF4-FFF2-40B4-BE49-F238E27FC236}">
              <a16:creationId xmlns:a16="http://schemas.microsoft.com/office/drawing/2014/main" id="{2B3C9121-CDB7-4723-A550-A125CFE2F9B8}"/>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32300" y="14287500"/>
          <a:ext cx="139700" cy="130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89</xdr:row>
      <xdr:rowOff>0</xdr:rowOff>
    </xdr:from>
    <xdr:to>
      <xdr:col>12</xdr:col>
      <xdr:colOff>438150</xdr:colOff>
      <xdr:row>90</xdr:row>
      <xdr:rowOff>0</xdr:rowOff>
    </xdr:to>
    <xdr:pic>
      <xdr:nvPicPr>
        <xdr:cNvPr id="49" name="Picture 48">
          <a:extLst>
            <a:ext uri="{FF2B5EF4-FFF2-40B4-BE49-F238E27FC236}">
              <a16:creationId xmlns:a16="http://schemas.microsoft.com/office/drawing/2014/main" id="{676E3AA6-9A3E-4B98-A278-402CEB06DCF5}"/>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591800" y="14287500"/>
          <a:ext cx="438150" cy="19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38100</xdr:colOff>
      <xdr:row>3</xdr:row>
      <xdr:rowOff>0</xdr:rowOff>
    </xdr:from>
    <xdr:to>
      <xdr:col>16</xdr:col>
      <xdr:colOff>165100</xdr:colOff>
      <xdr:row>3</xdr:row>
      <xdr:rowOff>146538</xdr:rowOff>
    </xdr:to>
    <xdr:pic>
      <xdr:nvPicPr>
        <xdr:cNvPr id="50" name="Picture 49">
          <a:extLst>
            <a:ext uri="{FF2B5EF4-FFF2-40B4-BE49-F238E27FC236}">
              <a16:creationId xmlns:a16="http://schemas.microsoft.com/office/drawing/2014/main" id="{7B7335B9-729B-4068-B64B-293732ECA652}"/>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601950" y="488950"/>
          <a:ext cx="127000" cy="146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49530</xdr:colOff>
      <xdr:row>3</xdr:row>
      <xdr:rowOff>0</xdr:rowOff>
    </xdr:from>
    <xdr:to>
      <xdr:col>17</xdr:col>
      <xdr:colOff>165100</xdr:colOff>
      <xdr:row>3</xdr:row>
      <xdr:rowOff>133350</xdr:rowOff>
    </xdr:to>
    <xdr:pic>
      <xdr:nvPicPr>
        <xdr:cNvPr id="51" name="Picture 50">
          <a:extLst>
            <a:ext uri="{FF2B5EF4-FFF2-40B4-BE49-F238E27FC236}">
              <a16:creationId xmlns:a16="http://schemas.microsoft.com/office/drawing/2014/main" id="{37B15E0F-08FC-4097-8A8C-23967F911B0B}"/>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597630" y="488950"/>
          <a:ext cx="115570"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101600</xdr:colOff>
      <xdr:row>3</xdr:row>
      <xdr:rowOff>19050</xdr:rowOff>
    </xdr:from>
    <xdr:to>
      <xdr:col>19</xdr:col>
      <xdr:colOff>615950</xdr:colOff>
      <xdr:row>3</xdr:row>
      <xdr:rowOff>150935</xdr:rowOff>
    </xdr:to>
    <xdr:pic>
      <xdr:nvPicPr>
        <xdr:cNvPr id="52" name="Picture 51">
          <a:extLst>
            <a:ext uri="{FF2B5EF4-FFF2-40B4-BE49-F238E27FC236}">
              <a16:creationId xmlns:a16="http://schemas.microsoft.com/office/drawing/2014/main" id="{124E7159-052A-4779-99F5-DBFD157D4557}"/>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776950" y="508000"/>
          <a:ext cx="514350" cy="131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28864</xdr:colOff>
      <xdr:row>3</xdr:row>
      <xdr:rowOff>0</xdr:rowOff>
    </xdr:from>
    <xdr:to>
      <xdr:col>20</xdr:col>
      <xdr:colOff>158750</xdr:colOff>
      <xdr:row>3</xdr:row>
      <xdr:rowOff>171450</xdr:rowOff>
    </xdr:to>
    <xdr:pic>
      <xdr:nvPicPr>
        <xdr:cNvPr id="53" name="Picture 52">
          <a:extLst>
            <a:ext uri="{FF2B5EF4-FFF2-40B4-BE49-F238E27FC236}">
              <a16:creationId xmlns:a16="http://schemas.microsoft.com/office/drawing/2014/main" id="{89CE3A84-AE25-4683-AECF-A3824E15F2BE}"/>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383664" y="488950"/>
          <a:ext cx="129886"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43294</xdr:colOff>
      <xdr:row>3</xdr:row>
      <xdr:rowOff>0</xdr:rowOff>
    </xdr:from>
    <xdr:to>
      <xdr:col>21</xdr:col>
      <xdr:colOff>158749</xdr:colOff>
      <xdr:row>3</xdr:row>
      <xdr:rowOff>152400</xdr:rowOff>
    </xdr:to>
    <xdr:pic>
      <xdr:nvPicPr>
        <xdr:cNvPr id="54" name="Picture 53">
          <a:extLst>
            <a:ext uri="{FF2B5EF4-FFF2-40B4-BE49-F238E27FC236}">
              <a16:creationId xmlns:a16="http://schemas.microsoft.com/office/drawing/2014/main" id="{8AD7447A-E7BF-4440-9541-858926531623}"/>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007694" y="488950"/>
          <a:ext cx="11545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76200</xdr:colOff>
      <xdr:row>3</xdr:row>
      <xdr:rowOff>0</xdr:rowOff>
    </xdr:from>
    <xdr:to>
      <xdr:col>23</xdr:col>
      <xdr:colOff>533400</xdr:colOff>
      <xdr:row>3</xdr:row>
      <xdr:rowOff>139700</xdr:rowOff>
    </xdr:to>
    <xdr:pic>
      <xdr:nvPicPr>
        <xdr:cNvPr id="55" name="Picture 54">
          <a:extLst>
            <a:ext uri="{FF2B5EF4-FFF2-40B4-BE49-F238E27FC236}">
              <a16:creationId xmlns:a16="http://schemas.microsoft.com/office/drawing/2014/main" id="{F43D84FB-1BDF-45B7-8099-665DD69D86C9}"/>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488400" y="488950"/>
          <a:ext cx="457200" cy="13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31750</xdr:colOff>
      <xdr:row>3</xdr:row>
      <xdr:rowOff>0</xdr:rowOff>
    </xdr:from>
    <xdr:to>
      <xdr:col>24</xdr:col>
      <xdr:colOff>234950</xdr:colOff>
      <xdr:row>3</xdr:row>
      <xdr:rowOff>181232</xdr:rowOff>
    </xdr:to>
    <xdr:pic>
      <xdr:nvPicPr>
        <xdr:cNvPr id="56" name="Picture 55">
          <a:extLst>
            <a:ext uri="{FF2B5EF4-FFF2-40B4-BE49-F238E27FC236}">
              <a16:creationId xmlns:a16="http://schemas.microsoft.com/office/drawing/2014/main" id="{C56E0081-A7C7-4DC7-9B2F-A08769D400ED}"/>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053550" y="488950"/>
          <a:ext cx="203200" cy="181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35598</xdr:colOff>
      <xdr:row>3</xdr:row>
      <xdr:rowOff>0</xdr:rowOff>
    </xdr:from>
    <xdr:to>
      <xdr:col>25</xdr:col>
      <xdr:colOff>234950</xdr:colOff>
      <xdr:row>3</xdr:row>
      <xdr:rowOff>177800</xdr:rowOff>
    </xdr:to>
    <xdr:pic>
      <xdr:nvPicPr>
        <xdr:cNvPr id="57" name="Picture 56">
          <a:extLst>
            <a:ext uri="{FF2B5EF4-FFF2-40B4-BE49-F238E27FC236}">
              <a16:creationId xmlns:a16="http://schemas.microsoft.com/office/drawing/2014/main" id="{4A9A7C97-2DB7-4644-93D2-613A44E6FDF7}"/>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666998" y="488950"/>
          <a:ext cx="199352"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88900</xdr:colOff>
      <xdr:row>3</xdr:row>
      <xdr:rowOff>12700</xdr:rowOff>
    </xdr:from>
    <xdr:to>
      <xdr:col>27</xdr:col>
      <xdr:colOff>666173</xdr:colOff>
      <xdr:row>3</xdr:row>
      <xdr:rowOff>139700</xdr:rowOff>
    </xdr:to>
    <xdr:pic>
      <xdr:nvPicPr>
        <xdr:cNvPr id="58" name="Picture 57">
          <a:extLst>
            <a:ext uri="{FF2B5EF4-FFF2-40B4-BE49-F238E27FC236}">
              <a16:creationId xmlns:a16="http://schemas.microsoft.com/office/drawing/2014/main" id="{113F6896-3C72-4007-A5D5-F36B638DBADF}"/>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117300" y="501650"/>
          <a:ext cx="577273" cy="12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63500</xdr:colOff>
      <xdr:row>3</xdr:row>
      <xdr:rowOff>6350</xdr:rowOff>
    </xdr:from>
    <xdr:to>
      <xdr:col>31</xdr:col>
      <xdr:colOff>488950</xdr:colOff>
      <xdr:row>3</xdr:row>
      <xdr:rowOff>146608</xdr:rowOff>
    </xdr:to>
    <xdr:pic>
      <xdr:nvPicPr>
        <xdr:cNvPr id="59" name="Picture 58">
          <a:extLst>
            <a:ext uri="{FF2B5EF4-FFF2-40B4-BE49-F238E27FC236}">
              <a16:creationId xmlns:a16="http://schemas.microsoft.com/office/drawing/2014/main" id="{8289328C-0A3F-4429-BA1D-C6E3BBBF01B5}"/>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717750" y="495300"/>
          <a:ext cx="425450" cy="140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69850</xdr:colOff>
      <xdr:row>17</xdr:row>
      <xdr:rowOff>0</xdr:rowOff>
    </xdr:from>
    <xdr:to>
      <xdr:col>6</xdr:col>
      <xdr:colOff>527050</xdr:colOff>
      <xdr:row>17</xdr:row>
      <xdr:rowOff>160059</xdr:rowOff>
    </xdr:to>
    <xdr:pic>
      <xdr:nvPicPr>
        <xdr:cNvPr id="60" name="Picture 59">
          <a:extLst>
            <a:ext uri="{FF2B5EF4-FFF2-40B4-BE49-F238E27FC236}">
              <a16:creationId xmlns:a16="http://schemas.microsoft.com/office/drawing/2014/main" id="{74E801D9-6805-402B-A1BF-4DB8CF75F89C}"/>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1450" y="2952750"/>
          <a:ext cx="457200" cy="160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17</xdr:row>
      <xdr:rowOff>6350</xdr:rowOff>
    </xdr:from>
    <xdr:to>
      <xdr:col>7</xdr:col>
      <xdr:colOff>577850</xdr:colOff>
      <xdr:row>17</xdr:row>
      <xdr:rowOff>161498</xdr:rowOff>
    </xdr:to>
    <xdr:pic>
      <xdr:nvPicPr>
        <xdr:cNvPr id="61" name="Picture 60">
          <a:extLst>
            <a:ext uri="{FF2B5EF4-FFF2-40B4-BE49-F238E27FC236}">
              <a16:creationId xmlns:a16="http://schemas.microsoft.com/office/drawing/2014/main" id="{1FAF8C79-9F08-4FA0-BF10-749C75576C77}"/>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29591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17</xdr:row>
      <xdr:rowOff>0</xdr:rowOff>
    </xdr:from>
    <xdr:to>
      <xdr:col>8</xdr:col>
      <xdr:colOff>533400</xdr:colOff>
      <xdr:row>17</xdr:row>
      <xdr:rowOff>154672</xdr:rowOff>
    </xdr:to>
    <xdr:pic>
      <xdr:nvPicPr>
        <xdr:cNvPr id="62" name="Picture 61">
          <a:extLst>
            <a:ext uri="{FF2B5EF4-FFF2-40B4-BE49-F238E27FC236}">
              <a16:creationId xmlns:a16="http://schemas.microsoft.com/office/drawing/2014/main" id="{D328AFB7-B0E2-4B39-81BE-8D740D18DA0B}"/>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29527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17</xdr:row>
      <xdr:rowOff>0</xdr:rowOff>
    </xdr:from>
    <xdr:to>
      <xdr:col>9</xdr:col>
      <xdr:colOff>546100</xdr:colOff>
      <xdr:row>17</xdr:row>
      <xdr:rowOff>162508</xdr:rowOff>
    </xdr:to>
    <xdr:pic>
      <xdr:nvPicPr>
        <xdr:cNvPr id="63" name="Picture 62">
          <a:extLst>
            <a:ext uri="{FF2B5EF4-FFF2-40B4-BE49-F238E27FC236}">
              <a16:creationId xmlns:a16="http://schemas.microsoft.com/office/drawing/2014/main" id="{340E55E7-4C84-4405-9D11-051194AD5821}"/>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29527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17</xdr:row>
      <xdr:rowOff>6350</xdr:rowOff>
    </xdr:from>
    <xdr:to>
      <xdr:col>10</xdr:col>
      <xdr:colOff>533400</xdr:colOff>
      <xdr:row>17</xdr:row>
      <xdr:rowOff>157185</xdr:rowOff>
    </xdr:to>
    <xdr:pic>
      <xdr:nvPicPr>
        <xdr:cNvPr id="64" name="Picture 63">
          <a:extLst>
            <a:ext uri="{FF2B5EF4-FFF2-40B4-BE49-F238E27FC236}">
              <a16:creationId xmlns:a16="http://schemas.microsoft.com/office/drawing/2014/main" id="{C0E5BD78-0AB1-4665-9306-624144B3B061}"/>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29591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17</xdr:row>
      <xdr:rowOff>6350</xdr:rowOff>
    </xdr:from>
    <xdr:to>
      <xdr:col>11</xdr:col>
      <xdr:colOff>857250</xdr:colOff>
      <xdr:row>17</xdr:row>
      <xdr:rowOff>161051</xdr:rowOff>
    </xdr:to>
    <xdr:pic>
      <xdr:nvPicPr>
        <xdr:cNvPr id="65" name="Picture 64">
          <a:extLst>
            <a:ext uri="{FF2B5EF4-FFF2-40B4-BE49-F238E27FC236}">
              <a16:creationId xmlns:a16="http://schemas.microsoft.com/office/drawing/2014/main" id="{18BEFC8B-140D-4F90-B65B-7B3F84D83F0B}"/>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29591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17</xdr:row>
      <xdr:rowOff>0</xdr:rowOff>
    </xdr:from>
    <xdr:to>
      <xdr:col>5</xdr:col>
      <xdr:colOff>196850</xdr:colOff>
      <xdr:row>17</xdr:row>
      <xdr:rowOff>148508</xdr:rowOff>
    </xdr:to>
    <xdr:pic>
      <xdr:nvPicPr>
        <xdr:cNvPr id="66" name="Picture 65">
          <a:extLst>
            <a:ext uri="{FF2B5EF4-FFF2-40B4-BE49-F238E27FC236}">
              <a16:creationId xmlns:a16="http://schemas.microsoft.com/office/drawing/2014/main" id="{734C6191-C324-45B4-8B49-719D1E795291}"/>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295275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17</xdr:row>
      <xdr:rowOff>0</xdr:rowOff>
    </xdr:from>
    <xdr:to>
      <xdr:col>12</xdr:col>
      <xdr:colOff>438150</xdr:colOff>
      <xdr:row>18</xdr:row>
      <xdr:rowOff>0</xdr:rowOff>
    </xdr:to>
    <xdr:pic>
      <xdr:nvPicPr>
        <xdr:cNvPr id="67" name="Picture 66">
          <a:extLst>
            <a:ext uri="{FF2B5EF4-FFF2-40B4-BE49-F238E27FC236}">
              <a16:creationId xmlns:a16="http://schemas.microsoft.com/office/drawing/2014/main" id="{7B644BC0-9C4C-419E-9088-2B58A9579763}"/>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591800" y="2952750"/>
          <a:ext cx="438150" cy="19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76200</xdr:colOff>
      <xdr:row>2</xdr:row>
      <xdr:rowOff>133350</xdr:rowOff>
    </xdr:from>
    <xdr:to>
      <xdr:col>6</xdr:col>
      <xdr:colOff>533400</xdr:colOff>
      <xdr:row>3</xdr:row>
      <xdr:rowOff>153709</xdr:rowOff>
    </xdr:to>
    <xdr:pic>
      <xdr:nvPicPr>
        <xdr:cNvPr id="2" name="Picture 1">
          <a:extLst>
            <a:ext uri="{FF2B5EF4-FFF2-40B4-BE49-F238E27FC236}">
              <a16:creationId xmlns:a16="http://schemas.microsoft.com/office/drawing/2014/main" id="{5FB2736D-E473-43FE-9A1F-00E8965557B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457200"/>
          <a:ext cx="457200" cy="1854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3</xdr:row>
      <xdr:rowOff>6350</xdr:rowOff>
    </xdr:from>
    <xdr:to>
      <xdr:col>7</xdr:col>
      <xdr:colOff>577850</xdr:colOff>
      <xdr:row>3</xdr:row>
      <xdr:rowOff>161498</xdr:rowOff>
    </xdr:to>
    <xdr:pic>
      <xdr:nvPicPr>
        <xdr:cNvPr id="3" name="Picture 2">
          <a:extLst>
            <a:ext uri="{FF2B5EF4-FFF2-40B4-BE49-F238E27FC236}">
              <a16:creationId xmlns:a16="http://schemas.microsoft.com/office/drawing/2014/main" id="{74118CED-6630-461B-B424-13312330A587}"/>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4953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2</xdr:row>
      <xdr:rowOff>152400</xdr:rowOff>
    </xdr:from>
    <xdr:to>
      <xdr:col>8</xdr:col>
      <xdr:colOff>533400</xdr:colOff>
      <xdr:row>3</xdr:row>
      <xdr:rowOff>154672</xdr:rowOff>
    </xdr:to>
    <xdr:pic>
      <xdr:nvPicPr>
        <xdr:cNvPr id="4" name="Picture 3">
          <a:extLst>
            <a:ext uri="{FF2B5EF4-FFF2-40B4-BE49-F238E27FC236}">
              <a16:creationId xmlns:a16="http://schemas.microsoft.com/office/drawing/2014/main" id="{B4DAB698-8B94-4013-9FC8-9188B34380D6}"/>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476250"/>
          <a:ext cx="463550" cy="167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3</xdr:row>
      <xdr:rowOff>0</xdr:rowOff>
    </xdr:from>
    <xdr:to>
      <xdr:col>9</xdr:col>
      <xdr:colOff>546100</xdr:colOff>
      <xdr:row>3</xdr:row>
      <xdr:rowOff>162508</xdr:rowOff>
    </xdr:to>
    <xdr:pic>
      <xdr:nvPicPr>
        <xdr:cNvPr id="5" name="Picture 4">
          <a:extLst>
            <a:ext uri="{FF2B5EF4-FFF2-40B4-BE49-F238E27FC236}">
              <a16:creationId xmlns:a16="http://schemas.microsoft.com/office/drawing/2014/main" id="{18806AD6-F725-41F5-B681-08B57CEBA4C3}"/>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4889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3</xdr:row>
      <xdr:rowOff>6350</xdr:rowOff>
    </xdr:from>
    <xdr:to>
      <xdr:col>10</xdr:col>
      <xdr:colOff>533400</xdr:colOff>
      <xdr:row>3</xdr:row>
      <xdr:rowOff>157185</xdr:rowOff>
    </xdr:to>
    <xdr:pic>
      <xdr:nvPicPr>
        <xdr:cNvPr id="6" name="Picture 5">
          <a:extLst>
            <a:ext uri="{FF2B5EF4-FFF2-40B4-BE49-F238E27FC236}">
              <a16:creationId xmlns:a16="http://schemas.microsoft.com/office/drawing/2014/main" id="{D48A06C4-F936-4D69-8E54-B604A54D5AA7}"/>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4953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3</xdr:row>
      <xdr:rowOff>6350</xdr:rowOff>
    </xdr:from>
    <xdr:to>
      <xdr:col>11</xdr:col>
      <xdr:colOff>857250</xdr:colOff>
      <xdr:row>3</xdr:row>
      <xdr:rowOff>161051</xdr:rowOff>
    </xdr:to>
    <xdr:pic>
      <xdr:nvPicPr>
        <xdr:cNvPr id="7" name="Picture 6">
          <a:extLst>
            <a:ext uri="{FF2B5EF4-FFF2-40B4-BE49-F238E27FC236}">
              <a16:creationId xmlns:a16="http://schemas.microsoft.com/office/drawing/2014/main" id="{E77A3F2B-10B1-4F75-9937-49BDF9AC6A33}"/>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4953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29826</xdr:colOff>
      <xdr:row>3</xdr:row>
      <xdr:rowOff>0</xdr:rowOff>
    </xdr:from>
    <xdr:to>
      <xdr:col>5</xdr:col>
      <xdr:colOff>196850</xdr:colOff>
      <xdr:row>3</xdr:row>
      <xdr:rowOff>177800</xdr:rowOff>
    </xdr:to>
    <xdr:pic>
      <xdr:nvPicPr>
        <xdr:cNvPr id="8" name="Picture 7">
          <a:extLst>
            <a:ext uri="{FF2B5EF4-FFF2-40B4-BE49-F238E27FC236}">
              <a16:creationId xmlns:a16="http://schemas.microsoft.com/office/drawing/2014/main" id="{E4F47044-CDEB-4870-9829-FE2563181BCF}"/>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04976" y="488950"/>
          <a:ext cx="167024"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69850</xdr:colOff>
      <xdr:row>31</xdr:row>
      <xdr:rowOff>0</xdr:rowOff>
    </xdr:from>
    <xdr:to>
      <xdr:col>6</xdr:col>
      <xdr:colOff>527050</xdr:colOff>
      <xdr:row>31</xdr:row>
      <xdr:rowOff>160059</xdr:rowOff>
    </xdr:to>
    <xdr:pic>
      <xdr:nvPicPr>
        <xdr:cNvPr id="10" name="Picture 9">
          <a:extLst>
            <a:ext uri="{FF2B5EF4-FFF2-40B4-BE49-F238E27FC236}">
              <a16:creationId xmlns:a16="http://schemas.microsoft.com/office/drawing/2014/main" id="{05D9D647-EC6B-451C-94F1-EDC78CA2045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1450" y="5219700"/>
          <a:ext cx="457200" cy="160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31</xdr:row>
      <xdr:rowOff>6350</xdr:rowOff>
    </xdr:from>
    <xdr:to>
      <xdr:col>7</xdr:col>
      <xdr:colOff>577850</xdr:colOff>
      <xdr:row>31</xdr:row>
      <xdr:rowOff>161498</xdr:rowOff>
    </xdr:to>
    <xdr:pic>
      <xdr:nvPicPr>
        <xdr:cNvPr id="11" name="Picture 10">
          <a:extLst>
            <a:ext uri="{FF2B5EF4-FFF2-40B4-BE49-F238E27FC236}">
              <a16:creationId xmlns:a16="http://schemas.microsoft.com/office/drawing/2014/main" id="{A5C3F563-68AD-42F0-A184-0C4DD6ACBF9C}"/>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52260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31</xdr:row>
      <xdr:rowOff>0</xdr:rowOff>
    </xdr:from>
    <xdr:to>
      <xdr:col>8</xdr:col>
      <xdr:colOff>533400</xdr:colOff>
      <xdr:row>31</xdr:row>
      <xdr:rowOff>154672</xdr:rowOff>
    </xdr:to>
    <xdr:pic>
      <xdr:nvPicPr>
        <xdr:cNvPr id="12" name="Picture 11">
          <a:extLst>
            <a:ext uri="{FF2B5EF4-FFF2-40B4-BE49-F238E27FC236}">
              <a16:creationId xmlns:a16="http://schemas.microsoft.com/office/drawing/2014/main" id="{DB9CDB35-E274-4C41-9BF5-03A97373839F}"/>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52197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31</xdr:row>
      <xdr:rowOff>0</xdr:rowOff>
    </xdr:from>
    <xdr:to>
      <xdr:col>9</xdr:col>
      <xdr:colOff>546100</xdr:colOff>
      <xdr:row>31</xdr:row>
      <xdr:rowOff>162508</xdr:rowOff>
    </xdr:to>
    <xdr:pic>
      <xdr:nvPicPr>
        <xdr:cNvPr id="13" name="Picture 12">
          <a:extLst>
            <a:ext uri="{FF2B5EF4-FFF2-40B4-BE49-F238E27FC236}">
              <a16:creationId xmlns:a16="http://schemas.microsoft.com/office/drawing/2014/main" id="{65D57376-AEB0-464D-B0D1-2A34FEB4D047}"/>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52197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31</xdr:row>
      <xdr:rowOff>6350</xdr:rowOff>
    </xdr:from>
    <xdr:to>
      <xdr:col>10</xdr:col>
      <xdr:colOff>533400</xdr:colOff>
      <xdr:row>31</xdr:row>
      <xdr:rowOff>157185</xdr:rowOff>
    </xdr:to>
    <xdr:pic>
      <xdr:nvPicPr>
        <xdr:cNvPr id="14" name="Picture 13">
          <a:extLst>
            <a:ext uri="{FF2B5EF4-FFF2-40B4-BE49-F238E27FC236}">
              <a16:creationId xmlns:a16="http://schemas.microsoft.com/office/drawing/2014/main" id="{08358C3D-84E1-41C2-8802-F1D19CD0136C}"/>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52260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31</xdr:row>
      <xdr:rowOff>6350</xdr:rowOff>
    </xdr:from>
    <xdr:to>
      <xdr:col>11</xdr:col>
      <xdr:colOff>857250</xdr:colOff>
      <xdr:row>31</xdr:row>
      <xdr:rowOff>161051</xdr:rowOff>
    </xdr:to>
    <xdr:pic>
      <xdr:nvPicPr>
        <xdr:cNvPr id="15" name="Picture 14">
          <a:extLst>
            <a:ext uri="{FF2B5EF4-FFF2-40B4-BE49-F238E27FC236}">
              <a16:creationId xmlns:a16="http://schemas.microsoft.com/office/drawing/2014/main" id="{AB1E6BFE-F88E-4531-AA91-3245B2955299}"/>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52260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31</xdr:row>
      <xdr:rowOff>0</xdr:rowOff>
    </xdr:from>
    <xdr:to>
      <xdr:col>5</xdr:col>
      <xdr:colOff>196850</xdr:colOff>
      <xdr:row>31</xdr:row>
      <xdr:rowOff>148508</xdr:rowOff>
    </xdr:to>
    <xdr:pic>
      <xdr:nvPicPr>
        <xdr:cNvPr id="16" name="Picture 15">
          <a:extLst>
            <a:ext uri="{FF2B5EF4-FFF2-40B4-BE49-F238E27FC236}">
              <a16:creationId xmlns:a16="http://schemas.microsoft.com/office/drawing/2014/main" id="{99AE3715-4415-43EF-B0BC-8B963B06CD42}"/>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521970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46</xdr:row>
      <xdr:rowOff>0</xdr:rowOff>
    </xdr:from>
    <xdr:to>
      <xdr:col>6</xdr:col>
      <xdr:colOff>533400</xdr:colOff>
      <xdr:row>46</xdr:row>
      <xdr:rowOff>153709</xdr:rowOff>
    </xdr:to>
    <xdr:pic>
      <xdr:nvPicPr>
        <xdr:cNvPr id="18" name="Picture 17">
          <a:extLst>
            <a:ext uri="{FF2B5EF4-FFF2-40B4-BE49-F238E27FC236}">
              <a16:creationId xmlns:a16="http://schemas.microsoft.com/office/drawing/2014/main" id="{94D94FE9-E88F-44EA-8697-D95824515619}"/>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748665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46</xdr:row>
      <xdr:rowOff>6350</xdr:rowOff>
    </xdr:from>
    <xdr:to>
      <xdr:col>7</xdr:col>
      <xdr:colOff>577850</xdr:colOff>
      <xdr:row>46</xdr:row>
      <xdr:rowOff>161498</xdr:rowOff>
    </xdr:to>
    <xdr:pic>
      <xdr:nvPicPr>
        <xdr:cNvPr id="19" name="Picture 18">
          <a:extLst>
            <a:ext uri="{FF2B5EF4-FFF2-40B4-BE49-F238E27FC236}">
              <a16:creationId xmlns:a16="http://schemas.microsoft.com/office/drawing/2014/main" id="{F2D8F67B-9F86-48B5-B18C-A9C78E3E45D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74930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46</xdr:row>
      <xdr:rowOff>0</xdr:rowOff>
    </xdr:from>
    <xdr:to>
      <xdr:col>8</xdr:col>
      <xdr:colOff>533400</xdr:colOff>
      <xdr:row>46</xdr:row>
      <xdr:rowOff>154672</xdr:rowOff>
    </xdr:to>
    <xdr:pic>
      <xdr:nvPicPr>
        <xdr:cNvPr id="20" name="Picture 19">
          <a:extLst>
            <a:ext uri="{FF2B5EF4-FFF2-40B4-BE49-F238E27FC236}">
              <a16:creationId xmlns:a16="http://schemas.microsoft.com/office/drawing/2014/main" id="{93FBCD5B-7CA9-4CE5-A154-B79DA1741B04}"/>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74866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46</xdr:row>
      <xdr:rowOff>0</xdr:rowOff>
    </xdr:from>
    <xdr:to>
      <xdr:col>9</xdr:col>
      <xdr:colOff>546100</xdr:colOff>
      <xdr:row>46</xdr:row>
      <xdr:rowOff>162508</xdr:rowOff>
    </xdr:to>
    <xdr:pic>
      <xdr:nvPicPr>
        <xdr:cNvPr id="21" name="Picture 20">
          <a:extLst>
            <a:ext uri="{FF2B5EF4-FFF2-40B4-BE49-F238E27FC236}">
              <a16:creationId xmlns:a16="http://schemas.microsoft.com/office/drawing/2014/main" id="{DA0EA54B-E16A-418F-BED3-B24A5A4FADD1}"/>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74866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46</xdr:row>
      <xdr:rowOff>6350</xdr:rowOff>
    </xdr:from>
    <xdr:to>
      <xdr:col>10</xdr:col>
      <xdr:colOff>533400</xdr:colOff>
      <xdr:row>46</xdr:row>
      <xdr:rowOff>157185</xdr:rowOff>
    </xdr:to>
    <xdr:pic>
      <xdr:nvPicPr>
        <xdr:cNvPr id="22" name="Picture 21">
          <a:extLst>
            <a:ext uri="{FF2B5EF4-FFF2-40B4-BE49-F238E27FC236}">
              <a16:creationId xmlns:a16="http://schemas.microsoft.com/office/drawing/2014/main" id="{84E04E08-A071-4A20-8E0D-4F84762D5D0C}"/>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74930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46</xdr:row>
      <xdr:rowOff>6350</xdr:rowOff>
    </xdr:from>
    <xdr:to>
      <xdr:col>11</xdr:col>
      <xdr:colOff>857250</xdr:colOff>
      <xdr:row>46</xdr:row>
      <xdr:rowOff>161051</xdr:rowOff>
    </xdr:to>
    <xdr:pic>
      <xdr:nvPicPr>
        <xdr:cNvPr id="23" name="Picture 22">
          <a:extLst>
            <a:ext uri="{FF2B5EF4-FFF2-40B4-BE49-F238E27FC236}">
              <a16:creationId xmlns:a16="http://schemas.microsoft.com/office/drawing/2014/main" id="{8498B198-98E1-44B5-82DC-89A424E11C2A}"/>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74930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50800</xdr:colOff>
      <xdr:row>46</xdr:row>
      <xdr:rowOff>0</xdr:rowOff>
    </xdr:from>
    <xdr:to>
      <xdr:col>5</xdr:col>
      <xdr:colOff>196850</xdr:colOff>
      <xdr:row>46</xdr:row>
      <xdr:rowOff>136627</xdr:rowOff>
    </xdr:to>
    <xdr:pic>
      <xdr:nvPicPr>
        <xdr:cNvPr id="24" name="Picture 23">
          <a:extLst>
            <a:ext uri="{FF2B5EF4-FFF2-40B4-BE49-F238E27FC236}">
              <a16:creationId xmlns:a16="http://schemas.microsoft.com/office/drawing/2014/main" id="{0D69E4DF-E5BB-4ACB-9196-B938C65B5514}"/>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25950" y="7486650"/>
          <a:ext cx="146050" cy="1366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61</xdr:row>
      <xdr:rowOff>0</xdr:rowOff>
    </xdr:from>
    <xdr:to>
      <xdr:col>6</xdr:col>
      <xdr:colOff>533400</xdr:colOff>
      <xdr:row>61</xdr:row>
      <xdr:rowOff>153709</xdr:rowOff>
    </xdr:to>
    <xdr:pic>
      <xdr:nvPicPr>
        <xdr:cNvPr id="26" name="Picture 25">
          <a:extLst>
            <a:ext uri="{FF2B5EF4-FFF2-40B4-BE49-F238E27FC236}">
              <a16:creationId xmlns:a16="http://schemas.microsoft.com/office/drawing/2014/main" id="{CE7C05E3-7CE9-4B5F-A234-3FBF1DBB28D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975360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61</xdr:row>
      <xdr:rowOff>6350</xdr:rowOff>
    </xdr:from>
    <xdr:to>
      <xdr:col>7</xdr:col>
      <xdr:colOff>577850</xdr:colOff>
      <xdr:row>61</xdr:row>
      <xdr:rowOff>161498</xdr:rowOff>
    </xdr:to>
    <xdr:pic>
      <xdr:nvPicPr>
        <xdr:cNvPr id="27" name="Picture 26">
          <a:extLst>
            <a:ext uri="{FF2B5EF4-FFF2-40B4-BE49-F238E27FC236}">
              <a16:creationId xmlns:a16="http://schemas.microsoft.com/office/drawing/2014/main" id="{FC68812B-A493-4968-B6F1-174740C86FF1}"/>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97599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61</xdr:row>
      <xdr:rowOff>0</xdr:rowOff>
    </xdr:from>
    <xdr:to>
      <xdr:col>8</xdr:col>
      <xdr:colOff>533400</xdr:colOff>
      <xdr:row>61</xdr:row>
      <xdr:rowOff>154672</xdr:rowOff>
    </xdr:to>
    <xdr:pic>
      <xdr:nvPicPr>
        <xdr:cNvPr id="28" name="Picture 27">
          <a:extLst>
            <a:ext uri="{FF2B5EF4-FFF2-40B4-BE49-F238E27FC236}">
              <a16:creationId xmlns:a16="http://schemas.microsoft.com/office/drawing/2014/main" id="{8BA7B063-A708-456C-A291-17721D45A6A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97536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61</xdr:row>
      <xdr:rowOff>0</xdr:rowOff>
    </xdr:from>
    <xdr:to>
      <xdr:col>9</xdr:col>
      <xdr:colOff>546100</xdr:colOff>
      <xdr:row>61</xdr:row>
      <xdr:rowOff>162508</xdr:rowOff>
    </xdr:to>
    <xdr:pic>
      <xdr:nvPicPr>
        <xdr:cNvPr id="29" name="Picture 28">
          <a:extLst>
            <a:ext uri="{FF2B5EF4-FFF2-40B4-BE49-F238E27FC236}">
              <a16:creationId xmlns:a16="http://schemas.microsoft.com/office/drawing/2014/main" id="{D56D0AE7-F05B-44F5-B43E-36FBCA369187}"/>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97536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61</xdr:row>
      <xdr:rowOff>6350</xdr:rowOff>
    </xdr:from>
    <xdr:to>
      <xdr:col>10</xdr:col>
      <xdr:colOff>533400</xdr:colOff>
      <xdr:row>61</xdr:row>
      <xdr:rowOff>157185</xdr:rowOff>
    </xdr:to>
    <xdr:pic>
      <xdr:nvPicPr>
        <xdr:cNvPr id="30" name="Picture 29">
          <a:extLst>
            <a:ext uri="{FF2B5EF4-FFF2-40B4-BE49-F238E27FC236}">
              <a16:creationId xmlns:a16="http://schemas.microsoft.com/office/drawing/2014/main" id="{74F99DA0-1483-4405-8C69-29F0B06144E6}"/>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97599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61</xdr:row>
      <xdr:rowOff>6350</xdr:rowOff>
    </xdr:from>
    <xdr:to>
      <xdr:col>11</xdr:col>
      <xdr:colOff>857250</xdr:colOff>
      <xdr:row>61</xdr:row>
      <xdr:rowOff>161051</xdr:rowOff>
    </xdr:to>
    <xdr:pic>
      <xdr:nvPicPr>
        <xdr:cNvPr id="31" name="Picture 30">
          <a:extLst>
            <a:ext uri="{FF2B5EF4-FFF2-40B4-BE49-F238E27FC236}">
              <a16:creationId xmlns:a16="http://schemas.microsoft.com/office/drawing/2014/main" id="{97887B56-DB9D-4E7E-AFA5-D6092EF0AA7A}"/>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97599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61</xdr:row>
      <xdr:rowOff>0</xdr:rowOff>
    </xdr:from>
    <xdr:to>
      <xdr:col>5</xdr:col>
      <xdr:colOff>196850</xdr:colOff>
      <xdr:row>61</xdr:row>
      <xdr:rowOff>148508</xdr:rowOff>
    </xdr:to>
    <xdr:pic>
      <xdr:nvPicPr>
        <xdr:cNvPr id="32" name="Picture 31">
          <a:extLst>
            <a:ext uri="{FF2B5EF4-FFF2-40B4-BE49-F238E27FC236}">
              <a16:creationId xmlns:a16="http://schemas.microsoft.com/office/drawing/2014/main" id="{8A16502C-DB89-46A4-AB25-4B480B6EF111}"/>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975360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75</xdr:row>
      <xdr:rowOff>0</xdr:rowOff>
    </xdr:from>
    <xdr:to>
      <xdr:col>6</xdr:col>
      <xdr:colOff>533400</xdr:colOff>
      <xdr:row>75</xdr:row>
      <xdr:rowOff>153709</xdr:rowOff>
    </xdr:to>
    <xdr:pic>
      <xdr:nvPicPr>
        <xdr:cNvPr id="34" name="Picture 33">
          <a:extLst>
            <a:ext uri="{FF2B5EF4-FFF2-40B4-BE49-F238E27FC236}">
              <a16:creationId xmlns:a16="http://schemas.microsoft.com/office/drawing/2014/main" id="{CEC8A439-6347-46F7-9182-E9D4DEF363AF}"/>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1202055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75</xdr:row>
      <xdr:rowOff>6350</xdr:rowOff>
    </xdr:from>
    <xdr:to>
      <xdr:col>7</xdr:col>
      <xdr:colOff>577850</xdr:colOff>
      <xdr:row>75</xdr:row>
      <xdr:rowOff>161498</xdr:rowOff>
    </xdr:to>
    <xdr:pic>
      <xdr:nvPicPr>
        <xdr:cNvPr id="35" name="Picture 34">
          <a:extLst>
            <a:ext uri="{FF2B5EF4-FFF2-40B4-BE49-F238E27FC236}">
              <a16:creationId xmlns:a16="http://schemas.microsoft.com/office/drawing/2014/main" id="{9796E973-E480-4B94-800E-E9BE6CFA6C79}"/>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120269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75</xdr:row>
      <xdr:rowOff>0</xdr:rowOff>
    </xdr:from>
    <xdr:to>
      <xdr:col>8</xdr:col>
      <xdr:colOff>533400</xdr:colOff>
      <xdr:row>75</xdr:row>
      <xdr:rowOff>154672</xdr:rowOff>
    </xdr:to>
    <xdr:pic>
      <xdr:nvPicPr>
        <xdr:cNvPr id="36" name="Picture 35">
          <a:extLst>
            <a:ext uri="{FF2B5EF4-FFF2-40B4-BE49-F238E27FC236}">
              <a16:creationId xmlns:a16="http://schemas.microsoft.com/office/drawing/2014/main" id="{0E86E9F4-D479-4881-844A-004812AC0177}"/>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120205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75</xdr:row>
      <xdr:rowOff>0</xdr:rowOff>
    </xdr:from>
    <xdr:to>
      <xdr:col>9</xdr:col>
      <xdr:colOff>546100</xdr:colOff>
      <xdr:row>75</xdr:row>
      <xdr:rowOff>162508</xdr:rowOff>
    </xdr:to>
    <xdr:pic>
      <xdr:nvPicPr>
        <xdr:cNvPr id="37" name="Picture 36">
          <a:extLst>
            <a:ext uri="{FF2B5EF4-FFF2-40B4-BE49-F238E27FC236}">
              <a16:creationId xmlns:a16="http://schemas.microsoft.com/office/drawing/2014/main" id="{8C316EDC-79C3-4C45-B086-D8B81A90DED7}"/>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120205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75</xdr:row>
      <xdr:rowOff>6350</xdr:rowOff>
    </xdr:from>
    <xdr:to>
      <xdr:col>10</xdr:col>
      <xdr:colOff>533400</xdr:colOff>
      <xdr:row>75</xdr:row>
      <xdr:rowOff>157185</xdr:rowOff>
    </xdr:to>
    <xdr:pic>
      <xdr:nvPicPr>
        <xdr:cNvPr id="38" name="Picture 37">
          <a:extLst>
            <a:ext uri="{FF2B5EF4-FFF2-40B4-BE49-F238E27FC236}">
              <a16:creationId xmlns:a16="http://schemas.microsoft.com/office/drawing/2014/main" id="{E03474B6-D0AA-4018-9344-0357AD17BB28}"/>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120269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75</xdr:row>
      <xdr:rowOff>6350</xdr:rowOff>
    </xdr:from>
    <xdr:to>
      <xdr:col>11</xdr:col>
      <xdr:colOff>857250</xdr:colOff>
      <xdr:row>75</xdr:row>
      <xdr:rowOff>161051</xdr:rowOff>
    </xdr:to>
    <xdr:pic>
      <xdr:nvPicPr>
        <xdr:cNvPr id="39" name="Picture 38">
          <a:extLst>
            <a:ext uri="{FF2B5EF4-FFF2-40B4-BE49-F238E27FC236}">
              <a16:creationId xmlns:a16="http://schemas.microsoft.com/office/drawing/2014/main" id="{D0A31E05-1CE1-4CDB-A98B-DC9E153428C9}"/>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120269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75</xdr:row>
      <xdr:rowOff>0</xdr:rowOff>
    </xdr:from>
    <xdr:to>
      <xdr:col>5</xdr:col>
      <xdr:colOff>196850</xdr:colOff>
      <xdr:row>75</xdr:row>
      <xdr:rowOff>148508</xdr:rowOff>
    </xdr:to>
    <xdr:pic>
      <xdr:nvPicPr>
        <xdr:cNvPr id="40" name="Picture 39">
          <a:extLst>
            <a:ext uri="{FF2B5EF4-FFF2-40B4-BE49-F238E27FC236}">
              <a16:creationId xmlns:a16="http://schemas.microsoft.com/office/drawing/2014/main" id="{DA692CB8-33D5-4215-9036-2802342368EF}"/>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1202055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89</xdr:row>
      <xdr:rowOff>0</xdr:rowOff>
    </xdr:from>
    <xdr:to>
      <xdr:col>6</xdr:col>
      <xdr:colOff>533400</xdr:colOff>
      <xdr:row>89</xdr:row>
      <xdr:rowOff>153709</xdr:rowOff>
    </xdr:to>
    <xdr:pic>
      <xdr:nvPicPr>
        <xdr:cNvPr id="42" name="Picture 41">
          <a:extLst>
            <a:ext uri="{FF2B5EF4-FFF2-40B4-BE49-F238E27FC236}">
              <a16:creationId xmlns:a16="http://schemas.microsoft.com/office/drawing/2014/main" id="{B0A5E5AB-3D3D-4663-ADDF-44FDA4B2E4C5}"/>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1428750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89</xdr:row>
      <xdr:rowOff>6350</xdr:rowOff>
    </xdr:from>
    <xdr:to>
      <xdr:col>7</xdr:col>
      <xdr:colOff>577850</xdr:colOff>
      <xdr:row>89</xdr:row>
      <xdr:rowOff>161498</xdr:rowOff>
    </xdr:to>
    <xdr:pic>
      <xdr:nvPicPr>
        <xdr:cNvPr id="43" name="Picture 42">
          <a:extLst>
            <a:ext uri="{FF2B5EF4-FFF2-40B4-BE49-F238E27FC236}">
              <a16:creationId xmlns:a16="http://schemas.microsoft.com/office/drawing/2014/main" id="{5B1364EB-6C7C-41C6-A07A-A10AA06B8141}"/>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142938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89</xdr:row>
      <xdr:rowOff>0</xdr:rowOff>
    </xdr:from>
    <xdr:to>
      <xdr:col>8</xdr:col>
      <xdr:colOff>533400</xdr:colOff>
      <xdr:row>89</xdr:row>
      <xdr:rowOff>154672</xdr:rowOff>
    </xdr:to>
    <xdr:pic>
      <xdr:nvPicPr>
        <xdr:cNvPr id="44" name="Picture 43">
          <a:extLst>
            <a:ext uri="{FF2B5EF4-FFF2-40B4-BE49-F238E27FC236}">
              <a16:creationId xmlns:a16="http://schemas.microsoft.com/office/drawing/2014/main" id="{9DDEE5DF-D833-4F3D-B058-0BF323026596}"/>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142875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89</xdr:row>
      <xdr:rowOff>0</xdr:rowOff>
    </xdr:from>
    <xdr:to>
      <xdr:col>9</xdr:col>
      <xdr:colOff>546100</xdr:colOff>
      <xdr:row>89</xdr:row>
      <xdr:rowOff>162508</xdr:rowOff>
    </xdr:to>
    <xdr:pic>
      <xdr:nvPicPr>
        <xdr:cNvPr id="45" name="Picture 44">
          <a:extLst>
            <a:ext uri="{FF2B5EF4-FFF2-40B4-BE49-F238E27FC236}">
              <a16:creationId xmlns:a16="http://schemas.microsoft.com/office/drawing/2014/main" id="{56B04CC1-013C-4EA0-96AE-1F9B4105150F}"/>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142875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89</xdr:row>
      <xdr:rowOff>6350</xdr:rowOff>
    </xdr:from>
    <xdr:to>
      <xdr:col>10</xdr:col>
      <xdr:colOff>533400</xdr:colOff>
      <xdr:row>89</xdr:row>
      <xdr:rowOff>157185</xdr:rowOff>
    </xdr:to>
    <xdr:pic>
      <xdr:nvPicPr>
        <xdr:cNvPr id="46" name="Picture 45">
          <a:extLst>
            <a:ext uri="{FF2B5EF4-FFF2-40B4-BE49-F238E27FC236}">
              <a16:creationId xmlns:a16="http://schemas.microsoft.com/office/drawing/2014/main" id="{FD9D28D0-404E-4289-9C28-986E7EAD0504}"/>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142938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89</xdr:row>
      <xdr:rowOff>6350</xdr:rowOff>
    </xdr:from>
    <xdr:to>
      <xdr:col>11</xdr:col>
      <xdr:colOff>857250</xdr:colOff>
      <xdr:row>89</xdr:row>
      <xdr:rowOff>161051</xdr:rowOff>
    </xdr:to>
    <xdr:pic>
      <xdr:nvPicPr>
        <xdr:cNvPr id="47" name="Picture 46">
          <a:extLst>
            <a:ext uri="{FF2B5EF4-FFF2-40B4-BE49-F238E27FC236}">
              <a16:creationId xmlns:a16="http://schemas.microsoft.com/office/drawing/2014/main" id="{2F93C32E-3CA7-4976-AFD0-A7DA508620F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142938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57150</xdr:colOff>
      <xdr:row>89</xdr:row>
      <xdr:rowOff>0</xdr:rowOff>
    </xdr:from>
    <xdr:to>
      <xdr:col>5</xdr:col>
      <xdr:colOff>196850</xdr:colOff>
      <xdr:row>89</xdr:row>
      <xdr:rowOff>130687</xdr:rowOff>
    </xdr:to>
    <xdr:pic>
      <xdr:nvPicPr>
        <xdr:cNvPr id="48" name="Picture 47">
          <a:extLst>
            <a:ext uri="{FF2B5EF4-FFF2-40B4-BE49-F238E27FC236}">
              <a16:creationId xmlns:a16="http://schemas.microsoft.com/office/drawing/2014/main" id="{5F2FC3BD-3BDD-471A-8018-678F72EEDA6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32300" y="14287500"/>
          <a:ext cx="139700" cy="130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38100</xdr:colOff>
      <xdr:row>3</xdr:row>
      <xdr:rowOff>0</xdr:rowOff>
    </xdr:from>
    <xdr:to>
      <xdr:col>17</xdr:col>
      <xdr:colOff>165100</xdr:colOff>
      <xdr:row>3</xdr:row>
      <xdr:rowOff>146538</xdr:rowOff>
    </xdr:to>
    <xdr:pic>
      <xdr:nvPicPr>
        <xdr:cNvPr id="50" name="Picture 49">
          <a:extLst>
            <a:ext uri="{FF2B5EF4-FFF2-40B4-BE49-F238E27FC236}">
              <a16:creationId xmlns:a16="http://schemas.microsoft.com/office/drawing/2014/main" id="{EC3237E8-AC9B-4192-B83E-98DF8A9FFC83}"/>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601950" y="488950"/>
          <a:ext cx="127000" cy="146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49530</xdr:colOff>
      <xdr:row>3</xdr:row>
      <xdr:rowOff>0</xdr:rowOff>
    </xdr:from>
    <xdr:to>
      <xdr:col>18</xdr:col>
      <xdr:colOff>165100</xdr:colOff>
      <xdr:row>3</xdr:row>
      <xdr:rowOff>133350</xdr:rowOff>
    </xdr:to>
    <xdr:pic>
      <xdr:nvPicPr>
        <xdr:cNvPr id="51" name="Picture 50">
          <a:extLst>
            <a:ext uri="{FF2B5EF4-FFF2-40B4-BE49-F238E27FC236}">
              <a16:creationId xmlns:a16="http://schemas.microsoft.com/office/drawing/2014/main" id="{9C853D86-858D-43F0-A6DA-E4E8C3F976A4}"/>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597630" y="488950"/>
          <a:ext cx="115570"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101600</xdr:colOff>
      <xdr:row>3</xdr:row>
      <xdr:rowOff>19050</xdr:rowOff>
    </xdr:from>
    <xdr:to>
      <xdr:col>20</xdr:col>
      <xdr:colOff>615950</xdr:colOff>
      <xdr:row>3</xdr:row>
      <xdr:rowOff>150935</xdr:rowOff>
    </xdr:to>
    <xdr:pic>
      <xdr:nvPicPr>
        <xdr:cNvPr id="52" name="Picture 51">
          <a:extLst>
            <a:ext uri="{FF2B5EF4-FFF2-40B4-BE49-F238E27FC236}">
              <a16:creationId xmlns:a16="http://schemas.microsoft.com/office/drawing/2014/main" id="{B07F6A30-4B21-41B8-99F6-A7106D74FC38}"/>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776950" y="508000"/>
          <a:ext cx="514350" cy="131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28864</xdr:colOff>
      <xdr:row>3</xdr:row>
      <xdr:rowOff>0</xdr:rowOff>
    </xdr:from>
    <xdr:to>
      <xdr:col>21</xdr:col>
      <xdr:colOff>158750</xdr:colOff>
      <xdr:row>3</xdr:row>
      <xdr:rowOff>171450</xdr:rowOff>
    </xdr:to>
    <xdr:pic>
      <xdr:nvPicPr>
        <xdr:cNvPr id="53" name="Picture 52">
          <a:extLst>
            <a:ext uri="{FF2B5EF4-FFF2-40B4-BE49-F238E27FC236}">
              <a16:creationId xmlns:a16="http://schemas.microsoft.com/office/drawing/2014/main" id="{262ACCB7-364E-4648-B7C4-43E7136240AC}"/>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383664" y="488950"/>
          <a:ext cx="129886"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43294</xdr:colOff>
      <xdr:row>3</xdr:row>
      <xdr:rowOff>0</xdr:rowOff>
    </xdr:from>
    <xdr:to>
      <xdr:col>22</xdr:col>
      <xdr:colOff>158749</xdr:colOff>
      <xdr:row>3</xdr:row>
      <xdr:rowOff>152400</xdr:rowOff>
    </xdr:to>
    <xdr:pic>
      <xdr:nvPicPr>
        <xdr:cNvPr id="54" name="Picture 53">
          <a:extLst>
            <a:ext uri="{FF2B5EF4-FFF2-40B4-BE49-F238E27FC236}">
              <a16:creationId xmlns:a16="http://schemas.microsoft.com/office/drawing/2014/main" id="{FE28C5AD-C047-474C-AD77-B2F7DEEB2606}"/>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007694" y="488950"/>
          <a:ext cx="11545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76200</xdr:colOff>
      <xdr:row>3</xdr:row>
      <xdr:rowOff>0</xdr:rowOff>
    </xdr:from>
    <xdr:to>
      <xdr:col>24</xdr:col>
      <xdr:colOff>533400</xdr:colOff>
      <xdr:row>3</xdr:row>
      <xdr:rowOff>139700</xdr:rowOff>
    </xdr:to>
    <xdr:pic>
      <xdr:nvPicPr>
        <xdr:cNvPr id="55" name="Picture 54">
          <a:extLst>
            <a:ext uri="{FF2B5EF4-FFF2-40B4-BE49-F238E27FC236}">
              <a16:creationId xmlns:a16="http://schemas.microsoft.com/office/drawing/2014/main" id="{4EE2FF1B-1761-4A83-A07C-91829B598B91}"/>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488400" y="488950"/>
          <a:ext cx="457200" cy="13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31750</xdr:colOff>
      <xdr:row>3</xdr:row>
      <xdr:rowOff>0</xdr:rowOff>
    </xdr:from>
    <xdr:to>
      <xdr:col>25</xdr:col>
      <xdr:colOff>234950</xdr:colOff>
      <xdr:row>3</xdr:row>
      <xdr:rowOff>181232</xdr:rowOff>
    </xdr:to>
    <xdr:pic>
      <xdr:nvPicPr>
        <xdr:cNvPr id="56" name="Picture 55">
          <a:extLst>
            <a:ext uri="{FF2B5EF4-FFF2-40B4-BE49-F238E27FC236}">
              <a16:creationId xmlns:a16="http://schemas.microsoft.com/office/drawing/2014/main" id="{00C26984-CB00-464D-AA28-A4CC00BDD6FB}"/>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053550" y="488950"/>
          <a:ext cx="203200" cy="181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35598</xdr:colOff>
      <xdr:row>3</xdr:row>
      <xdr:rowOff>0</xdr:rowOff>
    </xdr:from>
    <xdr:to>
      <xdr:col>26</xdr:col>
      <xdr:colOff>234950</xdr:colOff>
      <xdr:row>3</xdr:row>
      <xdr:rowOff>177800</xdr:rowOff>
    </xdr:to>
    <xdr:pic>
      <xdr:nvPicPr>
        <xdr:cNvPr id="57" name="Picture 56">
          <a:extLst>
            <a:ext uri="{FF2B5EF4-FFF2-40B4-BE49-F238E27FC236}">
              <a16:creationId xmlns:a16="http://schemas.microsoft.com/office/drawing/2014/main" id="{8307B034-4D1C-4BE4-8C46-2D81F64BC6D7}"/>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666998" y="488950"/>
          <a:ext cx="199352"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88900</xdr:colOff>
      <xdr:row>3</xdr:row>
      <xdr:rowOff>12700</xdr:rowOff>
    </xdr:from>
    <xdr:to>
      <xdr:col>28</xdr:col>
      <xdr:colOff>666173</xdr:colOff>
      <xdr:row>3</xdr:row>
      <xdr:rowOff>139700</xdr:rowOff>
    </xdr:to>
    <xdr:pic>
      <xdr:nvPicPr>
        <xdr:cNvPr id="58" name="Picture 57">
          <a:extLst>
            <a:ext uri="{FF2B5EF4-FFF2-40B4-BE49-F238E27FC236}">
              <a16:creationId xmlns:a16="http://schemas.microsoft.com/office/drawing/2014/main" id="{D3850D7C-8BDA-4754-B775-10F91E36CB68}"/>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117300" y="501650"/>
          <a:ext cx="577273" cy="12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32</xdr:col>
      <xdr:colOff>63500</xdr:colOff>
      <xdr:row>3</xdr:row>
      <xdr:rowOff>6350</xdr:rowOff>
    </xdr:from>
    <xdr:to>
      <xdr:col>32</xdr:col>
      <xdr:colOff>488950</xdr:colOff>
      <xdr:row>3</xdr:row>
      <xdr:rowOff>146608</xdr:rowOff>
    </xdr:to>
    <xdr:pic>
      <xdr:nvPicPr>
        <xdr:cNvPr id="59" name="Picture 58">
          <a:extLst>
            <a:ext uri="{FF2B5EF4-FFF2-40B4-BE49-F238E27FC236}">
              <a16:creationId xmlns:a16="http://schemas.microsoft.com/office/drawing/2014/main" id="{638FB3E8-445B-44C3-AB39-E93C3819D861}"/>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717750" y="495300"/>
          <a:ext cx="425450" cy="140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69850</xdr:colOff>
      <xdr:row>17</xdr:row>
      <xdr:rowOff>0</xdr:rowOff>
    </xdr:from>
    <xdr:to>
      <xdr:col>6</xdr:col>
      <xdr:colOff>527050</xdr:colOff>
      <xdr:row>17</xdr:row>
      <xdr:rowOff>160059</xdr:rowOff>
    </xdr:to>
    <xdr:pic>
      <xdr:nvPicPr>
        <xdr:cNvPr id="60" name="Picture 59">
          <a:extLst>
            <a:ext uri="{FF2B5EF4-FFF2-40B4-BE49-F238E27FC236}">
              <a16:creationId xmlns:a16="http://schemas.microsoft.com/office/drawing/2014/main" id="{5A33E14B-A8B6-4AA1-95FA-203220CC5015}"/>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1450" y="2952750"/>
          <a:ext cx="457200" cy="160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17</xdr:row>
      <xdr:rowOff>6350</xdr:rowOff>
    </xdr:from>
    <xdr:to>
      <xdr:col>7</xdr:col>
      <xdr:colOff>577850</xdr:colOff>
      <xdr:row>17</xdr:row>
      <xdr:rowOff>161498</xdr:rowOff>
    </xdr:to>
    <xdr:pic>
      <xdr:nvPicPr>
        <xdr:cNvPr id="61" name="Picture 60">
          <a:extLst>
            <a:ext uri="{FF2B5EF4-FFF2-40B4-BE49-F238E27FC236}">
              <a16:creationId xmlns:a16="http://schemas.microsoft.com/office/drawing/2014/main" id="{EFC8F701-9E85-4344-955D-27040F468F4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29591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17</xdr:row>
      <xdr:rowOff>0</xdr:rowOff>
    </xdr:from>
    <xdr:to>
      <xdr:col>8</xdr:col>
      <xdr:colOff>533400</xdr:colOff>
      <xdr:row>17</xdr:row>
      <xdr:rowOff>154672</xdr:rowOff>
    </xdr:to>
    <xdr:pic>
      <xdr:nvPicPr>
        <xdr:cNvPr id="62" name="Picture 61">
          <a:extLst>
            <a:ext uri="{FF2B5EF4-FFF2-40B4-BE49-F238E27FC236}">
              <a16:creationId xmlns:a16="http://schemas.microsoft.com/office/drawing/2014/main" id="{C86EB964-EAC1-4F53-ADC6-6A9E7446B3B8}"/>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29527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17</xdr:row>
      <xdr:rowOff>0</xdr:rowOff>
    </xdr:from>
    <xdr:to>
      <xdr:col>9</xdr:col>
      <xdr:colOff>546100</xdr:colOff>
      <xdr:row>17</xdr:row>
      <xdr:rowOff>162508</xdr:rowOff>
    </xdr:to>
    <xdr:pic>
      <xdr:nvPicPr>
        <xdr:cNvPr id="63" name="Picture 62">
          <a:extLst>
            <a:ext uri="{FF2B5EF4-FFF2-40B4-BE49-F238E27FC236}">
              <a16:creationId xmlns:a16="http://schemas.microsoft.com/office/drawing/2014/main" id="{BFE8617F-6A57-427F-8B19-439E76EC2CF7}"/>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29527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17</xdr:row>
      <xdr:rowOff>6350</xdr:rowOff>
    </xdr:from>
    <xdr:to>
      <xdr:col>10</xdr:col>
      <xdr:colOff>533400</xdr:colOff>
      <xdr:row>17</xdr:row>
      <xdr:rowOff>157185</xdr:rowOff>
    </xdr:to>
    <xdr:pic>
      <xdr:nvPicPr>
        <xdr:cNvPr id="64" name="Picture 63">
          <a:extLst>
            <a:ext uri="{FF2B5EF4-FFF2-40B4-BE49-F238E27FC236}">
              <a16:creationId xmlns:a16="http://schemas.microsoft.com/office/drawing/2014/main" id="{315C9CA9-6C1C-4193-A56F-C9C1A7CB8411}"/>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29591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17</xdr:row>
      <xdr:rowOff>6350</xdr:rowOff>
    </xdr:from>
    <xdr:to>
      <xdr:col>11</xdr:col>
      <xdr:colOff>857250</xdr:colOff>
      <xdr:row>17</xdr:row>
      <xdr:rowOff>161051</xdr:rowOff>
    </xdr:to>
    <xdr:pic>
      <xdr:nvPicPr>
        <xdr:cNvPr id="65" name="Picture 64">
          <a:extLst>
            <a:ext uri="{FF2B5EF4-FFF2-40B4-BE49-F238E27FC236}">
              <a16:creationId xmlns:a16="http://schemas.microsoft.com/office/drawing/2014/main" id="{BD1362F4-1B4C-41D3-89AD-3DF2F1779755}"/>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29591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17</xdr:row>
      <xdr:rowOff>0</xdr:rowOff>
    </xdr:from>
    <xdr:to>
      <xdr:col>5</xdr:col>
      <xdr:colOff>196850</xdr:colOff>
      <xdr:row>17</xdr:row>
      <xdr:rowOff>148508</xdr:rowOff>
    </xdr:to>
    <xdr:pic>
      <xdr:nvPicPr>
        <xdr:cNvPr id="66" name="Picture 65">
          <a:extLst>
            <a:ext uri="{FF2B5EF4-FFF2-40B4-BE49-F238E27FC236}">
              <a16:creationId xmlns:a16="http://schemas.microsoft.com/office/drawing/2014/main" id="{3CED7E32-2C6E-4D7C-A884-BEA81ED509D5}"/>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295275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76200</xdr:colOff>
      <xdr:row>2</xdr:row>
      <xdr:rowOff>133350</xdr:rowOff>
    </xdr:from>
    <xdr:to>
      <xdr:col>6</xdr:col>
      <xdr:colOff>533400</xdr:colOff>
      <xdr:row>3</xdr:row>
      <xdr:rowOff>153709</xdr:rowOff>
    </xdr:to>
    <xdr:pic>
      <xdr:nvPicPr>
        <xdr:cNvPr id="2" name="Picture 1">
          <a:extLst>
            <a:ext uri="{FF2B5EF4-FFF2-40B4-BE49-F238E27FC236}">
              <a16:creationId xmlns:a16="http://schemas.microsoft.com/office/drawing/2014/main" id="{4396B6BC-D6B6-4DE0-B03F-4C2560929EA9}"/>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457200"/>
          <a:ext cx="457200" cy="1854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3</xdr:row>
      <xdr:rowOff>6350</xdr:rowOff>
    </xdr:from>
    <xdr:to>
      <xdr:col>7</xdr:col>
      <xdr:colOff>577850</xdr:colOff>
      <xdr:row>3</xdr:row>
      <xdr:rowOff>161498</xdr:rowOff>
    </xdr:to>
    <xdr:pic>
      <xdr:nvPicPr>
        <xdr:cNvPr id="3" name="Picture 2">
          <a:extLst>
            <a:ext uri="{FF2B5EF4-FFF2-40B4-BE49-F238E27FC236}">
              <a16:creationId xmlns:a16="http://schemas.microsoft.com/office/drawing/2014/main" id="{DF1EA09F-1ADD-4C70-8C33-4663D5E6A33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4953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2</xdr:row>
      <xdr:rowOff>152400</xdr:rowOff>
    </xdr:from>
    <xdr:to>
      <xdr:col>8</xdr:col>
      <xdr:colOff>533400</xdr:colOff>
      <xdr:row>3</xdr:row>
      <xdr:rowOff>154672</xdr:rowOff>
    </xdr:to>
    <xdr:pic>
      <xdr:nvPicPr>
        <xdr:cNvPr id="4" name="Picture 3">
          <a:extLst>
            <a:ext uri="{FF2B5EF4-FFF2-40B4-BE49-F238E27FC236}">
              <a16:creationId xmlns:a16="http://schemas.microsoft.com/office/drawing/2014/main" id="{349254F2-40C0-47F7-A573-37E55A702C6F}"/>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476250"/>
          <a:ext cx="463550" cy="167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3</xdr:row>
      <xdr:rowOff>0</xdr:rowOff>
    </xdr:from>
    <xdr:to>
      <xdr:col>9</xdr:col>
      <xdr:colOff>546100</xdr:colOff>
      <xdr:row>3</xdr:row>
      <xdr:rowOff>162508</xdr:rowOff>
    </xdr:to>
    <xdr:pic>
      <xdr:nvPicPr>
        <xdr:cNvPr id="5" name="Picture 4">
          <a:extLst>
            <a:ext uri="{FF2B5EF4-FFF2-40B4-BE49-F238E27FC236}">
              <a16:creationId xmlns:a16="http://schemas.microsoft.com/office/drawing/2014/main" id="{30B4A25A-B443-484F-99AF-74DEB60DDE5F}"/>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4889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3</xdr:row>
      <xdr:rowOff>6350</xdr:rowOff>
    </xdr:from>
    <xdr:to>
      <xdr:col>10</xdr:col>
      <xdr:colOff>533400</xdr:colOff>
      <xdr:row>3</xdr:row>
      <xdr:rowOff>157185</xdr:rowOff>
    </xdr:to>
    <xdr:pic>
      <xdr:nvPicPr>
        <xdr:cNvPr id="6" name="Picture 5">
          <a:extLst>
            <a:ext uri="{FF2B5EF4-FFF2-40B4-BE49-F238E27FC236}">
              <a16:creationId xmlns:a16="http://schemas.microsoft.com/office/drawing/2014/main" id="{A4F6E8C0-B3E4-4C24-8689-39C6F9D6E290}"/>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4953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3</xdr:row>
      <xdr:rowOff>6350</xdr:rowOff>
    </xdr:from>
    <xdr:to>
      <xdr:col>11</xdr:col>
      <xdr:colOff>857250</xdr:colOff>
      <xdr:row>3</xdr:row>
      <xdr:rowOff>161051</xdr:rowOff>
    </xdr:to>
    <xdr:pic>
      <xdr:nvPicPr>
        <xdr:cNvPr id="7" name="Picture 6">
          <a:extLst>
            <a:ext uri="{FF2B5EF4-FFF2-40B4-BE49-F238E27FC236}">
              <a16:creationId xmlns:a16="http://schemas.microsoft.com/office/drawing/2014/main" id="{D8067E6D-AE67-4B1A-884A-39B2D8D0BFE4}"/>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4953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29826</xdr:colOff>
      <xdr:row>3</xdr:row>
      <xdr:rowOff>0</xdr:rowOff>
    </xdr:from>
    <xdr:to>
      <xdr:col>5</xdr:col>
      <xdr:colOff>196850</xdr:colOff>
      <xdr:row>3</xdr:row>
      <xdr:rowOff>177800</xdr:rowOff>
    </xdr:to>
    <xdr:pic>
      <xdr:nvPicPr>
        <xdr:cNvPr id="8" name="Picture 7">
          <a:extLst>
            <a:ext uri="{FF2B5EF4-FFF2-40B4-BE49-F238E27FC236}">
              <a16:creationId xmlns:a16="http://schemas.microsoft.com/office/drawing/2014/main" id="{C0319C2A-48E1-41A0-8520-6BA350288A03}"/>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04976" y="488950"/>
          <a:ext cx="167024"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69850</xdr:colOff>
      <xdr:row>31</xdr:row>
      <xdr:rowOff>0</xdr:rowOff>
    </xdr:from>
    <xdr:to>
      <xdr:col>6</xdr:col>
      <xdr:colOff>527050</xdr:colOff>
      <xdr:row>31</xdr:row>
      <xdr:rowOff>160059</xdr:rowOff>
    </xdr:to>
    <xdr:pic>
      <xdr:nvPicPr>
        <xdr:cNvPr id="9" name="Picture 8">
          <a:extLst>
            <a:ext uri="{FF2B5EF4-FFF2-40B4-BE49-F238E27FC236}">
              <a16:creationId xmlns:a16="http://schemas.microsoft.com/office/drawing/2014/main" id="{53294A26-4ABC-4766-A303-6C50B82FF85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1450" y="5219700"/>
          <a:ext cx="457200" cy="160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31</xdr:row>
      <xdr:rowOff>6350</xdr:rowOff>
    </xdr:from>
    <xdr:to>
      <xdr:col>7</xdr:col>
      <xdr:colOff>577850</xdr:colOff>
      <xdr:row>31</xdr:row>
      <xdr:rowOff>161498</xdr:rowOff>
    </xdr:to>
    <xdr:pic>
      <xdr:nvPicPr>
        <xdr:cNvPr id="10" name="Picture 9">
          <a:extLst>
            <a:ext uri="{FF2B5EF4-FFF2-40B4-BE49-F238E27FC236}">
              <a16:creationId xmlns:a16="http://schemas.microsoft.com/office/drawing/2014/main" id="{96CB1460-BEED-4261-AA79-EA6EB39DB6DF}"/>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52260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31</xdr:row>
      <xdr:rowOff>0</xdr:rowOff>
    </xdr:from>
    <xdr:to>
      <xdr:col>8</xdr:col>
      <xdr:colOff>533400</xdr:colOff>
      <xdr:row>31</xdr:row>
      <xdr:rowOff>154672</xdr:rowOff>
    </xdr:to>
    <xdr:pic>
      <xdr:nvPicPr>
        <xdr:cNvPr id="11" name="Picture 10">
          <a:extLst>
            <a:ext uri="{FF2B5EF4-FFF2-40B4-BE49-F238E27FC236}">
              <a16:creationId xmlns:a16="http://schemas.microsoft.com/office/drawing/2014/main" id="{849FFD4F-9C7D-47FF-A081-1A796DEC41E3}"/>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52197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31</xdr:row>
      <xdr:rowOff>0</xdr:rowOff>
    </xdr:from>
    <xdr:to>
      <xdr:col>9</xdr:col>
      <xdr:colOff>546100</xdr:colOff>
      <xdr:row>31</xdr:row>
      <xdr:rowOff>162508</xdr:rowOff>
    </xdr:to>
    <xdr:pic>
      <xdr:nvPicPr>
        <xdr:cNvPr id="12" name="Picture 11">
          <a:extLst>
            <a:ext uri="{FF2B5EF4-FFF2-40B4-BE49-F238E27FC236}">
              <a16:creationId xmlns:a16="http://schemas.microsoft.com/office/drawing/2014/main" id="{3CEE717C-634C-40E5-AC73-8B8B7F56991D}"/>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52197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31</xdr:row>
      <xdr:rowOff>6350</xdr:rowOff>
    </xdr:from>
    <xdr:to>
      <xdr:col>10</xdr:col>
      <xdr:colOff>533400</xdr:colOff>
      <xdr:row>31</xdr:row>
      <xdr:rowOff>157185</xdr:rowOff>
    </xdr:to>
    <xdr:pic>
      <xdr:nvPicPr>
        <xdr:cNvPr id="13" name="Picture 12">
          <a:extLst>
            <a:ext uri="{FF2B5EF4-FFF2-40B4-BE49-F238E27FC236}">
              <a16:creationId xmlns:a16="http://schemas.microsoft.com/office/drawing/2014/main" id="{021D07A4-72B8-4BB6-869B-5836ACD849E8}"/>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52260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31</xdr:row>
      <xdr:rowOff>6350</xdr:rowOff>
    </xdr:from>
    <xdr:to>
      <xdr:col>11</xdr:col>
      <xdr:colOff>857250</xdr:colOff>
      <xdr:row>31</xdr:row>
      <xdr:rowOff>161051</xdr:rowOff>
    </xdr:to>
    <xdr:pic>
      <xdr:nvPicPr>
        <xdr:cNvPr id="14" name="Picture 13">
          <a:extLst>
            <a:ext uri="{FF2B5EF4-FFF2-40B4-BE49-F238E27FC236}">
              <a16:creationId xmlns:a16="http://schemas.microsoft.com/office/drawing/2014/main" id="{CD264897-0DAE-4FC9-BA13-908F9410C93E}"/>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52260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31</xdr:row>
      <xdr:rowOff>0</xdr:rowOff>
    </xdr:from>
    <xdr:to>
      <xdr:col>5</xdr:col>
      <xdr:colOff>196850</xdr:colOff>
      <xdr:row>31</xdr:row>
      <xdr:rowOff>148508</xdr:rowOff>
    </xdr:to>
    <xdr:pic>
      <xdr:nvPicPr>
        <xdr:cNvPr id="15" name="Picture 14">
          <a:extLst>
            <a:ext uri="{FF2B5EF4-FFF2-40B4-BE49-F238E27FC236}">
              <a16:creationId xmlns:a16="http://schemas.microsoft.com/office/drawing/2014/main" id="{6CE821A9-5353-484F-8CD0-B077E516624C}"/>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521970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46</xdr:row>
      <xdr:rowOff>0</xdr:rowOff>
    </xdr:from>
    <xdr:to>
      <xdr:col>6</xdr:col>
      <xdr:colOff>533400</xdr:colOff>
      <xdr:row>46</xdr:row>
      <xdr:rowOff>153709</xdr:rowOff>
    </xdr:to>
    <xdr:pic>
      <xdr:nvPicPr>
        <xdr:cNvPr id="16" name="Picture 15">
          <a:extLst>
            <a:ext uri="{FF2B5EF4-FFF2-40B4-BE49-F238E27FC236}">
              <a16:creationId xmlns:a16="http://schemas.microsoft.com/office/drawing/2014/main" id="{33D1E7FC-F0E6-49E2-8861-32BA7CB45413}"/>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748665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46</xdr:row>
      <xdr:rowOff>6350</xdr:rowOff>
    </xdr:from>
    <xdr:to>
      <xdr:col>7</xdr:col>
      <xdr:colOff>577850</xdr:colOff>
      <xdr:row>46</xdr:row>
      <xdr:rowOff>161498</xdr:rowOff>
    </xdr:to>
    <xdr:pic>
      <xdr:nvPicPr>
        <xdr:cNvPr id="17" name="Picture 16">
          <a:extLst>
            <a:ext uri="{FF2B5EF4-FFF2-40B4-BE49-F238E27FC236}">
              <a16:creationId xmlns:a16="http://schemas.microsoft.com/office/drawing/2014/main" id="{267AD489-CCA0-43AE-B0FE-BD3395D004D3}"/>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74930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46</xdr:row>
      <xdr:rowOff>0</xdr:rowOff>
    </xdr:from>
    <xdr:to>
      <xdr:col>8</xdr:col>
      <xdr:colOff>533400</xdr:colOff>
      <xdr:row>46</xdr:row>
      <xdr:rowOff>154672</xdr:rowOff>
    </xdr:to>
    <xdr:pic>
      <xdr:nvPicPr>
        <xdr:cNvPr id="18" name="Picture 17">
          <a:extLst>
            <a:ext uri="{FF2B5EF4-FFF2-40B4-BE49-F238E27FC236}">
              <a16:creationId xmlns:a16="http://schemas.microsoft.com/office/drawing/2014/main" id="{742B22D0-09B4-478A-A775-FF93525623E3}"/>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74866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46</xdr:row>
      <xdr:rowOff>0</xdr:rowOff>
    </xdr:from>
    <xdr:to>
      <xdr:col>9</xdr:col>
      <xdr:colOff>546100</xdr:colOff>
      <xdr:row>46</xdr:row>
      <xdr:rowOff>162508</xdr:rowOff>
    </xdr:to>
    <xdr:pic>
      <xdr:nvPicPr>
        <xdr:cNvPr id="19" name="Picture 18">
          <a:extLst>
            <a:ext uri="{FF2B5EF4-FFF2-40B4-BE49-F238E27FC236}">
              <a16:creationId xmlns:a16="http://schemas.microsoft.com/office/drawing/2014/main" id="{5F2A85FF-D847-4B88-A5F5-8BA5224FD757}"/>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74866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46</xdr:row>
      <xdr:rowOff>6350</xdr:rowOff>
    </xdr:from>
    <xdr:to>
      <xdr:col>10</xdr:col>
      <xdr:colOff>533400</xdr:colOff>
      <xdr:row>46</xdr:row>
      <xdr:rowOff>157185</xdr:rowOff>
    </xdr:to>
    <xdr:pic>
      <xdr:nvPicPr>
        <xdr:cNvPr id="20" name="Picture 19">
          <a:extLst>
            <a:ext uri="{FF2B5EF4-FFF2-40B4-BE49-F238E27FC236}">
              <a16:creationId xmlns:a16="http://schemas.microsoft.com/office/drawing/2014/main" id="{5CEA0A31-7095-482B-AC8D-1672379E0613}"/>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74930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46</xdr:row>
      <xdr:rowOff>6350</xdr:rowOff>
    </xdr:from>
    <xdr:to>
      <xdr:col>11</xdr:col>
      <xdr:colOff>857250</xdr:colOff>
      <xdr:row>46</xdr:row>
      <xdr:rowOff>161051</xdr:rowOff>
    </xdr:to>
    <xdr:pic>
      <xdr:nvPicPr>
        <xdr:cNvPr id="21" name="Picture 20">
          <a:extLst>
            <a:ext uri="{FF2B5EF4-FFF2-40B4-BE49-F238E27FC236}">
              <a16:creationId xmlns:a16="http://schemas.microsoft.com/office/drawing/2014/main" id="{7507C649-BB88-400A-9A17-36D4D0CD0C2F}"/>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74930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50800</xdr:colOff>
      <xdr:row>46</xdr:row>
      <xdr:rowOff>0</xdr:rowOff>
    </xdr:from>
    <xdr:to>
      <xdr:col>5</xdr:col>
      <xdr:colOff>196850</xdr:colOff>
      <xdr:row>46</xdr:row>
      <xdr:rowOff>136627</xdr:rowOff>
    </xdr:to>
    <xdr:pic>
      <xdr:nvPicPr>
        <xdr:cNvPr id="22" name="Picture 21">
          <a:extLst>
            <a:ext uri="{FF2B5EF4-FFF2-40B4-BE49-F238E27FC236}">
              <a16:creationId xmlns:a16="http://schemas.microsoft.com/office/drawing/2014/main" id="{53E1F726-E347-4F38-8A98-66E8483D0749}"/>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25950" y="7486650"/>
          <a:ext cx="146050" cy="1366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61</xdr:row>
      <xdr:rowOff>0</xdr:rowOff>
    </xdr:from>
    <xdr:to>
      <xdr:col>6</xdr:col>
      <xdr:colOff>533400</xdr:colOff>
      <xdr:row>61</xdr:row>
      <xdr:rowOff>153709</xdr:rowOff>
    </xdr:to>
    <xdr:pic>
      <xdr:nvPicPr>
        <xdr:cNvPr id="23" name="Picture 22">
          <a:extLst>
            <a:ext uri="{FF2B5EF4-FFF2-40B4-BE49-F238E27FC236}">
              <a16:creationId xmlns:a16="http://schemas.microsoft.com/office/drawing/2014/main" id="{7C2686E1-1640-4EB7-A25C-A4441BBF05A5}"/>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975360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61</xdr:row>
      <xdr:rowOff>6350</xdr:rowOff>
    </xdr:from>
    <xdr:to>
      <xdr:col>7</xdr:col>
      <xdr:colOff>577850</xdr:colOff>
      <xdr:row>61</xdr:row>
      <xdr:rowOff>161498</xdr:rowOff>
    </xdr:to>
    <xdr:pic>
      <xdr:nvPicPr>
        <xdr:cNvPr id="24" name="Picture 23">
          <a:extLst>
            <a:ext uri="{FF2B5EF4-FFF2-40B4-BE49-F238E27FC236}">
              <a16:creationId xmlns:a16="http://schemas.microsoft.com/office/drawing/2014/main" id="{D7B4323F-3166-4101-8AC0-39F90335656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97599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61</xdr:row>
      <xdr:rowOff>0</xdr:rowOff>
    </xdr:from>
    <xdr:to>
      <xdr:col>8</xdr:col>
      <xdr:colOff>533400</xdr:colOff>
      <xdr:row>61</xdr:row>
      <xdr:rowOff>154672</xdr:rowOff>
    </xdr:to>
    <xdr:pic>
      <xdr:nvPicPr>
        <xdr:cNvPr id="25" name="Picture 24">
          <a:extLst>
            <a:ext uri="{FF2B5EF4-FFF2-40B4-BE49-F238E27FC236}">
              <a16:creationId xmlns:a16="http://schemas.microsoft.com/office/drawing/2014/main" id="{267CC881-7C8B-4D86-9AD6-D7555CAC268B}"/>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97536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61</xdr:row>
      <xdr:rowOff>0</xdr:rowOff>
    </xdr:from>
    <xdr:to>
      <xdr:col>9</xdr:col>
      <xdr:colOff>546100</xdr:colOff>
      <xdr:row>61</xdr:row>
      <xdr:rowOff>162508</xdr:rowOff>
    </xdr:to>
    <xdr:pic>
      <xdr:nvPicPr>
        <xdr:cNvPr id="26" name="Picture 25">
          <a:extLst>
            <a:ext uri="{FF2B5EF4-FFF2-40B4-BE49-F238E27FC236}">
              <a16:creationId xmlns:a16="http://schemas.microsoft.com/office/drawing/2014/main" id="{C35AEFE0-B23A-4A40-B247-0293102AAB45}"/>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97536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61</xdr:row>
      <xdr:rowOff>6350</xdr:rowOff>
    </xdr:from>
    <xdr:to>
      <xdr:col>10</xdr:col>
      <xdr:colOff>533400</xdr:colOff>
      <xdr:row>61</xdr:row>
      <xdr:rowOff>157185</xdr:rowOff>
    </xdr:to>
    <xdr:pic>
      <xdr:nvPicPr>
        <xdr:cNvPr id="27" name="Picture 26">
          <a:extLst>
            <a:ext uri="{FF2B5EF4-FFF2-40B4-BE49-F238E27FC236}">
              <a16:creationId xmlns:a16="http://schemas.microsoft.com/office/drawing/2014/main" id="{43B29DEA-689F-4C6C-987A-04F38F7DD9CE}"/>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97599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61</xdr:row>
      <xdr:rowOff>6350</xdr:rowOff>
    </xdr:from>
    <xdr:to>
      <xdr:col>11</xdr:col>
      <xdr:colOff>857250</xdr:colOff>
      <xdr:row>61</xdr:row>
      <xdr:rowOff>161051</xdr:rowOff>
    </xdr:to>
    <xdr:pic>
      <xdr:nvPicPr>
        <xdr:cNvPr id="28" name="Picture 27">
          <a:extLst>
            <a:ext uri="{FF2B5EF4-FFF2-40B4-BE49-F238E27FC236}">
              <a16:creationId xmlns:a16="http://schemas.microsoft.com/office/drawing/2014/main" id="{E1DCFCCA-531A-449A-BABB-2394F2DAF72E}"/>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97599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61</xdr:row>
      <xdr:rowOff>0</xdr:rowOff>
    </xdr:from>
    <xdr:to>
      <xdr:col>5</xdr:col>
      <xdr:colOff>196850</xdr:colOff>
      <xdr:row>61</xdr:row>
      <xdr:rowOff>148508</xdr:rowOff>
    </xdr:to>
    <xdr:pic>
      <xdr:nvPicPr>
        <xdr:cNvPr id="29" name="Picture 28">
          <a:extLst>
            <a:ext uri="{FF2B5EF4-FFF2-40B4-BE49-F238E27FC236}">
              <a16:creationId xmlns:a16="http://schemas.microsoft.com/office/drawing/2014/main" id="{29FC1F09-92FF-436F-9E9C-4A62B6C5E65C}"/>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975360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75</xdr:row>
      <xdr:rowOff>0</xdr:rowOff>
    </xdr:from>
    <xdr:to>
      <xdr:col>6</xdr:col>
      <xdr:colOff>533400</xdr:colOff>
      <xdr:row>75</xdr:row>
      <xdr:rowOff>153709</xdr:rowOff>
    </xdr:to>
    <xdr:pic>
      <xdr:nvPicPr>
        <xdr:cNvPr id="30" name="Picture 29">
          <a:extLst>
            <a:ext uri="{FF2B5EF4-FFF2-40B4-BE49-F238E27FC236}">
              <a16:creationId xmlns:a16="http://schemas.microsoft.com/office/drawing/2014/main" id="{3D124C45-EA89-41A5-BAB4-2567E05565B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1202055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75</xdr:row>
      <xdr:rowOff>6350</xdr:rowOff>
    </xdr:from>
    <xdr:to>
      <xdr:col>7</xdr:col>
      <xdr:colOff>577850</xdr:colOff>
      <xdr:row>75</xdr:row>
      <xdr:rowOff>161498</xdr:rowOff>
    </xdr:to>
    <xdr:pic>
      <xdr:nvPicPr>
        <xdr:cNvPr id="31" name="Picture 30">
          <a:extLst>
            <a:ext uri="{FF2B5EF4-FFF2-40B4-BE49-F238E27FC236}">
              <a16:creationId xmlns:a16="http://schemas.microsoft.com/office/drawing/2014/main" id="{07133139-D918-4BDB-BB3B-1572AB2E2C9A}"/>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120269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75</xdr:row>
      <xdr:rowOff>0</xdr:rowOff>
    </xdr:from>
    <xdr:to>
      <xdr:col>8</xdr:col>
      <xdr:colOff>533400</xdr:colOff>
      <xdr:row>75</xdr:row>
      <xdr:rowOff>154672</xdr:rowOff>
    </xdr:to>
    <xdr:pic>
      <xdr:nvPicPr>
        <xdr:cNvPr id="32" name="Picture 31">
          <a:extLst>
            <a:ext uri="{FF2B5EF4-FFF2-40B4-BE49-F238E27FC236}">
              <a16:creationId xmlns:a16="http://schemas.microsoft.com/office/drawing/2014/main" id="{E9B5522D-6AB0-41DA-A167-91B507B6C138}"/>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120205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75</xdr:row>
      <xdr:rowOff>0</xdr:rowOff>
    </xdr:from>
    <xdr:to>
      <xdr:col>9</xdr:col>
      <xdr:colOff>546100</xdr:colOff>
      <xdr:row>75</xdr:row>
      <xdr:rowOff>162508</xdr:rowOff>
    </xdr:to>
    <xdr:pic>
      <xdr:nvPicPr>
        <xdr:cNvPr id="33" name="Picture 32">
          <a:extLst>
            <a:ext uri="{FF2B5EF4-FFF2-40B4-BE49-F238E27FC236}">
              <a16:creationId xmlns:a16="http://schemas.microsoft.com/office/drawing/2014/main" id="{96A7F590-ABF1-47CA-A092-93138B40C565}"/>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120205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75</xdr:row>
      <xdr:rowOff>6350</xdr:rowOff>
    </xdr:from>
    <xdr:to>
      <xdr:col>10</xdr:col>
      <xdr:colOff>533400</xdr:colOff>
      <xdr:row>75</xdr:row>
      <xdr:rowOff>157185</xdr:rowOff>
    </xdr:to>
    <xdr:pic>
      <xdr:nvPicPr>
        <xdr:cNvPr id="34" name="Picture 33">
          <a:extLst>
            <a:ext uri="{FF2B5EF4-FFF2-40B4-BE49-F238E27FC236}">
              <a16:creationId xmlns:a16="http://schemas.microsoft.com/office/drawing/2014/main" id="{03F70CD7-6514-4E33-80CA-A51AA08C73F8}"/>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120269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75</xdr:row>
      <xdr:rowOff>6350</xdr:rowOff>
    </xdr:from>
    <xdr:to>
      <xdr:col>11</xdr:col>
      <xdr:colOff>857250</xdr:colOff>
      <xdr:row>75</xdr:row>
      <xdr:rowOff>161051</xdr:rowOff>
    </xdr:to>
    <xdr:pic>
      <xdr:nvPicPr>
        <xdr:cNvPr id="35" name="Picture 34">
          <a:extLst>
            <a:ext uri="{FF2B5EF4-FFF2-40B4-BE49-F238E27FC236}">
              <a16:creationId xmlns:a16="http://schemas.microsoft.com/office/drawing/2014/main" id="{3E7FF723-26A4-4AE8-B599-AC78BF4874DD}"/>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120269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75</xdr:row>
      <xdr:rowOff>0</xdr:rowOff>
    </xdr:from>
    <xdr:to>
      <xdr:col>5</xdr:col>
      <xdr:colOff>196850</xdr:colOff>
      <xdr:row>75</xdr:row>
      <xdr:rowOff>148508</xdr:rowOff>
    </xdr:to>
    <xdr:pic>
      <xdr:nvPicPr>
        <xdr:cNvPr id="36" name="Picture 35">
          <a:extLst>
            <a:ext uri="{FF2B5EF4-FFF2-40B4-BE49-F238E27FC236}">
              <a16:creationId xmlns:a16="http://schemas.microsoft.com/office/drawing/2014/main" id="{F4D3F028-5BBB-402D-8C95-3E1BC9F20DF9}"/>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1202055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89</xdr:row>
      <xdr:rowOff>0</xdr:rowOff>
    </xdr:from>
    <xdr:to>
      <xdr:col>6</xdr:col>
      <xdr:colOff>533400</xdr:colOff>
      <xdr:row>89</xdr:row>
      <xdr:rowOff>153709</xdr:rowOff>
    </xdr:to>
    <xdr:pic>
      <xdr:nvPicPr>
        <xdr:cNvPr id="37" name="Picture 36">
          <a:extLst>
            <a:ext uri="{FF2B5EF4-FFF2-40B4-BE49-F238E27FC236}">
              <a16:creationId xmlns:a16="http://schemas.microsoft.com/office/drawing/2014/main" id="{D12B568B-EF8D-4DBE-A55C-D30C06471205}"/>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1428750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89</xdr:row>
      <xdr:rowOff>6350</xdr:rowOff>
    </xdr:from>
    <xdr:to>
      <xdr:col>7</xdr:col>
      <xdr:colOff>577850</xdr:colOff>
      <xdr:row>89</xdr:row>
      <xdr:rowOff>161498</xdr:rowOff>
    </xdr:to>
    <xdr:pic>
      <xdr:nvPicPr>
        <xdr:cNvPr id="38" name="Picture 37">
          <a:extLst>
            <a:ext uri="{FF2B5EF4-FFF2-40B4-BE49-F238E27FC236}">
              <a16:creationId xmlns:a16="http://schemas.microsoft.com/office/drawing/2014/main" id="{730794EA-49C3-41B5-89F6-3F284489F14A}"/>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142938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89</xdr:row>
      <xdr:rowOff>0</xdr:rowOff>
    </xdr:from>
    <xdr:to>
      <xdr:col>8</xdr:col>
      <xdr:colOff>533400</xdr:colOff>
      <xdr:row>89</xdr:row>
      <xdr:rowOff>154672</xdr:rowOff>
    </xdr:to>
    <xdr:pic>
      <xdr:nvPicPr>
        <xdr:cNvPr id="39" name="Picture 38">
          <a:extLst>
            <a:ext uri="{FF2B5EF4-FFF2-40B4-BE49-F238E27FC236}">
              <a16:creationId xmlns:a16="http://schemas.microsoft.com/office/drawing/2014/main" id="{48C2A959-F312-403E-B621-0699E7A058DE}"/>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142875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89</xdr:row>
      <xdr:rowOff>0</xdr:rowOff>
    </xdr:from>
    <xdr:to>
      <xdr:col>9</xdr:col>
      <xdr:colOff>546100</xdr:colOff>
      <xdr:row>89</xdr:row>
      <xdr:rowOff>162508</xdr:rowOff>
    </xdr:to>
    <xdr:pic>
      <xdr:nvPicPr>
        <xdr:cNvPr id="40" name="Picture 39">
          <a:extLst>
            <a:ext uri="{FF2B5EF4-FFF2-40B4-BE49-F238E27FC236}">
              <a16:creationId xmlns:a16="http://schemas.microsoft.com/office/drawing/2014/main" id="{10572891-49F7-45DC-AABC-6D2A946BBB66}"/>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142875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89</xdr:row>
      <xdr:rowOff>6350</xdr:rowOff>
    </xdr:from>
    <xdr:to>
      <xdr:col>10</xdr:col>
      <xdr:colOff>533400</xdr:colOff>
      <xdr:row>89</xdr:row>
      <xdr:rowOff>157185</xdr:rowOff>
    </xdr:to>
    <xdr:pic>
      <xdr:nvPicPr>
        <xdr:cNvPr id="41" name="Picture 40">
          <a:extLst>
            <a:ext uri="{FF2B5EF4-FFF2-40B4-BE49-F238E27FC236}">
              <a16:creationId xmlns:a16="http://schemas.microsoft.com/office/drawing/2014/main" id="{DE5BB20C-504B-46F5-ACA2-AD1B30C55272}"/>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142938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89</xdr:row>
      <xdr:rowOff>6350</xdr:rowOff>
    </xdr:from>
    <xdr:to>
      <xdr:col>11</xdr:col>
      <xdr:colOff>857250</xdr:colOff>
      <xdr:row>89</xdr:row>
      <xdr:rowOff>161051</xdr:rowOff>
    </xdr:to>
    <xdr:pic>
      <xdr:nvPicPr>
        <xdr:cNvPr id="42" name="Picture 41">
          <a:extLst>
            <a:ext uri="{FF2B5EF4-FFF2-40B4-BE49-F238E27FC236}">
              <a16:creationId xmlns:a16="http://schemas.microsoft.com/office/drawing/2014/main" id="{85F12E40-4B36-427E-B4AA-343C90A4BB4E}"/>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142938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57150</xdr:colOff>
      <xdr:row>89</xdr:row>
      <xdr:rowOff>0</xdr:rowOff>
    </xdr:from>
    <xdr:to>
      <xdr:col>5</xdr:col>
      <xdr:colOff>196850</xdr:colOff>
      <xdr:row>89</xdr:row>
      <xdr:rowOff>130687</xdr:rowOff>
    </xdr:to>
    <xdr:pic>
      <xdr:nvPicPr>
        <xdr:cNvPr id="43" name="Picture 42">
          <a:extLst>
            <a:ext uri="{FF2B5EF4-FFF2-40B4-BE49-F238E27FC236}">
              <a16:creationId xmlns:a16="http://schemas.microsoft.com/office/drawing/2014/main" id="{983D6111-37BA-4DFA-AB55-66B10944F01A}"/>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32300" y="14287500"/>
          <a:ext cx="139700" cy="130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38100</xdr:colOff>
      <xdr:row>3</xdr:row>
      <xdr:rowOff>0</xdr:rowOff>
    </xdr:from>
    <xdr:to>
      <xdr:col>17</xdr:col>
      <xdr:colOff>165100</xdr:colOff>
      <xdr:row>3</xdr:row>
      <xdr:rowOff>146538</xdr:rowOff>
    </xdr:to>
    <xdr:pic>
      <xdr:nvPicPr>
        <xdr:cNvPr id="44" name="Picture 43">
          <a:extLst>
            <a:ext uri="{FF2B5EF4-FFF2-40B4-BE49-F238E27FC236}">
              <a16:creationId xmlns:a16="http://schemas.microsoft.com/office/drawing/2014/main" id="{06FF8018-BD68-4579-A825-D65F3C0194B7}"/>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579850" y="488950"/>
          <a:ext cx="127000" cy="146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49530</xdr:colOff>
      <xdr:row>3</xdr:row>
      <xdr:rowOff>0</xdr:rowOff>
    </xdr:from>
    <xdr:to>
      <xdr:col>18</xdr:col>
      <xdr:colOff>165100</xdr:colOff>
      <xdr:row>3</xdr:row>
      <xdr:rowOff>133350</xdr:rowOff>
    </xdr:to>
    <xdr:pic>
      <xdr:nvPicPr>
        <xdr:cNvPr id="45" name="Picture 44">
          <a:extLst>
            <a:ext uri="{FF2B5EF4-FFF2-40B4-BE49-F238E27FC236}">
              <a16:creationId xmlns:a16="http://schemas.microsoft.com/office/drawing/2014/main" id="{93C452BB-A6AB-425C-A1B3-DF1B5526F846}"/>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893030" y="488950"/>
          <a:ext cx="115570"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101600</xdr:colOff>
      <xdr:row>3</xdr:row>
      <xdr:rowOff>19050</xdr:rowOff>
    </xdr:from>
    <xdr:to>
      <xdr:col>20</xdr:col>
      <xdr:colOff>615950</xdr:colOff>
      <xdr:row>3</xdr:row>
      <xdr:rowOff>150935</xdr:rowOff>
    </xdr:to>
    <xdr:pic>
      <xdr:nvPicPr>
        <xdr:cNvPr id="46" name="Picture 45">
          <a:extLst>
            <a:ext uri="{FF2B5EF4-FFF2-40B4-BE49-F238E27FC236}">
              <a16:creationId xmlns:a16="http://schemas.microsoft.com/office/drawing/2014/main" id="{D2DC2C25-44BF-4CD3-BDC6-4A561F26D9BC}"/>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072350" y="508000"/>
          <a:ext cx="514350" cy="131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28864</xdr:colOff>
      <xdr:row>3</xdr:row>
      <xdr:rowOff>0</xdr:rowOff>
    </xdr:from>
    <xdr:to>
      <xdr:col>21</xdr:col>
      <xdr:colOff>158750</xdr:colOff>
      <xdr:row>3</xdr:row>
      <xdr:rowOff>171450</xdr:rowOff>
    </xdr:to>
    <xdr:pic>
      <xdr:nvPicPr>
        <xdr:cNvPr id="47" name="Picture 46">
          <a:extLst>
            <a:ext uri="{FF2B5EF4-FFF2-40B4-BE49-F238E27FC236}">
              <a16:creationId xmlns:a16="http://schemas.microsoft.com/office/drawing/2014/main" id="{A44D671D-C9E8-4C0D-8644-1D931ADE918B}"/>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679064" y="488950"/>
          <a:ext cx="129886"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43294</xdr:colOff>
      <xdr:row>3</xdr:row>
      <xdr:rowOff>0</xdr:rowOff>
    </xdr:from>
    <xdr:to>
      <xdr:col>22</xdr:col>
      <xdr:colOff>158749</xdr:colOff>
      <xdr:row>3</xdr:row>
      <xdr:rowOff>152400</xdr:rowOff>
    </xdr:to>
    <xdr:pic>
      <xdr:nvPicPr>
        <xdr:cNvPr id="48" name="Picture 47">
          <a:extLst>
            <a:ext uri="{FF2B5EF4-FFF2-40B4-BE49-F238E27FC236}">
              <a16:creationId xmlns:a16="http://schemas.microsoft.com/office/drawing/2014/main" id="{6AED29AD-064B-4CFE-94D4-95255EA1B5F8}"/>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303094" y="488950"/>
          <a:ext cx="11545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76200</xdr:colOff>
      <xdr:row>3</xdr:row>
      <xdr:rowOff>0</xdr:rowOff>
    </xdr:from>
    <xdr:to>
      <xdr:col>24</xdr:col>
      <xdr:colOff>533400</xdr:colOff>
      <xdr:row>3</xdr:row>
      <xdr:rowOff>139700</xdr:rowOff>
    </xdr:to>
    <xdr:pic>
      <xdr:nvPicPr>
        <xdr:cNvPr id="49" name="Picture 48">
          <a:extLst>
            <a:ext uri="{FF2B5EF4-FFF2-40B4-BE49-F238E27FC236}">
              <a16:creationId xmlns:a16="http://schemas.microsoft.com/office/drawing/2014/main" id="{8A0B5C6F-9CE8-4470-8253-66B21ACF2ACB}"/>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783800" y="488950"/>
          <a:ext cx="457200" cy="13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31750</xdr:colOff>
      <xdr:row>3</xdr:row>
      <xdr:rowOff>0</xdr:rowOff>
    </xdr:from>
    <xdr:to>
      <xdr:col>25</xdr:col>
      <xdr:colOff>234950</xdr:colOff>
      <xdr:row>3</xdr:row>
      <xdr:rowOff>181232</xdr:rowOff>
    </xdr:to>
    <xdr:pic>
      <xdr:nvPicPr>
        <xdr:cNvPr id="50" name="Picture 49">
          <a:extLst>
            <a:ext uri="{FF2B5EF4-FFF2-40B4-BE49-F238E27FC236}">
              <a16:creationId xmlns:a16="http://schemas.microsoft.com/office/drawing/2014/main" id="{37237724-B74E-4029-87E5-005933351638}"/>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348950" y="488950"/>
          <a:ext cx="203200" cy="181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35598</xdr:colOff>
      <xdr:row>3</xdr:row>
      <xdr:rowOff>0</xdr:rowOff>
    </xdr:from>
    <xdr:to>
      <xdr:col>26</xdr:col>
      <xdr:colOff>234950</xdr:colOff>
      <xdr:row>3</xdr:row>
      <xdr:rowOff>177800</xdr:rowOff>
    </xdr:to>
    <xdr:pic>
      <xdr:nvPicPr>
        <xdr:cNvPr id="51" name="Picture 50">
          <a:extLst>
            <a:ext uri="{FF2B5EF4-FFF2-40B4-BE49-F238E27FC236}">
              <a16:creationId xmlns:a16="http://schemas.microsoft.com/office/drawing/2014/main" id="{C02E637A-DB60-4831-8BFC-ED330F91B829}"/>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962398" y="488950"/>
          <a:ext cx="199352"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88900</xdr:colOff>
      <xdr:row>3</xdr:row>
      <xdr:rowOff>12700</xdr:rowOff>
    </xdr:from>
    <xdr:to>
      <xdr:col>28</xdr:col>
      <xdr:colOff>666173</xdr:colOff>
      <xdr:row>3</xdr:row>
      <xdr:rowOff>139700</xdr:rowOff>
    </xdr:to>
    <xdr:pic>
      <xdr:nvPicPr>
        <xdr:cNvPr id="52" name="Picture 51">
          <a:extLst>
            <a:ext uri="{FF2B5EF4-FFF2-40B4-BE49-F238E27FC236}">
              <a16:creationId xmlns:a16="http://schemas.microsoft.com/office/drawing/2014/main" id="{AAE6E6AB-DEBE-4BF1-9439-CEE69D4A12A1}"/>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412700" y="501650"/>
          <a:ext cx="577273" cy="12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32</xdr:col>
      <xdr:colOff>63500</xdr:colOff>
      <xdr:row>3</xdr:row>
      <xdr:rowOff>6350</xdr:rowOff>
    </xdr:from>
    <xdr:to>
      <xdr:col>32</xdr:col>
      <xdr:colOff>488950</xdr:colOff>
      <xdr:row>3</xdr:row>
      <xdr:rowOff>146608</xdr:rowOff>
    </xdr:to>
    <xdr:pic>
      <xdr:nvPicPr>
        <xdr:cNvPr id="53" name="Picture 52">
          <a:extLst>
            <a:ext uri="{FF2B5EF4-FFF2-40B4-BE49-F238E27FC236}">
              <a16:creationId xmlns:a16="http://schemas.microsoft.com/office/drawing/2014/main" id="{C272ABBE-678D-4776-8A2F-DA6A3249E799}"/>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9013150" y="495300"/>
          <a:ext cx="425450" cy="140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69850</xdr:colOff>
      <xdr:row>17</xdr:row>
      <xdr:rowOff>0</xdr:rowOff>
    </xdr:from>
    <xdr:to>
      <xdr:col>6</xdr:col>
      <xdr:colOff>527050</xdr:colOff>
      <xdr:row>17</xdr:row>
      <xdr:rowOff>160059</xdr:rowOff>
    </xdr:to>
    <xdr:pic>
      <xdr:nvPicPr>
        <xdr:cNvPr id="54" name="Picture 53">
          <a:extLst>
            <a:ext uri="{FF2B5EF4-FFF2-40B4-BE49-F238E27FC236}">
              <a16:creationId xmlns:a16="http://schemas.microsoft.com/office/drawing/2014/main" id="{C8ECAAA9-0CB1-4F26-B6ED-D9834089381F}"/>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1450" y="2952750"/>
          <a:ext cx="457200" cy="160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17</xdr:row>
      <xdr:rowOff>6350</xdr:rowOff>
    </xdr:from>
    <xdr:to>
      <xdr:col>7</xdr:col>
      <xdr:colOff>577850</xdr:colOff>
      <xdr:row>17</xdr:row>
      <xdr:rowOff>161498</xdr:rowOff>
    </xdr:to>
    <xdr:pic>
      <xdr:nvPicPr>
        <xdr:cNvPr id="55" name="Picture 54">
          <a:extLst>
            <a:ext uri="{FF2B5EF4-FFF2-40B4-BE49-F238E27FC236}">
              <a16:creationId xmlns:a16="http://schemas.microsoft.com/office/drawing/2014/main" id="{8D0A3579-A111-4CB4-97DE-01DDA94F1478}"/>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29591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17</xdr:row>
      <xdr:rowOff>0</xdr:rowOff>
    </xdr:from>
    <xdr:to>
      <xdr:col>8</xdr:col>
      <xdr:colOff>533400</xdr:colOff>
      <xdr:row>17</xdr:row>
      <xdr:rowOff>154672</xdr:rowOff>
    </xdr:to>
    <xdr:pic>
      <xdr:nvPicPr>
        <xdr:cNvPr id="56" name="Picture 55">
          <a:extLst>
            <a:ext uri="{FF2B5EF4-FFF2-40B4-BE49-F238E27FC236}">
              <a16:creationId xmlns:a16="http://schemas.microsoft.com/office/drawing/2014/main" id="{7A4BF2A0-B78F-4E9C-97BD-5E1C6323A551}"/>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29527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17</xdr:row>
      <xdr:rowOff>0</xdr:rowOff>
    </xdr:from>
    <xdr:to>
      <xdr:col>9</xdr:col>
      <xdr:colOff>546100</xdr:colOff>
      <xdr:row>17</xdr:row>
      <xdr:rowOff>162508</xdr:rowOff>
    </xdr:to>
    <xdr:pic>
      <xdr:nvPicPr>
        <xdr:cNvPr id="57" name="Picture 56">
          <a:extLst>
            <a:ext uri="{FF2B5EF4-FFF2-40B4-BE49-F238E27FC236}">
              <a16:creationId xmlns:a16="http://schemas.microsoft.com/office/drawing/2014/main" id="{12DEB009-20DC-40A3-98AE-3BA2BF05E83F}"/>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29527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17</xdr:row>
      <xdr:rowOff>6350</xdr:rowOff>
    </xdr:from>
    <xdr:to>
      <xdr:col>10</xdr:col>
      <xdr:colOff>533400</xdr:colOff>
      <xdr:row>17</xdr:row>
      <xdr:rowOff>157185</xdr:rowOff>
    </xdr:to>
    <xdr:pic>
      <xdr:nvPicPr>
        <xdr:cNvPr id="58" name="Picture 57">
          <a:extLst>
            <a:ext uri="{FF2B5EF4-FFF2-40B4-BE49-F238E27FC236}">
              <a16:creationId xmlns:a16="http://schemas.microsoft.com/office/drawing/2014/main" id="{F87EB20F-4922-4867-AE96-370FF5251144}"/>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29591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17</xdr:row>
      <xdr:rowOff>6350</xdr:rowOff>
    </xdr:from>
    <xdr:to>
      <xdr:col>11</xdr:col>
      <xdr:colOff>857250</xdr:colOff>
      <xdr:row>17</xdr:row>
      <xdr:rowOff>161051</xdr:rowOff>
    </xdr:to>
    <xdr:pic>
      <xdr:nvPicPr>
        <xdr:cNvPr id="59" name="Picture 58">
          <a:extLst>
            <a:ext uri="{FF2B5EF4-FFF2-40B4-BE49-F238E27FC236}">
              <a16:creationId xmlns:a16="http://schemas.microsoft.com/office/drawing/2014/main" id="{9E389BC0-9FC4-4FE2-9573-DD8567095698}"/>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29591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17</xdr:row>
      <xdr:rowOff>0</xdr:rowOff>
    </xdr:from>
    <xdr:to>
      <xdr:col>5</xdr:col>
      <xdr:colOff>196850</xdr:colOff>
      <xdr:row>17</xdr:row>
      <xdr:rowOff>148508</xdr:rowOff>
    </xdr:to>
    <xdr:pic>
      <xdr:nvPicPr>
        <xdr:cNvPr id="60" name="Picture 59">
          <a:extLst>
            <a:ext uri="{FF2B5EF4-FFF2-40B4-BE49-F238E27FC236}">
              <a16:creationId xmlns:a16="http://schemas.microsoft.com/office/drawing/2014/main" id="{268624B9-22A3-4C82-8051-FDB4EDD20CCE}"/>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295275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76200</xdr:colOff>
      <xdr:row>2</xdr:row>
      <xdr:rowOff>133350</xdr:rowOff>
    </xdr:from>
    <xdr:to>
      <xdr:col>6</xdr:col>
      <xdr:colOff>533400</xdr:colOff>
      <xdr:row>3</xdr:row>
      <xdr:rowOff>153709</xdr:rowOff>
    </xdr:to>
    <xdr:pic>
      <xdr:nvPicPr>
        <xdr:cNvPr id="2" name="Picture 1">
          <a:extLst>
            <a:ext uri="{FF2B5EF4-FFF2-40B4-BE49-F238E27FC236}">
              <a16:creationId xmlns:a16="http://schemas.microsoft.com/office/drawing/2014/main" id="{3FDE5D05-E1D8-4B69-A373-6DD59D20395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457200"/>
          <a:ext cx="457200" cy="1854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3</xdr:row>
      <xdr:rowOff>6350</xdr:rowOff>
    </xdr:from>
    <xdr:to>
      <xdr:col>7</xdr:col>
      <xdr:colOff>577850</xdr:colOff>
      <xdr:row>3</xdr:row>
      <xdr:rowOff>161498</xdr:rowOff>
    </xdr:to>
    <xdr:pic>
      <xdr:nvPicPr>
        <xdr:cNvPr id="3" name="Picture 2">
          <a:extLst>
            <a:ext uri="{FF2B5EF4-FFF2-40B4-BE49-F238E27FC236}">
              <a16:creationId xmlns:a16="http://schemas.microsoft.com/office/drawing/2014/main" id="{CB89778F-FC41-42EE-A018-1552DD824D0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4953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2</xdr:row>
      <xdr:rowOff>152400</xdr:rowOff>
    </xdr:from>
    <xdr:to>
      <xdr:col>8</xdr:col>
      <xdr:colOff>533400</xdr:colOff>
      <xdr:row>3</xdr:row>
      <xdr:rowOff>154672</xdr:rowOff>
    </xdr:to>
    <xdr:pic>
      <xdr:nvPicPr>
        <xdr:cNvPr id="4" name="Picture 3">
          <a:extLst>
            <a:ext uri="{FF2B5EF4-FFF2-40B4-BE49-F238E27FC236}">
              <a16:creationId xmlns:a16="http://schemas.microsoft.com/office/drawing/2014/main" id="{DA2EF06D-73DF-4DD5-B2A1-2A5F3562142B}"/>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476250"/>
          <a:ext cx="463550" cy="167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3</xdr:row>
      <xdr:rowOff>0</xdr:rowOff>
    </xdr:from>
    <xdr:to>
      <xdr:col>9</xdr:col>
      <xdr:colOff>546100</xdr:colOff>
      <xdr:row>3</xdr:row>
      <xdr:rowOff>162508</xdr:rowOff>
    </xdr:to>
    <xdr:pic>
      <xdr:nvPicPr>
        <xdr:cNvPr id="5" name="Picture 4">
          <a:extLst>
            <a:ext uri="{FF2B5EF4-FFF2-40B4-BE49-F238E27FC236}">
              <a16:creationId xmlns:a16="http://schemas.microsoft.com/office/drawing/2014/main" id="{6B29FA28-09CF-4124-BEE6-F45B7A0CB043}"/>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4889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3</xdr:row>
      <xdr:rowOff>6350</xdr:rowOff>
    </xdr:from>
    <xdr:to>
      <xdr:col>10</xdr:col>
      <xdr:colOff>533400</xdr:colOff>
      <xdr:row>3</xdr:row>
      <xdr:rowOff>157185</xdr:rowOff>
    </xdr:to>
    <xdr:pic>
      <xdr:nvPicPr>
        <xdr:cNvPr id="6" name="Picture 5">
          <a:extLst>
            <a:ext uri="{FF2B5EF4-FFF2-40B4-BE49-F238E27FC236}">
              <a16:creationId xmlns:a16="http://schemas.microsoft.com/office/drawing/2014/main" id="{472CC5D7-D58F-4155-87FA-67EF925E1343}"/>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4953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3</xdr:row>
      <xdr:rowOff>6350</xdr:rowOff>
    </xdr:from>
    <xdr:to>
      <xdr:col>11</xdr:col>
      <xdr:colOff>857250</xdr:colOff>
      <xdr:row>3</xdr:row>
      <xdr:rowOff>161051</xdr:rowOff>
    </xdr:to>
    <xdr:pic>
      <xdr:nvPicPr>
        <xdr:cNvPr id="7" name="Picture 6">
          <a:extLst>
            <a:ext uri="{FF2B5EF4-FFF2-40B4-BE49-F238E27FC236}">
              <a16:creationId xmlns:a16="http://schemas.microsoft.com/office/drawing/2014/main" id="{234C9089-3FA0-4F16-9214-151A4AA0A0DA}"/>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4953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29826</xdr:colOff>
      <xdr:row>3</xdr:row>
      <xdr:rowOff>0</xdr:rowOff>
    </xdr:from>
    <xdr:to>
      <xdr:col>5</xdr:col>
      <xdr:colOff>196850</xdr:colOff>
      <xdr:row>3</xdr:row>
      <xdr:rowOff>177800</xdr:rowOff>
    </xdr:to>
    <xdr:pic>
      <xdr:nvPicPr>
        <xdr:cNvPr id="8" name="Picture 7">
          <a:extLst>
            <a:ext uri="{FF2B5EF4-FFF2-40B4-BE49-F238E27FC236}">
              <a16:creationId xmlns:a16="http://schemas.microsoft.com/office/drawing/2014/main" id="{39AC97E8-2304-48CC-A3B3-F01C767BE172}"/>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04976" y="488950"/>
          <a:ext cx="167024"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69850</xdr:colOff>
      <xdr:row>31</xdr:row>
      <xdr:rowOff>0</xdr:rowOff>
    </xdr:from>
    <xdr:to>
      <xdr:col>6</xdr:col>
      <xdr:colOff>527050</xdr:colOff>
      <xdr:row>31</xdr:row>
      <xdr:rowOff>160059</xdr:rowOff>
    </xdr:to>
    <xdr:pic>
      <xdr:nvPicPr>
        <xdr:cNvPr id="9" name="Picture 8">
          <a:extLst>
            <a:ext uri="{FF2B5EF4-FFF2-40B4-BE49-F238E27FC236}">
              <a16:creationId xmlns:a16="http://schemas.microsoft.com/office/drawing/2014/main" id="{54D73ECA-4926-4FA4-A0FD-1AD89BD34DA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1450" y="5219700"/>
          <a:ext cx="457200" cy="160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31</xdr:row>
      <xdr:rowOff>6350</xdr:rowOff>
    </xdr:from>
    <xdr:to>
      <xdr:col>7</xdr:col>
      <xdr:colOff>577850</xdr:colOff>
      <xdr:row>31</xdr:row>
      <xdr:rowOff>161498</xdr:rowOff>
    </xdr:to>
    <xdr:pic>
      <xdr:nvPicPr>
        <xdr:cNvPr id="10" name="Picture 9">
          <a:extLst>
            <a:ext uri="{FF2B5EF4-FFF2-40B4-BE49-F238E27FC236}">
              <a16:creationId xmlns:a16="http://schemas.microsoft.com/office/drawing/2014/main" id="{DCB6F847-27DE-4577-B222-ED1E5D55A617}"/>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52260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31</xdr:row>
      <xdr:rowOff>0</xdr:rowOff>
    </xdr:from>
    <xdr:to>
      <xdr:col>8</xdr:col>
      <xdr:colOff>533400</xdr:colOff>
      <xdr:row>31</xdr:row>
      <xdr:rowOff>154672</xdr:rowOff>
    </xdr:to>
    <xdr:pic>
      <xdr:nvPicPr>
        <xdr:cNvPr id="11" name="Picture 10">
          <a:extLst>
            <a:ext uri="{FF2B5EF4-FFF2-40B4-BE49-F238E27FC236}">
              <a16:creationId xmlns:a16="http://schemas.microsoft.com/office/drawing/2014/main" id="{8450B4A2-6B86-4017-8C24-88DFD2F3782B}"/>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52197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31</xdr:row>
      <xdr:rowOff>0</xdr:rowOff>
    </xdr:from>
    <xdr:to>
      <xdr:col>9</xdr:col>
      <xdr:colOff>546100</xdr:colOff>
      <xdr:row>31</xdr:row>
      <xdr:rowOff>162508</xdr:rowOff>
    </xdr:to>
    <xdr:pic>
      <xdr:nvPicPr>
        <xdr:cNvPr id="12" name="Picture 11">
          <a:extLst>
            <a:ext uri="{FF2B5EF4-FFF2-40B4-BE49-F238E27FC236}">
              <a16:creationId xmlns:a16="http://schemas.microsoft.com/office/drawing/2014/main" id="{D8E3D1B5-DEF7-4C81-965D-282C12F22CC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52197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31</xdr:row>
      <xdr:rowOff>6350</xdr:rowOff>
    </xdr:from>
    <xdr:to>
      <xdr:col>10</xdr:col>
      <xdr:colOff>533400</xdr:colOff>
      <xdr:row>31</xdr:row>
      <xdr:rowOff>157185</xdr:rowOff>
    </xdr:to>
    <xdr:pic>
      <xdr:nvPicPr>
        <xdr:cNvPr id="13" name="Picture 12">
          <a:extLst>
            <a:ext uri="{FF2B5EF4-FFF2-40B4-BE49-F238E27FC236}">
              <a16:creationId xmlns:a16="http://schemas.microsoft.com/office/drawing/2014/main" id="{F9CF760F-04A4-4788-B73D-FC7BF93E9822}"/>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52260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31</xdr:row>
      <xdr:rowOff>6350</xdr:rowOff>
    </xdr:from>
    <xdr:to>
      <xdr:col>11</xdr:col>
      <xdr:colOff>857250</xdr:colOff>
      <xdr:row>31</xdr:row>
      <xdr:rowOff>161051</xdr:rowOff>
    </xdr:to>
    <xdr:pic>
      <xdr:nvPicPr>
        <xdr:cNvPr id="14" name="Picture 13">
          <a:extLst>
            <a:ext uri="{FF2B5EF4-FFF2-40B4-BE49-F238E27FC236}">
              <a16:creationId xmlns:a16="http://schemas.microsoft.com/office/drawing/2014/main" id="{825B46E8-2BD9-49F8-A0BD-93FA6EC513AC}"/>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52260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31</xdr:row>
      <xdr:rowOff>0</xdr:rowOff>
    </xdr:from>
    <xdr:to>
      <xdr:col>5</xdr:col>
      <xdr:colOff>196850</xdr:colOff>
      <xdr:row>31</xdr:row>
      <xdr:rowOff>148508</xdr:rowOff>
    </xdr:to>
    <xdr:pic>
      <xdr:nvPicPr>
        <xdr:cNvPr id="15" name="Picture 14">
          <a:extLst>
            <a:ext uri="{FF2B5EF4-FFF2-40B4-BE49-F238E27FC236}">
              <a16:creationId xmlns:a16="http://schemas.microsoft.com/office/drawing/2014/main" id="{180940F3-0EB6-4E12-80CC-5087366F09F2}"/>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521970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46</xdr:row>
      <xdr:rowOff>0</xdr:rowOff>
    </xdr:from>
    <xdr:to>
      <xdr:col>6</xdr:col>
      <xdr:colOff>533400</xdr:colOff>
      <xdr:row>46</xdr:row>
      <xdr:rowOff>153709</xdr:rowOff>
    </xdr:to>
    <xdr:pic>
      <xdr:nvPicPr>
        <xdr:cNvPr id="16" name="Picture 15">
          <a:extLst>
            <a:ext uri="{FF2B5EF4-FFF2-40B4-BE49-F238E27FC236}">
              <a16:creationId xmlns:a16="http://schemas.microsoft.com/office/drawing/2014/main" id="{8C877245-99AC-4770-9DA8-DD03BD11BC53}"/>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748665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46</xdr:row>
      <xdr:rowOff>6350</xdr:rowOff>
    </xdr:from>
    <xdr:to>
      <xdr:col>7</xdr:col>
      <xdr:colOff>577850</xdr:colOff>
      <xdr:row>46</xdr:row>
      <xdr:rowOff>161498</xdr:rowOff>
    </xdr:to>
    <xdr:pic>
      <xdr:nvPicPr>
        <xdr:cNvPr id="17" name="Picture 16">
          <a:extLst>
            <a:ext uri="{FF2B5EF4-FFF2-40B4-BE49-F238E27FC236}">
              <a16:creationId xmlns:a16="http://schemas.microsoft.com/office/drawing/2014/main" id="{2A728F18-A19A-43C9-9AB3-19A2A8B556D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74930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46</xdr:row>
      <xdr:rowOff>0</xdr:rowOff>
    </xdr:from>
    <xdr:to>
      <xdr:col>8</xdr:col>
      <xdr:colOff>533400</xdr:colOff>
      <xdr:row>46</xdr:row>
      <xdr:rowOff>154672</xdr:rowOff>
    </xdr:to>
    <xdr:pic>
      <xdr:nvPicPr>
        <xdr:cNvPr id="18" name="Picture 17">
          <a:extLst>
            <a:ext uri="{FF2B5EF4-FFF2-40B4-BE49-F238E27FC236}">
              <a16:creationId xmlns:a16="http://schemas.microsoft.com/office/drawing/2014/main" id="{49F905FA-5BE3-4DB8-AFF3-335647D3BE7B}"/>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74866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46</xdr:row>
      <xdr:rowOff>0</xdr:rowOff>
    </xdr:from>
    <xdr:to>
      <xdr:col>9</xdr:col>
      <xdr:colOff>546100</xdr:colOff>
      <xdr:row>46</xdr:row>
      <xdr:rowOff>162508</xdr:rowOff>
    </xdr:to>
    <xdr:pic>
      <xdr:nvPicPr>
        <xdr:cNvPr id="19" name="Picture 18">
          <a:extLst>
            <a:ext uri="{FF2B5EF4-FFF2-40B4-BE49-F238E27FC236}">
              <a16:creationId xmlns:a16="http://schemas.microsoft.com/office/drawing/2014/main" id="{958DDC4D-F227-4F9A-9978-DF3189BF527B}"/>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74866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46</xdr:row>
      <xdr:rowOff>6350</xdr:rowOff>
    </xdr:from>
    <xdr:to>
      <xdr:col>10</xdr:col>
      <xdr:colOff>533400</xdr:colOff>
      <xdr:row>46</xdr:row>
      <xdr:rowOff>157185</xdr:rowOff>
    </xdr:to>
    <xdr:pic>
      <xdr:nvPicPr>
        <xdr:cNvPr id="20" name="Picture 19">
          <a:extLst>
            <a:ext uri="{FF2B5EF4-FFF2-40B4-BE49-F238E27FC236}">
              <a16:creationId xmlns:a16="http://schemas.microsoft.com/office/drawing/2014/main" id="{5CF85161-94D4-4FF6-9DD8-7676502E4ACF}"/>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74930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46</xdr:row>
      <xdr:rowOff>6350</xdr:rowOff>
    </xdr:from>
    <xdr:to>
      <xdr:col>11</xdr:col>
      <xdr:colOff>857250</xdr:colOff>
      <xdr:row>46</xdr:row>
      <xdr:rowOff>161051</xdr:rowOff>
    </xdr:to>
    <xdr:pic>
      <xdr:nvPicPr>
        <xdr:cNvPr id="21" name="Picture 20">
          <a:extLst>
            <a:ext uri="{FF2B5EF4-FFF2-40B4-BE49-F238E27FC236}">
              <a16:creationId xmlns:a16="http://schemas.microsoft.com/office/drawing/2014/main" id="{A5F37EA4-A035-4A30-BE3C-C64C79813506}"/>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74930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50800</xdr:colOff>
      <xdr:row>46</xdr:row>
      <xdr:rowOff>0</xdr:rowOff>
    </xdr:from>
    <xdr:to>
      <xdr:col>5</xdr:col>
      <xdr:colOff>196850</xdr:colOff>
      <xdr:row>46</xdr:row>
      <xdr:rowOff>136627</xdr:rowOff>
    </xdr:to>
    <xdr:pic>
      <xdr:nvPicPr>
        <xdr:cNvPr id="22" name="Picture 21">
          <a:extLst>
            <a:ext uri="{FF2B5EF4-FFF2-40B4-BE49-F238E27FC236}">
              <a16:creationId xmlns:a16="http://schemas.microsoft.com/office/drawing/2014/main" id="{C70A473C-0262-4626-B66C-5144458DF15A}"/>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25950" y="7486650"/>
          <a:ext cx="146050" cy="1366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61</xdr:row>
      <xdr:rowOff>0</xdr:rowOff>
    </xdr:from>
    <xdr:to>
      <xdr:col>6</xdr:col>
      <xdr:colOff>533400</xdr:colOff>
      <xdr:row>61</xdr:row>
      <xdr:rowOff>153709</xdr:rowOff>
    </xdr:to>
    <xdr:pic>
      <xdr:nvPicPr>
        <xdr:cNvPr id="23" name="Picture 22">
          <a:extLst>
            <a:ext uri="{FF2B5EF4-FFF2-40B4-BE49-F238E27FC236}">
              <a16:creationId xmlns:a16="http://schemas.microsoft.com/office/drawing/2014/main" id="{F63A2A74-7FB2-463E-9112-F8A9FC425369}"/>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975360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61</xdr:row>
      <xdr:rowOff>6350</xdr:rowOff>
    </xdr:from>
    <xdr:to>
      <xdr:col>7</xdr:col>
      <xdr:colOff>577850</xdr:colOff>
      <xdr:row>61</xdr:row>
      <xdr:rowOff>161498</xdr:rowOff>
    </xdr:to>
    <xdr:pic>
      <xdr:nvPicPr>
        <xdr:cNvPr id="24" name="Picture 23">
          <a:extLst>
            <a:ext uri="{FF2B5EF4-FFF2-40B4-BE49-F238E27FC236}">
              <a16:creationId xmlns:a16="http://schemas.microsoft.com/office/drawing/2014/main" id="{3C333985-2CF0-42B5-A0C8-BECA7EA23718}"/>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97599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61</xdr:row>
      <xdr:rowOff>0</xdr:rowOff>
    </xdr:from>
    <xdr:to>
      <xdr:col>8</xdr:col>
      <xdr:colOff>533400</xdr:colOff>
      <xdr:row>61</xdr:row>
      <xdr:rowOff>154672</xdr:rowOff>
    </xdr:to>
    <xdr:pic>
      <xdr:nvPicPr>
        <xdr:cNvPr id="25" name="Picture 24">
          <a:extLst>
            <a:ext uri="{FF2B5EF4-FFF2-40B4-BE49-F238E27FC236}">
              <a16:creationId xmlns:a16="http://schemas.microsoft.com/office/drawing/2014/main" id="{2EDC1CC2-4A1E-4BB6-943A-A47579F4128A}"/>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97536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61</xdr:row>
      <xdr:rowOff>0</xdr:rowOff>
    </xdr:from>
    <xdr:to>
      <xdr:col>9</xdr:col>
      <xdr:colOff>546100</xdr:colOff>
      <xdr:row>61</xdr:row>
      <xdr:rowOff>162508</xdr:rowOff>
    </xdr:to>
    <xdr:pic>
      <xdr:nvPicPr>
        <xdr:cNvPr id="26" name="Picture 25">
          <a:extLst>
            <a:ext uri="{FF2B5EF4-FFF2-40B4-BE49-F238E27FC236}">
              <a16:creationId xmlns:a16="http://schemas.microsoft.com/office/drawing/2014/main" id="{1D502CE7-7372-42CA-A65D-4047CFDDFA1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97536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61</xdr:row>
      <xdr:rowOff>6350</xdr:rowOff>
    </xdr:from>
    <xdr:to>
      <xdr:col>10</xdr:col>
      <xdr:colOff>533400</xdr:colOff>
      <xdr:row>61</xdr:row>
      <xdr:rowOff>157185</xdr:rowOff>
    </xdr:to>
    <xdr:pic>
      <xdr:nvPicPr>
        <xdr:cNvPr id="27" name="Picture 26">
          <a:extLst>
            <a:ext uri="{FF2B5EF4-FFF2-40B4-BE49-F238E27FC236}">
              <a16:creationId xmlns:a16="http://schemas.microsoft.com/office/drawing/2014/main" id="{A49173EF-CABE-4361-8BFC-2B1A328E9B31}"/>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97599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61</xdr:row>
      <xdr:rowOff>6350</xdr:rowOff>
    </xdr:from>
    <xdr:to>
      <xdr:col>11</xdr:col>
      <xdr:colOff>857250</xdr:colOff>
      <xdr:row>61</xdr:row>
      <xdr:rowOff>161051</xdr:rowOff>
    </xdr:to>
    <xdr:pic>
      <xdr:nvPicPr>
        <xdr:cNvPr id="28" name="Picture 27">
          <a:extLst>
            <a:ext uri="{FF2B5EF4-FFF2-40B4-BE49-F238E27FC236}">
              <a16:creationId xmlns:a16="http://schemas.microsoft.com/office/drawing/2014/main" id="{50B3A90B-CDA8-4CC1-B1F0-2E5D033B67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97599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61</xdr:row>
      <xdr:rowOff>0</xdr:rowOff>
    </xdr:from>
    <xdr:to>
      <xdr:col>5</xdr:col>
      <xdr:colOff>196850</xdr:colOff>
      <xdr:row>61</xdr:row>
      <xdr:rowOff>148508</xdr:rowOff>
    </xdr:to>
    <xdr:pic>
      <xdr:nvPicPr>
        <xdr:cNvPr id="29" name="Picture 28">
          <a:extLst>
            <a:ext uri="{FF2B5EF4-FFF2-40B4-BE49-F238E27FC236}">
              <a16:creationId xmlns:a16="http://schemas.microsoft.com/office/drawing/2014/main" id="{4D58C749-7AEE-4932-B5B5-E9D43AFAF2BA}"/>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975360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75</xdr:row>
      <xdr:rowOff>0</xdr:rowOff>
    </xdr:from>
    <xdr:to>
      <xdr:col>6</xdr:col>
      <xdr:colOff>533400</xdr:colOff>
      <xdr:row>75</xdr:row>
      <xdr:rowOff>153709</xdr:rowOff>
    </xdr:to>
    <xdr:pic>
      <xdr:nvPicPr>
        <xdr:cNvPr id="30" name="Picture 29">
          <a:extLst>
            <a:ext uri="{FF2B5EF4-FFF2-40B4-BE49-F238E27FC236}">
              <a16:creationId xmlns:a16="http://schemas.microsoft.com/office/drawing/2014/main" id="{EBC2F184-CE5A-4A98-845A-111958A060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1202055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75</xdr:row>
      <xdr:rowOff>6350</xdr:rowOff>
    </xdr:from>
    <xdr:to>
      <xdr:col>7</xdr:col>
      <xdr:colOff>577850</xdr:colOff>
      <xdr:row>75</xdr:row>
      <xdr:rowOff>161498</xdr:rowOff>
    </xdr:to>
    <xdr:pic>
      <xdr:nvPicPr>
        <xdr:cNvPr id="31" name="Picture 30">
          <a:extLst>
            <a:ext uri="{FF2B5EF4-FFF2-40B4-BE49-F238E27FC236}">
              <a16:creationId xmlns:a16="http://schemas.microsoft.com/office/drawing/2014/main" id="{51C714D2-CF30-4B26-9BDC-E644CE47D41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120269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75</xdr:row>
      <xdr:rowOff>0</xdr:rowOff>
    </xdr:from>
    <xdr:to>
      <xdr:col>8</xdr:col>
      <xdr:colOff>533400</xdr:colOff>
      <xdr:row>75</xdr:row>
      <xdr:rowOff>154672</xdr:rowOff>
    </xdr:to>
    <xdr:pic>
      <xdr:nvPicPr>
        <xdr:cNvPr id="32" name="Picture 31">
          <a:extLst>
            <a:ext uri="{FF2B5EF4-FFF2-40B4-BE49-F238E27FC236}">
              <a16:creationId xmlns:a16="http://schemas.microsoft.com/office/drawing/2014/main" id="{222AEE0F-3471-43FD-92F4-7B118BE72FE3}"/>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120205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75</xdr:row>
      <xdr:rowOff>0</xdr:rowOff>
    </xdr:from>
    <xdr:to>
      <xdr:col>9</xdr:col>
      <xdr:colOff>546100</xdr:colOff>
      <xdr:row>75</xdr:row>
      <xdr:rowOff>162508</xdr:rowOff>
    </xdr:to>
    <xdr:pic>
      <xdr:nvPicPr>
        <xdr:cNvPr id="33" name="Picture 32">
          <a:extLst>
            <a:ext uri="{FF2B5EF4-FFF2-40B4-BE49-F238E27FC236}">
              <a16:creationId xmlns:a16="http://schemas.microsoft.com/office/drawing/2014/main" id="{53F39341-DFBC-47A1-A174-FD1AC2DC7D3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120205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75</xdr:row>
      <xdr:rowOff>6350</xdr:rowOff>
    </xdr:from>
    <xdr:to>
      <xdr:col>10</xdr:col>
      <xdr:colOff>533400</xdr:colOff>
      <xdr:row>75</xdr:row>
      <xdr:rowOff>157185</xdr:rowOff>
    </xdr:to>
    <xdr:pic>
      <xdr:nvPicPr>
        <xdr:cNvPr id="34" name="Picture 33">
          <a:extLst>
            <a:ext uri="{FF2B5EF4-FFF2-40B4-BE49-F238E27FC236}">
              <a16:creationId xmlns:a16="http://schemas.microsoft.com/office/drawing/2014/main" id="{F1A8AE91-26FE-457C-8C7D-0393F3113DAB}"/>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120269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75</xdr:row>
      <xdr:rowOff>6350</xdr:rowOff>
    </xdr:from>
    <xdr:to>
      <xdr:col>11</xdr:col>
      <xdr:colOff>857250</xdr:colOff>
      <xdr:row>75</xdr:row>
      <xdr:rowOff>161051</xdr:rowOff>
    </xdr:to>
    <xdr:pic>
      <xdr:nvPicPr>
        <xdr:cNvPr id="35" name="Picture 34">
          <a:extLst>
            <a:ext uri="{FF2B5EF4-FFF2-40B4-BE49-F238E27FC236}">
              <a16:creationId xmlns:a16="http://schemas.microsoft.com/office/drawing/2014/main" id="{F4DD832C-677C-44F6-AF33-88E93D74F82D}"/>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120269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75</xdr:row>
      <xdr:rowOff>0</xdr:rowOff>
    </xdr:from>
    <xdr:to>
      <xdr:col>5</xdr:col>
      <xdr:colOff>196850</xdr:colOff>
      <xdr:row>75</xdr:row>
      <xdr:rowOff>148508</xdr:rowOff>
    </xdr:to>
    <xdr:pic>
      <xdr:nvPicPr>
        <xdr:cNvPr id="36" name="Picture 35">
          <a:extLst>
            <a:ext uri="{FF2B5EF4-FFF2-40B4-BE49-F238E27FC236}">
              <a16:creationId xmlns:a16="http://schemas.microsoft.com/office/drawing/2014/main" id="{2D7AE330-EF31-4B26-817B-D6F64CC81C98}"/>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1202055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89</xdr:row>
      <xdr:rowOff>0</xdr:rowOff>
    </xdr:from>
    <xdr:to>
      <xdr:col>6</xdr:col>
      <xdr:colOff>533400</xdr:colOff>
      <xdr:row>89</xdr:row>
      <xdr:rowOff>153709</xdr:rowOff>
    </xdr:to>
    <xdr:pic>
      <xdr:nvPicPr>
        <xdr:cNvPr id="37" name="Picture 36">
          <a:extLst>
            <a:ext uri="{FF2B5EF4-FFF2-40B4-BE49-F238E27FC236}">
              <a16:creationId xmlns:a16="http://schemas.microsoft.com/office/drawing/2014/main" id="{A73E4683-7393-45B7-9D5E-F7C4ACC0D557}"/>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1428750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89</xdr:row>
      <xdr:rowOff>6350</xdr:rowOff>
    </xdr:from>
    <xdr:to>
      <xdr:col>7</xdr:col>
      <xdr:colOff>577850</xdr:colOff>
      <xdr:row>89</xdr:row>
      <xdr:rowOff>161498</xdr:rowOff>
    </xdr:to>
    <xdr:pic>
      <xdr:nvPicPr>
        <xdr:cNvPr id="38" name="Picture 37">
          <a:extLst>
            <a:ext uri="{FF2B5EF4-FFF2-40B4-BE49-F238E27FC236}">
              <a16:creationId xmlns:a16="http://schemas.microsoft.com/office/drawing/2014/main" id="{81C8DE88-37CE-4778-9F08-BC82ED733FCD}"/>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142938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89</xdr:row>
      <xdr:rowOff>0</xdr:rowOff>
    </xdr:from>
    <xdr:to>
      <xdr:col>8</xdr:col>
      <xdr:colOff>533400</xdr:colOff>
      <xdr:row>89</xdr:row>
      <xdr:rowOff>154672</xdr:rowOff>
    </xdr:to>
    <xdr:pic>
      <xdr:nvPicPr>
        <xdr:cNvPr id="39" name="Picture 38">
          <a:extLst>
            <a:ext uri="{FF2B5EF4-FFF2-40B4-BE49-F238E27FC236}">
              <a16:creationId xmlns:a16="http://schemas.microsoft.com/office/drawing/2014/main" id="{CA598874-9D83-4C27-822F-BC2C1F08E223}"/>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142875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89</xdr:row>
      <xdr:rowOff>0</xdr:rowOff>
    </xdr:from>
    <xdr:to>
      <xdr:col>9</xdr:col>
      <xdr:colOff>546100</xdr:colOff>
      <xdr:row>89</xdr:row>
      <xdr:rowOff>162508</xdr:rowOff>
    </xdr:to>
    <xdr:pic>
      <xdr:nvPicPr>
        <xdr:cNvPr id="40" name="Picture 39">
          <a:extLst>
            <a:ext uri="{FF2B5EF4-FFF2-40B4-BE49-F238E27FC236}">
              <a16:creationId xmlns:a16="http://schemas.microsoft.com/office/drawing/2014/main" id="{B5149112-21E7-43A8-8F5B-DF4A1B34A945}"/>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142875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89</xdr:row>
      <xdr:rowOff>6350</xdr:rowOff>
    </xdr:from>
    <xdr:to>
      <xdr:col>10</xdr:col>
      <xdr:colOff>533400</xdr:colOff>
      <xdr:row>89</xdr:row>
      <xdr:rowOff>157185</xdr:rowOff>
    </xdr:to>
    <xdr:pic>
      <xdr:nvPicPr>
        <xdr:cNvPr id="41" name="Picture 40">
          <a:extLst>
            <a:ext uri="{FF2B5EF4-FFF2-40B4-BE49-F238E27FC236}">
              <a16:creationId xmlns:a16="http://schemas.microsoft.com/office/drawing/2014/main" id="{C389DED1-4275-448F-82F2-DBD389B21B62}"/>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142938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89</xdr:row>
      <xdr:rowOff>6350</xdr:rowOff>
    </xdr:from>
    <xdr:to>
      <xdr:col>11</xdr:col>
      <xdr:colOff>857250</xdr:colOff>
      <xdr:row>89</xdr:row>
      <xdr:rowOff>161051</xdr:rowOff>
    </xdr:to>
    <xdr:pic>
      <xdr:nvPicPr>
        <xdr:cNvPr id="42" name="Picture 41">
          <a:extLst>
            <a:ext uri="{FF2B5EF4-FFF2-40B4-BE49-F238E27FC236}">
              <a16:creationId xmlns:a16="http://schemas.microsoft.com/office/drawing/2014/main" id="{AF93658E-C32D-45F3-8397-EEAE8FCDEBB1}"/>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142938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57150</xdr:colOff>
      <xdr:row>89</xdr:row>
      <xdr:rowOff>0</xdr:rowOff>
    </xdr:from>
    <xdr:to>
      <xdr:col>5</xdr:col>
      <xdr:colOff>196850</xdr:colOff>
      <xdr:row>89</xdr:row>
      <xdr:rowOff>130687</xdr:rowOff>
    </xdr:to>
    <xdr:pic>
      <xdr:nvPicPr>
        <xdr:cNvPr id="43" name="Picture 42">
          <a:extLst>
            <a:ext uri="{FF2B5EF4-FFF2-40B4-BE49-F238E27FC236}">
              <a16:creationId xmlns:a16="http://schemas.microsoft.com/office/drawing/2014/main" id="{9081D8DF-4CC2-4576-9441-5E2118089E1F}"/>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32300" y="14287500"/>
          <a:ext cx="139700" cy="130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38100</xdr:colOff>
      <xdr:row>3</xdr:row>
      <xdr:rowOff>0</xdr:rowOff>
    </xdr:from>
    <xdr:to>
      <xdr:col>17</xdr:col>
      <xdr:colOff>165100</xdr:colOff>
      <xdr:row>3</xdr:row>
      <xdr:rowOff>146538</xdr:rowOff>
    </xdr:to>
    <xdr:pic>
      <xdr:nvPicPr>
        <xdr:cNvPr id="44" name="Picture 43">
          <a:extLst>
            <a:ext uri="{FF2B5EF4-FFF2-40B4-BE49-F238E27FC236}">
              <a16:creationId xmlns:a16="http://schemas.microsoft.com/office/drawing/2014/main" id="{65D46B17-DC20-4B35-AD98-A965848DEBA6}"/>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579850" y="488950"/>
          <a:ext cx="127000" cy="146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49530</xdr:colOff>
      <xdr:row>3</xdr:row>
      <xdr:rowOff>0</xdr:rowOff>
    </xdr:from>
    <xdr:to>
      <xdr:col>18</xdr:col>
      <xdr:colOff>165100</xdr:colOff>
      <xdr:row>3</xdr:row>
      <xdr:rowOff>133350</xdr:rowOff>
    </xdr:to>
    <xdr:pic>
      <xdr:nvPicPr>
        <xdr:cNvPr id="45" name="Picture 44">
          <a:extLst>
            <a:ext uri="{FF2B5EF4-FFF2-40B4-BE49-F238E27FC236}">
              <a16:creationId xmlns:a16="http://schemas.microsoft.com/office/drawing/2014/main" id="{55B0B61D-9B01-4965-867F-551ADAC15E5E}"/>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893030" y="488950"/>
          <a:ext cx="115570"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101600</xdr:colOff>
      <xdr:row>3</xdr:row>
      <xdr:rowOff>19050</xdr:rowOff>
    </xdr:from>
    <xdr:to>
      <xdr:col>20</xdr:col>
      <xdr:colOff>615950</xdr:colOff>
      <xdr:row>3</xdr:row>
      <xdr:rowOff>150935</xdr:rowOff>
    </xdr:to>
    <xdr:pic>
      <xdr:nvPicPr>
        <xdr:cNvPr id="46" name="Picture 45">
          <a:extLst>
            <a:ext uri="{FF2B5EF4-FFF2-40B4-BE49-F238E27FC236}">
              <a16:creationId xmlns:a16="http://schemas.microsoft.com/office/drawing/2014/main" id="{DE60D3D5-EC42-43EC-AA49-ACF72F98A367}"/>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072350" y="508000"/>
          <a:ext cx="514350" cy="131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28864</xdr:colOff>
      <xdr:row>3</xdr:row>
      <xdr:rowOff>0</xdr:rowOff>
    </xdr:from>
    <xdr:to>
      <xdr:col>21</xdr:col>
      <xdr:colOff>158750</xdr:colOff>
      <xdr:row>3</xdr:row>
      <xdr:rowOff>171450</xdr:rowOff>
    </xdr:to>
    <xdr:pic>
      <xdr:nvPicPr>
        <xdr:cNvPr id="47" name="Picture 46">
          <a:extLst>
            <a:ext uri="{FF2B5EF4-FFF2-40B4-BE49-F238E27FC236}">
              <a16:creationId xmlns:a16="http://schemas.microsoft.com/office/drawing/2014/main" id="{CB456386-6F6B-4656-9C7D-BA0FEFBC982A}"/>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679064" y="488950"/>
          <a:ext cx="129886"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43294</xdr:colOff>
      <xdr:row>3</xdr:row>
      <xdr:rowOff>0</xdr:rowOff>
    </xdr:from>
    <xdr:to>
      <xdr:col>22</xdr:col>
      <xdr:colOff>158749</xdr:colOff>
      <xdr:row>3</xdr:row>
      <xdr:rowOff>152400</xdr:rowOff>
    </xdr:to>
    <xdr:pic>
      <xdr:nvPicPr>
        <xdr:cNvPr id="48" name="Picture 47">
          <a:extLst>
            <a:ext uri="{FF2B5EF4-FFF2-40B4-BE49-F238E27FC236}">
              <a16:creationId xmlns:a16="http://schemas.microsoft.com/office/drawing/2014/main" id="{0253F4DF-EE76-40B5-A168-C20FC4799800}"/>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303094" y="488950"/>
          <a:ext cx="11545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76200</xdr:colOff>
      <xdr:row>3</xdr:row>
      <xdr:rowOff>0</xdr:rowOff>
    </xdr:from>
    <xdr:to>
      <xdr:col>24</xdr:col>
      <xdr:colOff>533400</xdr:colOff>
      <xdr:row>3</xdr:row>
      <xdr:rowOff>139700</xdr:rowOff>
    </xdr:to>
    <xdr:pic>
      <xdr:nvPicPr>
        <xdr:cNvPr id="49" name="Picture 48">
          <a:extLst>
            <a:ext uri="{FF2B5EF4-FFF2-40B4-BE49-F238E27FC236}">
              <a16:creationId xmlns:a16="http://schemas.microsoft.com/office/drawing/2014/main" id="{657C298E-445A-4213-87F8-62B78A8E5069}"/>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783800" y="488950"/>
          <a:ext cx="457200" cy="13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31750</xdr:colOff>
      <xdr:row>3</xdr:row>
      <xdr:rowOff>0</xdr:rowOff>
    </xdr:from>
    <xdr:to>
      <xdr:col>25</xdr:col>
      <xdr:colOff>234950</xdr:colOff>
      <xdr:row>3</xdr:row>
      <xdr:rowOff>181232</xdr:rowOff>
    </xdr:to>
    <xdr:pic>
      <xdr:nvPicPr>
        <xdr:cNvPr id="50" name="Picture 49">
          <a:extLst>
            <a:ext uri="{FF2B5EF4-FFF2-40B4-BE49-F238E27FC236}">
              <a16:creationId xmlns:a16="http://schemas.microsoft.com/office/drawing/2014/main" id="{9083363C-E4CA-4FC6-9801-9C8AB6BD33D6}"/>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348950" y="488950"/>
          <a:ext cx="203200" cy="181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35598</xdr:colOff>
      <xdr:row>3</xdr:row>
      <xdr:rowOff>0</xdr:rowOff>
    </xdr:from>
    <xdr:to>
      <xdr:col>26</xdr:col>
      <xdr:colOff>234950</xdr:colOff>
      <xdr:row>3</xdr:row>
      <xdr:rowOff>177800</xdr:rowOff>
    </xdr:to>
    <xdr:pic>
      <xdr:nvPicPr>
        <xdr:cNvPr id="51" name="Picture 50">
          <a:extLst>
            <a:ext uri="{FF2B5EF4-FFF2-40B4-BE49-F238E27FC236}">
              <a16:creationId xmlns:a16="http://schemas.microsoft.com/office/drawing/2014/main" id="{8721E46A-655F-4BE0-B390-47235984D92B}"/>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962398" y="488950"/>
          <a:ext cx="199352"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88900</xdr:colOff>
      <xdr:row>3</xdr:row>
      <xdr:rowOff>12700</xdr:rowOff>
    </xdr:from>
    <xdr:to>
      <xdr:col>28</xdr:col>
      <xdr:colOff>666173</xdr:colOff>
      <xdr:row>3</xdr:row>
      <xdr:rowOff>139700</xdr:rowOff>
    </xdr:to>
    <xdr:pic>
      <xdr:nvPicPr>
        <xdr:cNvPr id="52" name="Picture 51">
          <a:extLst>
            <a:ext uri="{FF2B5EF4-FFF2-40B4-BE49-F238E27FC236}">
              <a16:creationId xmlns:a16="http://schemas.microsoft.com/office/drawing/2014/main" id="{7FE6B9B6-E431-4510-B788-915C03B5E423}"/>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412700" y="501650"/>
          <a:ext cx="577273" cy="12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32</xdr:col>
      <xdr:colOff>63500</xdr:colOff>
      <xdr:row>3</xdr:row>
      <xdr:rowOff>6350</xdr:rowOff>
    </xdr:from>
    <xdr:to>
      <xdr:col>32</xdr:col>
      <xdr:colOff>488950</xdr:colOff>
      <xdr:row>3</xdr:row>
      <xdr:rowOff>146608</xdr:rowOff>
    </xdr:to>
    <xdr:pic>
      <xdr:nvPicPr>
        <xdr:cNvPr id="53" name="Picture 52">
          <a:extLst>
            <a:ext uri="{FF2B5EF4-FFF2-40B4-BE49-F238E27FC236}">
              <a16:creationId xmlns:a16="http://schemas.microsoft.com/office/drawing/2014/main" id="{59FFE654-21B5-40A0-97E1-447219A17BA1}"/>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9013150" y="495300"/>
          <a:ext cx="425450" cy="140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69850</xdr:colOff>
      <xdr:row>17</xdr:row>
      <xdr:rowOff>0</xdr:rowOff>
    </xdr:from>
    <xdr:to>
      <xdr:col>6</xdr:col>
      <xdr:colOff>527050</xdr:colOff>
      <xdr:row>17</xdr:row>
      <xdr:rowOff>160059</xdr:rowOff>
    </xdr:to>
    <xdr:pic>
      <xdr:nvPicPr>
        <xdr:cNvPr id="54" name="Picture 53">
          <a:extLst>
            <a:ext uri="{FF2B5EF4-FFF2-40B4-BE49-F238E27FC236}">
              <a16:creationId xmlns:a16="http://schemas.microsoft.com/office/drawing/2014/main" id="{CB9B0E3D-31E7-4B83-BA26-79471C91FEFA}"/>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1450" y="2952750"/>
          <a:ext cx="457200" cy="160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17</xdr:row>
      <xdr:rowOff>6350</xdr:rowOff>
    </xdr:from>
    <xdr:to>
      <xdr:col>7</xdr:col>
      <xdr:colOff>577850</xdr:colOff>
      <xdr:row>17</xdr:row>
      <xdr:rowOff>161498</xdr:rowOff>
    </xdr:to>
    <xdr:pic>
      <xdr:nvPicPr>
        <xdr:cNvPr id="55" name="Picture 54">
          <a:extLst>
            <a:ext uri="{FF2B5EF4-FFF2-40B4-BE49-F238E27FC236}">
              <a16:creationId xmlns:a16="http://schemas.microsoft.com/office/drawing/2014/main" id="{4635D662-0CE1-454D-8CBC-1C20EEC4C0EA}"/>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29591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17</xdr:row>
      <xdr:rowOff>0</xdr:rowOff>
    </xdr:from>
    <xdr:to>
      <xdr:col>8</xdr:col>
      <xdr:colOff>533400</xdr:colOff>
      <xdr:row>17</xdr:row>
      <xdr:rowOff>154672</xdr:rowOff>
    </xdr:to>
    <xdr:pic>
      <xdr:nvPicPr>
        <xdr:cNvPr id="56" name="Picture 55">
          <a:extLst>
            <a:ext uri="{FF2B5EF4-FFF2-40B4-BE49-F238E27FC236}">
              <a16:creationId xmlns:a16="http://schemas.microsoft.com/office/drawing/2014/main" id="{7BF07F3E-6BAE-49BA-815A-41BE93FD13FB}"/>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29527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17</xdr:row>
      <xdr:rowOff>0</xdr:rowOff>
    </xdr:from>
    <xdr:to>
      <xdr:col>9</xdr:col>
      <xdr:colOff>546100</xdr:colOff>
      <xdr:row>17</xdr:row>
      <xdr:rowOff>162508</xdr:rowOff>
    </xdr:to>
    <xdr:pic>
      <xdr:nvPicPr>
        <xdr:cNvPr id="57" name="Picture 56">
          <a:extLst>
            <a:ext uri="{FF2B5EF4-FFF2-40B4-BE49-F238E27FC236}">
              <a16:creationId xmlns:a16="http://schemas.microsoft.com/office/drawing/2014/main" id="{260A233C-D77F-41B2-942C-F3B5836C455C}"/>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29527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17</xdr:row>
      <xdr:rowOff>6350</xdr:rowOff>
    </xdr:from>
    <xdr:to>
      <xdr:col>10</xdr:col>
      <xdr:colOff>533400</xdr:colOff>
      <xdr:row>17</xdr:row>
      <xdr:rowOff>157185</xdr:rowOff>
    </xdr:to>
    <xdr:pic>
      <xdr:nvPicPr>
        <xdr:cNvPr id="58" name="Picture 57">
          <a:extLst>
            <a:ext uri="{FF2B5EF4-FFF2-40B4-BE49-F238E27FC236}">
              <a16:creationId xmlns:a16="http://schemas.microsoft.com/office/drawing/2014/main" id="{2E473CF3-294A-4DB8-BC1B-71A1C7D523B6}"/>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29591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17</xdr:row>
      <xdr:rowOff>6350</xdr:rowOff>
    </xdr:from>
    <xdr:to>
      <xdr:col>11</xdr:col>
      <xdr:colOff>857250</xdr:colOff>
      <xdr:row>17</xdr:row>
      <xdr:rowOff>161051</xdr:rowOff>
    </xdr:to>
    <xdr:pic>
      <xdr:nvPicPr>
        <xdr:cNvPr id="59" name="Picture 58">
          <a:extLst>
            <a:ext uri="{FF2B5EF4-FFF2-40B4-BE49-F238E27FC236}">
              <a16:creationId xmlns:a16="http://schemas.microsoft.com/office/drawing/2014/main" id="{1F292843-4E4A-4DC0-BD8A-36FC2C801B4B}"/>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29591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17</xdr:row>
      <xdr:rowOff>0</xdr:rowOff>
    </xdr:from>
    <xdr:to>
      <xdr:col>5</xdr:col>
      <xdr:colOff>196850</xdr:colOff>
      <xdr:row>17</xdr:row>
      <xdr:rowOff>148508</xdr:rowOff>
    </xdr:to>
    <xdr:pic>
      <xdr:nvPicPr>
        <xdr:cNvPr id="60" name="Picture 59">
          <a:extLst>
            <a:ext uri="{FF2B5EF4-FFF2-40B4-BE49-F238E27FC236}">
              <a16:creationId xmlns:a16="http://schemas.microsoft.com/office/drawing/2014/main" id="{F9AE151B-7B35-475B-AC55-2946DD5BEF9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295275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6</xdr:col>
      <xdr:colOff>76200</xdr:colOff>
      <xdr:row>2</xdr:row>
      <xdr:rowOff>133350</xdr:rowOff>
    </xdr:from>
    <xdr:to>
      <xdr:col>6</xdr:col>
      <xdr:colOff>533400</xdr:colOff>
      <xdr:row>3</xdr:row>
      <xdr:rowOff>153709</xdr:rowOff>
    </xdr:to>
    <xdr:pic>
      <xdr:nvPicPr>
        <xdr:cNvPr id="2" name="Picture 1">
          <a:extLst>
            <a:ext uri="{FF2B5EF4-FFF2-40B4-BE49-F238E27FC236}">
              <a16:creationId xmlns:a16="http://schemas.microsoft.com/office/drawing/2014/main" id="{07BDC4E8-5716-4299-98DB-7C64A6E0907C}"/>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457200"/>
          <a:ext cx="457200" cy="1854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3</xdr:row>
      <xdr:rowOff>6350</xdr:rowOff>
    </xdr:from>
    <xdr:to>
      <xdr:col>7</xdr:col>
      <xdr:colOff>577850</xdr:colOff>
      <xdr:row>3</xdr:row>
      <xdr:rowOff>161498</xdr:rowOff>
    </xdr:to>
    <xdr:pic>
      <xdr:nvPicPr>
        <xdr:cNvPr id="3" name="Picture 2">
          <a:extLst>
            <a:ext uri="{FF2B5EF4-FFF2-40B4-BE49-F238E27FC236}">
              <a16:creationId xmlns:a16="http://schemas.microsoft.com/office/drawing/2014/main" id="{F863A11A-5468-4044-90CF-77D341D2D201}"/>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4953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2</xdr:row>
      <xdr:rowOff>152400</xdr:rowOff>
    </xdr:from>
    <xdr:to>
      <xdr:col>8</xdr:col>
      <xdr:colOff>533400</xdr:colOff>
      <xdr:row>3</xdr:row>
      <xdr:rowOff>154672</xdr:rowOff>
    </xdr:to>
    <xdr:pic>
      <xdr:nvPicPr>
        <xdr:cNvPr id="4" name="Picture 3">
          <a:extLst>
            <a:ext uri="{FF2B5EF4-FFF2-40B4-BE49-F238E27FC236}">
              <a16:creationId xmlns:a16="http://schemas.microsoft.com/office/drawing/2014/main" id="{925A7793-A6E0-43A0-BDB2-762182F599AE}"/>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476250"/>
          <a:ext cx="463550" cy="167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3</xdr:row>
      <xdr:rowOff>0</xdr:rowOff>
    </xdr:from>
    <xdr:to>
      <xdr:col>9</xdr:col>
      <xdr:colOff>546100</xdr:colOff>
      <xdr:row>3</xdr:row>
      <xdr:rowOff>162508</xdr:rowOff>
    </xdr:to>
    <xdr:pic>
      <xdr:nvPicPr>
        <xdr:cNvPr id="5" name="Picture 4">
          <a:extLst>
            <a:ext uri="{FF2B5EF4-FFF2-40B4-BE49-F238E27FC236}">
              <a16:creationId xmlns:a16="http://schemas.microsoft.com/office/drawing/2014/main" id="{76A2321F-D3A3-498D-94BC-CDDCEBBAD1F6}"/>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4889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3</xdr:row>
      <xdr:rowOff>6350</xdr:rowOff>
    </xdr:from>
    <xdr:to>
      <xdr:col>10</xdr:col>
      <xdr:colOff>533400</xdr:colOff>
      <xdr:row>3</xdr:row>
      <xdr:rowOff>157185</xdr:rowOff>
    </xdr:to>
    <xdr:pic>
      <xdr:nvPicPr>
        <xdr:cNvPr id="6" name="Picture 5">
          <a:extLst>
            <a:ext uri="{FF2B5EF4-FFF2-40B4-BE49-F238E27FC236}">
              <a16:creationId xmlns:a16="http://schemas.microsoft.com/office/drawing/2014/main" id="{7117FA51-A175-48CA-B6BD-065BBC584AE0}"/>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4953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3</xdr:row>
      <xdr:rowOff>6350</xdr:rowOff>
    </xdr:from>
    <xdr:to>
      <xdr:col>11</xdr:col>
      <xdr:colOff>857250</xdr:colOff>
      <xdr:row>3</xdr:row>
      <xdr:rowOff>161051</xdr:rowOff>
    </xdr:to>
    <xdr:pic>
      <xdr:nvPicPr>
        <xdr:cNvPr id="7" name="Picture 6">
          <a:extLst>
            <a:ext uri="{FF2B5EF4-FFF2-40B4-BE49-F238E27FC236}">
              <a16:creationId xmlns:a16="http://schemas.microsoft.com/office/drawing/2014/main" id="{6D07DF0E-F18D-481C-9F06-60230422B4A2}"/>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4953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29826</xdr:colOff>
      <xdr:row>3</xdr:row>
      <xdr:rowOff>0</xdr:rowOff>
    </xdr:from>
    <xdr:to>
      <xdr:col>5</xdr:col>
      <xdr:colOff>196850</xdr:colOff>
      <xdr:row>3</xdr:row>
      <xdr:rowOff>177800</xdr:rowOff>
    </xdr:to>
    <xdr:pic>
      <xdr:nvPicPr>
        <xdr:cNvPr id="8" name="Picture 7">
          <a:extLst>
            <a:ext uri="{FF2B5EF4-FFF2-40B4-BE49-F238E27FC236}">
              <a16:creationId xmlns:a16="http://schemas.microsoft.com/office/drawing/2014/main" id="{92CC0A2D-5971-4FFB-B33A-9DF6017C3681}"/>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04976" y="488950"/>
          <a:ext cx="167024"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69850</xdr:colOff>
      <xdr:row>31</xdr:row>
      <xdr:rowOff>0</xdr:rowOff>
    </xdr:from>
    <xdr:to>
      <xdr:col>6</xdr:col>
      <xdr:colOff>527050</xdr:colOff>
      <xdr:row>31</xdr:row>
      <xdr:rowOff>160059</xdr:rowOff>
    </xdr:to>
    <xdr:pic>
      <xdr:nvPicPr>
        <xdr:cNvPr id="9" name="Picture 8">
          <a:extLst>
            <a:ext uri="{FF2B5EF4-FFF2-40B4-BE49-F238E27FC236}">
              <a16:creationId xmlns:a16="http://schemas.microsoft.com/office/drawing/2014/main" id="{C4978C00-94EF-4FAF-92C1-5892B1D6D824}"/>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1450" y="5219700"/>
          <a:ext cx="457200" cy="160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31</xdr:row>
      <xdr:rowOff>6350</xdr:rowOff>
    </xdr:from>
    <xdr:to>
      <xdr:col>7</xdr:col>
      <xdr:colOff>577850</xdr:colOff>
      <xdr:row>31</xdr:row>
      <xdr:rowOff>161498</xdr:rowOff>
    </xdr:to>
    <xdr:pic>
      <xdr:nvPicPr>
        <xdr:cNvPr id="10" name="Picture 9">
          <a:extLst>
            <a:ext uri="{FF2B5EF4-FFF2-40B4-BE49-F238E27FC236}">
              <a16:creationId xmlns:a16="http://schemas.microsoft.com/office/drawing/2014/main" id="{2254EA22-EDA7-46C3-A404-A67DF9FCA58E}"/>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52260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31</xdr:row>
      <xdr:rowOff>0</xdr:rowOff>
    </xdr:from>
    <xdr:to>
      <xdr:col>8</xdr:col>
      <xdr:colOff>533400</xdr:colOff>
      <xdr:row>31</xdr:row>
      <xdr:rowOff>154672</xdr:rowOff>
    </xdr:to>
    <xdr:pic>
      <xdr:nvPicPr>
        <xdr:cNvPr id="11" name="Picture 10">
          <a:extLst>
            <a:ext uri="{FF2B5EF4-FFF2-40B4-BE49-F238E27FC236}">
              <a16:creationId xmlns:a16="http://schemas.microsoft.com/office/drawing/2014/main" id="{1C3B1EC6-F345-4960-9562-3F4BEAD3D557}"/>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52197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31</xdr:row>
      <xdr:rowOff>0</xdr:rowOff>
    </xdr:from>
    <xdr:to>
      <xdr:col>9</xdr:col>
      <xdr:colOff>546100</xdr:colOff>
      <xdr:row>31</xdr:row>
      <xdr:rowOff>162508</xdr:rowOff>
    </xdr:to>
    <xdr:pic>
      <xdr:nvPicPr>
        <xdr:cNvPr id="12" name="Picture 11">
          <a:extLst>
            <a:ext uri="{FF2B5EF4-FFF2-40B4-BE49-F238E27FC236}">
              <a16:creationId xmlns:a16="http://schemas.microsoft.com/office/drawing/2014/main" id="{7FE1F862-E904-4185-AFFE-D2D73ABC180C}"/>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52197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31</xdr:row>
      <xdr:rowOff>6350</xdr:rowOff>
    </xdr:from>
    <xdr:to>
      <xdr:col>10</xdr:col>
      <xdr:colOff>533400</xdr:colOff>
      <xdr:row>31</xdr:row>
      <xdr:rowOff>157185</xdr:rowOff>
    </xdr:to>
    <xdr:pic>
      <xdr:nvPicPr>
        <xdr:cNvPr id="13" name="Picture 12">
          <a:extLst>
            <a:ext uri="{FF2B5EF4-FFF2-40B4-BE49-F238E27FC236}">
              <a16:creationId xmlns:a16="http://schemas.microsoft.com/office/drawing/2014/main" id="{BE7BEDFA-4ADA-4268-A638-0996014D1AD4}"/>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52260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31</xdr:row>
      <xdr:rowOff>6350</xdr:rowOff>
    </xdr:from>
    <xdr:to>
      <xdr:col>11</xdr:col>
      <xdr:colOff>857250</xdr:colOff>
      <xdr:row>31</xdr:row>
      <xdr:rowOff>161051</xdr:rowOff>
    </xdr:to>
    <xdr:pic>
      <xdr:nvPicPr>
        <xdr:cNvPr id="14" name="Picture 13">
          <a:extLst>
            <a:ext uri="{FF2B5EF4-FFF2-40B4-BE49-F238E27FC236}">
              <a16:creationId xmlns:a16="http://schemas.microsoft.com/office/drawing/2014/main" id="{95380524-161B-4A32-91DB-F234FF364655}"/>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52260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31</xdr:row>
      <xdr:rowOff>0</xdr:rowOff>
    </xdr:from>
    <xdr:to>
      <xdr:col>5</xdr:col>
      <xdr:colOff>196850</xdr:colOff>
      <xdr:row>31</xdr:row>
      <xdr:rowOff>148508</xdr:rowOff>
    </xdr:to>
    <xdr:pic>
      <xdr:nvPicPr>
        <xdr:cNvPr id="15" name="Picture 14">
          <a:extLst>
            <a:ext uri="{FF2B5EF4-FFF2-40B4-BE49-F238E27FC236}">
              <a16:creationId xmlns:a16="http://schemas.microsoft.com/office/drawing/2014/main" id="{A59E29EA-213A-43EC-B8FF-F572E2833F72}"/>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521970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46</xdr:row>
      <xdr:rowOff>0</xdr:rowOff>
    </xdr:from>
    <xdr:to>
      <xdr:col>6</xdr:col>
      <xdr:colOff>533400</xdr:colOff>
      <xdr:row>46</xdr:row>
      <xdr:rowOff>153709</xdr:rowOff>
    </xdr:to>
    <xdr:pic>
      <xdr:nvPicPr>
        <xdr:cNvPr id="16" name="Picture 15">
          <a:extLst>
            <a:ext uri="{FF2B5EF4-FFF2-40B4-BE49-F238E27FC236}">
              <a16:creationId xmlns:a16="http://schemas.microsoft.com/office/drawing/2014/main" id="{F7FF03B6-1291-4D0A-B69D-87FAD2E9140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748665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46</xdr:row>
      <xdr:rowOff>6350</xdr:rowOff>
    </xdr:from>
    <xdr:to>
      <xdr:col>7</xdr:col>
      <xdr:colOff>577850</xdr:colOff>
      <xdr:row>46</xdr:row>
      <xdr:rowOff>161498</xdr:rowOff>
    </xdr:to>
    <xdr:pic>
      <xdr:nvPicPr>
        <xdr:cNvPr id="17" name="Picture 16">
          <a:extLst>
            <a:ext uri="{FF2B5EF4-FFF2-40B4-BE49-F238E27FC236}">
              <a16:creationId xmlns:a16="http://schemas.microsoft.com/office/drawing/2014/main" id="{16ACC735-4DD0-4ED4-863A-C6D62A2012F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74930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46</xdr:row>
      <xdr:rowOff>0</xdr:rowOff>
    </xdr:from>
    <xdr:to>
      <xdr:col>8</xdr:col>
      <xdr:colOff>533400</xdr:colOff>
      <xdr:row>46</xdr:row>
      <xdr:rowOff>154672</xdr:rowOff>
    </xdr:to>
    <xdr:pic>
      <xdr:nvPicPr>
        <xdr:cNvPr id="18" name="Picture 17">
          <a:extLst>
            <a:ext uri="{FF2B5EF4-FFF2-40B4-BE49-F238E27FC236}">
              <a16:creationId xmlns:a16="http://schemas.microsoft.com/office/drawing/2014/main" id="{6D891E79-6678-4FE1-BF0D-D2189978F4E1}"/>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74866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46</xdr:row>
      <xdr:rowOff>0</xdr:rowOff>
    </xdr:from>
    <xdr:to>
      <xdr:col>9</xdr:col>
      <xdr:colOff>546100</xdr:colOff>
      <xdr:row>46</xdr:row>
      <xdr:rowOff>162508</xdr:rowOff>
    </xdr:to>
    <xdr:pic>
      <xdr:nvPicPr>
        <xdr:cNvPr id="19" name="Picture 18">
          <a:extLst>
            <a:ext uri="{FF2B5EF4-FFF2-40B4-BE49-F238E27FC236}">
              <a16:creationId xmlns:a16="http://schemas.microsoft.com/office/drawing/2014/main" id="{82DBFCCC-007E-4E84-9A72-72CDDD647019}"/>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74866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46</xdr:row>
      <xdr:rowOff>6350</xdr:rowOff>
    </xdr:from>
    <xdr:to>
      <xdr:col>10</xdr:col>
      <xdr:colOff>533400</xdr:colOff>
      <xdr:row>46</xdr:row>
      <xdr:rowOff>157185</xdr:rowOff>
    </xdr:to>
    <xdr:pic>
      <xdr:nvPicPr>
        <xdr:cNvPr id="20" name="Picture 19">
          <a:extLst>
            <a:ext uri="{FF2B5EF4-FFF2-40B4-BE49-F238E27FC236}">
              <a16:creationId xmlns:a16="http://schemas.microsoft.com/office/drawing/2014/main" id="{D54F53F1-FD4F-4EC9-946D-7DCDEE93FA7F}"/>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74930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46</xdr:row>
      <xdr:rowOff>6350</xdr:rowOff>
    </xdr:from>
    <xdr:to>
      <xdr:col>11</xdr:col>
      <xdr:colOff>857250</xdr:colOff>
      <xdr:row>46</xdr:row>
      <xdr:rowOff>161051</xdr:rowOff>
    </xdr:to>
    <xdr:pic>
      <xdr:nvPicPr>
        <xdr:cNvPr id="21" name="Picture 20">
          <a:extLst>
            <a:ext uri="{FF2B5EF4-FFF2-40B4-BE49-F238E27FC236}">
              <a16:creationId xmlns:a16="http://schemas.microsoft.com/office/drawing/2014/main" id="{899CD819-DB66-4D12-9265-CA3E0AB05718}"/>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74930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50800</xdr:colOff>
      <xdr:row>46</xdr:row>
      <xdr:rowOff>0</xdr:rowOff>
    </xdr:from>
    <xdr:to>
      <xdr:col>5</xdr:col>
      <xdr:colOff>196850</xdr:colOff>
      <xdr:row>46</xdr:row>
      <xdr:rowOff>136627</xdr:rowOff>
    </xdr:to>
    <xdr:pic>
      <xdr:nvPicPr>
        <xdr:cNvPr id="22" name="Picture 21">
          <a:extLst>
            <a:ext uri="{FF2B5EF4-FFF2-40B4-BE49-F238E27FC236}">
              <a16:creationId xmlns:a16="http://schemas.microsoft.com/office/drawing/2014/main" id="{A42A91AF-229F-4F41-BDA6-B6F244BC2273}"/>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25950" y="7486650"/>
          <a:ext cx="146050" cy="1366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61</xdr:row>
      <xdr:rowOff>0</xdr:rowOff>
    </xdr:from>
    <xdr:to>
      <xdr:col>6</xdr:col>
      <xdr:colOff>533400</xdr:colOff>
      <xdr:row>61</xdr:row>
      <xdr:rowOff>153709</xdr:rowOff>
    </xdr:to>
    <xdr:pic>
      <xdr:nvPicPr>
        <xdr:cNvPr id="23" name="Picture 22">
          <a:extLst>
            <a:ext uri="{FF2B5EF4-FFF2-40B4-BE49-F238E27FC236}">
              <a16:creationId xmlns:a16="http://schemas.microsoft.com/office/drawing/2014/main" id="{DFAF3E42-A6B8-43DB-9B26-4AAF8AABE82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975360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61</xdr:row>
      <xdr:rowOff>6350</xdr:rowOff>
    </xdr:from>
    <xdr:to>
      <xdr:col>7</xdr:col>
      <xdr:colOff>577850</xdr:colOff>
      <xdr:row>61</xdr:row>
      <xdr:rowOff>161498</xdr:rowOff>
    </xdr:to>
    <xdr:pic>
      <xdr:nvPicPr>
        <xdr:cNvPr id="24" name="Picture 23">
          <a:extLst>
            <a:ext uri="{FF2B5EF4-FFF2-40B4-BE49-F238E27FC236}">
              <a16:creationId xmlns:a16="http://schemas.microsoft.com/office/drawing/2014/main" id="{8C9B8AC7-BA43-4F16-8D83-6BDBDD3D194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97599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61</xdr:row>
      <xdr:rowOff>0</xdr:rowOff>
    </xdr:from>
    <xdr:to>
      <xdr:col>8</xdr:col>
      <xdr:colOff>533400</xdr:colOff>
      <xdr:row>61</xdr:row>
      <xdr:rowOff>154672</xdr:rowOff>
    </xdr:to>
    <xdr:pic>
      <xdr:nvPicPr>
        <xdr:cNvPr id="25" name="Picture 24">
          <a:extLst>
            <a:ext uri="{FF2B5EF4-FFF2-40B4-BE49-F238E27FC236}">
              <a16:creationId xmlns:a16="http://schemas.microsoft.com/office/drawing/2014/main" id="{0F2FC10D-499E-4114-BAE5-3047B51916CF}"/>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97536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61</xdr:row>
      <xdr:rowOff>0</xdr:rowOff>
    </xdr:from>
    <xdr:to>
      <xdr:col>9</xdr:col>
      <xdr:colOff>546100</xdr:colOff>
      <xdr:row>61</xdr:row>
      <xdr:rowOff>162508</xdr:rowOff>
    </xdr:to>
    <xdr:pic>
      <xdr:nvPicPr>
        <xdr:cNvPr id="26" name="Picture 25">
          <a:extLst>
            <a:ext uri="{FF2B5EF4-FFF2-40B4-BE49-F238E27FC236}">
              <a16:creationId xmlns:a16="http://schemas.microsoft.com/office/drawing/2014/main" id="{472EFCB9-D13E-4140-843F-03E0C09ECEAE}"/>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97536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61</xdr:row>
      <xdr:rowOff>6350</xdr:rowOff>
    </xdr:from>
    <xdr:to>
      <xdr:col>10</xdr:col>
      <xdr:colOff>533400</xdr:colOff>
      <xdr:row>61</xdr:row>
      <xdr:rowOff>157185</xdr:rowOff>
    </xdr:to>
    <xdr:pic>
      <xdr:nvPicPr>
        <xdr:cNvPr id="27" name="Picture 26">
          <a:extLst>
            <a:ext uri="{FF2B5EF4-FFF2-40B4-BE49-F238E27FC236}">
              <a16:creationId xmlns:a16="http://schemas.microsoft.com/office/drawing/2014/main" id="{BDAD49E7-75F8-4E64-B9E2-237E71105FFE}"/>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97599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61</xdr:row>
      <xdr:rowOff>6350</xdr:rowOff>
    </xdr:from>
    <xdr:to>
      <xdr:col>11</xdr:col>
      <xdr:colOff>857250</xdr:colOff>
      <xdr:row>61</xdr:row>
      <xdr:rowOff>161051</xdr:rowOff>
    </xdr:to>
    <xdr:pic>
      <xdr:nvPicPr>
        <xdr:cNvPr id="28" name="Picture 27">
          <a:extLst>
            <a:ext uri="{FF2B5EF4-FFF2-40B4-BE49-F238E27FC236}">
              <a16:creationId xmlns:a16="http://schemas.microsoft.com/office/drawing/2014/main" id="{D2FC7F9E-353F-405A-8101-EDFCF5D60ECB}"/>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97599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61</xdr:row>
      <xdr:rowOff>0</xdr:rowOff>
    </xdr:from>
    <xdr:to>
      <xdr:col>5</xdr:col>
      <xdr:colOff>196850</xdr:colOff>
      <xdr:row>61</xdr:row>
      <xdr:rowOff>148508</xdr:rowOff>
    </xdr:to>
    <xdr:pic>
      <xdr:nvPicPr>
        <xdr:cNvPr id="29" name="Picture 28">
          <a:extLst>
            <a:ext uri="{FF2B5EF4-FFF2-40B4-BE49-F238E27FC236}">
              <a16:creationId xmlns:a16="http://schemas.microsoft.com/office/drawing/2014/main" id="{45E28670-F89C-437C-907F-D388A49ACCD3}"/>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975360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75</xdr:row>
      <xdr:rowOff>0</xdr:rowOff>
    </xdr:from>
    <xdr:to>
      <xdr:col>6</xdr:col>
      <xdr:colOff>533400</xdr:colOff>
      <xdr:row>75</xdr:row>
      <xdr:rowOff>153709</xdr:rowOff>
    </xdr:to>
    <xdr:pic>
      <xdr:nvPicPr>
        <xdr:cNvPr id="30" name="Picture 29">
          <a:extLst>
            <a:ext uri="{FF2B5EF4-FFF2-40B4-BE49-F238E27FC236}">
              <a16:creationId xmlns:a16="http://schemas.microsoft.com/office/drawing/2014/main" id="{06EAF11E-FE1A-46D5-B301-C3879FE822EF}"/>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1202055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75</xdr:row>
      <xdr:rowOff>6350</xdr:rowOff>
    </xdr:from>
    <xdr:to>
      <xdr:col>7</xdr:col>
      <xdr:colOff>577850</xdr:colOff>
      <xdr:row>75</xdr:row>
      <xdr:rowOff>161498</xdr:rowOff>
    </xdr:to>
    <xdr:pic>
      <xdr:nvPicPr>
        <xdr:cNvPr id="31" name="Picture 30">
          <a:extLst>
            <a:ext uri="{FF2B5EF4-FFF2-40B4-BE49-F238E27FC236}">
              <a16:creationId xmlns:a16="http://schemas.microsoft.com/office/drawing/2014/main" id="{15A468A4-DBF6-450B-B1B0-E2BC8F249141}"/>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120269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75</xdr:row>
      <xdr:rowOff>0</xdr:rowOff>
    </xdr:from>
    <xdr:to>
      <xdr:col>8</xdr:col>
      <xdr:colOff>533400</xdr:colOff>
      <xdr:row>75</xdr:row>
      <xdr:rowOff>154672</xdr:rowOff>
    </xdr:to>
    <xdr:pic>
      <xdr:nvPicPr>
        <xdr:cNvPr id="32" name="Picture 31">
          <a:extLst>
            <a:ext uri="{FF2B5EF4-FFF2-40B4-BE49-F238E27FC236}">
              <a16:creationId xmlns:a16="http://schemas.microsoft.com/office/drawing/2014/main" id="{EE64C2C7-EA52-44A0-95D5-2191018AEA5B}"/>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120205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75</xdr:row>
      <xdr:rowOff>0</xdr:rowOff>
    </xdr:from>
    <xdr:to>
      <xdr:col>9</xdr:col>
      <xdr:colOff>546100</xdr:colOff>
      <xdr:row>75</xdr:row>
      <xdr:rowOff>162508</xdr:rowOff>
    </xdr:to>
    <xdr:pic>
      <xdr:nvPicPr>
        <xdr:cNvPr id="33" name="Picture 32">
          <a:extLst>
            <a:ext uri="{FF2B5EF4-FFF2-40B4-BE49-F238E27FC236}">
              <a16:creationId xmlns:a16="http://schemas.microsoft.com/office/drawing/2014/main" id="{63560FEF-0B5A-4117-915F-716BC88DBB6C}"/>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120205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75</xdr:row>
      <xdr:rowOff>6350</xdr:rowOff>
    </xdr:from>
    <xdr:to>
      <xdr:col>10</xdr:col>
      <xdr:colOff>533400</xdr:colOff>
      <xdr:row>75</xdr:row>
      <xdr:rowOff>157185</xdr:rowOff>
    </xdr:to>
    <xdr:pic>
      <xdr:nvPicPr>
        <xdr:cNvPr id="34" name="Picture 33">
          <a:extLst>
            <a:ext uri="{FF2B5EF4-FFF2-40B4-BE49-F238E27FC236}">
              <a16:creationId xmlns:a16="http://schemas.microsoft.com/office/drawing/2014/main" id="{DE8D0181-77B2-4E7E-B525-2B795801FA36}"/>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120269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75</xdr:row>
      <xdr:rowOff>6350</xdr:rowOff>
    </xdr:from>
    <xdr:to>
      <xdr:col>11</xdr:col>
      <xdr:colOff>857250</xdr:colOff>
      <xdr:row>75</xdr:row>
      <xdr:rowOff>161051</xdr:rowOff>
    </xdr:to>
    <xdr:pic>
      <xdr:nvPicPr>
        <xdr:cNvPr id="35" name="Picture 34">
          <a:extLst>
            <a:ext uri="{FF2B5EF4-FFF2-40B4-BE49-F238E27FC236}">
              <a16:creationId xmlns:a16="http://schemas.microsoft.com/office/drawing/2014/main" id="{2C05DE9F-08DA-4698-A567-B3F695638AB6}"/>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120269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75</xdr:row>
      <xdr:rowOff>0</xdr:rowOff>
    </xdr:from>
    <xdr:to>
      <xdr:col>5</xdr:col>
      <xdr:colOff>196850</xdr:colOff>
      <xdr:row>75</xdr:row>
      <xdr:rowOff>148508</xdr:rowOff>
    </xdr:to>
    <xdr:pic>
      <xdr:nvPicPr>
        <xdr:cNvPr id="36" name="Picture 35">
          <a:extLst>
            <a:ext uri="{FF2B5EF4-FFF2-40B4-BE49-F238E27FC236}">
              <a16:creationId xmlns:a16="http://schemas.microsoft.com/office/drawing/2014/main" id="{06867084-528B-4F98-8736-17910E4F71D4}"/>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1202055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89</xdr:row>
      <xdr:rowOff>0</xdr:rowOff>
    </xdr:from>
    <xdr:to>
      <xdr:col>6</xdr:col>
      <xdr:colOff>533400</xdr:colOff>
      <xdr:row>89</xdr:row>
      <xdr:rowOff>153709</xdr:rowOff>
    </xdr:to>
    <xdr:pic>
      <xdr:nvPicPr>
        <xdr:cNvPr id="37" name="Picture 36">
          <a:extLst>
            <a:ext uri="{FF2B5EF4-FFF2-40B4-BE49-F238E27FC236}">
              <a16:creationId xmlns:a16="http://schemas.microsoft.com/office/drawing/2014/main" id="{E713FB6D-6B97-4F54-9914-8A3F7DD7A50C}"/>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1428750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89</xdr:row>
      <xdr:rowOff>6350</xdr:rowOff>
    </xdr:from>
    <xdr:to>
      <xdr:col>7</xdr:col>
      <xdr:colOff>577850</xdr:colOff>
      <xdr:row>89</xdr:row>
      <xdr:rowOff>161498</xdr:rowOff>
    </xdr:to>
    <xdr:pic>
      <xdr:nvPicPr>
        <xdr:cNvPr id="38" name="Picture 37">
          <a:extLst>
            <a:ext uri="{FF2B5EF4-FFF2-40B4-BE49-F238E27FC236}">
              <a16:creationId xmlns:a16="http://schemas.microsoft.com/office/drawing/2014/main" id="{ED6875A5-6A48-4E56-9CD5-20DDB20B701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142938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89</xdr:row>
      <xdr:rowOff>0</xdr:rowOff>
    </xdr:from>
    <xdr:to>
      <xdr:col>8</xdr:col>
      <xdr:colOff>533400</xdr:colOff>
      <xdr:row>89</xdr:row>
      <xdr:rowOff>154672</xdr:rowOff>
    </xdr:to>
    <xdr:pic>
      <xdr:nvPicPr>
        <xdr:cNvPr id="39" name="Picture 38">
          <a:extLst>
            <a:ext uri="{FF2B5EF4-FFF2-40B4-BE49-F238E27FC236}">
              <a16:creationId xmlns:a16="http://schemas.microsoft.com/office/drawing/2014/main" id="{062C79E2-F934-420D-A388-EDD0CB912563}"/>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142875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89</xdr:row>
      <xdr:rowOff>0</xdr:rowOff>
    </xdr:from>
    <xdr:to>
      <xdr:col>9</xdr:col>
      <xdr:colOff>546100</xdr:colOff>
      <xdr:row>89</xdr:row>
      <xdr:rowOff>162508</xdr:rowOff>
    </xdr:to>
    <xdr:pic>
      <xdr:nvPicPr>
        <xdr:cNvPr id="40" name="Picture 39">
          <a:extLst>
            <a:ext uri="{FF2B5EF4-FFF2-40B4-BE49-F238E27FC236}">
              <a16:creationId xmlns:a16="http://schemas.microsoft.com/office/drawing/2014/main" id="{829EF5EC-66A2-4297-9E00-4BE552C2F6A1}"/>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142875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89</xdr:row>
      <xdr:rowOff>6350</xdr:rowOff>
    </xdr:from>
    <xdr:to>
      <xdr:col>10</xdr:col>
      <xdr:colOff>533400</xdr:colOff>
      <xdr:row>89</xdr:row>
      <xdr:rowOff>157185</xdr:rowOff>
    </xdr:to>
    <xdr:pic>
      <xdr:nvPicPr>
        <xdr:cNvPr id="41" name="Picture 40">
          <a:extLst>
            <a:ext uri="{FF2B5EF4-FFF2-40B4-BE49-F238E27FC236}">
              <a16:creationId xmlns:a16="http://schemas.microsoft.com/office/drawing/2014/main" id="{E17CBAF4-8591-4929-AA41-BB6655FC967A}"/>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142938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89</xdr:row>
      <xdr:rowOff>6350</xdr:rowOff>
    </xdr:from>
    <xdr:to>
      <xdr:col>11</xdr:col>
      <xdr:colOff>857250</xdr:colOff>
      <xdr:row>89</xdr:row>
      <xdr:rowOff>161051</xdr:rowOff>
    </xdr:to>
    <xdr:pic>
      <xdr:nvPicPr>
        <xdr:cNvPr id="42" name="Picture 41">
          <a:extLst>
            <a:ext uri="{FF2B5EF4-FFF2-40B4-BE49-F238E27FC236}">
              <a16:creationId xmlns:a16="http://schemas.microsoft.com/office/drawing/2014/main" id="{887937B0-26BE-4D11-9FBD-6FA4EE9F1E85}"/>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142938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57150</xdr:colOff>
      <xdr:row>89</xdr:row>
      <xdr:rowOff>0</xdr:rowOff>
    </xdr:from>
    <xdr:to>
      <xdr:col>5</xdr:col>
      <xdr:colOff>196850</xdr:colOff>
      <xdr:row>89</xdr:row>
      <xdr:rowOff>130687</xdr:rowOff>
    </xdr:to>
    <xdr:pic>
      <xdr:nvPicPr>
        <xdr:cNvPr id="43" name="Picture 42">
          <a:extLst>
            <a:ext uri="{FF2B5EF4-FFF2-40B4-BE49-F238E27FC236}">
              <a16:creationId xmlns:a16="http://schemas.microsoft.com/office/drawing/2014/main" id="{D5C95A37-5A87-40FB-B7B9-6BDE788AD127}"/>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32300" y="14287500"/>
          <a:ext cx="139700" cy="130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38100</xdr:colOff>
      <xdr:row>3</xdr:row>
      <xdr:rowOff>0</xdr:rowOff>
    </xdr:from>
    <xdr:to>
      <xdr:col>17</xdr:col>
      <xdr:colOff>165100</xdr:colOff>
      <xdr:row>3</xdr:row>
      <xdr:rowOff>146538</xdr:rowOff>
    </xdr:to>
    <xdr:pic>
      <xdr:nvPicPr>
        <xdr:cNvPr id="44" name="Picture 43">
          <a:extLst>
            <a:ext uri="{FF2B5EF4-FFF2-40B4-BE49-F238E27FC236}">
              <a16:creationId xmlns:a16="http://schemas.microsoft.com/office/drawing/2014/main" id="{9A36A27B-DE93-429C-A8FB-70A6FC2A2CA5}"/>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579850" y="488950"/>
          <a:ext cx="127000" cy="146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49530</xdr:colOff>
      <xdr:row>3</xdr:row>
      <xdr:rowOff>0</xdr:rowOff>
    </xdr:from>
    <xdr:to>
      <xdr:col>18</xdr:col>
      <xdr:colOff>165100</xdr:colOff>
      <xdr:row>3</xdr:row>
      <xdr:rowOff>133350</xdr:rowOff>
    </xdr:to>
    <xdr:pic>
      <xdr:nvPicPr>
        <xdr:cNvPr id="45" name="Picture 44">
          <a:extLst>
            <a:ext uri="{FF2B5EF4-FFF2-40B4-BE49-F238E27FC236}">
              <a16:creationId xmlns:a16="http://schemas.microsoft.com/office/drawing/2014/main" id="{538D1FC9-CC1B-4856-85DE-510695AA877B}"/>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893030" y="488950"/>
          <a:ext cx="115570"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101600</xdr:colOff>
      <xdr:row>3</xdr:row>
      <xdr:rowOff>19050</xdr:rowOff>
    </xdr:from>
    <xdr:to>
      <xdr:col>20</xdr:col>
      <xdr:colOff>615950</xdr:colOff>
      <xdr:row>3</xdr:row>
      <xdr:rowOff>150935</xdr:rowOff>
    </xdr:to>
    <xdr:pic>
      <xdr:nvPicPr>
        <xdr:cNvPr id="46" name="Picture 45">
          <a:extLst>
            <a:ext uri="{FF2B5EF4-FFF2-40B4-BE49-F238E27FC236}">
              <a16:creationId xmlns:a16="http://schemas.microsoft.com/office/drawing/2014/main" id="{FFF9140A-DA48-48BA-A255-17965F1FE594}"/>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072350" y="508000"/>
          <a:ext cx="514350" cy="131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28864</xdr:colOff>
      <xdr:row>3</xdr:row>
      <xdr:rowOff>0</xdr:rowOff>
    </xdr:from>
    <xdr:to>
      <xdr:col>21</xdr:col>
      <xdr:colOff>158750</xdr:colOff>
      <xdr:row>3</xdr:row>
      <xdr:rowOff>171450</xdr:rowOff>
    </xdr:to>
    <xdr:pic>
      <xdr:nvPicPr>
        <xdr:cNvPr id="47" name="Picture 46">
          <a:extLst>
            <a:ext uri="{FF2B5EF4-FFF2-40B4-BE49-F238E27FC236}">
              <a16:creationId xmlns:a16="http://schemas.microsoft.com/office/drawing/2014/main" id="{495599F4-F113-4099-9314-16D55122BA50}"/>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679064" y="488950"/>
          <a:ext cx="129886"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43294</xdr:colOff>
      <xdr:row>3</xdr:row>
      <xdr:rowOff>0</xdr:rowOff>
    </xdr:from>
    <xdr:to>
      <xdr:col>22</xdr:col>
      <xdr:colOff>158749</xdr:colOff>
      <xdr:row>3</xdr:row>
      <xdr:rowOff>152400</xdr:rowOff>
    </xdr:to>
    <xdr:pic>
      <xdr:nvPicPr>
        <xdr:cNvPr id="48" name="Picture 47">
          <a:extLst>
            <a:ext uri="{FF2B5EF4-FFF2-40B4-BE49-F238E27FC236}">
              <a16:creationId xmlns:a16="http://schemas.microsoft.com/office/drawing/2014/main" id="{CA3E08E1-832E-4DD8-8BDD-984317680BF7}"/>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303094" y="488950"/>
          <a:ext cx="11545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76200</xdr:colOff>
      <xdr:row>3</xdr:row>
      <xdr:rowOff>0</xdr:rowOff>
    </xdr:from>
    <xdr:to>
      <xdr:col>24</xdr:col>
      <xdr:colOff>533400</xdr:colOff>
      <xdr:row>3</xdr:row>
      <xdr:rowOff>139700</xdr:rowOff>
    </xdr:to>
    <xdr:pic>
      <xdr:nvPicPr>
        <xdr:cNvPr id="49" name="Picture 48">
          <a:extLst>
            <a:ext uri="{FF2B5EF4-FFF2-40B4-BE49-F238E27FC236}">
              <a16:creationId xmlns:a16="http://schemas.microsoft.com/office/drawing/2014/main" id="{136633DD-D0EE-45AC-807F-6BFDF8901051}"/>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783800" y="488950"/>
          <a:ext cx="457200" cy="13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31750</xdr:colOff>
      <xdr:row>3</xdr:row>
      <xdr:rowOff>0</xdr:rowOff>
    </xdr:from>
    <xdr:to>
      <xdr:col>25</xdr:col>
      <xdr:colOff>234950</xdr:colOff>
      <xdr:row>3</xdr:row>
      <xdr:rowOff>181232</xdr:rowOff>
    </xdr:to>
    <xdr:pic>
      <xdr:nvPicPr>
        <xdr:cNvPr id="50" name="Picture 49">
          <a:extLst>
            <a:ext uri="{FF2B5EF4-FFF2-40B4-BE49-F238E27FC236}">
              <a16:creationId xmlns:a16="http://schemas.microsoft.com/office/drawing/2014/main" id="{797CB3C6-4953-4FA2-AD2A-1B06550A842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348950" y="488950"/>
          <a:ext cx="203200" cy="181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35598</xdr:colOff>
      <xdr:row>3</xdr:row>
      <xdr:rowOff>0</xdr:rowOff>
    </xdr:from>
    <xdr:to>
      <xdr:col>26</xdr:col>
      <xdr:colOff>234950</xdr:colOff>
      <xdr:row>3</xdr:row>
      <xdr:rowOff>177800</xdr:rowOff>
    </xdr:to>
    <xdr:pic>
      <xdr:nvPicPr>
        <xdr:cNvPr id="51" name="Picture 50">
          <a:extLst>
            <a:ext uri="{FF2B5EF4-FFF2-40B4-BE49-F238E27FC236}">
              <a16:creationId xmlns:a16="http://schemas.microsoft.com/office/drawing/2014/main" id="{10761EAD-FB56-47FA-AA1C-7B5F1F44947A}"/>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962398" y="488950"/>
          <a:ext cx="199352"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88900</xdr:colOff>
      <xdr:row>3</xdr:row>
      <xdr:rowOff>12700</xdr:rowOff>
    </xdr:from>
    <xdr:to>
      <xdr:col>28</xdr:col>
      <xdr:colOff>666173</xdr:colOff>
      <xdr:row>3</xdr:row>
      <xdr:rowOff>139700</xdr:rowOff>
    </xdr:to>
    <xdr:pic>
      <xdr:nvPicPr>
        <xdr:cNvPr id="52" name="Picture 51">
          <a:extLst>
            <a:ext uri="{FF2B5EF4-FFF2-40B4-BE49-F238E27FC236}">
              <a16:creationId xmlns:a16="http://schemas.microsoft.com/office/drawing/2014/main" id="{93E64C43-732F-420D-86D1-0B751182BEDC}"/>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412700" y="501650"/>
          <a:ext cx="577273" cy="12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32</xdr:col>
      <xdr:colOff>63500</xdr:colOff>
      <xdr:row>3</xdr:row>
      <xdr:rowOff>6350</xdr:rowOff>
    </xdr:from>
    <xdr:to>
      <xdr:col>32</xdr:col>
      <xdr:colOff>488950</xdr:colOff>
      <xdr:row>3</xdr:row>
      <xdr:rowOff>146608</xdr:rowOff>
    </xdr:to>
    <xdr:pic>
      <xdr:nvPicPr>
        <xdr:cNvPr id="53" name="Picture 52">
          <a:extLst>
            <a:ext uri="{FF2B5EF4-FFF2-40B4-BE49-F238E27FC236}">
              <a16:creationId xmlns:a16="http://schemas.microsoft.com/office/drawing/2014/main" id="{373D4F84-8EDB-4A4B-94CB-E785220FC847}"/>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9013150" y="495300"/>
          <a:ext cx="425450" cy="140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69850</xdr:colOff>
      <xdr:row>17</xdr:row>
      <xdr:rowOff>0</xdr:rowOff>
    </xdr:from>
    <xdr:to>
      <xdr:col>6</xdr:col>
      <xdr:colOff>527050</xdr:colOff>
      <xdr:row>17</xdr:row>
      <xdr:rowOff>160059</xdr:rowOff>
    </xdr:to>
    <xdr:pic>
      <xdr:nvPicPr>
        <xdr:cNvPr id="54" name="Picture 53">
          <a:extLst>
            <a:ext uri="{FF2B5EF4-FFF2-40B4-BE49-F238E27FC236}">
              <a16:creationId xmlns:a16="http://schemas.microsoft.com/office/drawing/2014/main" id="{51BDA6BA-BCD9-40D6-A175-F70D312C7BC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1450" y="2952750"/>
          <a:ext cx="457200" cy="160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17</xdr:row>
      <xdr:rowOff>6350</xdr:rowOff>
    </xdr:from>
    <xdr:to>
      <xdr:col>7</xdr:col>
      <xdr:colOff>577850</xdr:colOff>
      <xdr:row>17</xdr:row>
      <xdr:rowOff>161498</xdr:rowOff>
    </xdr:to>
    <xdr:pic>
      <xdr:nvPicPr>
        <xdr:cNvPr id="55" name="Picture 54">
          <a:extLst>
            <a:ext uri="{FF2B5EF4-FFF2-40B4-BE49-F238E27FC236}">
              <a16:creationId xmlns:a16="http://schemas.microsoft.com/office/drawing/2014/main" id="{F70405DC-188C-4390-A441-E02995608915}"/>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29591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17</xdr:row>
      <xdr:rowOff>0</xdr:rowOff>
    </xdr:from>
    <xdr:to>
      <xdr:col>8</xdr:col>
      <xdr:colOff>533400</xdr:colOff>
      <xdr:row>17</xdr:row>
      <xdr:rowOff>154672</xdr:rowOff>
    </xdr:to>
    <xdr:pic>
      <xdr:nvPicPr>
        <xdr:cNvPr id="56" name="Picture 55">
          <a:extLst>
            <a:ext uri="{FF2B5EF4-FFF2-40B4-BE49-F238E27FC236}">
              <a16:creationId xmlns:a16="http://schemas.microsoft.com/office/drawing/2014/main" id="{38A53DE7-E6BD-4F13-A3E0-5B7544B310A8}"/>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29527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17</xdr:row>
      <xdr:rowOff>0</xdr:rowOff>
    </xdr:from>
    <xdr:to>
      <xdr:col>9</xdr:col>
      <xdr:colOff>546100</xdr:colOff>
      <xdr:row>17</xdr:row>
      <xdr:rowOff>162508</xdr:rowOff>
    </xdr:to>
    <xdr:pic>
      <xdr:nvPicPr>
        <xdr:cNvPr id="57" name="Picture 56">
          <a:extLst>
            <a:ext uri="{FF2B5EF4-FFF2-40B4-BE49-F238E27FC236}">
              <a16:creationId xmlns:a16="http://schemas.microsoft.com/office/drawing/2014/main" id="{401C81BF-C24C-47A6-B9E6-72D5FDD69A0D}"/>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29527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17</xdr:row>
      <xdr:rowOff>6350</xdr:rowOff>
    </xdr:from>
    <xdr:to>
      <xdr:col>10</xdr:col>
      <xdr:colOff>533400</xdr:colOff>
      <xdr:row>17</xdr:row>
      <xdr:rowOff>157185</xdr:rowOff>
    </xdr:to>
    <xdr:pic>
      <xdr:nvPicPr>
        <xdr:cNvPr id="58" name="Picture 57">
          <a:extLst>
            <a:ext uri="{FF2B5EF4-FFF2-40B4-BE49-F238E27FC236}">
              <a16:creationId xmlns:a16="http://schemas.microsoft.com/office/drawing/2014/main" id="{5106F3D5-C07B-4D85-9A67-30E93491EACC}"/>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29591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17</xdr:row>
      <xdr:rowOff>6350</xdr:rowOff>
    </xdr:from>
    <xdr:to>
      <xdr:col>11</xdr:col>
      <xdr:colOff>857250</xdr:colOff>
      <xdr:row>17</xdr:row>
      <xdr:rowOff>161051</xdr:rowOff>
    </xdr:to>
    <xdr:pic>
      <xdr:nvPicPr>
        <xdr:cNvPr id="59" name="Picture 58">
          <a:extLst>
            <a:ext uri="{FF2B5EF4-FFF2-40B4-BE49-F238E27FC236}">
              <a16:creationId xmlns:a16="http://schemas.microsoft.com/office/drawing/2014/main" id="{C96BE114-9975-4F87-9C1F-EB8EE0BF3B1C}"/>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29591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17</xdr:row>
      <xdr:rowOff>0</xdr:rowOff>
    </xdr:from>
    <xdr:to>
      <xdr:col>5</xdr:col>
      <xdr:colOff>196850</xdr:colOff>
      <xdr:row>17</xdr:row>
      <xdr:rowOff>148508</xdr:rowOff>
    </xdr:to>
    <xdr:pic>
      <xdr:nvPicPr>
        <xdr:cNvPr id="60" name="Picture 59">
          <a:extLst>
            <a:ext uri="{FF2B5EF4-FFF2-40B4-BE49-F238E27FC236}">
              <a16:creationId xmlns:a16="http://schemas.microsoft.com/office/drawing/2014/main" id="{7DE5B3CD-383A-4BB4-82E8-F81F0DAC9211}"/>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295275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6</xdr:col>
      <xdr:colOff>76200</xdr:colOff>
      <xdr:row>2</xdr:row>
      <xdr:rowOff>133350</xdr:rowOff>
    </xdr:from>
    <xdr:to>
      <xdr:col>6</xdr:col>
      <xdr:colOff>533400</xdr:colOff>
      <xdr:row>3</xdr:row>
      <xdr:rowOff>153709</xdr:rowOff>
    </xdr:to>
    <xdr:pic>
      <xdr:nvPicPr>
        <xdr:cNvPr id="2" name="Picture 1">
          <a:extLst>
            <a:ext uri="{FF2B5EF4-FFF2-40B4-BE49-F238E27FC236}">
              <a16:creationId xmlns:a16="http://schemas.microsoft.com/office/drawing/2014/main" id="{449E9E5A-E2A7-4187-A499-838A6577EFD5}"/>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457200"/>
          <a:ext cx="457200" cy="1854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3</xdr:row>
      <xdr:rowOff>6350</xdr:rowOff>
    </xdr:from>
    <xdr:to>
      <xdr:col>7</xdr:col>
      <xdr:colOff>577850</xdr:colOff>
      <xdr:row>3</xdr:row>
      <xdr:rowOff>161498</xdr:rowOff>
    </xdr:to>
    <xdr:pic>
      <xdr:nvPicPr>
        <xdr:cNvPr id="3" name="Picture 2">
          <a:extLst>
            <a:ext uri="{FF2B5EF4-FFF2-40B4-BE49-F238E27FC236}">
              <a16:creationId xmlns:a16="http://schemas.microsoft.com/office/drawing/2014/main" id="{DEFB4D14-A8CF-40A6-94F9-4B12532F6187}"/>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4953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2</xdr:row>
      <xdr:rowOff>152400</xdr:rowOff>
    </xdr:from>
    <xdr:to>
      <xdr:col>8</xdr:col>
      <xdr:colOff>533400</xdr:colOff>
      <xdr:row>3</xdr:row>
      <xdr:rowOff>154672</xdr:rowOff>
    </xdr:to>
    <xdr:pic>
      <xdr:nvPicPr>
        <xdr:cNvPr id="4" name="Picture 3">
          <a:extLst>
            <a:ext uri="{FF2B5EF4-FFF2-40B4-BE49-F238E27FC236}">
              <a16:creationId xmlns:a16="http://schemas.microsoft.com/office/drawing/2014/main" id="{0B5A8052-618F-4D32-BB6B-323F3E02616D}"/>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476250"/>
          <a:ext cx="463550" cy="167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3</xdr:row>
      <xdr:rowOff>0</xdr:rowOff>
    </xdr:from>
    <xdr:to>
      <xdr:col>9</xdr:col>
      <xdr:colOff>546100</xdr:colOff>
      <xdr:row>3</xdr:row>
      <xdr:rowOff>162508</xdr:rowOff>
    </xdr:to>
    <xdr:pic>
      <xdr:nvPicPr>
        <xdr:cNvPr id="5" name="Picture 4">
          <a:extLst>
            <a:ext uri="{FF2B5EF4-FFF2-40B4-BE49-F238E27FC236}">
              <a16:creationId xmlns:a16="http://schemas.microsoft.com/office/drawing/2014/main" id="{599E05CC-B0A3-423D-B394-E754773755B7}"/>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4889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3</xdr:row>
      <xdr:rowOff>6350</xdr:rowOff>
    </xdr:from>
    <xdr:to>
      <xdr:col>10</xdr:col>
      <xdr:colOff>533400</xdr:colOff>
      <xdr:row>3</xdr:row>
      <xdr:rowOff>157185</xdr:rowOff>
    </xdr:to>
    <xdr:pic>
      <xdr:nvPicPr>
        <xdr:cNvPr id="6" name="Picture 5">
          <a:extLst>
            <a:ext uri="{FF2B5EF4-FFF2-40B4-BE49-F238E27FC236}">
              <a16:creationId xmlns:a16="http://schemas.microsoft.com/office/drawing/2014/main" id="{32169BA7-0B19-4D55-9D9A-2F3C5AC87458}"/>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4953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3</xdr:row>
      <xdr:rowOff>6350</xdr:rowOff>
    </xdr:from>
    <xdr:to>
      <xdr:col>11</xdr:col>
      <xdr:colOff>857250</xdr:colOff>
      <xdr:row>3</xdr:row>
      <xdr:rowOff>161051</xdr:rowOff>
    </xdr:to>
    <xdr:pic>
      <xdr:nvPicPr>
        <xdr:cNvPr id="7" name="Picture 6">
          <a:extLst>
            <a:ext uri="{FF2B5EF4-FFF2-40B4-BE49-F238E27FC236}">
              <a16:creationId xmlns:a16="http://schemas.microsoft.com/office/drawing/2014/main" id="{08F0E9E0-779E-4858-B2F4-AA0F48D18217}"/>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4953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29826</xdr:colOff>
      <xdr:row>3</xdr:row>
      <xdr:rowOff>0</xdr:rowOff>
    </xdr:from>
    <xdr:to>
      <xdr:col>5</xdr:col>
      <xdr:colOff>196850</xdr:colOff>
      <xdr:row>3</xdr:row>
      <xdr:rowOff>177800</xdr:rowOff>
    </xdr:to>
    <xdr:pic>
      <xdr:nvPicPr>
        <xdr:cNvPr id="8" name="Picture 7">
          <a:extLst>
            <a:ext uri="{FF2B5EF4-FFF2-40B4-BE49-F238E27FC236}">
              <a16:creationId xmlns:a16="http://schemas.microsoft.com/office/drawing/2014/main" id="{6FFA651D-DA70-4D2E-AFA0-6BCB3BA492BF}"/>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04976" y="488950"/>
          <a:ext cx="167024"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69850</xdr:colOff>
      <xdr:row>31</xdr:row>
      <xdr:rowOff>0</xdr:rowOff>
    </xdr:from>
    <xdr:to>
      <xdr:col>6</xdr:col>
      <xdr:colOff>527050</xdr:colOff>
      <xdr:row>31</xdr:row>
      <xdr:rowOff>160059</xdr:rowOff>
    </xdr:to>
    <xdr:pic>
      <xdr:nvPicPr>
        <xdr:cNvPr id="9" name="Picture 8">
          <a:extLst>
            <a:ext uri="{FF2B5EF4-FFF2-40B4-BE49-F238E27FC236}">
              <a16:creationId xmlns:a16="http://schemas.microsoft.com/office/drawing/2014/main" id="{B62B088F-BE28-4CC9-9D59-CCB7EABB8A9F}"/>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1450" y="5219700"/>
          <a:ext cx="457200" cy="160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31</xdr:row>
      <xdr:rowOff>6350</xdr:rowOff>
    </xdr:from>
    <xdr:to>
      <xdr:col>7</xdr:col>
      <xdr:colOff>577850</xdr:colOff>
      <xdr:row>31</xdr:row>
      <xdr:rowOff>161498</xdr:rowOff>
    </xdr:to>
    <xdr:pic>
      <xdr:nvPicPr>
        <xdr:cNvPr id="10" name="Picture 9">
          <a:extLst>
            <a:ext uri="{FF2B5EF4-FFF2-40B4-BE49-F238E27FC236}">
              <a16:creationId xmlns:a16="http://schemas.microsoft.com/office/drawing/2014/main" id="{6CFA12C3-5D17-442F-8EA0-FD08E0A5156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52260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31</xdr:row>
      <xdr:rowOff>0</xdr:rowOff>
    </xdr:from>
    <xdr:to>
      <xdr:col>8</xdr:col>
      <xdr:colOff>533400</xdr:colOff>
      <xdr:row>31</xdr:row>
      <xdr:rowOff>154672</xdr:rowOff>
    </xdr:to>
    <xdr:pic>
      <xdr:nvPicPr>
        <xdr:cNvPr id="11" name="Picture 10">
          <a:extLst>
            <a:ext uri="{FF2B5EF4-FFF2-40B4-BE49-F238E27FC236}">
              <a16:creationId xmlns:a16="http://schemas.microsoft.com/office/drawing/2014/main" id="{8D98D692-D07A-4CA8-BB80-FBA0C487DD78}"/>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52197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31</xdr:row>
      <xdr:rowOff>0</xdr:rowOff>
    </xdr:from>
    <xdr:to>
      <xdr:col>9</xdr:col>
      <xdr:colOff>546100</xdr:colOff>
      <xdr:row>31</xdr:row>
      <xdr:rowOff>162508</xdr:rowOff>
    </xdr:to>
    <xdr:pic>
      <xdr:nvPicPr>
        <xdr:cNvPr id="12" name="Picture 11">
          <a:extLst>
            <a:ext uri="{FF2B5EF4-FFF2-40B4-BE49-F238E27FC236}">
              <a16:creationId xmlns:a16="http://schemas.microsoft.com/office/drawing/2014/main" id="{9898D08D-3208-4DD9-AD22-0FF2A5BD4272}"/>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52197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31</xdr:row>
      <xdr:rowOff>6350</xdr:rowOff>
    </xdr:from>
    <xdr:to>
      <xdr:col>10</xdr:col>
      <xdr:colOff>533400</xdr:colOff>
      <xdr:row>31</xdr:row>
      <xdr:rowOff>157185</xdr:rowOff>
    </xdr:to>
    <xdr:pic>
      <xdr:nvPicPr>
        <xdr:cNvPr id="13" name="Picture 12">
          <a:extLst>
            <a:ext uri="{FF2B5EF4-FFF2-40B4-BE49-F238E27FC236}">
              <a16:creationId xmlns:a16="http://schemas.microsoft.com/office/drawing/2014/main" id="{A61A7AE6-D033-4A55-90DC-D1BEB0370C18}"/>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52260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31</xdr:row>
      <xdr:rowOff>6350</xdr:rowOff>
    </xdr:from>
    <xdr:to>
      <xdr:col>11</xdr:col>
      <xdr:colOff>857250</xdr:colOff>
      <xdr:row>31</xdr:row>
      <xdr:rowOff>161051</xdr:rowOff>
    </xdr:to>
    <xdr:pic>
      <xdr:nvPicPr>
        <xdr:cNvPr id="14" name="Picture 13">
          <a:extLst>
            <a:ext uri="{FF2B5EF4-FFF2-40B4-BE49-F238E27FC236}">
              <a16:creationId xmlns:a16="http://schemas.microsoft.com/office/drawing/2014/main" id="{D61B22AA-8F67-44B1-9667-49037473F8C3}"/>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52260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31</xdr:row>
      <xdr:rowOff>0</xdr:rowOff>
    </xdr:from>
    <xdr:to>
      <xdr:col>5</xdr:col>
      <xdr:colOff>196850</xdr:colOff>
      <xdr:row>31</xdr:row>
      <xdr:rowOff>148508</xdr:rowOff>
    </xdr:to>
    <xdr:pic>
      <xdr:nvPicPr>
        <xdr:cNvPr id="15" name="Picture 14">
          <a:extLst>
            <a:ext uri="{FF2B5EF4-FFF2-40B4-BE49-F238E27FC236}">
              <a16:creationId xmlns:a16="http://schemas.microsoft.com/office/drawing/2014/main" id="{5C92A544-C9EB-4037-AE3A-14CC417FCF9C}"/>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521970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45</xdr:row>
      <xdr:rowOff>0</xdr:rowOff>
    </xdr:from>
    <xdr:to>
      <xdr:col>6</xdr:col>
      <xdr:colOff>533400</xdr:colOff>
      <xdr:row>45</xdr:row>
      <xdr:rowOff>153709</xdr:rowOff>
    </xdr:to>
    <xdr:pic>
      <xdr:nvPicPr>
        <xdr:cNvPr id="16" name="Picture 15">
          <a:extLst>
            <a:ext uri="{FF2B5EF4-FFF2-40B4-BE49-F238E27FC236}">
              <a16:creationId xmlns:a16="http://schemas.microsoft.com/office/drawing/2014/main" id="{732C5CE6-ADCE-4A71-BCEC-D095D5BD021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748665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45</xdr:row>
      <xdr:rowOff>6350</xdr:rowOff>
    </xdr:from>
    <xdr:to>
      <xdr:col>7</xdr:col>
      <xdr:colOff>577850</xdr:colOff>
      <xdr:row>45</xdr:row>
      <xdr:rowOff>161498</xdr:rowOff>
    </xdr:to>
    <xdr:pic>
      <xdr:nvPicPr>
        <xdr:cNvPr id="17" name="Picture 16">
          <a:extLst>
            <a:ext uri="{FF2B5EF4-FFF2-40B4-BE49-F238E27FC236}">
              <a16:creationId xmlns:a16="http://schemas.microsoft.com/office/drawing/2014/main" id="{7CB659B1-8358-4E2F-9592-12E71BA540CE}"/>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74930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45</xdr:row>
      <xdr:rowOff>0</xdr:rowOff>
    </xdr:from>
    <xdr:to>
      <xdr:col>8</xdr:col>
      <xdr:colOff>533400</xdr:colOff>
      <xdr:row>45</xdr:row>
      <xdr:rowOff>154672</xdr:rowOff>
    </xdr:to>
    <xdr:pic>
      <xdr:nvPicPr>
        <xdr:cNvPr id="18" name="Picture 17">
          <a:extLst>
            <a:ext uri="{FF2B5EF4-FFF2-40B4-BE49-F238E27FC236}">
              <a16:creationId xmlns:a16="http://schemas.microsoft.com/office/drawing/2014/main" id="{83C9F6F6-8FBF-46F1-8676-8FDAACAB226D}"/>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74866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45</xdr:row>
      <xdr:rowOff>0</xdr:rowOff>
    </xdr:from>
    <xdr:to>
      <xdr:col>9</xdr:col>
      <xdr:colOff>546100</xdr:colOff>
      <xdr:row>45</xdr:row>
      <xdr:rowOff>162508</xdr:rowOff>
    </xdr:to>
    <xdr:pic>
      <xdr:nvPicPr>
        <xdr:cNvPr id="19" name="Picture 18">
          <a:extLst>
            <a:ext uri="{FF2B5EF4-FFF2-40B4-BE49-F238E27FC236}">
              <a16:creationId xmlns:a16="http://schemas.microsoft.com/office/drawing/2014/main" id="{037A921E-FAC6-4D86-8049-7F19C42D210A}"/>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74866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45</xdr:row>
      <xdr:rowOff>6350</xdr:rowOff>
    </xdr:from>
    <xdr:to>
      <xdr:col>10</xdr:col>
      <xdr:colOff>533400</xdr:colOff>
      <xdr:row>45</xdr:row>
      <xdr:rowOff>157185</xdr:rowOff>
    </xdr:to>
    <xdr:pic>
      <xdr:nvPicPr>
        <xdr:cNvPr id="20" name="Picture 19">
          <a:extLst>
            <a:ext uri="{FF2B5EF4-FFF2-40B4-BE49-F238E27FC236}">
              <a16:creationId xmlns:a16="http://schemas.microsoft.com/office/drawing/2014/main" id="{1069DD53-26B7-43D5-93B0-CBE92980A781}"/>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74930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45</xdr:row>
      <xdr:rowOff>6350</xdr:rowOff>
    </xdr:from>
    <xdr:to>
      <xdr:col>11</xdr:col>
      <xdr:colOff>857250</xdr:colOff>
      <xdr:row>45</xdr:row>
      <xdr:rowOff>161051</xdr:rowOff>
    </xdr:to>
    <xdr:pic>
      <xdr:nvPicPr>
        <xdr:cNvPr id="21" name="Picture 20">
          <a:extLst>
            <a:ext uri="{FF2B5EF4-FFF2-40B4-BE49-F238E27FC236}">
              <a16:creationId xmlns:a16="http://schemas.microsoft.com/office/drawing/2014/main" id="{1800BE33-D84E-4CDC-B3D2-F16EA561E469}"/>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74930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50800</xdr:colOff>
      <xdr:row>45</xdr:row>
      <xdr:rowOff>0</xdr:rowOff>
    </xdr:from>
    <xdr:to>
      <xdr:col>5</xdr:col>
      <xdr:colOff>196850</xdr:colOff>
      <xdr:row>45</xdr:row>
      <xdr:rowOff>136627</xdr:rowOff>
    </xdr:to>
    <xdr:pic>
      <xdr:nvPicPr>
        <xdr:cNvPr id="22" name="Picture 21">
          <a:extLst>
            <a:ext uri="{FF2B5EF4-FFF2-40B4-BE49-F238E27FC236}">
              <a16:creationId xmlns:a16="http://schemas.microsoft.com/office/drawing/2014/main" id="{A86C761E-2036-42FA-A7DF-8EF8015778F8}"/>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25950" y="7486650"/>
          <a:ext cx="146050" cy="1366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59</xdr:row>
      <xdr:rowOff>0</xdr:rowOff>
    </xdr:from>
    <xdr:to>
      <xdr:col>6</xdr:col>
      <xdr:colOff>533400</xdr:colOff>
      <xdr:row>59</xdr:row>
      <xdr:rowOff>153709</xdr:rowOff>
    </xdr:to>
    <xdr:pic>
      <xdr:nvPicPr>
        <xdr:cNvPr id="23" name="Picture 22">
          <a:extLst>
            <a:ext uri="{FF2B5EF4-FFF2-40B4-BE49-F238E27FC236}">
              <a16:creationId xmlns:a16="http://schemas.microsoft.com/office/drawing/2014/main" id="{06E3E5AC-60D2-498A-9B73-8421E509F056}"/>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975360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59</xdr:row>
      <xdr:rowOff>6350</xdr:rowOff>
    </xdr:from>
    <xdr:to>
      <xdr:col>7</xdr:col>
      <xdr:colOff>577850</xdr:colOff>
      <xdr:row>59</xdr:row>
      <xdr:rowOff>161498</xdr:rowOff>
    </xdr:to>
    <xdr:pic>
      <xdr:nvPicPr>
        <xdr:cNvPr id="24" name="Picture 23">
          <a:extLst>
            <a:ext uri="{FF2B5EF4-FFF2-40B4-BE49-F238E27FC236}">
              <a16:creationId xmlns:a16="http://schemas.microsoft.com/office/drawing/2014/main" id="{83902091-60E8-4E1F-9DE1-B11CF8E70EC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97599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59</xdr:row>
      <xdr:rowOff>0</xdr:rowOff>
    </xdr:from>
    <xdr:to>
      <xdr:col>8</xdr:col>
      <xdr:colOff>533400</xdr:colOff>
      <xdr:row>59</xdr:row>
      <xdr:rowOff>154672</xdr:rowOff>
    </xdr:to>
    <xdr:pic>
      <xdr:nvPicPr>
        <xdr:cNvPr id="25" name="Picture 24">
          <a:extLst>
            <a:ext uri="{FF2B5EF4-FFF2-40B4-BE49-F238E27FC236}">
              <a16:creationId xmlns:a16="http://schemas.microsoft.com/office/drawing/2014/main" id="{BB3BEF0E-7589-4408-9B4B-32555CB85423}"/>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97536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59</xdr:row>
      <xdr:rowOff>0</xdr:rowOff>
    </xdr:from>
    <xdr:to>
      <xdr:col>9</xdr:col>
      <xdr:colOff>546100</xdr:colOff>
      <xdr:row>59</xdr:row>
      <xdr:rowOff>162508</xdr:rowOff>
    </xdr:to>
    <xdr:pic>
      <xdr:nvPicPr>
        <xdr:cNvPr id="26" name="Picture 25">
          <a:extLst>
            <a:ext uri="{FF2B5EF4-FFF2-40B4-BE49-F238E27FC236}">
              <a16:creationId xmlns:a16="http://schemas.microsoft.com/office/drawing/2014/main" id="{EF156A38-0593-4146-A65D-9273E945C3B2}"/>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97536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59</xdr:row>
      <xdr:rowOff>6350</xdr:rowOff>
    </xdr:from>
    <xdr:to>
      <xdr:col>10</xdr:col>
      <xdr:colOff>533400</xdr:colOff>
      <xdr:row>59</xdr:row>
      <xdr:rowOff>157185</xdr:rowOff>
    </xdr:to>
    <xdr:pic>
      <xdr:nvPicPr>
        <xdr:cNvPr id="27" name="Picture 26">
          <a:extLst>
            <a:ext uri="{FF2B5EF4-FFF2-40B4-BE49-F238E27FC236}">
              <a16:creationId xmlns:a16="http://schemas.microsoft.com/office/drawing/2014/main" id="{2A6B6AA3-663C-44C9-890C-650F1F900D26}"/>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97599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59</xdr:row>
      <xdr:rowOff>6350</xdr:rowOff>
    </xdr:from>
    <xdr:to>
      <xdr:col>11</xdr:col>
      <xdr:colOff>857250</xdr:colOff>
      <xdr:row>59</xdr:row>
      <xdr:rowOff>161051</xdr:rowOff>
    </xdr:to>
    <xdr:pic>
      <xdr:nvPicPr>
        <xdr:cNvPr id="28" name="Picture 27">
          <a:extLst>
            <a:ext uri="{FF2B5EF4-FFF2-40B4-BE49-F238E27FC236}">
              <a16:creationId xmlns:a16="http://schemas.microsoft.com/office/drawing/2014/main" id="{A9A271D9-38EF-4136-B14C-07A3996BA1C5}"/>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97599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59</xdr:row>
      <xdr:rowOff>0</xdr:rowOff>
    </xdr:from>
    <xdr:to>
      <xdr:col>5</xdr:col>
      <xdr:colOff>196850</xdr:colOff>
      <xdr:row>59</xdr:row>
      <xdr:rowOff>148508</xdr:rowOff>
    </xdr:to>
    <xdr:pic>
      <xdr:nvPicPr>
        <xdr:cNvPr id="29" name="Picture 28">
          <a:extLst>
            <a:ext uri="{FF2B5EF4-FFF2-40B4-BE49-F238E27FC236}">
              <a16:creationId xmlns:a16="http://schemas.microsoft.com/office/drawing/2014/main" id="{3D9B60D5-31FD-4762-A571-D4ED4E98316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975360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73</xdr:row>
      <xdr:rowOff>0</xdr:rowOff>
    </xdr:from>
    <xdr:to>
      <xdr:col>6</xdr:col>
      <xdr:colOff>533400</xdr:colOff>
      <xdr:row>73</xdr:row>
      <xdr:rowOff>153709</xdr:rowOff>
    </xdr:to>
    <xdr:pic>
      <xdr:nvPicPr>
        <xdr:cNvPr id="30" name="Picture 29">
          <a:extLst>
            <a:ext uri="{FF2B5EF4-FFF2-40B4-BE49-F238E27FC236}">
              <a16:creationId xmlns:a16="http://schemas.microsoft.com/office/drawing/2014/main" id="{3E7CEB80-1E3B-429A-A0ED-9A3B1E880B13}"/>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1202055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73</xdr:row>
      <xdr:rowOff>6350</xdr:rowOff>
    </xdr:from>
    <xdr:to>
      <xdr:col>7</xdr:col>
      <xdr:colOff>577850</xdr:colOff>
      <xdr:row>73</xdr:row>
      <xdr:rowOff>161498</xdr:rowOff>
    </xdr:to>
    <xdr:pic>
      <xdr:nvPicPr>
        <xdr:cNvPr id="31" name="Picture 30">
          <a:extLst>
            <a:ext uri="{FF2B5EF4-FFF2-40B4-BE49-F238E27FC236}">
              <a16:creationId xmlns:a16="http://schemas.microsoft.com/office/drawing/2014/main" id="{92D7E6F0-0D13-43CA-ACCC-6B8BFBEDCB15}"/>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120269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73</xdr:row>
      <xdr:rowOff>0</xdr:rowOff>
    </xdr:from>
    <xdr:to>
      <xdr:col>8</xdr:col>
      <xdr:colOff>533400</xdr:colOff>
      <xdr:row>73</xdr:row>
      <xdr:rowOff>154672</xdr:rowOff>
    </xdr:to>
    <xdr:pic>
      <xdr:nvPicPr>
        <xdr:cNvPr id="32" name="Picture 31">
          <a:extLst>
            <a:ext uri="{FF2B5EF4-FFF2-40B4-BE49-F238E27FC236}">
              <a16:creationId xmlns:a16="http://schemas.microsoft.com/office/drawing/2014/main" id="{FD7800F0-0243-4725-9F13-AE638CC529AD}"/>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120205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73</xdr:row>
      <xdr:rowOff>0</xdr:rowOff>
    </xdr:from>
    <xdr:to>
      <xdr:col>9</xdr:col>
      <xdr:colOff>546100</xdr:colOff>
      <xdr:row>73</xdr:row>
      <xdr:rowOff>162508</xdr:rowOff>
    </xdr:to>
    <xdr:pic>
      <xdr:nvPicPr>
        <xdr:cNvPr id="33" name="Picture 32">
          <a:extLst>
            <a:ext uri="{FF2B5EF4-FFF2-40B4-BE49-F238E27FC236}">
              <a16:creationId xmlns:a16="http://schemas.microsoft.com/office/drawing/2014/main" id="{0F513FB2-31E8-472E-BF44-8D4C786D6FAD}"/>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120205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73</xdr:row>
      <xdr:rowOff>6350</xdr:rowOff>
    </xdr:from>
    <xdr:to>
      <xdr:col>10</xdr:col>
      <xdr:colOff>533400</xdr:colOff>
      <xdr:row>73</xdr:row>
      <xdr:rowOff>157185</xdr:rowOff>
    </xdr:to>
    <xdr:pic>
      <xdr:nvPicPr>
        <xdr:cNvPr id="34" name="Picture 33">
          <a:extLst>
            <a:ext uri="{FF2B5EF4-FFF2-40B4-BE49-F238E27FC236}">
              <a16:creationId xmlns:a16="http://schemas.microsoft.com/office/drawing/2014/main" id="{5D1254C6-09C5-4C1F-8724-26C71C34D2A7}"/>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120269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73</xdr:row>
      <xdr:rowOff>6350</xdr:rowOff>
    </xdr:from>
    <xdr:to>
      <xdr:col>11</xdr:col>
      <xdr:colOff>857250</xdr:colOff>
      <xdr:row>73</xdr:row>
      <xdr:rowOff>161051</xdr:rowOff>
    </xdr:to>
    <xdr:pic>
      <xdr:nvPicPr>
        <xdr:cNvPr id="35" name="Picture 34">
          <a:extLst>
            <a:ext uri="{FF2B5EF4-FFF2-40B4-BE49-F238E27FC236}">
              <a16:creationId xmlns:a16="http://schemas.microsoft.com/office/drawing/2014/main" id="{8E5EF40B-33AB-4CC2-87A5-373AA75F1AEA}"/>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120269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73</xdr:row>
      <xdr:rowOff>0</xdr:rowOff>
    </xdr:from>
    <xdr:to>
      <xdr:col>5</xdr:col>
      <xdr:colOff>196850</xdr:colOff>
      <xdr:row>73</xdr:row>
      <xdr:rowOff>148508</xdr:rowOff>
    </xdr:to>
    <xdr:pic>
      <xdr:nvPicPr>
        <xdr:cNvPr id="36" name="Picture 35">
          <a:extLst>
            <a:ext uri="{FF2B5EF4-FFF2-40B4-BE49-F238E27FC236}">
              <a16:creationId xmlns:a16="http://schemas.microsoft.com/office/drawing/2014/main" id="{3BD9EAE6-8340-47B1-AE03-9484512CD9B4}"/>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1202055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87</xdr:row>
      <xdr:rowOff>0</xdr:rowOff>
    </xdr:from>
    <xdr:to>
      <xdr:col>6</xdr:col>
      <xdr:colOff>533400</xdr:colOff>
      <xdr:row>87</xdr:row>
      <xdr:rowOff>153709</xdr:rowOff>
    </xdr:to>
    <xdr:pic>
      <xdr:nvPicPr>
        <xdr:cNvPr id="37" name="Picture 36">
          <a:extLst>
            <a:ext uri="{FF2B5EF4-FFF2-40B4-BE49-F238E27FC236}">
              <a16:creationId xmlns:a16="http://schemas.microsoft.com/office/drawing/2014/main" id="{5C8B979E-C2C4-4F1A-99C6-EEEA13C8FE89}"/>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1428750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87</xdr:row>
      <xdr:rowOff>6350</xdr:rowOff>
    </xdr:from>
    <xdr:to>
      <xdr:col>7</xdr:col>
      <xdr:colOff>577850</xdr:colOff>
      <xdr:row>87</xdr:row>
      <xdr:rowOff>161498</xdr:rowOff>
    </xdr:to>
    <xdr:pic>
      <xdr:nvPicPr>
        <xdr:cNvPr id="38" name="Picture 37">
          <a:extLst>
            <a:ext uri="{FF2B5EF4-FFF2-40B4-BE49-F238E27FC236}">
              <a16:creationId xmlns:a16="http://schemas.microsoft.com/office/drawing/2014/main" id="{46780285-FECB-4D5C-945E-3A409930040B}"/>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142938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87</xdr:row>
      <xdr:rowOff>0</xdr:rowOff>
    </xdr:from>
    <xdr:to>
      <xdr:col>8</xdr:col>
      <xdr:colOff>533400</xdr:colOff>
      <xdr:row>87</xdr:row>
      <xdr:rowOff>154672</xdr:rowOff>
    </xdr:to>
    <xdr:pic>
      <xdr:nvPicPr>
        <xdr:cNvPr id="39" name="Picture 38">
          <a:extLst>
            <a:ext uri="{FF2B5EF4-FFF2-40B4-BE49-F238E27FC236}">
              <a16:creationId xmlns:a16="http://schemas.microsoft.com/office/drawing/2014/main" id="{B97E51C0-2EEA-43BD-B939-5F5296D1D582}"/>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142875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87</xdr:row>
      <xdr:rowOff>0</xdr:rowOff>
    </xdr:from>
    <xdr:to>
      <xdr:col>9</xdr:col>
      <xdr:colOff>546100</xdr:colOff>
      <xdr:row>87</xdr:row>
      <xdr:rowOff>162508</xdr:rowOff>
    </xdr:to>
    <xdr:pic>
      <xdr:nvPicPr>
        <xdr:cNvPr id="40" name="Picture 39">
          <a:extLst>
            <a:ext uri="{FF2B5EF4-FFF2-40B4-BE49-F238E27FC236}">
              <a16:creationId xmlns:a16="http://schemas.microsoft.com/office/drawing/2014/main" id="{9D7C18DA-08CE-4ADD-96D0-CD7CC576200F}"/>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142875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87</xdr:row>
      <xdr:rowOff>6350</xdr:rowOff>
    </xdr:from>
    <xdr:to>
      <xdr:col>10</xdr:col>
      <xdr:colOff>533400</xdr:colOff>
      <xdr:row>87</xdr:row>
      <xdr:rowOff>157185</xdr:rowOff>
    </xdr:to>
    <xdr:pic>
      <xdr:nvPicPr>
        <xdr:cNvPr id="41" name="Picture 40">
          <a:extLst>
            <a:ext uri="{FF2B5EF4-FFF2-40B4-BE49-F238E27FC236}">
              <a16:creationId xmlns:a16="http://schemas.microsoft.com/office/drawing/2014/main" id="{5ED45DBA-572F-498D-87AC-6DB3C8703D3D}"/>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142938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87</xdr:row>
      <xdr:rowOff>6350</xdr:rowOff>
    </xdr:from>
    <xdr:to>
      <xdr:col>11</xdr:col>
      <xdr:colOff>857250</xdr:colOff>
      <xdr:row>87</xdr:row>
      <xdr:rowOff>161051</xdr:rowOff>
    </xdr:to>
    <xdr:pic>
      <xdr:nvPicPr>
        <xdr:cNvPr id="42" name="Picture 41">
          <a:extLst>
            <a:ext uri="{FF2B5EF4-FFF2-40B4-BE49-F238E27FC236}">
              <a16:creationId xmlns:a16="http://schemas.microsoft.com/office/drawing/2014/main" id="{BB656437-85DF-4996-BF90-E89AF4E276EC}"/>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142938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57150</xdr:colOff>
      <xdr:row>87</xdr:row>
      <xdr:rowOff>0</xdr:rowOff>
    </xdr:from>
    <xdr:to>
      <xdr:col>5</xdr:col>
      <xdr:colOff>196850</xdr:colOff>
      <xdr:row>87</xdr:row>
      <xdr:rowOff>130687</xdr:rowOff>
    </xdr:to>
    <xdr:pic>
      <xdr:nvPicPr>
        <xdr:cNvPr id="43" name="Picture 42">
          <a:extLst>
            <a:ext uri="{FF2B5EF4-FFF2-40B4-BE49-F238E27FC236}">
              <a16:creationId xmlns:a16="http://schemas.microsoft.com/office/drawing/2014/main" id="{CED40F23-15F2-4DFB-9424-5BB1EBE8AAE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32300" y="14287500"/>
          <a:ext cx="139700" cy="130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38100</xdr:colOff>
      <xdr:row>3</xdr:row>
      <xdr:rowOff>0</xdr:rowOff>
    </xdr:from>
    <xdr:to>
      <xdr:col>17</xdr:col>
      <xdr:colOff>165100</xdr:colOff>
      <xdr:row>3</xdr:row>
      <xdr:rowOff>146538</xdr:rowOff>
    </xdr:to>
    <xdr:pic>
      <xdr:nvPicPr>
        <xdr:cNvPr id="44" name="Picture 43">
          <a:extLst>
            <a:ext uri="{FF2B5EF4-FFF2-40B4-BE49-F238E27FC236}">
              <a16:creationId xmlns:a16="http://schemas.microsoft.com/office/drawing/2014/main" id="{B1F1146C-3224-40FD-A08F-4D543A41A163}"/>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579850" y="488950"/>
          <a:ext cx="127000" cy="146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49530</xdr:colOff>
      <xdr:row>3</xdr:row>
      <xdr:rowOff>0</xdr:rowOff>
    </xdr:from>
    <xdr:to>
      <xdr:col>18</xdr:col>
      <xdr:colOff>165100</xdr:colOff>
      <xdr:row>3</xdr:row>
      <xdr:rowOff>133350</xdr:rowOff>
    </xdr:to>
    <xdr:pic>
      <xdr:nvPicPr>
        <xdr:cNvPr id="45" name="Picture 44">
          <a:extLst>
            <a:ext uri="{FF2B5EF4-FFF2-40B4-BE49-F238E27FC236}">
              <a16:creationId xmlns:a16="http://schemas.microsoft.com/office/drawing/2014/main" id="{87C233B1-23B9-4891-A5DF-882D4385992E}"/>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893030" y="488950"/>
          <a:ext cx="115570"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101600</xdr:colOff>
      <xdr:row>3</xdr:row>
      <xdr:rowOff>19050</xdr:rowOff>
    </xdr:from>
    <xdr:to>
      <xdr:col>20</xdr:col>
      <xdr:colOff>615950</xdr:colOff>
      <xdr:row>3</xdr:row>
      <xdr:rowOff>150935</xdr:rowOff>
    </xdr:to>
    <xdr:pic>
      <xdr:nvPicPr>
        <xdr:cNvPr id="46" name="Picture 45">
          <a:extLst>
            <a:ext uri="{FF2B5EF4-FFF2-40B4-BE49-F238E27FC236}">
              <a16:creationId xmlns:a16="http://schemas.microsoft.com/office/drawing/2014/main" id="{3A77621B-6696-4509-84BE-49EC7BF37838}"/>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072350" y="508000"/>
          <a:ext cx="514350" cy="131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28864</xdr:colOff>
      <xdr:row>3</xdr:row>
      <xdr:rowOff>0</xdr:rowOff>
    </xdr:from>
    <xdr:to>
      <xdr:col>21</xdr:col>
      <xdr:colOff>158750</xdr:colOff>
      <xdr:row>3</xdr:row>
      <xdr:rowOff>171450</xdr:rowOff>
    </xdr:to>
    <xdr:pic>
      <xdr:nvPicPr>
        <xdr:cNvPr id="47" name="Picture 46">
          <a:extLst>
            <a:ext uri="{FF2B5EF4-FFF2-40B4-BE49-F238E27FC236}">
              <a16:creationId xmlns:a16="http://schemas.microsoft.com/office/drawing/2014/main" id="{158942F8-79A0-4807-96E6-13FC62BA28A8}"/>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679064" y="488950"/>
          <a:ext cx="129886"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43294</xdr:colOff>
      <xdr:row>3</xdr:row>
      <xdr:rowOff>0</xdr:rowOff>
    </xdr:from>
    <xdr:to>
      <xdr:col>22</xdr:col>
      <xdr:colOff>158749</xdr:colOff>
      <xdr:row>3</xdr:row>
      <xdr:rowOff>152400</xdr:rowOff>
    </xdr:to>
    <xdr:pic>
      <xdr:nvPicPr>
        <xdr:cNvPr id="48" name="Picture 47">
          <a:extLst>
            <a:ext uri="{FF2B5EF4-FFF2-40B4-BE49-F238E27FC236}">
              <a16:creationId xmlns:a16="http://schemas.microsoft.com/office/drawing/2014/main" id="{50C0B393-94CF-4CA7-8A73-7766E8CEA623}"/>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303094" y="488950"/>
          <a:ext cx="11545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76200</xdr:colOff>
      <xdr:row>3</xdr:row>
      <xdr:rowOff>0</xdr:rowOff>
    </xdr:from>
    <xdr:to>
      <xdr:col>24</xdr:col>
      <xdr:colOff>533400</xdr:colOff>
      <xdr:row>3</xdr:row>
      <xdr:rowOff>139700</xdr:rowOff>
    </xdr:to>
    <xdr:pic>
      <xdr:nvPicPr>
        <xdr:cNvPr id="49" name="Picture 48">
          <a:extLst>
            <a:ext uri="{FF2B5EF4-FFF2-40B4-BE49-F238E27FC236}">
              <a16:creationId xmlns:a16="http://schemas.microsoft.com/office/drawing/2014/main" id="{DC345209-4AB0-4B64-8A02-012E637E931B}"/>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783800" y="488950"/>
          <a:ext cx="457200" cy="13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31750</xdr:colOff>
      <xdr:row>3</xdr:row>
      <xdr:rowOff>0</xdr:rowOff>
    </xdr:from>
    <xdr:to>
      <xdr:col>25</xdr:col>
      <xdr:colOff>234950</xdr:colOff>
      <xdr:row>3</xdr:row>
      <xdr:rowOff>181232</xdr:rowOff>
    </xdr:to>
    <xdr:pic>
      <xdr:nvPicPr>
        <xdr:cNvPr id="50" name="Picture 49">
          <a:extLst>
            <a:ext uri="{FF2B5EF4-FFF2-40B4-BE49-F238E27FC236}">
              <a16:creationId xmlns:a16="http://schemas.microsoft.com/office/drawing/2014/main" id="{EB239C89-DF02-4BDB-AACF-D399DBC5C396}"/>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348950" y="488950"/>
          <a:ext cx="203200" cy="181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35598</xdr:colOff>
      <xdr:row>3</xdr:row>
      <xdr:rowOff>0</xdr:rowOff>
    </xdr:from>
    <xdr:to>
      <xdr:col>26</xdr:col>
      <xdr:colOff>234950</xdr:colOff>
      <xdr:row>3</xdr:row>
      <xdr:rowOff>177800</xdr:rowOff>
    </xdr:to>
    <xdr:pic>
      <xdr:nvPicPr>
        <xdr:cNvPr id="51" name="Picture 50">
          <a:extLst>
            <a:ext uri="{FF2B5EF4-FFF2-40B4-BE49-F238E27FC236}">
              <a16:creationId xmlns:a16="http://schemas.microsoft.com/office/drawing/2014/main" id="{BE5BE59E-2248-430F-B6BE-E2DA57F3BC86}"/>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962398" y="488950"/>
          <a:ext cx="199352"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88900</xdr:colOff>
      <xdr:row>3</xdr:row>
      <xdr:rowOff>12700</xdr:rowOff>
    </xdr:from>
    <xdr:to>
      <xdr:col>28</xdr:col>
      <xdr:colOff>666173</xdr:colOff>
      <xdr:row>3</xdr:row>
      <xdr:rowOff>139700</xdr:rowOff>
    </xdr:to>
    <xdr:pic>
      <xdr:nvPicPr>
        <xdr:cNvPr id="52" name="Picture 51">
          <a:extLst>
            <a:ext uri="{FF2B5EF4-FFF2-40B4-BE49-F238E27FC236}">
              <a16:creationId xmlns:a16="http://schemas.microsoft.com/office/drawing/2014/main" id="{BE014E67-F430-4AA0-B8CF-CA31326E5B8B}"/>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412700" y="501650"/>
          <a:ext cx="577273" cy="12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32</xdr:col>
      <xdr:colOff>63500</xdr:colOff>
      <xdr:row>3</xdr:row>
      <xdr:rowOff>6350</xdr:rowOff>
    </xdr:from>
    <xdr:to>
      <xdr:col>32</xdr:col>
      <xdr:colOff>488950</xdr:colOff>
      <xdr:row>3</xdr:row>
      <xdr:rowOff>146608</xdr:rowOff>
    </xdr:to>
    <xdr:pic>
      <xdr:nvPicPr>
        <xdr:cNvPr id="53" name="Picture 52">
          <a:extLst>
            <a:ext uri="{FF2B5EF4-FFF2-40B4-BE49-F238E27FC236}">
              <a16:creationId xmlns:a16="http://schemas.microsoft.com/office/drawing/2014/main" id="{8E58B024-1C75-435B-B18E-CB93A9CF27CA}"/>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9013150" y="495300"/>
          <a:ext cx="425450" cy="140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69850</xdr:colOff>
      <xdr:row>17</xdr:row>
      <xdr:rowOff>0</xdr:rowOff>
    </xdr:from>
    <xdr:to>
      <xdr:col>6</xdr:col>
      <xdr:colOff>527050</xdr:colOff>
      <xdr:row>17</xdr:row>
      <xdr:rowOff>160059</xdr:rowOff>
    </xdr:to>
    <xdr:pic>
      <xdr:nvPicPr>
        <xdr:cNvPr id="54" name="Picture 53">
          <a:extLst>
            <a:ext uri="{FF2B5EF4-FFF2-40B4-BE49-F238E27FC236}">
              <a16:creationId xmlns:a16="http://schemas.microsoft.com/office/drawing/2014/main" id="{FD9188E7-5742-4286-9108-A3C40CDA79A9}"/>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1450" y="2952750"/>
          <a:ext cx="457200" cy="160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17</xdr:row>
      <xdr:rowOff>6350</xdr:rowOff>
    </xdr:from>
    <xdr:to>
      <xdr:col>7</xdr:col>
      <xdr:colOff>577850</xdr:colOff>
      <xdr:row>17</xdr:row>
      <xdr:rowOff>161498</xdr:rowOff>
    </xdr:to>
    <xdr:pic>
      <xdr:nvPicPr>
        <xdr:cNvPr id="55" name="Picture 54">
          <a:extLst>
            <a:ext uri="{FF2B5EF4-FFF2-40B4-BE49-F238E27FC236}">
              <a16:creationId xmlns:a16="http://schemas.microsoft.com/office/drawing/2014/main" id="{059EBC6E-1F95-4815-B1EA-9F6E134E9D78}"/>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29591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17</xdr:row>
      <xdr:rowOff>0</xdr:rowOff>
    </xdr:from>
    <xdr:to>
      <xdr:col>8</xdr:col>
      <xdr:colOff>533400</xdr:colOff>
      <xdr:row>17</xdr:row>
      <xdr:rowOff>154672</xdr:rowOff>
    </xdr:to>
    <xdr:pic>
      <xdr:nvPicPr>
        <xdr:cNvPr id="56" name="Picture 55">
          <a:extLst>
            <a:ext uri="{FF2B5EF4-FFF2-40B4-BE49-F238E27FC236}">
              <a16:creationId xmlns:a16="http://schemas.microsoft.com/office/drawing/2014/main" id="{A20AB965-8FA4-41E3-B62F-6A6FD559F159}"/>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29527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17</xdr:row>
      <xdr:rowOff>0</xdr:rowOff>
    </xdr:from>
    <xdr:to>
      <xdr:col>9</xdr:col>
      <xdr:colOff>546100</xdr:colOff>
      <xdr:row>17</xdr:row>
      <xdr:rowOff>162508</xdr:rowOff>
    </xdr:to>
    <xdr:pic>
      <xdr:nvPicPr>
        <xdr:cNvPr id="57" name="Picture 56">
          <a:extLst>
            <a:ext uri="{FF2B5EF4-FFF2-40B4-BE49-F238E27FC236}">
              <a16:creationId xmlns:a16="http://schemas.microsoft.com/office/drawing/2014/main" id="{B3218EAA-85EA-43FE-AA83-CBA43E343F7F}"/>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29527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17</xdr:row>
      <xdr:rowOff>6350</xdr:rowOff>
    </xdr:from>
    <xdr:to>
      <xdr:col>10</xdr:col>
      <xdr:colOff>533400</xdr:colOff>
      <xdr:row>17</xdr:row>
      <xdr:rowOff>157185</xdr:rowOff>
    </xdr:to>
    <xdr:pic>
      <xdr:nvPicPr>
        <xdr:cNvPr id="58" name="Picture 57">
          <a:extLst>
            <a:ext uri="{FF2B5EF4-FFF2-40B4-BE49-F238E27FC236}">
              <a16:creationId xmlns:a16="http://schemas.microsoft.com/office/drawing/2014/main" id="{D07B9047-1148-4E6C-828C-3960A3F0ABC2}"/>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29591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17</xdr:row>
      <xdr:rowOff>6350</xdr:rowOff>
    </xdr:from>
    <xdr:to>
      <xdr:col>11</xdr:col>
      <xdr:colOff>857250</xdr:colOff>
      <xdr:row>17</xdr:row>
      <xdr:rowOff>161051</xdr:rowOff>
    </xdr:to>
    <xdr:pic>
      <xdr:nvPicPr>
        <xdr:cNvPr id="59" name="Picture 58">
          <a:extLst>
            <a:ext uri="{FF2B5EF4-FFF2-40B4-BE49-F238E27FC236}">
              <a16:creationId xmlns:a16="http://schemas.microsoft.com/office/drawing/2014/main" id="{1373B4B9-591B-4BBC-B9CA-36033D492739}"/>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29591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17</xdr:row>
      <xdr:rowOff>0</xdr:rowOff>
    </xdr:from>
    <xdr:to>
      <xdr:col>5</xdr:col>
      <xdr:colOff>196850</xdr:colOff>
      <xdr:row>17</xdr:row>
      <xdr:rowOff>148508</xdr:rowOff>
    </xdr:to>
    <xdr:pic>
      <xdr:nvPicPr>
        <xdr:cNvPr id="60" name="Picture 59">
          <a:extLst>
            <a:ext uri="{FF2B5EF4-FFF2-40B4-BE49-F238E27FC236}">
              <a16:creationId xmlns:a16="http://schemas.microsoft.com/office/drawing/2014/main" id="{210ECDD1-C496-46DE-8E29-6E13D43DB067}"/>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295275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6</xdr:col>
      <xdr:colOff>76200</xdr:colOff>
      <xdr:row>2</xdr:row>
      <xdr:rowOff>133350</xdr:rowOff>
    </xdr:from>
    <xdr:to>
      <xdr:col>6</xdr:col>
      <xdr:colOff>533400</xdr:colOff>
      <xdr:row>3</xdr:row>
      <xdr:rowOff>153709</xdr:rowOff>
    </xdr:to>
    <xdr:pic>
      <xdr:nvPicPr>
        <xdr:cNvPr id="2" name="Picture 1">
          <a:extLst>
            <a:ext uri="{FF2B5EF4-FFF2-40B4-BE49-F238E27FC236}">
              <a16:creationId xmlns:a16="http://schemas.microsoft.com/office/drawing/2014/main" id="{E5612839-7AF9-4CBC-93E3-50FE87799AD7}"/>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457200"/>
          <a:ext cx="457200" cy="1854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3</xdr:row>
      <xdr:rowOff>6350</xdr:rowOff>
    </xdr:from>
    <xdr:to>
      <xdr:col>7</xdr:col>
      <xdr:colOff>577850</xdr:colOff>
      <xdr:row>3</xdr:row>
      <xdr:rowOff>161498</xdr:rowOff>
    </xdr:to>
    <xdr:pic>
      <xdr:nvPicPr>
        <xdr:cNvPr id="3" name="Picture 2">
          <a:extLst>
            <a:ext uri="{FF2B5EF4-FFF2-40B4-BE49-F238E27FC236}">
              <a16:creationId xmlns:a16="http://schemas.microsoft.com/office/drawing/2014/main" id="{A0353F96-E179-4703-BADE-C3AF214414B1}"/>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4953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2</xdr:row>
      <xdr:rowOff>152400</xdr:rowOff>
    </xdr:from>
    <xdr:to>
      <xdr:col>8</xdr:col>
      <xdr:colOff>533400</xdr:colOff>
      <xdr:row>3</xdr:row>
      <xdr:rowOff>154672</xdr:rowOff>
    </xdr:to>
    <xdr:pic>
      <xdr:nvPicPr>
        <xdr:cNvPr id="4" name="Picture 3">
          <a:extLst>
            <a:ext uri="{FF2B5EF4-FFF2-40B4-BE49-F238E27FC236}">
              <a16:creationId xmlns:a16="http://schemas.microsoft.com/office/drawing/2014/main" id="{8E0BDAAE-D428-4DD8-9817-AB85E7AB76E6}"/>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476250"/>
          <a:ext cx="463550" cy="167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3</xdr:row>
      <xdr:rowOff>0</xdr:rowOff>
    </xdr:from>
    <xdr:to>
      <xdr:col>9</xdr:col>
      <xdr:colOff>546100</xdr:colOff>
      <xdr:row>3</xdr:row>
      <xdr:rowOff>162508</xdr:rowOff>
    </xdr:to>
    <xdr:pic>
      <xdr:nvPicPr>
        <xdr:cNvPr id="5" name="Picture 4">
          <a:extLst>
            <a:ext uri="{FF2B5EF4-FFF2-40B4-BE49-F238E27FC236}">
              <a16:creationId xmlns:a16="http://schemas.microsoft.com/office/drawing/2014/main" id="{CECA50CC-FA53-4214-9B7F-BF9AA312EB3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4889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3</xdr:row>
      <xdr:rowOff>6350</xdr:rowOff>
    </xdr:from>
    <xdr:to>
      <xdr:col>10</xdr:col>
      <xdr:colOff>533400</xdr:colOff>
      <xdr:row>3</xdr:row>
      <xdr:rowOff>157185</xdr:rowOff>
    </xdr:to>
    <xdr:pic>
      <xdr:nvPicPr>
        <xdr:cNvPr id="6" name="Picture 5">
          <a:extLst>
            <a:ext uri="{FF2B5EF4-FFF2-40B4-BE49-F238E27FC236}">
              <a16:creationId xmlns:a16="http://schemas.microsoft.com/office/drawing/2014/main" id="{B03BA836-905F-4B90-A459-5741BCA39E49}"/>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4953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3</xdr:row>
      <xdr:rowOff>6350</xdr:rowOff>
    </xdr:from>
    <xdr:to>
      <xdr:col>11</xdr:col>
      <xdr:colOff>857250</xdr:colOff>
      <xdr:row>3</xdr:row>
      <xdr:rowOff>161051</xdr:rowOff>
    </xdr:to>
    <xdr:pic>
      <xdr:nvPicPr>
        <xdr:cNvPr id="7" name="Picture 6">
          <a:extLst>
            <a:ext uri="{FF2B5EF4-FFF2-40B4-BE49-F238E27FC236}">
              <a16:creationId xmlns:a16="http://schemas.microsoft.com/office/drawing/2014/main" id="{CECA35CB-6C6C-4597-A3BF-0609693097E3}"/>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4953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29826</xdr:colOff>
      <xdr:row>3</xdr:row>
      <xdr:rowOff>0</xdr:rowOff>
    </xdr:from>
    <xdr:to>
      <xdr:col>5</xdr:col>
      <xdr:colOff>196850</xdr:colOff>
      <xdr:row>3</xdr:row>
      <xdr:rowOff>177800</xdr:rowOff>
    </xdr:to>
    <xdr:pic>
      <xdr:nvPicPr>
        <xdr:cNvPr id="8" name="Picture 7">
          <a:extLst>
            <a:ext uri="{FF2B5EF4-FFF2-40B4-BE49-F238E27FC236}">
              <a16:creationId xmlns:a16="http://schemas.microsoft.com/office/drawing/2014/main" id="{A4BDFA10-CC7C-4B0C-A94B-235C15E54A3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04976" y="488950"/>
          <a:ext cx="167024"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69850</xdr:colOff>
      <xdr:row>31</xdr:row>
      <xdr:rowOff>0</xdr:rowOff>
    </xdr:from>
    <xdr:to>
      <xdr:col>6</xdr:col>
      <xdr:colOff>527050</xdr:colOff>
      <xdr:row>31</xdr:row>
      <xdr:rowOff>160059</xdr:rowOff>
    </xdr:to>
    <xdr:pic>
      <xdr:nvPicPr>
        <xdr:cNvPr id="9" name="Picture 8">
          <a:extLst>
            <a:ext uri="{FF2B5EF4-FFF2-40B4-BE49-F238E27FC236}">
              <a16:creationId xmlns:a16="http://schemas.microsoft.com/office/drawing/2014/main" id="{7E08946E-38FA-4594-A99F-52D34AAA678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1450" y="5219700"/>
          <a:ext cx="457200" cy="160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31</xdr:row>
      <xdr:rowOff>6350</xdr:rowOff>
    </xdr:from>
    <xdr:to>
      <xdr:col>7</xdr:col>
      <xdr:colOff>577850</xdr:colOff>
      <xdr:row>31</xdr:row>
      <xdr:rowOff>161498</xdr:rowOff>
    </xdr:to>
    <xdr:pic>
      <xdr:nvPicPr>
        <xdr:cNvPr id="10" name="Picture 9">
          <a:extLst>
            <a:ext uri="{FF2B5EF4-FFF2-40B4-BE49-F238E27FC236}">
              <a16:creationId xmlns:a16="http://schemas.microsoft.com/office/drawing/2014/main" id="{F586091D-1DBB-4303-8911-A57AEDE5661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52260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31</xdr:row>
      <xdr:rowOff>0</xdr:rowOff>
    </xdr:from>
    <xdr:to>
      <xdr:col>8</xdr:col>
      <xdr:colOff>533400</xdr:colOff>
      <xdr:row>31</xdr:row>
      <xdr:rowOff>154672</xdr:rowOff>
    </xdr:to>
    <xdr:pic>
      <xdr:nvPicPr>
        <xdr:cNvPr id="11" name="Picture 10">
          <a:extLst>
            <a:ext uri="{FF2B5EF4-FFF2-40B4-BE49-F238E27FC236}">
              <a16:creationId xmlns:a16="http://schemas.microsoft.com/office/drawing/2014/main" id="{1F629658-464B-413E-8AC7-6B9A91F93C2E}"/>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52197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31</xdr:row>
      <xdr:rowOff>0</xdr:rowOff>
    </xdr:from>
    <xdr:to>
      <xdr:col>9</xdr:col>
      <xdr:colOff>546100</xdr:colOff>
      <xdr:row>31</xdr:row>
      <xdr:rowOff>162508</xdr:rowOff>
    </xdr:to>
    <xdr:pic>
      <xdr:nvPicPr>
        <xdr:cNvPr id="12" name="Picture 11">
          <a:extLst>
            <a:ext uri="{FF2B5EF4-FFF2-40B4-BE49-F238E27FC236}">
              <a16:creationId xmlns:a16="http://schemas.microsoft.com/office/drawing/2014/main" id="{6EED4F5A-1F40-42BA-8D65-3253E90A80B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52197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31</xdr:row>
      <xdr:rowOff>6350</xdr:rowOff>
    </xdr:from>
    <xdr:to>
      <xdr:col>10</xdr:col>
      <xdr:colOff>533400</xdr:colOff>
      <xdr:row>31</xdr:row>
      <xdr:rowOff>157185</xdr:rowOff>
    </xdr:to>
    <xdr:pic>
      <xdr:nvPicPr>
        <xdr:cNvPr id="13" name="Picture 12">
          <a:extLst>
            <a:ext uri="{FF2B5EF4-FFF2-40B4-BE49-F238E27FC236}">
              <a16:creationId xmlns:a16="http://schemas.microsoft.com/office/drawing/2014/main" id="{A2026E09-534A-4B0D-9DF8-C43BFDABD8CE}"/>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52260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31</xdr:row>
      <xdr:rowOff>6350</xdr:rowOff>
    </xdr:from>
    <xdr:to>
      <xdr:col>11</xdr:col>
      <xdr:colOff>857250</xdr:colOff>
      <xdr:row>31</xdr:row>
      <xdr:rowOff>161051</xdr:rowOff>
    </xdr:to>
    <xdr:pic>
      <xdr:nvPicPr>
        <xdr:cNvPr id="14" name="Picture 13">
          <a:extLst>
            <a:ext uri="{FF2B5EF4-FFF2-40B4-BE49-F238E27FC236}">
              <a16:creationId xmlns:a16="http://schemas.microsoft.com/office/drawing/2014/main" id="{12BA19C5-248F-4910-ADC1-93DE77BE244E}"/>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52260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31</xdr:row>
      <xdr:rowOff>0</xdr:rowOff>
    </xdr:from>
    <xdr:to>
      <xdr:col>5</xdr:col>
      <xdr:colOff>196850</xdr:colOff>
      <xdr:row>31</xdr:row>
      <xdr:rowOff>148508</xdr:rowOff>
    </xdr:to>
    <xdr:pic>
      <xdr:nvPicPr>
        <xdr:cNvPr id="15" name="Picture 14">
          <a:extLst>
            <a:ext uri="{FF2B5EF4-FFF2-40B4-BE49-F238E27FC236}">
              <a16:creationId xmlns:a16="http://schemas.microsoft.com/office/drawing/2014/main" id="{AF8D0F4C-700F-481A-B8BA-E3901BB023B1}"/>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521970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45</xdr:row>
      <xdr:rowOff>0</xdr:rowOff>
    </xdr:from>
    <xdr:to>
      <xdr:col>6</xdr:col>
      <xdr:colOff>533400</xdr:colOff>
      <xdr:row>45</xdr:row>
      <xdr:rowOff>153709</xdr:rowOff>
    </xdr:to>
    <xdr:pic>
      <xdr:nvPicPr>
        <xdr:cNvPr id="16" name="Picture 15">
          <a:extLst>
            <a:ext uri="{FF2B5EF4-FFF2-40B4-BE49-F238E27FC236}">
              <a16:creationId xmlns:a16="http://schemas.microsoft.com/office/drawing/2014/main" id="{EE0B89ED-F80E-49FD-8974-7E6872D3798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748665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45</xdr:row>
      <xdr:rowOff>6350</xdr:rowOff>
    </xdr:from>
    <xdr:to>
      <xdr:col>7</xdr:col>
      <xdr:colOff>577850</xdr:colOff>
      <xdr:row>45</xdr:row>
      <xdr:rowOff>161498</xdr:rowOff>
    </xdr:to>
    <xdr:pic>
      <xdr:nvPicPr>
        <xdr:cNvPr id="17" name="Picture 16">
          <a:extLst>
            <a:ext uri="{FF2B5EF4-FFF2-40B4-BE49-F238E27FC236}">
              <a16:creationId xmlns:a16="http://schemas.microsoft.com/office/drawing/2014/main" id="{AC08DBFD-D5EC-4C34-900D-AC63F520FBD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74930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45</xdr:row>
      <xdr:rowOff>0</xdr:rowOff>
    </xdr:from>
    <xdr:to>
      <xdr:col>8</xdr:col>
      <xdr:colOff>533400</xdr:colOff>
      <xdr:row>45</xdr:row>
      <xdr:rowOff>154672</xdr:rowOff>
    </xdr:to>
    <xdr:pic>
      <xdr:nvPicPr>
        <xdr:cNvPr id="18" name="Picture 17">
          <a:extLst>
            <a:ext uri="{FF2B5EF4-FFF2-40B4-BE49-F238E27FC236}">
              <a16:creationId xmlns:a16="http://schemas.microsoft.com/office/drawing/2014/main" id="{8AD67DAE-F789-4317-B381-F81E511E3C76}"/>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74866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45</xdr:row>
      <xdr:rowOff>0</xdr:rowOff>
    </xdr:from>
    <xdr:to>
      <xdr:col>9</xdr:col>
      <xdr:colOff>546100</xdr:colOff>
      <xdr:row>45</xdr:row>
      <xdr:rowOff>162508</xdr:rowOff>
    </xdr:to>
    <xdr:pic>
      <xdr:nvPicPr>
        <xdr:cNvPr id="19" name="Picture 18">
          <a:extLst>
            <a:ext uri="{FF2B5EF4-FFF2-40B4-BE49-F238E27FC236}">
              <a16:creationId xmlns:a16="http://schemas.microsoft.com/office/drawing/2014/main" id="{F634E23D-7491-45ED-86E4-F2F4F18F7541}"/>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74866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45</xdr:row>
      <xdr:rowOff>6350</xdr:rowOff>
    </xdr:from>
    <xdr:to>
      <xdr:col>10</xdr:col>
      <xdr:colOff>533400</xdr:colOff>
      <xdr:row>45</xdr:row>
      <xdr:rowOff>157185</xdr:rowOff>
    </xdr:to>
    <xdr:pic>
      <xdr:nvPicPr>
        <xdr:cNvPr id="20" name="Picture 19">
          <a:extLst>
            <a:ext uri="{FF2B5EF4-FFF2-40B4-BE49-F238E27FC236}">
              <a16:creationId xmlns:a16="http://schemas.microsoft.com/office/drawing/2014/main" id="{368173C0-1065-478F-A2FF-445D1F4E1DE5}"/>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74930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45</xdr:row>
      <xdr:rowOff>6350</xdr:rowOff>
    </xdr:from>
    <xdr:to>
      <xdr:col>11</xdr:col>
      <xdr:colOff>857250</xdr:colOff>
      <xdr:row>45</xdr:row>
      <xdr:rowOff>161051</xdr:rowOff>
    </xdr:to>
    <xdr:pic>
      <xdr:nvPicPr>
        <xdr:cNvPr id="21" name="Picture 20">
          <a:extLst>
            <a:ext uri="{FF2B5EF4-FFF2-40B4-BE49-F238E27FC236}">
              <a16:creationId xmlns:a16="http://schemas.microsoft.com/office/drawing/2014/main" id="{FFA25E0E-3B4F-4542-A752-91DC57AC5A2C}"/>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74930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50800</xdr:colOff>
      <xdr:row>45</xdr:row>
      <xdr:rowOff>0</xdr:rowOff>
    </xdr:from>
    <xdr:to>
      <xdr:col>5</xdr:col>
      <xdr:colOff>196850</xdr:colOff>
      <xdr:row>45</xdr:row>
      <xdr:rowOff>136627</xdr:rowOff>
    </xdr:to>
    <xdr:pic>
      <xdr:nvPicPr>
        <xdr:cNvPr id="22" name="Picture 21">
          <a:extLst>
            <a:ext uri="{FF2B5EF4-FFF2-40B4-BE49-F238E27FC236}">
              <a16:creationId xmlns:a16="http://schemas.microsoft.com/office/drawing/2014/main" id="{D6A4B31F-A52A-4864-B19E-3419B425EBB3}"/>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25950" y="7486650"/>
          <a:ext cx="146050" cy="1366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59</xdr:row>
      <xdr:rowOff>0</xdr:rowOff>
    </xdr:from>
    <xdr:to>
      <xdr:col>6</xdr:col>
      <xdr:colOff>533400</xdr:colOff>
      <xdr:row>59</xdr:row>
      <xdr:rowOff>153709</xdr:rowOff>
    </xdr:to>
    <xdr:pic>
      <xdr:nvPicPr>
        <xdr:cNvPr id="23" name="Picture 22">
          <a:extLst>
            <a:ext uri="{FF2B5EF4-FFF2-40B4-BE49-F238E27FC236}">
              <a16:creationId xmlns:a16="http://schemas.microsoft.com/office/drawing/2014/main" id="{6D4FE8B8-7AC8-402C-9C0C-80CA41016D94}"/>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975360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59</xdr:row>
      <xdr:rowOff>6350</xdr:rowOff>
    </xdr:from>
    <xdr:to>
      <xdr:col>7</xdr:col>
      <xdr:colOff>577850</xdr:colOff>
      <xdr:row>59</xdr:row>
      <xdr:rowOff>161498</xdr:rowOff>
    </xdr:to>
    <xdr:pic>
      <xdr:nvPicPr>
        <xdr:cNvPr id="24" name="Picture 23">
          <a:extLst>
            <a:ext uri="{FF2B5EF4-FFF2-40B4-BE49-F238E27FC236}">
              <a16:creationId xmlns:a16="http://schemas.microsoft.com/office/drawing/2014/main" id="{D2135E79-596F-479B-B7DB-B695557C4853}"/>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97599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59</xdr:row>
      <xdr:rowOff>0</xdr:rowOff>
    </xdr:from>
    <xdr:to>
      <xdr:col>8</xdr:col>
      <xdr:colOff>533400</xdr:colOff>
      <xdr:row>59</xdr:row>
      <xdr:rowOff>154672</xdr:rowOff>
    </xdr:to>
    <xdr:pic>
      <xdr:nvPicPr>
        <xdr:cNvPr id="25" name="Picture 24">
          <a:extLst>
            <a:ext uri="{FF2B5EF4-FFF2-40B4-BE49-F238E27FC236}">
              <a16:creationId xmlns:a16="http://schemas.microsoft.com/office/drawing/2014/main" id="{6C4709C7-A1D8-4AA0-86C2-AF5207F8EAA8}"/>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97536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59</xdr:row>
      <xdr:rowOff>0</xdr:rowOff>
    </xdr:from>
    <xdr:to>
      <xdr:col>9</xdr:col>
      <xdr:colOff>546100</xdr:colOff>
      <xdr:row>59</xdr:row>
      <xdr:rowOff>162508</xdr:rowOff>
    </xdr:to>
    <xdr:pic>
      <xdr:nvPicPr>
        <xdr:cNvPr id="26" name="Picture 25">
          <a:extLst>
            <a:ext uri="{FF2B5EF4-FFF2-40B4-BE49-F238E27FC236}">
              <a16:creationId xmlns:a16="http://schemas.microsoft.com/office/drawing/2014/main" id="{5A876796-BDF6-49F0-9199-3783CCEA9D8C}"/>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97536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59</xdr:row>
      <xdr:rowOff>6350</xdr:rowOff>
    </xdr:from>
    <xdr:to>
      <xdr:col>10</xdr:col>
      <xdr:colOff>533400</xdr:colOff>
      <xdr:row>59</xdr:row>
      <xdr:rowOff>157185</xdr:rowOff>
    </xdr:to>
    <xdr:pic>
      <xdr:nvPicPr>
        <xdr:cNvPr id="27" name="Picture 26">
          <a:extLst>
            <a:ext uri="{FF2B5EF4-FFF2-40B4-BE49-F238E27FC236}">
              <a16:creationId xmlns:a16="http://schemas.microsoft.com/office/drawing/2014/main" id="{974ADBA3-36B0-4D06-90D4-A5BA1B3A707C}"/>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97599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59</xdr:row>
      <xdr:rowOff>6350</xdr:rowOff>
    </xdr:from>
    <xdr:to>
      <xdr:col>11</xdr:col>
      <xdr:colOff>857250</xdr:colOff>
      <xdr:row>59</xdr:row>
      <xdr:rowOff>161051</xdr:rowOff>
    </xdr:to>
    <xdr:pic>
      <xdr:nvPicPr>
        <xdr:cNvPr id="28" name="Picture 27">
          <a:extLst>
            <a:ext uri="{FF2B5EF4-FFF2-40B4-BE49-F238E27FC236}">
              <a16:creationId xmlns:a16="http://schemas.microsoft.com/office/drawing/2014/main" id="{EAD092C7-DC63-4A43-A126-75F530A7C5C3}"/>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97599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59</xdr:row>
      <xdr:rowOff>0</xdr:rowOff>
    </xdr:from>
    <xdr:to>
      <xdr:col>5</xdr:col>
      <xdr:colOff>196850</xdr:colOff>
      <xdr:row>59</xdr:row>
      <xdr:rowOff>148508</xdr:rowOff>
    </xdr:to>
    <xdr:pic>
      <xdr:nvPicPr>
        <xdr:cNvPr id="29" name="Picture 28">
          <a:extLst>
            <a:ext uri="{FF2B5EF4-FFF2-40B4-BE49-F238E27FC236}">
              <a16:creationId xmlns:a16="http://schemas.microsoft.com/office/drawing/2014/main" id="{82B22DCA-8D4C-4785-934B-A9F27D151851}"/>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975360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73</xdr:row>
      <xdr:rowOff>0</xdr:rowOff>
    </xdr:from>
    <xdr:to>
      <xdr:col>6</xdr:col>
      <xdr:colOff>533400</xdr:colOff>
      <xdr:row>73</xdr:row>
      <xdr:rowOff>153709</xdr:rowOff>
    </xdr:to>
    <xdr:pic>
      <xdr:nvPicPr>
        <xdr:cNvPr id="30" name="Picture 29">
          <a:extLst>
            <a:ext uri="{FF2B5EF4-FFF2-40B4-BE49-F238E27FC236}">
              <a16:creationId xmlns:a16="http://schemas.microsoft.com/office/drawing/2014/main" id="{2C9DE75D-1A08-492D-AB77-1AA8E02E0963}"/>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1202055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73</xdr:row>
      <xdr:rowOff>6350</xdr:rowOff>
    </xdr:from>
    <xdr:to>
      <xdr:col>7</xdr:col>
      <xdr:colOff>577850</xdr:colOff>
      <xdr:row>73</xdr:row>
      <xdr:rowOff>161498</xdr:rowOff>
    </xdr:to>
    <xdr:pic>
      <xdr:nvPicPr>
        <xdr:cNvPr id="31" name="Picture 30">
          <a:extLst>
            <a:ext uri="{FF2B5EF4-FFF2-40B4-BE49-F238E27FC236}">
              <a16:creationId xmlns:a16="http://schemas.microsoft.com/office/drawing/2014/main" id="{B09F2DD1-724D-4C63-A7B0-8443BB8887ED}"/>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120269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73</xdr:row>
      <xdr:rowOff>0</xdr:rowOff>
    </xdr:from>
    <xdr:to>
      <xdr:col>8</xdr:col>
      <xdr:colOff>533400</xdr:colOff>
      <xdr:row>73</xdr:row>
      <xdr:rowOff>154672</xdr:rowOff>
    </xdr:to>
    <xdr:pic>
      <xdr:nvPicPr>
        <xdr:cNvPr id="32" name="Picture 31">
          <a:extLst>
            <a:ext uri="{FF2B5EF4-FFF2-40B4-BE49-F238E27FC236}">
              <a16:creationId xmlns:a16="http://schemas.microsoft.com/office/drawing/2014/main" id="{84C92955-6E8C-4253-B08F-841BB59E6308}"/>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120205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73</xdr:row>
      <xdr:rowOff>0</xdr:rowOff>
    </xdr:from>
    <xdr:to>
      <xdr:col>9</xdr:col>
      <xdr:colOff>546100</xdr:colOff>
      <xdr:row>73</xdr:row>
      <xdr:rowOff>162508</xdr:rowOff>
    </xdr:to>
    <xdr:pic>
      <xdr:nvPicPr>
        <xdr:cNvPr id="33" name="Picture 32">
          <a:extLst>
            <a:ext uri="{FF2B5EF4-FFF2-40B4-BE49-F238E27FC236}">
              <a16:creationId xmlns:a16="http://schemas.microsoft.com/office/drawing/2014/main" id="{F3CA1639-FCFF-4BCC-AEB4-6E66723A14FE}"/>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120205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73</xdr:row>
      <xdr:rowOff>6350</xdr:rowOff>
    </xdr:from>
    <xdr:to>
      <xdr:col>10</xdr:col>
      <xdr:colOff>533400</xdr:colOff>
      <xdr:row>73</xdr:row>
      <xdr:rowOff>157185</xdr:rowOff>
    </xdr:to>
    <xdr:pic>
      <xdr:nvPicPr>
        <xdr:cNvPr id="34" name="Picture 33">
          <a:extLst>
            <a:ext uri="{FF2B5EF4-FFF2-40B4-BE49-F238E27FC236}">
              <a16:creationId xmlns:a16="http://schemas.microsoft.com/office/drawing/2014/main" id="{942830EA-947D-4FB7-B355-A94A800E537A}"/>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120269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73</xdr:row>
      <xdr:rowOff>6350</xdr:rowOff>
    </xdr:from>
    <xdr:to>
      <xdr:col>11</xdr:col>
      <xdr:colOff>857250</xdr:colOff>
      <xdr:row>73</xdr:row>
      <xdr:rowOff>161051</xdr:rowOff>
    </xdr:to>
    <xdr:pic>
      <xdr:nvPicPr>
        <xdr:cNvPr id="35" name="Picture 34">
          <a:extLst>
            <a:ext uri="{FF2B5EF4-FFF2-40B4-BE49-F238E27FC236}">
              <a16:creationId xmlns:a16="http://schemas.microsoft.com/office/drawing/2014/main" id="{15EBC725-0E38-4255-BA76-BF034237E3C2}"/>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120269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73</xdr:row>
      <xdr:rowOff>0</xdr:rowOff>
    </xdr:from>
    <xdr:to>
      <xdr:col>5</xdr:col>
      <xdr:colOff>196850</xdr:colOff>
      <xdr:row>73</xdr:row>
      <xdr:rowOff>148508</xdr:rowOff>
    </xdr:to>
    <xdr:pic>
      <xdr:nvPicPr>
        <xdr:cNvPr id="36" name="Picture 35">
          <a:extLst>
            <a:ext uri="{FF2B5EF4-FFF2-40B4-BE49-F238E27FC236}">
              <a16:creationId xmlns:a16="http://schemas.microsoft.com/office/drawing/2014/main" id="{92CF3273-0BEC-48CC-B946-FC605D99172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1202055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87</xdr:row>
      <xdr:rowOff>0</xdr:rowOff>
    </xdr:from>
    <xdr:to>
      <xdr:col>6</xdr:col>
      <xdr:colOff>533400</xdr:colOff>
      <xdr:row>87</xdr:row>
      <xdr:rowOff>153709</xdr:rowOff>
    </xdr:to>
    <xdr:pic>
      <xdr:nvPicPr>
        <xdr:cNvPr id="37" name="Picture 36">
          <a:extLst>
            <a:ext uri="{FF2B5EF4-FFF2-40B4-BE49-F238E27FC236}">
              <a16:creationId xmlns:a16="http://schemas.microsoft.com/office/drawing/2014/main" id="{7E174654-1B98-45A6-8DC9-4720975FA2D4}"/>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7800" y="14287500"/>
          <a:ext cx="457200" cy="15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87</xdr:row>
      <xdr:rowOff>6350</xdr:rowOff>
    </xdr:from>
    <xdr:to>
      <xdr:col>7</xdr:col>
      <xdr:colOff>577850</xdr:colOff>
      <xdr:row>87</xdr:row>
      <xdr:rowOff>161498</xdr:rowOff>
    </xdr:to>
    <xdr:pic>
      <xdr:nvPicPr>
        <xdr:cNvPr id="38" name="Picture 37">
          <a:extLst>
            <a:ext uri="{FF2B5EF4-FFF2-40B4-BE49-F238E27FC236}">
              <a16:creationId xmlns:a16="http://schemas.microsoft.com/office/drawing/2014/main" id="{F8B513B4-7E91-4929-9A9F-ACCEC02E7717}"/>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1429385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87</xdr:row>
      <xdr:rowOff>0</xdr:rowOff>
    </xdr:from>
    <xdr:to>
      <xdr:col>8</xdr:col>
      <xdr:colOff>533400</xdr:colOff>
      <xdr:row>87</xdr:row>
      <xdr:rowOff>154672</xdr:rowOff>
    </xdr:to>
    <xdr:pic>
      <xdr:nvPicPr>
        <xdr:cNvPr id="39" name="Picture 38">
          <a:extLst>
            <a:ext uri="{FF2B5EF4-FFF2-40B4-BE49-F238E27FC236}">
              <a16:creationId xmlns:a16="http://schemas.microsoft.com/office/drawing/2014/main" id="{DEE0A8B5-CF5E-4725-BF31-BFDE23014521}"/>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1428750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87</xdr:row>
      <xdr:rowOff>0</xdr:rowOff>
    </xdr:from>
    <xdr:to>
      <xdr:col>9</xdr:col>
      <xdr:colOff>546100</xdr:colOff>
      <xdr:row>87</xdr:row>
      <xdr:rowOff>162508</xdr:rowOff>
    </xdr:to>
    <xdr:pic>
      <xdr:nvPicPr>
        <xdr:cNvPr id="40" name="Picture 39">
          <a:extLst>
            <a:ext uri="{FF2B5EF4-FFF2-40B4-BE49-F238E27FC236}">
              <a16:creationId xmlns:a16="http://schemas.microsoft.com/office/drawing/2014/main" id="{E29451F3-202B-49FC-9C4E-51BCB4A30CBC}"/>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1428750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87</xdr:row>
      <xdr:rowOff>6350</xdr:rowOff>
    </xdr:from>
    <xdr:to>
      <xdr:col>10</xdr:col>
      <xdr:colOff>533400</xdr:colOff>
      <xdr:row>87</xdr:row>
      <xdr:rowOff>157185</xdr:rowOff>
    </xdr:to>
    <xdr:pic>
      <xdr:nvPicPr>
        <xdr:cNvPr id="41" name="Picture 40">
          <a:extLst>
            <a:ext uri="{FF2B5EF4-FFF2-40B4-BE49-F238E27FC236}">
              <a16:creationId xmlns:a16="http://schemas.microsoft.com/office/drawing/2014/main" id="{55F106F5-EEA2-438F-A3BD-479B5802B8FA}"/>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1429385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87</xdr:row>
      <xdr:rowOff>6350</xdr:rowOff>
    </xdr:from>
    <xdr:to>
      <xdr:col>11</xdr:col>
      <xdr:colOff>857250</xdr:colOff>
      <xdr:row>87</xdr:row>
      <xdr:rowOff>161051</xdr:rowOff>
    </xdr:to>
    <xdr:pic>
      <xdr:nvPicPr>
        <xdr:cNvPr id="42" name="Picture 41">
          <a:extLst>
            <a:ext uri="{FF2B5EF4-FFF2-40B4-BE49-F238E27FC236}">
              <a16:creationId xmlns:a16="http://schemas.microsoft.com/office/drawing/2014/main" id="{D54D16C3-E547-4C4E-BC82-7F84509D765F}"/>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1429385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57150</xdr:colOff>
      <xdr:row>87</xdr:row>
      <xdr:rowOff>0</xdr:rowOff>
    </xdr:from>
    <xdr:to>
      <xdr:col>5</xdr:col>
      <xdr:colOff>196850</xdr:colOff>
      <xdr:row>87</xdr:row>
      <xdr:rowOff>130687</xdr:rowOff>
    </xdr:to>
    <xdr:pic>
      <xdr:nvPicPr>
        <xdr:cNvPr id="43" name="Picture 42">
          <a:extLst>
            <a:ext uri="{FF2B5EF4-FFF2-40B4-BE49-F238E27FC236}">
              <a16:creationId xmlns:a16="http://schemas.microsoft.com/office/drawing/2014/main" id="{BEC506BD-2A43-4376-A0BF-689DBA3A9E6E}"/>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32300" y="14287500"/>
          <a:ext cx="139700" cy="130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38100</xdr:colOff>
      <xdr:row>3</xdr:row>
      <xdr:rowOff>0</xdr:rowOff>
    </xdr:from>
    <xdr:to>
      <xdr:col>17</xdr:col>
      <xdr:colOff>165100</xdr:colOff>
      <xdr:row>3</xdr:row>
      <xdr:rowOff>146538</xdr:rowOff>
    </xdr:to>
    <xdr:pic>
      <xdr:nvPicPr>
        <xdr:cNvPr id="44" name="Picture 43">
          <a:extLst>
            <a:ext uri="{FF2B5EF4-FFF2-40B4-BE49-F238E27FC236}">
              <a16:creationId xmlns:a16="http://schemas.microsoft.com/office/drawing/2014/main" id="{996B60A4-862B-43A9-8489-A8C2743D187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579850" y="488950"/>
          <a:ext cx="127000" cy="146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49530</xdr:colOff>
      <xdr:row>3</xdr:row>
      <xdr:rowOff>0</xdr:rowOff>
    </xdr:from>
    <xdr:to>
      <xdr:col>18</xdr:col>
      <xdr:colOff>165100</xdr:colOff>
      <xdr:row>3</xdr:row>
      <xdr:rowOff>133350</xdr:rowOff>
    </xdr:to>
    <xdr:pic>
      <xdr:nvPicPr>
        <xdr:cNvPr id="45" name="Picture 44">
          <a:extLst>
            <a:ext uri="{FF2B5EF4-FFF2-40B4-BE49-F238E27FC236}">
              <a16:creationId xmlns:a16="http://schemas.microsoft.com/office/drawing/2014/main" id="{40694FD8-F7CB-49A6-A91A-125C81C95FE5}"/>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893030" y="488950"/>
          <a:ext cx="115570"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101600</xdr:colOff>
      <xdr:row>3</xdr:row>
      <xdr:rowOff>19050</xdr:rowOff>
    </xdr:from>
    <xdr:to>
      <xdr:col>20</xdr:col>
      <xdr:colOff>615950</xdr:colOff>
      <xdr:row>3</xdr:row>
      <xdr:rowOff>150935</xdr:rowOff>
    </xdr:to>
    <xdr:pic>
      <xdr:nvPicPr>
        <xdr:cNvPr id="46" name="Picture 45">
          <a:extLst>
            <a:ext uri="{FF2B5EF4-FFF2-40B4-BE49-F238E27FC236}">
              <a16:creationId xmlns:a16="http://schemas.microsoft.com/office/drawing/2014/main" id="{9721FA0B-616D-41BA-8CF0-1545BCF53F3E}"/>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072350" y="508000"/>
          <a:ext cx="514350" cy="131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28864</xdr:colOff>
      <xdr:row>3</xdr:row>
      <xdr:rowOff>0</xdr:rowOff>
    </xdr:from>
    <xdr:to>
      <xdr:col>21</xdr:col>
      <xdr:colOff>158750</xdr:colOff>
      <xdr:row>3</xdr:row>
      <xdr:rowOff>171450</xdr:rowOff>
    </xdr:to>
    <xdr:pic>
      <xdr:nvPicPr>
        <xdr:cNvPr id="47" name="Picture 46">
          <a:extLst>
            <a:ext uri="{FF2B5EF4-FFF2-40B4-BE49-F238E27FC236}">
              <a16:creationId xmlns:a16="http://schemas.microsoft.com/office/drawing/2014/main" id="{B0D778B9-D96E-4AF7-B548-BACB64116F56}"/>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679064" y="488950"/>
          <a:ext cx="129886"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43294</xdr:colOff>
      <xdr:row>3</xdr:row>
      <xdr:rowOff>0</xdr:rowOff>
    </xdr:from>
    <xdr:to>
      <xdr:col>22</xdr:col>
      <xdr:colOff>158749</xdr:colOff>
      <xdr:row>3</xdr:row>
      <xdr:rowOff>152400</xdr:rowOff>
    </xdr:to>
    <xdr:pic>
      <xdr:nvPicPr>
        <xdr:cNvPr id="48" name="Picture 47">
          <a:extLst>
            <a:ext uri="{FF2B5EF4-FFF2-40B4-BE49-F238E27FC236}">
              <a16:creationId xmlns:a16="http://schemas.microsoft.com/office/drawing/2014/main" id="{91E0F9EF-4EE2-447C-B571-6F8342B65D18}"/>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303094" y="488950"/>
          <a:ext cx="11545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76200</xdr:colOff>
      <xdr:row>3</xdr:row>
      <xdr:rowOff>0</xdr:rowOff>
    </xdr:from>
    <xdr:to>
      <xdr:col>24</xdr:col>
      <xdr:colOff>533400</xdr:colOff>
      <xdr:row>3</xdr:row>
      <xdr:rowOff>139700</xdr:rowOff>
    </xdr:to>
    <xdr:pic>
      <xdr:nvPicPr>
        <xdr:cNvPr id="49" name="Picture 48">
          <a:extLst>
            <a:ext uri="{FF2B5EF4-FFF2-40B4-BE49-F238E27FC236}">
              <a16:creationId xmlns:a16="http://schemas.microsoft.com/office/drawing/2014/main" id="{EA1B62D1-E800-4DC5-AE9C-305C60CA8852}"/>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783800" y="488950"/>
          <a:ext cx="457200" cy="13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31750</xdr:colOff>
      <xdr:row>3</xdr:row>
      <xdr:rowOff>0</xdr:rowOff>
    </xdr:from>
    <xdr:to>
      <xdr:col>25</xdr:col>
      <xdr:colOff>234950</xdr:colOff>
      <xdr:row>3</xdr:row>
      <xdr:rowOff>181232</xdr:rowOff>
    </xdr:to>
    <xdr:pic>
      <xdr:nvPicPr>
        <xdr:cNvPr id="50" name="Picture 49">
          <a:extLst>
            <a:ext uri="{FF2B5EF4-FFF2-40B4-BE49-F238E27FC236}">
              <a16:creationId xmlns:a16="http://schemas.microsoft.com/office/drawing/2014/main" id="{C4FDED21-610F-442D-ACBB-955CDC9770B2}"/>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348950" y="488950"/>
          <a:ext cx="203200" cy="181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35598</xdr:colOff>
      <xdr:row>3</xdr:row>
      <xdr:rowOff>0</xdr:rowOff>
    </xdr:from>
    <xdr:to>
      <xdr:col>26</xdr:col>
      <xdr:colOff>234950</xdr:colOff>
      <xdr:row>3</xdr:row>
      <xdr:rowOff>177800</xdr:rowOff>
    </xdr:to>
    <xdr:pic>
      <xdr:nvPicPr>
        <xdr:cNvPr id="51" name="Picture 50">
          <a:extLst>
            <a:ext uri="{FF2B5EF4-FFF2-40B4-BE49-F238E27FC236}">
              <a16:creationId xmlns:a16="http://schemas.microsoft.com/office/drawing/2014/main" id="{09612262-0300-49D9-B05F-D0115BE18E93}"/>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962398" y="488950"/>
          <a:ext cx="199352"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88900</xdr:colOff>
      <xdr:row>3</xdr:row>
      <xdr:rowOff>12700</xdr:rowOff>
    </xdr:from>
    <xdr:to>
      <xdr:col>28</xdr:col>
      <xdr:colOff>666173</xdr:colOff>
      <xdr:row>3</xdr:row>
      <xdr:rowOff>139700</xdr:rowOff>
    </xdr:to>
    <xdr:pic>
      <xdr:nvPicPr>
        <xdr:cNvPr id="52" name="Picture 51">
          <a:extLst>
            <a:ext uri="{FF2B5EF4-FFF2-40B4-BE49-F238E27FC236}">
              <a16:creationId xmlns:a16="http://schemas.microsoft.com/office/drawing/2014/main" id="{9FFAFCA7-FB7D-4738-AAC4-155D3A77A987}"/>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412700" y="501650"/>
          <a:ext cx="577273" cy="12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32</xdr:col>
      <xdr:colOff>63500</xdr:colOff>
      <xdr:row>3</xdr:row>
      <xdr:rowOff>6350</xdr:rowOff>
    </xdr:from>
    <xdr:to>
      <xdr:col>32</xdr:col>
      <xdr:colOff>488950</xdr:colOff>
      <xdr:row>3</xdr:row>
      <xdr:rowOff>146608</xdr:rowOff>
    </xdr:to>
    <xdr:pic>
      <xdr:nvPicPr>
        <xdr:cNvPr id="53" name="Picture 52">
          <a:extLst>
            <a:ext uri="{FF2B5EF4-FFF2-40B4-BE49-F238E27FC236}">
              <a16:creationId xmlns:a16="http://schemas.microsoft.com/office/drawing/2014/main" id="{B924C65B-CEC6-4D71-99EC-F1D7C8B2D1FF}"/>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9013150" y="495300"/>
          <a:ext cx="425450" cy="140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69850</xdr:colOff>
      <xdr:row>17</xdr:row>
      <xdr:rowOff>0</xdr:rowOff>
    </xdr:from>
    <xdr:to>
      <xdr:col>6</xdr:col>
      <xdr:colOff>527050</xdr:colOff>
      <xdr:row>17</xdr:row>
      <xdr:rowOff>160059</xdr:rowOff>
    </xdr:to>
    <xdr:pic>
      <xdr:nvPicPr>
        <xdr:cNvPr id="54" name="Picture 53">
          <a:extLst>
            <a:ext uri="{FF2B5EF4-FFF2-40B4-BE49-F238E27FC236}">
              <a16:creationId xmlns:a16="http://schemas.microsoft.com/office/drawing/2014/main" id="{8D057355-86BE-4A34-8C24-ADB59B439B6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51450" y="2952750"/>
          <a:ext cx="457200" cy="160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88900</xdr:colOff>
      <xdr:row>17</xdr:row>
      <xdr:rowOff>6350</xdr:rowOff>
    </xdr:from>
    <xdr:to>
      <xdr:col>7</xdr:col>
      <xdr:colOff>577850</xdr:colOff>
      <xdr:row>17</xdr:row>
      <xdr:rowOff>161498</xdr:rowOff>
    </xdr:to>
    <xdr:pic>
      <xdr:nvPicPr>
        <xdr:cNvPr id="55" name="Picture 54">
          <a:extLst>
            <a:ext uri="{FF2B5EF4-FFF2-40B4-BE49-F238E27FC236}">
              <a16:creationId xmlns:a16="http://schemas.microsoft.com/office/drawing/2014/main" id="{BABC39E9-1F6D-481B-90E0-58807D76A38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99150" y="2959100"/>
          <a:ext cx="488950" cy="155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69850</xdr:colOff>
      <xdr:row>17</xdr:row>
      <xdr:rowOff>0</xdr:rowOff>
    </xdr:from>
    <xdr:to>
      <xdr:col>8</xdr:col>
      <xdr:colOff>533400</xdr:colOff>
      <xdr:row>17</xdr:row>
      <xdr:rowOff>154672</xdr:rowOff>
    </xdr:to>
    <xdr:pic>
      <xdr:nvPicPr>
        <xdr:cNvPr id="56" name="Picture 55">
          <a:extLst>
            <a:ext uri="{FF2B5EF4-FFF2-40B4-BE49-F238E27FC236}">
              <a16:creationId xmlns:a16="http://schemas.microsoft.com/office/drawing/2014/main" id="{E10DFBA0-EF56-4D3E-8A3F-AE409393356D}"/>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4950" y="2952750"/>
          <a:ext cx="463550" cy="154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63500</xdr:colOff>
      <xdr:row>17</xdr:row>
      <xdr:rowOff>0</xdr:rowOff>
    </xdr:from>
    <xdr:to>
      <xdr:col>9</xdr:col>
      <xdr:colOff>546100</xdr:colOff>
      <xdr:row>17</xdr:row>
      <xdr:rowOff>162508</xdr:rowOff>
    </xdr:to>
    <xdr:pic>
      <xdr:nvPicPr>
        <xdr:cNvPr id="57" name="Picture 56">
          <a:extLst>
            <a:ext uri="{FF2B5EF4-FFF2-40B4-BE49-F238E27FC236}">
              <a16:creationId xmlns:a16="http://schemas.microsoft.com/office/drawing/2014/main" id="{52BDF72A-2C74-4E92-BA17-19B802BEF2BB}"/>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29550" y="2952750"/>
          <a:ext cx="482600" cy="162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101600</xdr:colOff>
      <xdr:row>17</xdr:row>
      <xdr:rowOff>6350</xdr:rowOff>
    </xdr:from>
    <xdr:to>
      <xdr:col>10</xdr:col>
      <xdr:colOff>533400</xdr:colOff>
      <xdr:row>17</xdr:row>
      <xdr:rowOff>157185</xdr:rowOff>
    </xdr:to>
    <xdr:pic>
      <xdr:nvPicPr>
        <xdr:cNvPr id="58" name="Picture 57">
          <a:extLst>
            <a:ext uri="{FF2B5EF4-FFF2-40B4-BE49-F238E27FC236}">
              <a16:creationId xmlns:a16="http://schemas.microsoft.com/office/drawing/2014/main" id="{4359EDB0-D9DE-427A-AE63-489DEB9E2300}"/>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58250" y="2959100"/>
          <a:ext cx="431800" cy="15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88901</xdr:colOff>
      <xdr:row>17</xdr:row>
      <xdr:rowOff>6350</xdr:rowOff>
    </xdr:from>
    <xdr:to>
      <xdr:col>11</xdr:col>
      <xdr:colOff>857250</xdr:colOff>
      <xdr:row>17</xdr:row>
      <xdr:rowOff>161051</xdr:rowOff>
    </xdr:to>
    <xdr:pic>
      <xdr:nvPicPr>
        <xdr:cNvPr id="59" name="Picture 58">
          <a:extLst>
            <a:ext uri="{FF2B5EF4-FFF2-40B4-BE49-F238E27FC236}">
              <a16:creationId xmlns:a16="http://schemas.microsoft.com/office/drawing/2014/main" id="{DE66AF42-5EF0-451D-A490-C2E63484EDA3}"/>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39301" y="2959100"/>
          <a:ext cx="768349" cy="154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17</xdr:row>
      <xdr:rowOff>0</xdr:rowOff>
    </xdr:from>
    <xdr:to>
      <xdr:col>5</xdr:col>
      <xdr:colOff>196850</xdr:colOff>
      <xdr:row>17</xdr:row>
      <xdr:rowOff>148508</xdr:rowOff>
    </xdr:to>
    <xdr:pic>
      <xdr:nvPicPr>
        <xdr:cNvPr id="60" name="Picture 59">
          <a:extLst>
            <a:ext uri="{FF2B5EF4-FFF2-40B4-BE49-F238E27FC236}">
              <a16:creationId xmlns:a16="http://schemas.microsoft.com/office/drawing/2014/main" id="{B3306A6E-5CF3-4B30-B38F-379205DF8FB8}"/>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13250" y="2952750"/>
          <a:ext cx="158750" cy="148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5C813-FC03-4B48-ACEC-D86501A0661B}">
  <dimension ref="C1:H173"/>
  <sheetViews>
    <sheetView tabSelected="1" topLeftCell="A160" workbookViewId="0">
      <selection activeCell="J168" sqref="J168"/>
    </sheetView>
  </sheetViews>
  <sheetFormatPr defaultRowHeight="12.5" x14ac:dyDescent="0.25"/>
  <cols>
    <col min="1" max="1" width="9.1796875" customWidth="1"/>
    <col min="2" max="2" width="5.81640625" customWidth="1"/>
    <col min="3" max="3" width="12.81640625" customWidth="1"/>
    <col min="4" max="4" width="12" customWidth="1"/>
    <col min="5" max="5" width="12.1796875" customWidth="1"/>
    <col min="8" max="8" width="25.453125" customWidth="1"/>
  </cols>
  <sheetData>
    <row r="1" spans="3:8" ht="13" thickBot="1" x14ac:dyDescent="0.3"/>
    <row r="2" spans="3:8" ht="13" x14ac:dyDescent="0.3">
      <c r="C2" s="289" t="s">
        <v>28</v>
      </c>
      <c r="D2" s="290"/>
      <c r="E2" s="290"/>
      <c r="F2" s="290"/>
      <c r="G2" s="290"/>
      <c r="H2" s="291"/>
    </row>
    <row r="3" spans="3:8" x14ac:dyDescent="0.25">
      <c r="C3" s="49" t="s">
        <v>0</v>
      </c>
      <c r="D3" s="18"/>
      <c r="E3" s="52"/>
      <c r="F3" s="18" t="s">
        <v>63</v>
      </c>
      <c r="G3" s="18" t="s">
        <v>64</v>
      </c>
      <c r="H3" s="35"/>
    </row>
    <row r="4" spans="3:8" ht="14.5" x14ac:dyDescent="0.25">
      <c r="C4" s="49"/>
      <c r="D4" s="18"/>
      <c r="E4" s="50" t="s">
        <v>14</v>
      </c>
      <c r="F4" s="18"/>
      <c r="G4" s="18"/>
      <c r="H4" s="35"/>
    </row>
    <row r="5" spans="3:8" x14ac:dyDescent="0.25">
      <c r="C5" s="437" t="s">
        <v>15</v>
      </c>
      <c r="D5" s="438">
        <v>1.296</v>
      </c>
      <c r="E5" s="75">
        <v>94.63</v>
      </c>
      <c r="F5" s="438">
        <v>0.55000000000000004</v>
      </c>
      <c r="G5" s="438">
        <v>0.51</v>
      </c>
      <c r="H5" s="439">
        <f t="shared" ref="H5:H16" si="0">D5*E5*F5*G5</f>
        <v>34.400654639999999</v>
      </c>
    </row>
    <row r="6" spans="3:8" x14ac:dyDescent="0.25">
      <c r="C6" s="437" t="s">
        <v>16</v>
      </c>
      <c r="D6" s="438">
        <v>1.296</v>
      </c>
      <c r="E6" s="75">
        <v>104.1</v>
      </c>
      <c r="F6" s="438">
        <v>0.55000000000000004</v>
      </c>
      <c r="G6" s="438">
        <v>0.51</v>
      </c>
      <c r="H6" s="439">
        <f t="shared" si="0"/>
        <v>37.843264800000007</v>
      </c>
    </row>
    <row r="7" spans="3:8" x14ac:dyDescent="0.25">
      <c r="C7" s="437" t="s">
        <v>17</v>
      </c>
      <c r="D7" s="438">
        <v>1.296</v>
      </c>
      <c r="E7" s="75">
        <v>110.41</v>
      </c>
      <c r="F7" s="438">
        <v>0.55000000000000004</v>
      </c>
      <c r="G7" s="438">
        <v>0.51</v>
      </c>
      <c r="H7" s="439">
        <f t="shared" si="0"/>
        <v>40.137126480000006</v>
      </c>
    </row>
    <row r="8" spans="3:8" x14ac:dyDescent="0.25">
      <c r="C8" s="437" t="s">
        <v>18</v>
      </c>
      <c r="D8" s="438">
        <v>1.296</v>
      </c>
      <c r="E8" s="75">
        <v>123.02</v>
      </c>
      <c r="F8" s="438">
        <v>0.55000000000000004</v>
      </c>
      <c r="G8" s="438">
        <v>0.51</v>
      </c>
      <c r="H8" s="439">
        <f t="shared" si="0"/>
        <v>44.721214560000007</v>
      </c>
    </row>
    <row r="9" spans="3:8" x14ac:dyDescent="0.25">
      <c r="C9" s="437" t="s">
        <v>12</v>
      </c>
      <c r="D9" s="438">
        <v>1.296</v>
      </c>
      <c r="E9" s="75">
        <v>164.03</v>
      </c>
      <c r="F9" s="438">
        <v>0.55000000000000004</v>
      </c>
      <c r="G9" s="438">
        <v>0.51</v>
      </c>
      <c r="H9" s="439">
        <f t="shared" si="0"/>
        <v>59.629497840000013</v>
      </c>
    </row>
    <row r="10" spans="3:8" x14ac:dyDescent="0.25">
      <c r="C10" s="437" t="s">
        <v>13</v>
      </c>
      <c r="D10" s="438">
        <v>1.296</v>
      </c>
      <c r="E10" s="75">
        <v>208.2</v>
      </c>
      <c r="F10" s="438">
        <v>0.55000000000000004</v>
      </c>
      <c r="G10" s="438">
        <v>0.51</v>
      </c>
      <c r="H10" s="439">
        <f t="shared" si="0"/>
        <v>75.686529600000014</v>
      </c>
    </row>
    <row r="11" spans="3:8" x14ac:dyDescent="0.25">
      <c r="C11" s="437" t="s">
        <v>1</v>
      </c>
      <c r="D11" s="438">
        <v>1.296</v>
      </c>
      <c r="E11" s="75">
        <v>173.5</v>
      </c>
      <c r="F11" s="438">
        <v>0.55000000000000004</v>
      </c>
      <c r="G11" s="438">
        <v>0.51</v>
      </c>
      <c r="H11" s="439">
        <f t="shared" si="0"/>
        <v>63.072108000000007</v>
      </c>
    </row>
    <row r="12" spans="3:8" x14ac:dyDescent="0.25">
      <c r="C12" s="437" t="s">
        <v>19</v>
      </c>
      <c r="D12" s="438">
        <v>1.296</v>
      </c>
      <c r="E12" s="75">
        <v>129.33000000000001</v>
      </c>
      <c r="F12" s="438">
        <v>0.55000000000000004</v>
      </c>
      <c r="G12" s="438">
        <v>0.51</v>
      </c>
      <c r="H12" s="439">
        <f t="shared" si="0"/>
        <v>47.015076240000013</v>
      </c>
    </row>
    <row r="13" spans="3:8" x14ac:dyDescent="0.25">
      <c r="C13" s="437" t="s">
        <v>20</v>
      </c>
      <c r="D13" s="438">
        <v>1.296</v>
      </c>
      <c r="E13" s="75">
        <v>113.56</v>
      </c>
      <c r="F13" s="438">
        <v>0.55000000000000004</v>
      </c>
      <c r="G13" s="438">
        <v>0.51</v>
      </c>
      <c r="H13" s="439">
        <f t="shared" si="0"/>
        <v>41.282239680000004</v>
      </c>
    </row>
    <row r="14" spans="3:8" x14ac:dyDescent="0.25">
      <c r="C14" s="437" t="s">
        <v>21</v>
      </c>
      <c r="D14" s="438">
        <v>1.296</v>
      </c>
      <c r="E14" s="75">
        <v>104.1</v>
      </c>
      <c r="F14" s="438">
        <v>0.55000000000000004</v>
      </c>
      <c r="G14" s="438">
        <v>0.51</v>
      </c>
      <c r="H14" s="439">
        <f t="shared" si="0"/>
        <v>37.843264800000007</v>
      </c>
    </row>
    <row r="15" spans="3:8" x14ac:dyDescent="0.25">
      <c r="C15" s="437" t="s">
        <v>22</v>
      </c>
      <c r="D15" s="438">
        <v>1.296</v>
      </c>
      <c r="E15" s="75">
        <v>94.63</v>
      </c>
      <c r="F15" s="438">
        <v>0.55000000000000004</v>
      </c>
      <c r="G15" s="438">
        <v>0.51</v>
      </c>
      <c r="H15" s="439">
        <f t="shared" si="0"/>
        <v>34.400654639999999</v>
      </c>
    </row>
    <row r="16" spans="3:8" ht="13" thickBot="1" x14ac:dyDescent="0.3">
      <c r="C16" s="440" t="s">
        <v>23</v>
      </c>
      <c r="D16" s="441">
        <v>1.296</v>
      </c>
      <c r="E16" s="442">
        <v>91.48</v>
      </c>
      <c r="F16" s="438">
        <v>0.55000000000000004</v>
      </c>
      <c r="G16" s="438">
        <v>0.51</v>
      </c>
      <c r="H16" s="443">
        <f t="shared" si="0"/>
        <v>33.255541440000002</v>
      </c>
    </row>
    <row r="18" spans="3:8" ht="13" thickBot="1" x14ac:dyDescent="0.3"/>
    <row r="19" spans="3:8" ht="13" x14ac:dyDescent="0.3">
      <c r="C19" s="289" t="s">
        <v>29</v>
      </c>
      <c r="D19" s="290"/>
      <c r="E19" s="290"/>
      <c r="F19" s="290"/>
      <c r="G19" s="290"/>
      <c r="H19" s="291"/>
    </row>
    <row r="20" spans="3:8" x14ac:dyDescent="0.25">
      <c r="C20" s="49" t="s">
        <v>0</v>
      </c>
      <c r="D20" s="18"/>
      <c r="E20" s="52"/>
      <c r="F20" s="18" t="s">
        <v>63</v>
      </c>
      <c r="G20" s="18" t="s">
        <v>64</v>
      </c>
      <c r="H20" s="35"/>
    </row>
    <row r="21" spans="3:8" ht="14.5" x14ac:dyDescent="0.25">
      <c r="C21" s="49"/>
      <c r="D21" s="18"/>
      <c r="E21" s="50" t="s">
        <v>14</v>
      </c>
      <c r="F21" s="18"/>
      <c r="G21" s="18"/>
      <c r="H21" s="35"/>
    </row>
    <row r="22" spans="3:8" x14ac:dyDescent="0.25">
      <c r="C22" s="437" t="s">
        <v>15</v>
      </c>
      <c r="D22" s="438">
        <v>1.296</v>
      </c>
      <c r="E22" s="118">
        <v>85.17</v>
      </c>
      <c r="F22" s="438">
        <v>0.55000000000000004</v>
      </c>
      <c r="G22" s="438">
        <v>0.51</v>
      </c>
      <c r="H22" s="439">
        <f t="shared" ref="H22:H33" si="1">D22*E22*F22*G22</f>
        <v>30.961679760000006</v>
      </c>
    </row>
    <row r="23" spans="3:8" x14ac:dyDescent="0.25">
      <c r="C23" s="437" t="s">
        <v>16</v>
      </c>
      <c r="D23" s="438">
        <v>1.296</v>
      </c>
      <c r="E23" s="118">
        <v>94.63</v>
      </c>
      <c r="F23" s="438">
        <v>0.55000000000000004</v>
      </c>
      <c r="G23" s="438">
        <v>0.51</v>
      </c>
      <c r="H23" s="439">
        <f t="shared" si="1"/>
        <v>34.400654639999999</v>
      </c>
    </row>
    <row r="24" spans="3:8" x14ac:dyDescent="0.25">
      <c r="C24" s="437" t="s">
        <v>17</v>
      </c>
      <c r="D24" s="438">
        <v>1.296</v>
      </c>
      <c r="E24" s="118">
        <v>107.25</v>
      </c>
      <c r="F24" s="438">
        <v>0.55000000000000004</v>
      </c>
      <c r="G24" s="438">
        <v>0.51</v>
      </c>
      <c r="H24" s="439">
        <f t="shared" si="1"/>
        <v>38.988378000000012</v>
      </c>
    </row>
    <row r="25" spans="3:8" x14ac:dyDescent="0.25">
      <c r="C25" s="437" t="s">
        <v>18</v>
      </c>
      <c r="D25" s="438">
        <v>1.296</v>
      </c>
      <c r="E25" s="118">
        <v>116.71</v>
      </c>
      <c r="F25" s="438">
        <v>0.55000000000000004</v>
      </c>
      <c r="G25" s="438">
        <v>0.51</v>
      </c>
      <c r="H25" s="439">
        <f t="shared" si="1"/>
        <v>42.427352880000001</v>
      </c>
    </row>
    <row r="26" spans="3:8" x14ac:dyDescent="0.25">
      <c r="C26" s="437" t="s">
        <v>12</v>
      </c>
      <c r="D26" s="438">
        <v>1.296</v>
      </c>
      <c r="E26" s="118">
        <v>135.63999999999999</v>
      </c>
      <c r="F26" s="438">
        <v>0.55000000000000004</v>
      </c>
      <c r="G26" s="438">
        <v>0.51</v>
      </c>
      <c r="H26" s="439">
        <f t="shared" si="1"/>
        <v>49.308937919999998</v>
      </c>
    </row>
    <row r="27" spans="3:8" x14ac:dyDescent="0.25">
      <c r="C27" s="437" t="s">
        <v>13</v>
      </c>
      <c r="D27" s="438">
        <v>1.296</v>
      </c>
      <c r="E27" s="118">
        <v>173.5</v>
      </c>
      <c r="F27" s="438">
        <v>0.55000000000000004</v>
      </c>
      <c r="G27" s="438">
        <v>0.51</v>
      </c>
      <c r="H27" s="439">
        <f t="shared" si="1"/>
        <v>63.072108000000007</v>
      </c>
    </row>
    <row r="28" spans="3:8" x14ac:dyDescent="0.25">
      <c r="C28" s="437" t="s">
        <v>1</v>
      </c>
      <c r="D28" s="438">
        <v>1.296</v>
      </c>
      <c r="E28" s="118">
        <v>141.94999999999999</v>
      </c>
      <c r="F28" s="438">
        <v>0.55000000000000004</v>
      </c>
      <c r="G28" s="438">
        <v>0.51</v>
      </c>
      <c r="H28" s="439">
        <f t="shared" si="1"/>
        <v>51.602799600000004</v>
      </c>
    </row>
    <row r="29" spans="3:8" x14ac:dyDescent="0.25">
      <c r="C29" s="437" t="s">
        <v>19</v>
      </c>
      <c r="D29" s="438">
        <v>1.296</v>
      </c>
      <c r="E29" s="118">
        <v>119.87</v>
      </c>
      <c r="F29" s="438">
        <v>0.55000000000000004</v>
      </c>
      <c r="G29" s="438">
        <v>0.51</v>
      </c>
      <c r="H29" s="439">
        <f t="shared" si="1"/>
        <v>43.57610136000001</v>
      </c>
    </row>
    <row r="30" spans="3:8" x14ac:dyDescent="0.25">
      <c r="C30" s="437" t="s">
        <v>20</v>
      </c>
      <c r="D30" s="438">
        <v>1.296</v>
      </c>
      <c r="E30" s="118">
        <v>110.41</v>
      </c>
      <c r="F30" s="438">
        <v>0.55000000000000004</v>
      </c>
      <c r="G30" s="438">
        <v>0.51</v>
      </c>
      <c r="H30" s="439">
        <f t="shared" si="1"/>
        <v>40.137126480000006</v>
      </c>
    </row>
    <row r="31" spans="3:8" x14ac:dyDescent="0.25">
      <c r="C31" s="437" t="s">
        <v>21</v>
      </c>
      <c r="D31" s="438">
        <v>1.296</v>
      </c>
      <c r="E31" s="118">
        <v>97.79</v>
      </c>
      <c r="F31" s="438">
        <v>0.55000000000000004</v>
      </c>
      <c r="G31" s="438">
        <v>0.51</v>
      </c>
      <c r="H31" s="439">
        <f t="shared" si="1"/>
        <v>35.549403120000008</v>
      </c>
    </row>
    <row r="32" spans="3:8" x14ac:dyDescent="0.25">
      <c r="C32" s="437" t="s">
        <v>22</v>
      </c>
      <c r="D32" s="438">
        <v>1.296</v>
      </c>
      <c r="E32" s="118">
        <v>85.17</v>
      </c>
      <c r="F32" s="438">
        <v>0.55000000000000004</v>
      </c>
      <c r="G32" s="438">
        <v>0.51</v>
      </c>
      <c r="H32" s="439">
        <f t="shared" si="1"/>
        <v>30.961679760000006</v>
      </c>
    </row>
    <row r="33" spans="3:8" ht="13" thickBot="1" x14ac:dyDescent="0.3">
      <c r="C33" s="440" t="s">
        <v>23</v>
      </c>
      <c r="D33" s="441">
        <v>1.296</v>
      </c>
      <c r="E33" s="444">
        <v>82.01</v>
      </c>
      <c r="F33" s="438">
        <v>0.55000000000000004</v>
      </c>
      <c r="G33" s="438">
        <v>0.51</v>
      </c>
      <c r="H33" s="443">
        <f t="shared" si="1"/>
        <v>29.812931280000008</v>
      </c>
    </row>
    <row r="36" spans="3:8" ht="13" thickBot="1" x14ac:dyDescent="0.3"/>
    <row r="37" spans="3:8" ht="13" x14ac:dyDescent="0.3">
      <c r="C37" s="289" t="s">
        <v>30</v>
      </c>
      <c r="D37" s="290"/>
      <c r="E37" s="290"/>
      <c r="F37" s="290"/>
      <c r="G37" s="290"/>
      <c r="H37" s="291"/>
    </row>
    <row r="38" spans="3:8" x14ac:dyDescent="0.25">
      <c r="C38" s="49" t="s">
        <v>0</v>
      </c>
      <c r="D38" s="18"/>
      <c r="E38" s="52"/>
      <c r="F38" s="18" t="s">
        <v>63</v>
      </c>
      <c r="G38" s="18" t="s">
        <v>64</v>
      </c>
      <c r="H38" s="35"/>
    </row>
    <row r="39" spans="3:8" ht="15" thickBot="1" x14ac:dyDescent="0.3">
      <c r="C39" s="49"/>
      <c r="D39" s="18"/>
      <c r="E39" s="50" t="s">
        <v>14</v>
      </c>
      <c r="F39" s="18"/>
      <c r="G39" s="18"/>
      <c r="H39" s="35"/>
    </row>
    <row r="40" spans="3:8" x14ac:dyDescent="0.25">
      <c r="C40" s="437" t="s">
        <v>15</v>
      </c>
      <c r="D40" s="438">
        <v>1.296</v>
      </c>
      <c r="E40" s="445">
        <v>75.709999999999994</v>
      </c>
      <c r="F40" s="438">
        <v>0.55000000000000004</v>
      </c>
      <c r="G40" s="438">
        <v>0.51</v>
      </c>
      <c r="H40" s="439">
        <f t="shared" ref="H40:H51" si="2">D40*E40*F40*G40</f>
        <v>27.522704880000003</v>
      </c>
    </row>
    <row r="41" spans="3:8" x14ac:dyDescent="0.25">
      <c r="C41" s="437" t="s">
        <v>16</v>
      </c>
      <c r="D41" s="438">
        <v>1.296</v>
      </c>
      <c r="E41" s="436">
        <v>85.17</v>
      </c>
      <c r="F41" s="438">
        <v>0.55000000000000004</v>
      </c>
      <c r="G41" s="438">
        <v>0.51</v>
      </c>
      <c r="H41" s="439">
        <f t="shared" si="2"/>
        <v>30.961679760000006</v>
      </c>
    </row>
    <row r="42" spans="3:8" x14ac:dyDescent="0.25">
      <c r="C42" s="437" t="s">
        <v>17</v>
      </c>
      <c r="D42" s="438">
        <v>1.296</v>
      </c>
      <c r="E42" s="436">
        <v>100.94</v>
      </c>
      <c r="F42" s="438">
        <v>0.55000000000000004</v>
      </c>
      <c r="G42" s="438">
        <v>0.51</v>
      </c>
      <c r="H42" s="439">
        <f t="shared" si="2"/>
        <v>36.694516320000005</v>
      </c>
    </row>
    <row r="43" spans="3:8" x14ac:dyDescent="0.25">
      <c r="C43" s="437" t="s">
        <v>18</v>
      </c>
      <c r="D43" s="438">
        <v>1.296</v>
      </c>
      <c r="E43" s="436">
        <v>113.56</v>
      </c>
      <c r="F43" s="438">
        <v>0.55000000000000004</v>
      </c>
      <c r="G43" s="438">
        <v>0.51</v>
      </c>
      <c r="H43" s="439">
        <f t="shared" si="2"/>
        <v>41.282239680000004</v>
      </c>
    </row>
    <row r="44" spans="3:8" x14ac:dyDescent="0.25">
      <c r="C44" s="437" t="s">
        <v>12</v>
      </c>
      <c r="D44" s="438">
        <v>1.296</v>
      </c>
      <c r="E44" s="436">
        <v>119.87</v>
      </c>
      <c r="F44" s="438">
        <v>0.55000000000000004</v>
      </c>
      <c r="G44" s="438">
        <v>0.51</v>
      </c>
      <c r="H44" s="439">
        <f t="shared" si="2"/>
        <v>43.57610136000001</v>
      </c>
    </row>
    <row r="45" spans="3:8" x14ac:dyDescent="0.25">
      <c r="C45" s="437" t="s">
        <v>13</v>
      </c>
      <c r="D45" s="438">
        <v>1.296</v>
      </c>
      <c r="E45" s="436">
        <v>138.80000000000001</v>
      </c>
      <c r="F45" s="438">
        <v>0.55000000000000004</v>
      </c>
      <c r="G45" s="438">
        <v>0.51</v>
      </c>
      <c r="H45" s="439">
        <f t="shared" si="2"/>
        <v>50.457686400000007</v>
      </c>
    </row>
    <row r="46" spans="3:8" x14ac:dyDescent="0.25">
      <c r="C46" s="437" t="s">
        <v>1</v>
      </c>
      <c r="D46" s="438">
        <v>1.296</v>
      </c>
      <c r="E46" s="436">
        <v>126.18</v>
      </c>
      <c r="F46" s="438">
        <v>0.55000000000000004</v>
      </c>
      <c r="G46" s="438">
        <v>0.51</v>
      </c>
      <c r="H46" s="439">
        <f t="shared" si="2"/>
        <v>45.869963040000009</v>
      </c>
    </row>
    <row r="47" spans="3:8" x14ac:dyDescent="0.25">
      <c r="C47" s="437" t="s">
        <v>19</v>
      </c>
      <c r="D47" s="438">
        <v>1.296</v>
      </c>
      <c r="E47" s="436">
        <v>116.71</v>
      </c>
      <c r="F47" s="438">
        <v>0.55000000000000004</v>
      </c>
      <c r="G47" s="438">
        <v>0.51</v>
      </c>
      <c r="H47" s="439">
        <f t="shared" si="2"/>
        <v>42.427352880000001</v>
      </c>
    </row>
    <row r="48" spans="3:8" x14ac:dyDescent="0.25">
      <c r="C48" s="437" t="s">
        <v>20</v>
      </c>
      <c r="D48" s="438">
        <v>1.296</v>
      </c>
      <c r="E48" s="436">
        <v>104.1</v>
      </c>
      <c r="F48" s="438">
        <v>0.55000000000000004</v>
      </c>
      <c r="G48" s="438">
        <v>0.51</v>
      </c>
      <c r="H48" s="439">
        <f t="shared" si="2"/>
        <v>37.843264800000007</v>
      </c>
    </row>
    <row r="49" spans="3:8" x14ac:dyDescent="0.25">
      <c r="C49" s="437" t="s">
        <v>21</v>
      </c>
      <c r="D49" s="438">
        <v>1.296</v>
      </c>
      <c r="E49" s="436">
        <v>88.32</v>
      </c>
      <c r="F49" s="438">
        <v>0.55000000000000004</v>
      </c>
      <c r="G49" s="438">
        <v>0.51</v>
      </c>
      <c r="H49" s="439">
        <f t="shared" si="2"/>
        <v>32.10679296</v>
      </c>
    </row>
    <row r="50" spans="3:8" x14ac:dyDescent="0.25">
      <c r="C50" s="437" t="s">
        <v>22</v>
      </c>
      <c r="D50" s="438">
        <v>1.296</v>
      </c>
      <c r="E50" s="436">
        <v>75.709999999999994</v>
      </c>
      <c r="F50" s="438">
        <v>0.55000000000000004</v>
      </c>
      <c r="G50" s="438">
        <v>0.51</v>
      </c>
      <c r="H50" s="439">
        <f t="shared" si="2"/>
        <v>27.522704880000003</v>
      </c>
    </row>
    <row r="51" spans="3:8" ht="13" thickBot="1" x14ac:dyDescent="0.3">
      <c r="C51" s="440" t="s">
        <v>23</v>
      </c>
      <c r="D51" s="441">
        <v>1.296</v>
      </c>
      <c r="E51" s="446">
        <v>69.400000000000006</v>
      </c>
      <c r="F51" s="438">
        <v>0.55000000000000004</v>
      </c>
      <c r="G51" s="438">
        <v>0.51</v>
      </c>
      <c r="H51" s="443">
        <f t="shared" si="2"/>
        <v>25.228843200000004</v>
      </c>
    </row>
    <row r="53" spans="3:8" ht="13" thickBot="1" x14ac:dyDescent="0.3"/>
    <row r="54" spans="3:8" ht="13" x14ac:dyDescent="0.3">
      <c r="C54" s="289" t="s">
        <v>136</v>
      </c>
      <c r="D54" s="290"/>
      <c r="E54" s="290"/>
      <c r="F54" s="290"/>
      <c r="G54" s="290"/>
      <c r="H54" s="291"/>
    </row>
    <row r="55" spans="3:8" ht="17.149999999999999" customHeight="1" x14ac:dyDescent="0.25">
      <c r="C55" s="49" t="s">
        <v>0</v>
      </c>
      <c r="D55" s="18"/>
      <c r="E55" s="52"/>
      <c r="F55" s="18" t="s">
        <v>63</v>
      </c>
      <c r="G55" s="18" t="s">
        <v>64</v>
      </c>
      <c r="H55" s="35"/>
    </row>
    <row r="56" spans="3:8" ht="17.149999999999999" customHeight="1" thickBot="1" x14ac:dyDescent="0.3">
      <c r="C56" s="49"/>
      <c r="D56" s="18"/>
      <c r="E56" s="50" t="s">
        <v>14</v>
      </c>
      <c r="F56" s="18"/>
      <c r="G56" s="18"/>
      <c r="H56" s="35"/>
    </row>
    <row r="57" spans="3:8" ht="17.149999999999999" customHeight="1" x14ac:dyDescent="0.25">
      <c r="C57" s="437" t="s">
        <v>15</v>
      </c>
      <c r="D57" s="438">
        <v>1.296</v>
      </c>
      <c r="E57" s="447">
        <v>94.63</v>
      </c>
      <c r="F57" s="438">
        <v>0.55000000000000004</v>
      </c>
      <c r="G57" s="438">
        <v>0.51</v>
      </c>
      <c r="H57" s="439">
        <f t="shared" ref="H57:H68" si="3">D57*E57*F57*G57</f>
        <v>34.400654639999999</v>
      </c>
    </row>
    <row r="58" spans="3:8" ht="17.149999999999999" customHeight="1" x14ac:dyDescent="0.25">
      <c r="C58" s="437" t="s">
        <v>16</v>
      </c>
      <c r="D58" s="438">
        <v>1.296</v>
      </c>
      <c r="E58" s="118">
        <v>104.1</v>
      </c>
      <c r="F58" s="438">
        <v>0.55000000000000004</v>
      </c>
      <c r="G58" s="438">
        <v>0.51</v>
      </c>
      <c r="H58" s="439">
        <f t="shared" si="3"/>
        <v>37.843264800000007</v>
      </c>
    </row>
    <row r="59" spans="3:8" ht="17.149999999999999" customHeight="1" x14ac:dyDescent="0.25">
      <c r="C59" s="437" t="s">
        <v>17</v>
      </c>
      <c r="D59" s="438">
        <v>1.296</v>
      </c>
      <c r="E59" s="118">
        <v>110.41</v>
      </c>
      <c r="F59" s="438">
        <v>0.55000000000000004</v>
      </c>
      <c r="G59" s="438">
        <v>0.51</v>
      </c>
      <c r="H59" s="439">
        <f t="shared" si="3"/>
        <v>40.137126480000006</v>
      </c>
    </row>
    <row r="60" spans="3:8" ht="17.149999999999999" customHeight="1" x14ac:dyDescent="0.25">
      <c r="C60" s="437" t="s">
        <v>18</v>
      </c>
      <c r="D60" s="438">
        <v>1.296</v>
      </c>
      <c r="E60" s="118">
        <v>123.02</v>
      </c>
      <c r="F60" s="438">
        <v>0.55000000000000004</v>
      </c>
      <c r="G60" s="438">
        <v>0.51</v>
      </c>
      <c r="H60" s="439">
        <f t="shared" si="3"/>
        <v>44.721214560000007</v>
      </c>
    </row>
    <row r="61" spans="3:8" ht="12.65" customHeight="1" x14ac:dyDescent="0.25">
      <c r="C61" s="437" t="s">
        <v>12</v>
      </c>
      <c r="D61" s="438">
        <v>1.296</v>
      </c>
      <c r="E61" s="118">
        <v>164.03</v>
      </c>
      <c r="F61" s="438">
        <v>0.55000000000000004</v>
      </c>
      <c r="G61" s="438">
        <v>0.51</v>
      </c>
      <c r="H61" s="439">
        <f t="shared" si="3"/>
        <v>59.629497840000013</v>
      </c>
    </row>
    <row r="62" spans="3:8" x14ac:dyDescent="0.25">
      <c r="C62" s="437" t="s">
        <v>13</v>
      </c>
      <c r="D62" s="438">
        <v>1.296</v>
      </c>
      <c r="E62" s="118">
        <v>208.2</v>
      </c>
      <c r="F62" s="438">
        <v>0.55000000000000004</v>
      </c>
      <c r="G62" s="438">
        <v>0.51</v>
      </c>
      <c r="H62" s="439">
        <f t="shared" si="3"/>
        <v>75.686529600000014</v>
      </c>
    </row>
    <row r="63" spans="3:8" x14ac:dyDescent="0.25">
      <c r="C63" s="437" t="s">
        <v>1</v>
      </c>
      <c r="D63" s="438">
        <v>1.296</v>
      </c>
      <c r="E63" s="118">
        <v>173.5</v>
      </c>
      <c r="F63" s="438">
        <v>0.55000000000000004</v>
      </c>
      <c r="G63" s="438">
        <v>0.51</v>
      </c>
      <c r="H63" s="439">
        <f t="shared" si="3"/>
        <v>63.072108000000007</v>
      </c>
    </row>
    <row r="64" spans="3:8" x14ac:dyDescent="0.25">
      <c r="C64" s="437" t="s">
        <v>19</v>
      </c>
      <c r="D64" s="438">
        <v>1.296</v>
      </c>
      <c r="E64" s="118">
        <v>129.33000000000001</v>
      </c>
      <c r="F64" s="438">
        <v>0.55000000000000004</v>
      </c>
      <c r="G64" s="438">
        <v>0.51</v>
      </c>
      <c r="H64" s="439">
        <f t="shared" si="3"/>
        <v>47.015076240000013</v>
      </c>
    </row>
    <row r="65" spans="3:8" x14ac:dyDescent="0.25">
      <c r="C65" s="437" t="s">
        <v>20</v>
      </c>
      <c r="D65" s="438">
        <v>1.296</v>
      </c>
      <c r="E65" s="118">
        <v>113.56</v>
      </c>
      <c r="F65" s="438">
        <v>0.55000000000000004</v>
      </c>
      <c r="G65" s="438">
        <v>0.51</v>
      </c>
      <c r="H65" s="439">
        <f t="shared" si="3"/>
        <v>41.282239680000004</v>
      </c>
    </row>
    <row r="66" spans="3:8" x14ac:dyDescent="0.25">
      <c r="C66" s="437" t="s">
        <v>21</v>
      </c>
      <c r="D66" s="438">
        <v>1.296</v>
      </c>
      <c r="E66" s="118">
        <v>104.1</v>
      </c>
      <c r="F66" s="438">
        <v>0.55000000000000004</v>
      </c>
      <c r="G66" s="438">
        <v>0.51</v>
      </c>
      <c r="H66" s="439">
        <f t="shared" si="3"/>
        <v>37.843264800000007</v>
      </c>
    </row>
    <row r="67" spans="3:8" x14ac:dyDescent="0.25">
      <c r="C67" s="437" t="s">
        <v>22</v>
      </c>
      <c r="D67" s="438">
        <v>1.296</v>
      </c>
      <c r="E67" s="118">
        <v>94.63</v>
      </c>
      <c r="F67" s="438">
        <v>0.55000000000000004</v>
      </c>
      <c r="G67" s="438">
        <v>0.51</v>
      </c>
      <c r="H67" s="439">
        <f t="shared" si="3"/>
        <v>34.400654639999999</v>
      </c>
    </row>
    <row r="68" spans="3:8" ht="13" thickBot="1" x14ac:dyDescent="0.3">
      <c r="C68" s="440" t="s">
        <v>23</v>
      </c>
      <c r="D68" s="441">
        <v>1.296</v>
      </c>
      <c r="E68" s="444">
        <v>91.48</v>
      </c>
      <c r="F68" s="438">
        <v>0.55000000000000004</v>
      </c>
      <c r="G68" s="438">
        <v>0.51</v>
      </c>
      <c r="H68" s="443">
        <f t="shared" si="3"/>
        <v>33.255541440000002</v>
      </c>
    </row>
    <row r="70" spans="3:8" ht="13" thickBot="1" x14ac:dyDescent="0.3"/>
    <row r="71" spans="3:8" ht="13" x14ac:dyDescent="0.3">
      <c r="C71" s="289" t="s">
        <v>135</v>
      </c>
      <c r="D71" s="290"/>
      <c r="E71" s="290"/>
      <c r="F71" s="290"/>
      <c r="G71" s="290"/>
      <c r="H71" s="291"/>
    </row>
    <row r="72" spans="3:8" x14ac:dyDescent="0.25">
      <c r="C72" s="49" t="s">
        <v>0</v>
      </c>
      <c r="D72" s="18"/>
      <c r="E72" s="52"/>
      <c r="F72" s="18" t="s">
        <v>63</v>
      </c>
      <c r="G72" s="18" t="s">
        <v>64</v>
      </c>
      <c r="H72" s="35"/>
    </row>
    <row r="73" spans="3:8" ht="15" thickBot="1" x14ac:dyDescent="0.3">
      <c r="C73" s="49"/>
      <c r="D73" s="18"/>
      <c r="E73" s="50" t="s">
        <v>14</v>
      </c>
      <c r="F73" s="18"/>
      <c r="G73" s="18"/>
      <c r="H73" s="35"/>
    </row>
    <row r="74" spans="3:8" x14ac:dyDescent="0.25">
      <c r="C74" s="437" t="s">
        <v>15</v>
      </c>
      <c r="D74" s="438">
        <v>1.296</v>
      </c>
      <c r="E74" s="445">
        <v>100.94</v>
      </c>
      <c r="F74" s="438">
        <v>0.55000000000000004</v>
      </c>
      <c r="G74" s="438">
        <v>0.51</v>
      </c>
      <c r="H74" s="439">
        <f t="shared" ref="H74:H85" si="4">D74*E74*F74*G74</f>
        <v>36.694516320000005</v>
      </c>
    </row>
    <row r="75" spans="3:8" x14ac:dyDescent="0.25">
      <c r="C75" s="437" t="s">
        <v>16</v>
      </c>
      <c r="D75" s="438">
        <v>1.296</v>
      </c>
      <c r="E75" s="436">
        <v>107.25</v>
      </c>
      <c r="F75" s="438">
        <v>0.55000000000000004</v>
      </c>
      <c r="G75" s="438">
        <v>0.51</v>
      </c>
      <c r="H75" s="439">
        <f t="shared" si="4"/>
        <v>38.988378000000012</v>
      </c>
    </row>
    <row r="76" spans="3:8" x14ac:dyDescent="0.25">
      <c r="C76" s="437" t="s">
        <v>17</v>
      </c>
      <c r="D76" s="438">
        <v>1.296</v>
      </c>
      <c r="E76" s="436">
        <v>116.71</v>
      </c>
      <c r="F76" s="438">
        <v>0.55000000000000004</v>
      </c>
      <c r="G76" s="438">
        <v>0.51</v>
      </c>
      <c r="H76" s="439">
        <f t="shared" si="4"/>
        <v>42.427352880000001</v>
      </c>
    </row>
    <row r="77" spans="3:8" x14ac:dyDescent="0.25">
      <c r="C77" s="437" t="s">
        <v>18</v>
      </c>
      <c r="D77" s="438">
        <v>1.296</v>
      </c>
      <c r="E77" s="436">
        <v>138.80000000000001</v>
      </c>
      <c r="F77" s="438">
        <v>0.55000000000000004</v>
      </c>
      <c r="G77" s="438">
        <v>0.51</v>
      </c>
      <c r="H77" s="439">
        <f t="shared" si="4"/>
        <v>50.457686400000007</v>
      </c>
    </row>
    <row r="78" spans="3:8" x14ac:dyDescent="0.25">
      <c r="C78" s="437" t="s">
        <v>12</v>
      </c>
      <c r="D78" s="438">
        <v>1.296</v>
      </c>
      <c r="E78" s="436">
        <v>233.43</v>
      </c>
      <c r="F78" s="438">
        <v>0.55000000000000004</v>
      </c>
      <c r="G78" s="438">
        <v>0.51</v>
      </c>
      <c r="H78" s="439">
        <f t="shared" si="4"/>
        <v>84.858341040000013</v>
      </c>
    </row>
    <row r="79" spans="3:8" x14ac:dyDescent="0.25">
      <c r="C79" s="437" t="s">
        <v>13</v>
      </c>
      <c r="D79" s="438">
        <v>1.296</v>
      </c>
      <c r="E79" s="436">
        <v>283.91000000000003</v>
      </c>
      <c r="F79" s="438">
        <v>0.55000000000000004</v>
      </c>
      <c r="G79" s="438">
        <v>0.51</v>
      </c>
      <c r="H79" s="439">
        <f t="shared" si="4"/>
        <v>103.20923448000003</v>
      </c>
    </row>
    <row r="80" spans="3:8" x14ac:dyDescent="0.25">
      <c r="C80" s="437" t="s">
        <v>1</v>
      </c>
      <c r="D80" s="438">
        <v>1.296</v>
      </c>
      <c r="E80" s="436">
        <v>242.9</v>
      </c>
      <c r="F80" s="438">
        <v>0.55000000000000004</v>
      </c>
      <c r="G80" s="438">
        <v>0.51</v>
      </c>
      <c r="H80" s="439">
        <f t="shared" si="4"/>
        <v>88.300951200000014</v>
      </c>
    </row>
    <row r="81" spans="3:8" x14ac:dyDescent="0.25">
      <c r="C81" s="437" t="s">
        <v>19</v>
      </c>
      <c r="D81" s="438">
        <v>1.296</v>
      </c>
      <c r="E81" s="436">
        <v>148.26</v>
      </c>
      <c r="F81" s="438">
        <v>0.55000000000000004</v>
      </c>
      <c r="G81" s="438">
        <v>0.51</v>
      </c>
      <c r="H81" s="439">
        <f t="shared" si="4"/>
        <v>53.896661280000004</v>
      </c>
    </row>
    <row r="82" spans="3:8" x14ac:dyDescent="0.25">
      <c r="C82" s="437" t="s">
        <v>20</v>
      </c>
      <c r="D82" s="438">
        <v>1.296</v>
      </c>
      <c r="E82" s="436">
        <v>199.87</v>
      </c>
      <c r="F82" s="438">
        <v>0.55000000000000004</v>
      </c>
      <c r="G82" s="438">
        <v>0.51</v>
      </c>
      <c r="H82" s="439">
        <f t="shared" si="4"/>
        <v>72.658341360000009</v>
      </c>
    </row>
    <row r="83" spans="3:8" x14ac:dyDescent="0.25">
      <c r="C83" s="437" t="s">
        <v>21</v>
      </c>
      <c r="D83" s="438">
        <v>1.296</v>
      </c>
      <c r="E83" s="436">
        <v>110.41</v>
      </c>
      <c r="F83" s="438">
        <v>0.55000000000000004</v>
      </c>
      <c r="G83" s="438">
        <v>0.51</v>
      </c>
      <c r="H83" s="439">
        <f t="shared" si="4"/>
        <v>40.137126480000006</v>
      </c>
    </row>
    <row r="84" spans="3:8" x14ac:dyDescent="0.25">
      <c r="C84" s="437" t="s">
        <v>22</v>
      </c>
      <c r="D84" s="438">
        <v>1.296</v>
      </c>
      <c r="E84" s="436">
        <v>104.1</v>
      </c>
      <c r="F84" s="438">
        <v>0.55000000000000004</v>
      </c>
      <c r="G84" s="438">
        <v>0.51</v>
      </c>
      <c r="H84" s="439">
        <f t="shared" si="4"/>
        <v>37.843264800000007</v>
      </c>
    </row>
    <row r="85" spans="3:8" ht="13" thickBot="1" x14ac:dyDescent="0.3">
      <c r="C85" s="440" t="s">
        <v>23</v>
      </c>
      <c r="D85" s="441">
        <v>1.296</v>
      </c>
      <c r="E85" s="446">
        <v>97.79</v>
      </c>
      <c r="F85" s="438">
        <v>0.55000000000000004</v>
      </c>
      <c r="G85" s="438">
        <v>0.51</v>
      </c>
      <c r="H85" s="443">
        <f t="shared" si="4"/>
        <v>35.549403120000008</v>
      </c>
    </row>
    <row r="86" spans="3:8" x14ac:dyDescent="0.25">
      <c r="C86" s="53"/>
      <c r="D86" s="54"/>
      <c r="E86" s="55"/>
      <c r="F86" s="54"/>
      <c r="G86" s="54"/>
      <c r="H86" s="54"/>
    </row>
    <row r="87" spans="3:8" ht="13" thickBot="1" x14ac:dyDescent="0.3"/>
    <row r="88" spans="3:8" ht="13" x14ac:dyDescent="0.3">
      <c r="C88" s="289" t="s">
        <v>139</v>
      </c>
      <c r="D88" s="290"/>
      <c r="E88" s="290"/>
      <c r="F88" s="290"/>
      <c r="G88" s="290"/>
      <c r="H88" s="291"/>
    </row>
    <row r="89" spans="3:8" x14ac:dyDescent="0.25">
      <c r="C89" s="49" t="s">
        <v>0</v>
      </c>
      <c r="D89" s="18"/>
      <c r="E89" s="52"/>
      <c r="F89" s="18" t="s">
        <v>63</v>
      </c>
      <c r="G89" s="18" t="s">
        <v>64</v>
      </c>
      <c r="H89" s="35"/>
    </row>
    <row r="90" spans="3:8" ht="15" thickBot="1" x14ac:dyDescent="0.3">
      <c r="C90" s="49"/>
      <c r="D90" s="18"/>
      <c r="E90" s="50" t="s">
        <v>14</v>
      </c>
      <c r="F90" s="18"/>
      <c r="G90" s="18"/>
      <c r="H90" s="35"/>
    </row>
    <row r="91" spans="3:8" x14ac:dyDescent="0.25">
      <c r="C91" s="437" t="s">
        <v>15</v>
      </c>
      <c r="D91" s="438">
        <v>1.296</v>
      </c>
      <c r="E91" s="445">
        <v>85.17</v>
      </c>
      <c r="F91" s="438">
        <v>0.55000000000000004</v>
      </c>
      <c r="G91" s="438">
        <v>0.51</v>
      </c>
      <c r="H91" s="439">
        <f t="shared" ref="H91:H102" si="5">D91*E91*F91*G91</f>
        <v>30.961679760000006</v>
      </c>
    </row>
    <row r="92" spans="3:8" x14ac:dyDescent="0.25">
      <c r="C92" s="437" t="s">
        <v>16</v>
      </c>
      <c r="D92" s="438">
        <v>1.296</v>
      </c>
      <c r="E92" s="436">
        <v>94.63</v>
      </c>
      <c r="F92" s="438">
        <v>0.55000000000000004</v>
      </c>
      <c r="G92" s="438">
        <v>0.51</v>
      </c>
      <c r="H92" s="439">
        <f t="shared" si="5"/>
        <v>34.400654639999999</v>
      </c>
    </row>
    <row r="93" spans="3:8" x14ac:dyDescent="0.25">
      <c r="C93" s="437" t="s">
        <v>17</v>
      </c>
      <c r="D93" s="438">
        <v>1.296</v>
      </c>
      <c r="E93" s="436">
        <v>107.25</v>
      </c>
      <c r="F93" s="438">
        <v>0.55000000000000004</v>
      </c>
      <c r="G93" s="438">
        <v>0.51</v>
      </c>
      <c r="H93" s="439">
        <f t="shared" si="5"/>
        <v>38.988378000000012</v>
      </c>
    </row>
    <row r="94" spans="3:8" x14ac:dyDescent="0.25">
      <c r="C94" s="437" t="s">
        <v>18</v>
      </c>
      <c r="D94" s="438">
        <v>1.296</v>
      </c>
      <c r="E94" s="436">
        <v>116.71</v>
      </c>
      <c r="F94" s="438">
        <v>0.55000000000000004</v>
      </c>
      <c r="G94" s="438">
        <v>0.51</v>
      </c>
      <c r="H94" s="439">
        <f t="shared" si="5"/>
        <v>42.427352880000001</v>
      </c>
    </row>
    <row r="95" spans="3:8" x14ac:dyDescent="0.25">
      <c r="C95" s="437" t="s">
        <v>12</v>
      </c>
      <c r="D95" s="438">
        <v>1.296</v>
      </c>
      <c r="E95" s="436">
        <v>135.63999999999999</v>
      </c>
      <c r="F95" s="438">
        <v>0.55000000000000004</v>
      </c>
      <c r="G95" s="438">
        <v>0.51</v>
      </c>
      <c r="H95" s="439">
        <f t="shared" si="5"/>
        <v>49.308937919999998</v>
      </c>
    </row>
    <row r="96" spans="3:8" x14ac:dyDescent="0.25">
      <c r="C96" s="437" t="s">
        <v>13</v>
      </c>
      <c r="D96" s="438">
        <v>1.296</v>
      </c>
      <c r="E96" s="436">
        <v>173.5</v>
      </c>
      <c r="F96" s="438">
        <v>0.55000000000000004</v>
      </c>
      <c r="G96" s="438">
        <v>0.51</v>
      </c>
      <c r="H96" s="439">
        <f t="shared" si="5"/>
        <v>63.072108000000007</v>
      </c>
    </row>
    <row r="97" spans="3:8" x14ac:dyDescent="0.25">
      <c r="C97" s="437" t="s">
        <v>1</v>
      </c>
      <c r="D97" s="438">
        <v>1.296</v>
      </c>
      <c r="E97" s="436">
        <v>141.94999999999999</v>
      </c>
      <c r="F97" s="438">
        <v>0.55000000000000004</v>
      </c>
      <c r="G97" s="438">
        <v>0.51</v>
      </c>
      <c r="H97" s="439">
        <f t="shared" si="5"/>
        <v>51.602799600000004</v>
      </c>
    </row>
    <row r="98" spans="3:8" x14ac:dyDescent="0.25">
      <c r="C98" s="437" t="s">
        <v>19</v>
      </c>
      <c r="D98" s="438">
        <v>1.296</v>
      </c>
      <c r="E98" s="436">
        <v>119.87</v>
      </c>
      <c r="F98" s="438">
        <v>0.55000000000000004</v>
      </c>
      <c r="G98" s="438">
        <v>0.51</v>
      </c>
      <c r="H98" s="439">
        <f t="shared" si="5"/>
        <v>43.57610136000001</v>
      </c>
    </row>
    <row r="99" spans="3:8" x14ac:dyDescent="0.25">
      <c r="C99" s="437" t="s">
        <v>20</v>
      </c>
      <c r="D99" s="438">
        <v>1.296</v>
      </c>
      <c r="E99" s="436">
        <v>110.41</v>
      </c>
      <c r="F99" s="438">
        <v>0.55000000000000004</v>
      </c>
      <c r="G99" s="438">
        <v>0.51</v>
      </c>
      <c r="H99" s="439">
        <f t="shared" si="5"/>
        <v>40.137126480000006</v>
      </c>
    </row>
    <row r="100" spans="3:8" x14ac:dyDescent="0.25">
      <c r="C100" s="437" t="s">
        <v>21</v>
      </c>
      <c r="D100" s="438">
        <v>1.296</v>
      </c>
      <c r="E100" s="436">
        <v>97.79</v>
      </c>
      <c r="F100" s="438">
        <v>0.55000000000000004</v>
      </c>
      <c r="G100" s="438">
        <v>0.51</v>
      </c>
      <c r="H100" s="439">
        <f t="shared" si="5"/>
        <v>35.549403120000008</v>
      </c>
    </row>
    <row r="101" spans="3:8" x14ac:dyDescent="0.25">
      <c r="C101" s="437" t="s">
        <v>22</v>
      </c>
      <c r="D101" s="438">
        <v>1.296</v>
      </c>
      <c r="E101" s="436">
        <v>85.17</v>
      </c>
      <c r="F101" s="438">
        <v>0.55000000000000004</v>
      </c>
      <c r="G101" s="438">
        <v>0.51</v>
      </c>
      <c r="H101" s="439">
        <f t="shared" si="5"/>
        <v>30.961679760000006</v>
      </c>
    </row>
    <row r="102" spans="3:8" ht="13" thickBot="1" x14ac:dyDescent="0.3">
      <c r="C102" s="440" t="s">
        <v>23</v>
      </c>
      <c r="D102" s="441">
        <v>1.296</v>
      </c>
      <c r="E102" s="446">
        <v>82.01</v>
      </c>
      <c r="F102" s="438">
        <v>0.55000000000000004</v>
      </c>
      <c r="G102" s="438">
        <v>0.51</v>
      </c>
      <c r="H102" s="443">
        <f t="shared" si="5"/>
        <v>29.812931280000008</v>
      </c>
    </row>
    <row r="105" spans="3:8" ht="13" thickBot="1" x14ac:dyDescent="0.3"/>
    <row r="106" spans="3:8" ht="13" x14ac:dyDescent="0.3">
      <c r="C106" s="292" t="s">
        <v>27</v>
      </c>
      <c r="D106" s="293"/>
      <c r="E106" s="293"/>
      <c r="F106" s="293"/>
      <c r="G106" s="293"/>
      <c r="H106" s="294"/>
    </row>
    <row r="107" spans="3:8" x14ac:dyDescent="0.25">
      <c r="C107" s="49" t="s">
        <v>0</v>
      </c>
      <c r="D107" s="18"/>
      <c r="E107" s="52"/>
      <c r="F107" s="18" t="s">
        <v>63</v>
      </c>
      <c r="G107" s="18" t="s">
        <v>64</v>
      </c>
      <c r="H107" s="35"/>
    </row>
    <row r="108" spans="3:8" ht="15" thickBot="1" x14ac:dyDescent="0.3">
      <c r="C108" s="49"/>
      <c r="D108" s="18"/>
      <c r="E108" s="50" t="s">
        <v>14</v>
      </c>
      <c r="F108" s="18"/>
      <c r="G108" s="18"/>
      <c r="H108" s="35"/>
    </row>
    <row r="109" spans="3:8" x14ac:dyDescent="0.25">
      <c r="C109" s="437" t="s">
        <v>15</v>
      </c>
      <c r="D109" s="438">
        <v>1.296</v>
      </c>
      <c r="E109" s="445">
        <v>94.63</v>
      </c>
      <c r="F109" s="438">
        <v>0.55000000000000004</v>
      </c>
      <c r="G109" s="438">
        <v>0.51</v>
      </c>
      <c r="H109" s="439">
        <f t="shared" ref="H109:H120" si="6">D109*E109*F109*G109</f>
        <v>34.400654639999999</v>
      </c>
    </row>
    <row r="110" spans="3:8" x14ac:dyDescent="0.25">
      <c r="C110" s="437" t="s">
        <v>16</v>
      </c>
      <c r="D110" s="438">
        <v>1.296</v>
      </c>
      <c r="E110" s="436">
        <v>104.1</v>
      </c>
      <c r="F110" s="438">
        <v>0.55000000000000004</v>
      </c>
      <c r="G110" s="438">
        <v>0.51</v>
      </c>
      <c r="H110" s="439">
        <f t="shared" si="6"/>
        <v>37.843264800000007</v>
      </c>
    </row>
    <row r="111" spans="3:8" x14ac:dyDescent="0.25">
      <c r="C111" s="437" t="s">
        <v>17</v>
      </c>
      <c r="D111" s="438">
        <v>1.296</v>
      </c>
      <c r="E111" s="436">
        <v>110.41</v>
      </c>
      <c r="F111" s="438">
        <v>0.55000000000000004</v>
      </c>
      <c r="G111" s="438">
        <v>0.51</v>
      </c>
      <c r="H111" s="439">
        <f t="shared" si="6"/>
        <v>40.137126480000006</v>
      </c>
    </row>
    <row r="112" spans="3:8" x14ac:dyDescent="0.25">
      <c r="C112" s="437" t="s">
        <v>18</v>
      </c>
      <c r="D112" s="438">
        <v>1.296</v>
      </c>
      <c r="E112" s="436">
        <v>123.02</v>
      </c>
      <c r="F112" s="438">
        <v>0.55000000000000004</v>
      </c>
      <c r="G112" s="438">
        <v>0.51</v>
      </c>
      <c r="H112" s="439">
        <f t="shared" si="6"/>
        <v>44.721214560000007</v>
      </c>
    </row>
    <row r="113" spans="3:8" x14ac:dyDescent="0.25">
      <c r="C113" s="448" t="s">
        <v>12</v>
      </c>
      <c r="D113" s="438">
        <v>1.296</v>
      </c>
      <c r="E113" s="436">
        <v>164.03</v>
      </c>
      <c r="F113" s="438">
        <v>0.55000000000000004</v>
      </c>
      <c r="G113" s="438">
        <v>0.51</v>
      </c>
      <c r="H113" s="439">
        <f t="shared" si="6"/>
        <v>59.629497840000013</v>
      </c>
    </row>
    <row r="114" spans="3:8" x14ac:dyDescent="0.25">
      <c r="C114" s="437" t="s">
        <v>13</v>
      </c>
      <c r="D114" s="438">
        <v>1.296</v>
      </c>
      <c r="E114" s="436">
        <v>208.2</v>
      </c>
      <c r="F114" s="438">
        <v>0.55000000000000004</v>
      </c>
      <c r="G114" s="438">
        <v>0.51</v>
      </c>
      <c r="H114" s="439">
        <f t="shared" si="6"/>
        <v>75.686529600000014</v>
      </c>
    </row>
    <row r="115" spans="3:8" x14ac:dyDescent="0.25">
      <c r="C115" s="437" t="s">
        <v>1</v>
      </c>
      <c r="D115" s="438">
        <v>1.296</v>
      </c>
      <c r="E115" s="436">
        <v>173.5</v>
      </c>
      <c r="F115" s="438">
        <v>0.55000000000000004</v>
      </c>
      <c r="G115" s="438">
        <v>0.51</v>
      </c>
      <c r="H115" s="439">
        <f t="shared" si="6"/>
        <v>63.072108000000007</v>
      </c>
    </row>
    <row r="116" spans="3:8" x14ac:dyDescent="0.25">
      <c r="C116" s="437" t="s">
        <v>19</v>
      </c>
      <c r="D116" s="438">
        <v>1.296</v>
      </c>
      <c r="E116" s="436">
        <v>129.33000000000001</v>
      </c>
      <c r="F116" s="438">
        <v>0.55000000000000004</v>
      </c>
      <c r="G116" s="438">
        <v>0.51</v>
      </c>
      <c r="H116" s="439">
        <f t="shared" si="6"/>
        <v>47.015076240000013</v>
      </c>
    </row>
    <row r="117" spans="3:8" x14ac:dyDescent="0.25">
      <c r="C117" s="437" t="s">
        <v>20</v>
      </c>
      <c r="D117" s="438">
        <v>1.296</v>
      </c>
      <c r="E117" s="436">
        <v>113.56</v>
      </c>
      <c r="F117" s="438">
        <v>0.55000000000000004</v>
      </c>
      <c r="G117" s="438">
        <v>0.51</v>
      </c>
      <c r="H117" s="439">
        <f t="shared" si="6"/>
        <v>41.282239680000004</v>
      </c>
    </row>
    <row r="118" spans="3:8" x14ac:dyDescent="0.25">
      <c r="C118" s="437" t="s">
        <v>21</v>
      </c>
      <c r="D118" s="438">
        <v>1.296</v>
      </c>
      <c r="E118" s="436">
        <v>104.1</v>
      </c>
      <c r="F118" s="438">
        <v>0.55000000000000004</v>
      </c>
      <c r="G118" s="438">
        <v>0.51</v>
      </c>
      <c r="H118" s="439">
        <f t="shared" si="6"/>
        <v>37.843264800000007</v>
      </c>
    </row>
    <row r="119" spans="3:8" x14ac:dyDescent="0.25">
      <c r="C119" s="437" t="s">
        <v>22</v>
      </c>
      <c r="D119" s="438">
        <v>1.296</v>
      </c>
      <c r="E119" s="436">
        <v>94.63</v>
      </c>
      <c r="F119" s="438">
        <v>0.55000000000000004</v>
      </c>
      <c r="G119" s="438">
        <v>0.51</v>
      </c>
      <c r="H119" s="439">
        <f t="shared" si="6"/>
        <v>34.400654639999999</v>
      </c>
    </row>
    <row r="120" spans="3:8" ht="13" thickBot="1" x14ac:dyDescent="0.3">
      <c r="C120" s="440" t="s">
        <v>23</v>
      </c>
      <c r="D120" s="441">
        <v>1.296</v>
      </c>
      <c r="E120" s="446">
        <v>91.48</v>
      </c>
      <c r="F120" s="438">
        <v>0.55000000000000004</v>
      </c>
      <c r="G120" s="438">
        <v>0.51</v>
      </c>
      <c r="H120" s="443">
        <f t="shared" si="6"/>
        <v>33.255541440000002</v>
      </c>
    </row>
    <row r="123" spans="3:8" ht="13" thickBot="1" x14ac:dyDescent="0.3"/>
    <row r="124" spans="3:8" ht="13" x14ac:dyDescent="0.3">
      <c r="C124" s="295" t="s">
        <v>25</v>
      </c>
      <c r="D124" s="296"/>
      <c r="E124" s="296"/>
      <c r="F124" s="296"/>
      <c r="G124" s="296"/>
      <c r="H124" s="297"/>
    </row>
    <row r="125" spans="3:8" x14ac:dyDescent="0.25">
      <c r="C125" s="56" t="s">
        <v>0</v>
      </c>
      <c r="D125" s="57"/>
      <c r="E125" s="57"/>
      <c r="F125" s="18" t="s">
        <v>63</v>
      </c>
      <c r="G125" s="18" t="s">
        <v>64</v>
      </c>
      <c r="H125" s="58"/>
    </row>
    <row r="126" spans="3:8" ht="15" thickBot="1" x14ac:dyDescent="0.3">
      <c r="C126" s="56"/>
      <c r="D126" s="57"/>
      <c r="E126" s="57" t="s">
        <v>14</v>
      </c>
      <c r="F126" s="57"/>
      <c r="G126" s="57"/>
      <c r="H126" s="58"/>
    </row>
    <row r="127" spans="3:8" x14ac:dyDescent="0.25">
      <c r="C127" s="437" t="s">
        <v>15</v>
      </c>
      <c r="D127" s="438">
        <v>1.296</v>
      </c>
      <c r="E127" s="445">
        <v>94.63</v>
      </c>
      <c r="F127" s="438">
        <v>0.55000000000000004</v>
      </c>
      <c r="G127" s="438">
        <v>0.51</v>
      </c>
      <c r="H127" s="439">
        <f t="shared" ref="H127:H138" si="7">D127*E127*F127*G127</f>
        <v>34.400654639999999</v>
      </c>
    </row>
    <row r="128" spans="3:8" x14ac:dyDescent="0.25">
      <c r="C128" s="437" t="s">
        <v>16</v>
      </c>
      <c r="D128" s="438">
        <v>1.296</v>
      </c>
      <c r="E128" s="436">
        <v>104.1</v>
      </c>
      <c r="F128" s="438">
        <v>0.55000000000000004</v>
      </c>
      <c r="G128" s="438">
        <v>0.51</v>
      </c>
      <c r="H128" s="439">
        <f t="shared" si="7"/>
        <v>37.843264800000007</v>
      </c>
    </row>
    <row r="129" spans="3:8" x14ac:dyDescent="0.25">
      <c r="C129" s="437" t="s">
        <v>17</v>
      </c>
      <c r="D129" s="438">
        <v>1.296</v>
      </c>
      <c r="E129" s="436">
        <v>110.41</v>
      </c>
      <c r="F129" s="438">
        <v>0.55000000000000004</v>
      </c>
      <c r="G129" s="438">
        <v>0.51</v>
      </c>
      <c r="H129" s="439">
        <f t="shared" si="7"/>
        <v>40.137126480000006</v>
      </c>
    </row>
    <row r="130" spans="3:8" x14ac:dyDescent="0.25">
      <c r="C130" s="437" t="s">
        <v>18</v>
      </c>
      <c r="D130" s="438">
        <v>1.296</v>
      </c>
      <c r="E130" s="436">
        <v>123.02</v>
      </c>
      <c r="F130" s="438">
        <v>0.55000000000000004</v>
      </c>
      <c r="G130" s="438">
        <v>0.51</v>
      </c>
      <c r="H130" s="439">
        <f t="shared" si="7"/>
        <v>44.721214560000007</v>
      </c>
    </row>
    <row r="131" spans="3:8" x14ac:dyDescent="0.25">
      <c r="C131" s="437" t="s">
        <v>12</v>
      </c>
      <c r="D131" s="438">
        <v>1.296</v>
      </c>
      <c r="E131" s="436">
        <v>164.03</v>
      </c>
      <c r="F131" s="438">
        <v>0.55000000000000004</v>
      </c>
      <c r="G131" s="438">
        <v>0.51</v>
      </c>
      <c r="H131" s="439">
        <f t="shared" si="7"/>
        <v>59.629497840000013</v>
      </c>
    </row>
    <row r="132" spans="3:8" x14ac:dyDescent="0.25">
      <c r="C132" s="437" t="s">
        <v>13</v>
      </c>
      <c r="D132" s="438">
        <v>1.296</v>
      </c>
      <c r="E132" s="436">
        <v>208.2</v>
      </c>
      <c r="F132" s="438">
        <v>0.55000000000000004</v>
      </c>
      <c r="G132" s="438">
        <v>0.51</v>
      </c>
      <c r="H132" s="439">
        <f t="shared" si="7"/>
        <v>75.686529600000014</v>
      </c>
    </row>
    <row r="133" spans="3:8" x14ac:dyDescent="0.25">
      <c r="C133" s="437" t="s">
        <v>1</v>
      </c>
      <c r="D133" s="438">
        <v>1.296</v>
      </c>
      <c r="E133" s="436">
        <v>173.5</v>
      </c>
      <c r="F133" s="438">
        <v>0.55000000000000004</v>
      </c>
      <c r="G133" s="438">
        <v>0.51</v>
      </c>
      <c r="H133" s="439">
        <f t="shared" si="7"/>
        <v>63.072108000000007</v>
      </c>
    </row>
    <row r="134" spans="3:8" x14ac:dyDescent="0.25">
      <c r="C134" s="437" t="s">
        <v>19</v>
      </c>
      <c r="D134" s="438">
        <v>1.296</v>
      </c>
      <c r="E134" s="436">
        <v>129.33000000000001</v>
      </c>
      <c r="F134" s="438">
        <v>0.55000000000000004</v>
      </c>
      <c r="G134" s="438">
        <v>0.51</v>
      </c>
      <c r="H134" s="439">
        <f t="shared" si="7"/>
        <v>47.015076240000013</v>
      </c>
    </row>
    <row r="135" spans="3:8" x14ac:dyDescent="0.25">
      <c r="C135" s="437" t="s">
        <v>20</v>
      </c>
      <c r="D135" s="438">
        <v>1.296</v>
      </c>
      <c r="E135" s="436">
        <v>113.56</v>
      </c>
      <c r="F135" s="438">
        <v>0.55000000000000004</v>
      </c>
      <c r="G135" s="438">
        <v>0.51</v>
      </c>
      <c r="H135" s="439">
        <f t="shared" si="7"/>
        <v>41.282239680000004</v>
      </c>
    </row>
    <row r="136" spans="3:8" x14ac:dyDescent="0.25">
      <c r="C136" s="437" t="s">
        <v>21</v>
      </c>
      <c r="D136" s="438">
        <v>1.296</v>
      </c>
      <c r="E136" s="436">
        <v>104.1</v>
      </c>
      <c r="F136" s="438">
        <v>0.55000000000000004</v>
      </c>
      <c r="G136" s="438">
        <v>0.51</v>
      </c>
      <c r="H136" s="439">
        <f t="shared" si="7"/>
        <v>37.843264800000007</v>
      </c>
    </row>
    <row r="137" spans="3:8" x14ac:dyDescent="0.25">
      <c r="C137" s="437" t="s">
        <v>22</v>
      </c>
      <c r="D137" s="438">
        <v>1.296</v>
      </c>
      <c r="E137" s="436">
        <v>94.63</v>
      </c>
      <c r="F137" s="438">
        <v>0.55000000000000004</v>
      </c>
      <c r="G137" s="438">
        <v>0.51</v>
      </c>
      <c r="H137" s="439">
        <f t="shared" si="7"/>
        <v>34.400654639999999</v>
      </c>
    </row>
    <row r="138" spans="3:8" ht="13" thickBot="1" x14ac:dyDescent="0.3">
      <c r="C138" s="440" t="s">
        <v>23</v>
      </c>
      <c r="D138" s="441">
        <v>1.296</v>
      </c>
      <c r="E138" s="446">
        <v>91.48</v>
      </c>
      <c r="F138" s="438">
        <v>0.55000000000000004</v>
      </c>
      <c r="G138" s="438">
        <v>0.51</v>
      </c>
      <c r="H138" s="443">
        <f t="shared" si="7"/>
        <v>33.255541440000002</v>
      </c>
    </row>
    <row r="140" spans="3:8" ht="13" thickBot="1" x14ac:dyDescent="0.3"/>
    <row r="141" spans="3:8" ht="13" x14ac:dyDescent="0.3">
      <c r="C141" s="295" t="s">
        <v>62</v>
      </c>
      <c r="D141" s="296"/>
      <c r="E141" s="296"/>
      <c r="F141" s="296"/>
      <c r="G141" s="296"/>
      <c r="H141" s="297"/>
    </row>
    <row r="142" spans="3:8" x14ac:dyDescent="0.25">
      <c r="C142" s="56" t="s">
        <v>0</v>
      </c>
      <c r="D142" s="57"/>
      <c r="E142" s="57"/>
      <c r="F142" s="18" t="s">
        <v>63</v>
      </c>
      <c r="G142" s="18" t="s">
        <v>64</v>
      </c>
      <c r="H142" s="58"/>
    </row>
    <row r="143" spans="3:8" ht="14.5" x14ac:dyDescent="0.25">
      <c r="C143" s="56"/>
      <c r="D143" s="57"/>
      <c r="E143" s="57" t="s">
        <v>14</v>
      </c>
      <c r="F143" s="57"/>
      <c r="G143" s="57"/>
      <c r="H143" s="58"/>
    </row>
    <row r="144" spans="3:8" x14ac:dyDescent="0.25">
      <c r="C144" s="437" t="s">
        <v>15</v>
      </c>
      <c r="D144" s="438">
        <v>1.296</v>
      </c>
      <c r="E144" s="59">
        <v>100.94</v>
      </c>
      <c r="F144" s="438">
        <v>0.55000000000000004</v>
      </c>
      <c r="G144" s="438">
        <v>0.51</v>
      </c>
      <c r="H144" s="439">
        <f t="shared" ref="H144:H155" si="8">D144*E144*F144*G144</f>
        <v>36.694516320000005</v>
      </c>
    </row>
    <row r="145" spans="3:8" x14ac:dyDescent="0.25">
      <c r="C145" s="437" t="s">
        <v>16</v>
      </c>
      <c r="D145" s="438">
        <v>1.296</v>
      </c>
      <c r="E145" s="59">
        <v>107.25</v>
      </c>
      <c r="F145" s="438">
        <v>0.55000000000000004</v>
      </c>
      <c r="G145" s="438">
        <v>0.51</v>
      </c>
      <c r="H145" s="439">
        <f t="shared" si="8"/>
        <v>38.988378000000012</v>
      </c>
    </row>
    <row r="146" spans="3:8" x14ac:dyDescent="0.25">
      <c r="C146" s="437" t="s">
        <v>17</v>
      </c>
      <c r="D146" s="438">
        <v>1.296</v>
      </c>
      <c r="E146" s="59">
        <v>116.71</v>
      </c>
      <c r="F146" s="438">
        <v>0.55000000000000004</v>
      </c>
      <c r="G146" s="438">
        <v>0.51</v>
      </c>
      <c r="H146" s="439">
        <f t="shared" si="8"/>
        <v>42.427352880000001</v>
      </c>
    </row>
    <row r="147" spans="3:8" x14ac:dyDescent="0.25">
      <c r="C147" s="437" t="s">
        <v>18</v>
      </c>
      <c r="D147" s="438">
        <v>1.296</v>
      </c>
      <c r="E147" s="59">
        <v>138.80000000000001</v>
      </c>
      <c r="F147" s="438">
        <v>0.55000000000000004</v>
      </c>
      <c r="G147" s="438">
        <v>0.51</v>
      </c>
      <c r="H147" s="439">
        <f t="shared" si="8"/>
        <v>50.457686400000007</v>
      </c>
    </row>
    <row r="148" spans="3:8" x14ac:dyDescent="0.25">
      <c r="C148" s="437" t="s">
        <v>12</v>
      </c>
      <c r="D148" s="438">
        <v>1.296</v>
      </c>
      <c r="E148" s="59">
        <v>233.43</v>
      </c>
      <c r="F148" s="438">
        <v>0.55000000000000004</v>
      </c>
      <c r="G148" s="438">
        <v>0.51</v>
      </c>
      <c r="H148" s="439">
        <f t="shared" si="8"/>
        <v>84.858341040000013</v>
      </c>
    </row>
    <row r="149" spans="3:8" x14ac:dyDescent="0.25">
      <c r="C149" s="437" t="s">
        <v>13</v>
      </c>
      <c r="D149" s="438">
        <v>1.296</v>
      </c>
      <c r="E149" s="59">
        <v>283.91000000000003</v>
      </c>
      <c r="F149" s="438">
        <v>0.55000000000000004</v>
      </c>
      <c r="G149" s="438">
        <v>0.51</v>
      </c>
      <c r="H149" s="439">
        <f t="shared" si="8"/>
        <v>103.20923448000003</v>
      </c>
    </row>
    <row r="150" spans="3:8" x14ac:dyDescent="0.25">
      <c r="C150" s="437" t="s">
        <v>1</v>
      </c>
      <c r="D150" s="438">
        <v>1.296</v>
      </c>
      <c r="E150" s="59">
        <v>242.9</v>
      </c>
      <c r="F150" s="438">
        <v>0.55000000000000004</v>
      </c>
      <c r="G150" s="438">
        <v>0.51</v>
      </c>
      <c r="H150" s="439">
        <f t="shared" si="8"/>
        <v>88.300951200000014</v>
      </c>
    </row>
    <row r="151" spans="3:8" x14ac:dyDescent="0.25">
      <c r="C151" s="437" t="s">
        <v>19</v>
      </c>
      <c r="D151" s="438">
        <v>1.296</v>
      </c>
      <c r="E151" s="59">
        <v>148.26</v>
      </c>
      <c r="F151" s="438">
        <v>0.55000000000000004</v>
      </c>
      <c r="G151" s="438">
        <v>0.51</v>
      </c>
      <c r="H151" s="439">
        <f t="shared" si="8"/>
        <v>53.896661280000004</v>
      </c>
    </row>
    <row r="152" spans="3:8" x14ac:dyDescent="0.25">
      <c r="C152" s="437" t="s">
        <v>20</v>
      </c>
      <c r="D152" s="438">
        <v>1.296</v>
      </c>
      <c r="E152" s="59">
        <v>119.87</v>
      </c>
      <c r="F152" s="438">
        <v>0.55000000000000004</v>
      </c>
      <c r="G152" s="438">
        <v>0.51</v>
      </c>
      <c r="H152" s="439">
        <f t="shared" si="8"/>
        <v>43.57610136000001</v>
      </c>
    </row>
    <row r="153" spans="3:8" x14ac:dyDescent="0.25">
      <c r="C153" s="437" t="s">
        <v>21</v>
      </c>
      <c r="D153" s="438">
        <v>1.296</v>
      </c>
      <c r="E153" s="59">
        <v>110.41</v>
      </c>
      <c r="F153" s="438">
        <v>0.55000000000000004</v>
      </c>
      <c r="G153" s="438">
        <v>0.51</v>
      </c>
      <c r="H153" s="439">
        <f t="shared" si="8"/>
        <v>40.137126480000006</v>
      </c>
    </row>
    <row r="154" spans="3:8" x14ac:dyDescent="0.25">
      <c r="C154" s="437" t="s">
        <v>22</v>
      </c>
      <c r="D154" s="438">
        <v>1.296</v>
      </c>
      <c r="E154" s="59">
        <v>104.1</v>
      </c>
      <c r="F154" s="438">
        <v>0.55000000000000004</v>
      </c>
      <c r="G154" s="438">
        <v>0.51</v>
      </c>
      <c r="H154" s="439">
        <f t="shared" si="8"/>
        <v>37.843264800000007</v>
      </c>
    </row>
    <row r="155" spans="3:8" ht="13" thickBot="1" x14ac:dyDescent="0.3">
      <c r="C155" s="440" t="s">
        <v>23</v>
      </c>
      <c r="D155" s="441">
        <v>1.296</v>
      </c>
      <c r="E155" s="60">
        <v>97.79</v>
      </c>
      <c r="F155" s="438">
        <v>0.55000000000000004</v>
      </c>
      <c r="G155" s="438">
        <v>0.51</v>
      </c>
      <c r="H155" s="443">
        <f t="shared" si="8"/>
        <v>35.549403120000008</v>
      </c>
    </row>
    <row r="158" spans="3:8" ht="13" thickBot="1" x14ac:dyDescent="0.3"/>
    <row r="159" spans="3:8" ht="13" x14ac:dyDescent="0.3">
      <c r="C159" s="295" t="s">
        <v>26</v>
      </c>
      <c r="D159" s="296"/>
      <c r="E159" s="296"/>
      <c r="F159" s="296"/>
      <c r="G159" s="296"/>
      <c r="H159" s="297"/>
    </row>
    <row r="160" spans="3:8" x14ac:dyDescent="0.25">
      <c r="C160" s="56" t="s">
        <v>0</v>
      </c>
      <c r="D160" s="57"/>
      <c r="E160" s="57"/>
      <c r="F160" s="18" t="s">
        <v>63</v>
      </c>
      <c r="G160" s="18" t="s">
        <v>64</v>
      </c>
      <c r="H160" s="58"/>
    </row>
    <row r="161" spans="3:8" ht="15" thickBot="1" x14ac:dyDescent="0.3">
      <c r="C161" s="56"/>
      <c r="D161" s="57"/>
      <c r="E161" s="57" t="s">
        <v>14</v>
      </c>
      <c r="F161" s="57"/>
      <c r="G161" s="57"/>
      <c r="H161" s="58"/>
    </row>
    <row r="162" spans="3:8" x14ac:dyDescent="0.25">
      <c r="C162" s="437" t="s">
        <v>15</v>
      </c>
      <c r="D162" s="438">
        <v>1.296</v>
      </c>
      <c r="E162" s="445">
        <v>94.63</v>
      </c>
      <c r="F162" s="438">
        <v>0.55000000000000004</v>
      </c>
      <c r="G162" s="438">
        <v>0.51</v>
      </c>
      <c r="H162" s="439">
        <f t="shared" ref="H162:H173" si="9">D162*E162*F162*G162</f>
        <v>34.400654639999999</v>
      </c>
    </row>
    <row r="163" spans="3:8" x14ac:dyDescent="0.25">
      <c r="C163" s="437" t="s">
        <v>16</v>
      </c>
      <c r="D163" s="438">
        <v>1.296</v>
      </c>
      <c r="E163" s="436">
        <v>104.1</v>
      </c>
      <c r="F163" s="438">
        <v>0.55000000000000004</v>
      </c>
      <c r="G163" s="438">
        <v>0.51</v>
      </c>
      <c r="H163" s="439">
        <f t="shared" si="9"/>
        <v>37.843264800000007</v>
      </c>
    </row>
    <row r="164" spans="3:8" x14ac:dyDescent="0.25">
      <c r="C164" s="437" t="s">
        <v>17</v>
      </c>
      <c r="D164" s="438">
        <v>1.296</v>
      </c>
      <c r="E164" s="436">
        <v>110.41</v>
      </c>
      <c r="F164" s="438">
        <v>0.55000000000000004</v>
      </c>
      <c r="G164" s="438">
        <v>0.51</v>
      </c>
      <c r="H164" s="439">
        <f t="shared" si="9"/>
        <v>40.137126480000006</v>
      </c>
    </row>
    <row r="165" spans="3:8" x14ac:dyDescent="0.25">
      <c r="C165" s="437" t="s">
        <v>18</v>
      </c>
      <c r="D165" s="438">
        <v>1.296</v>
      </c>
      <c r="E165" s="436">
        <v>123.02</v>
      </c>
      <c r="F165" s="438">
        <v>0.55000000000000004</v>
      </c>
      <c r="G165" s="438">
        <v>0.51</v>
      </c>
      <c r="H165" s="439">
        <f t="shared" si="9"/>
        <v>44.721214560000007</v>
      </c>
    </row>
    <row r="166" spans="3:8" x14ac:dyDescent="0.25">
      <c r="C166" s="38" t="s">
        <v>12</v>
      </c>
      <c r="D166" s="438">
        <v>1.296</v>
      </c>
      <c r="E166" s="436">
        <v>164.03</v>
      </c>
      <c r="F166" s="438">
        <v>0.55000000000000004</v>
      </c>
      <c r="G166" s="438">
        <v>0.51</v>
      </c>
      <c r="H166" s="439">
        <f t="shared" si="9"/>
        <v>59.629497840000013</v>
      </c>
    </row>
    <row r="167" spans="3:8" x14ac:dyDescent="0.25">
      <c r="C167" s="437" t="s">
        <v>13</v>
      </c>
      <c r="D167" s="438">
        <v>1.296</v>
      </c>
      <c r="E167" s="436">
        <v>208.2</v>
      </c>
      <c r="F167" s="438">
        <v>0.55000000000000004</v>
      </c>
      <c r="G167" s="438">
        <v>0.51</v>
      </c>
      <c r="H167" s="439">
        <f t="shared" si="9"/>
        <v>75.686529600000014</v>
      </c>
    </row>
    <row r="168" spans="3:8" x14ac:dyDescent="0.25">
      <c r="C168" s="437" t="s">
        <v>1</v>
      </c>
      <c r="D168" s="438">
        <v>1.296</v>
      </c>
      <c r="E168" s="436">
        <v>173.5</v>
      </c>
      <c r="F168" s="438">
        <v>0.55000000000000004</v>
      </c>
      <c r="G168" s="438">
        <v>0.51</v>
      </c>
      <c r="H168" s="439">
        <f t="shared" si="9"/>
        <v>63.072108000000007</v>
      </c>
    </row>
    <row r="169" spans="3:8" x14ac:dyDescent="0.25">
      <c r="C169" s="437" t="s">
        <v>19</v>
      </c>
      <c r="D169" s="438">
        <v>1.296</v>
      </c>
      <c r="E169" s="436">
        <v>129.33000000000001</v>
      </c>
      <c r="F169" s="438">
        <v>0.55000000000000004</v>
      </c>
      <c r="G169" s="438">
        <v>0.51</v>
      </c>
      <c r="H169" s="439">
        <f t="shared" si="9"/>
        <v>47.015076240000013</v>
      </c>
    </row>
    <row r="170" spans="3:8" x14ac:dyDescent="0.25">
      <c r="C170" s="437" t="s">
        <v>20</v>
      </c>
      <c r="D170" s="438">
        <v>1.296</v>
      </c>
      <c r="E170" s="436">
        <v>113.56</v>
      </c>
      <c r="F170" s="438">
        <v>0.55000000000000004</v>
      </c>
      <c r="G170" s="438">
        <v>0.51</v>
      </c>
      <c r="H170" s="439">
        <f t="shared" si="9"/>
        <v>41.282239680000004</v>
      </c>
    </row>
    <row r="171" spans="3:8" x14ac:dyDescent="0.25">
      <c r="C171" s="437" t="s">
        <v>21</v>
      </c>
      <c r="D171" s="438">
        <v>1.296</v>
      </c>
      <c r="E171" s="436">
        <v>104.1</v>
      </c>
      <c r="F171" s="438">
        <v>0.55000000000000004</v>
      </c>
      <c r="G171" s="438">
        <v>0.51</v>
      </c>
      <c r="H171" s="439">
        <f t="shared" si="9"/>
        <v>37.843264800000007</v>
      </c>
    </row>
    <row r="172" spans="3:8" x14ac:dyDescent="0.25">
      <c r="C172" s="437" t="s">
        <v>22</v>
      </c>
      <c r="D172" s="438">
        <v>1.296</v>
      </c>
      <c r="E172" s="436">
        <v>94.63</v>
      </c>
      <c r="F172" s="438">
        <v>0.55000000000000004</v>
      </c>
      <c r="G172" s="438">
        <v>0.51</v>
      </c>
      <c r="H172" s="439">
        <f t="shared" si="9"/>
        <v>34.400654639999999</v>
      </c>
    </row>
    <row r="173" spans="3:8" ht="13" thickBot="1" x14ac:dyDescent="0.3">
      <c r="C173" s="440" t="s">
        <v>23</v>
      </c>
      <c r="D173" s="441">
        <v>1.296</v>
      </c>
      <c r="E173" s="446">
        <v>91.48</v>
      </c>
      <c r="F173" s="438">
        <v>0.55000000000000004</v>
      </c>
      <c r="G173" s="438">
        <v>0.51</v>
      </c>
      <c r="H173" s="443">
        <f t="shared" si="9"/>
        <v>33.255541440000002</v>
      </c>
    </row>
  </sheetData>
  <mergeCells count="10">
    <mergeCell ref="C2:H2"/>
    <mergeCell ref="C106:H106"/>
    <mergeCell ref="C124:H124"/>
    <mergeCell ref="C141:H141"/>
    <mergeCell ref="C159:H159"/>
    <mergeCell ref="C54:H54"/>
    <mergeCell ref="C71:H71"/>
    <mergeCell ref="C88:H88"/>
    <mergeCell ref="C19:H19"/>
    <mergeCell ref="C37:H3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9B069-C27E-4799-98A7-5EFE2D7E1F8B}">
  <dimension ref="B2:AY583"/>
  <sheetViews>
    <sheetView zoomScale="90" zoomScaleNormal="90" workbookViewId="0">
      <selection activeCell="F265" sqref="F265"/>
    </sheetView>
  </sheetViews>
  <sheetFormatPr defaultRowHeight="12.5" x14ac:dyDescent="0.25"/>
  <cols>
    <col min="2" max="2" width="10.1796875" customWidth="1"/>
    <col min="3" max="3" width="15.54296875" customWidth="1"/>
    <col min="4" max="4" width="13.7265625" customWidth="1"/>
    <col min="7" max="7" width="13.54296875" customWidth="1"/>
    <col min="8" max="8" width="11.1796875" style="32" customWidth="1"/>
    <col min="9" max="9" width="9" customWidth="1"/>
    <col min="10" max="10" width="11.54296875" customWidth="1"/>
    <col min="11" max="11" width="16.54296875" customWidth="1"/>
    <col min="12" max="12" width="14.54296875" customWidth="1"/>
    <col min="13" max="13" width="10.54296875" customWidth="1"/>
    <col min="14" max="14" width="16.1796875" customWidth="1"/>
    <col min="15" max="16" width="11.54296875" customWidth="1"/>
    <col min="17" max="17" width="13.453125" style="1" customWidth="1"/>
    <col min="18" max="18" width="17.1796875" style="32" customWidth="1"/>
    <col min="19" max="20" width="19" style="32" customWidth="1"/>
    <col min="21" max="21" width="19.81640625" style="32" customWidth="1"/>
    <col min="22" max="22" width="11.54296875" style="32" customWidth="1"/>
    <col min="23" max="23" width="9.7265625" style="32" customWidth="1"/>
    <col min="24" max="25" width="8.7265625" style="32"/>
    <col min="26" max="26" width="12" style="32" customWidth="1"/>
    <col min="27" max="29" width="8.7265625" style="32"/>
    <col min="30" max="30" width="11.26953125" style="32" customWidth="1"/>
    <col min="31" max="31" width="10.81640625" style="32" customWidth="1"/>
    <col min="32" max="32" width="17.81640625" style="32" customWidth="1"/>
    <col min="33" max="33" width="15" style="32" customWidth="1"/>
    <col min="34" max="36" width="8.7265625" style="32"/>
    <col min="37" max="37" width="23" style="32" customWidth="1"/>
    <col min="38" max="38" width="20.81640625" style="32" customWidth="1"/>
    <col min="43" max="43" width="19.81640625" customWidth="1"/>
    <col min="44" max="44" width="13.1796875" customWidth="1"/>
    <col min="45" max="45" width="15.453125" customWidth="1"/>
    <col min="48" max="48" width="10.81640625" customWidth="1"/>
  </cols>
  <sheetData>
    <row r="2" spans="7:51" ht="13" thickBot="1" x14ac:dyDescent="0.3"/>
    <row r="3" spans="7:51" s="32" customFormat="1" ht="13.5" thickBot="1" x14ac:dyDescent="0.35">
      <c r="G3" s="329" t="s">
        <v>165</v>
      </c>
      <c r="H3" s="330"/>
      <c r="I3" s="330"/>
      <c r="J3" s="330"/>
      <c r="K3" s="330"/>
      <c r="L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1"/>
    </row>
    <row r="4" spans="7:51" s="32" customFormat="1" ht="13" x14ac:dyDescent="0.3">
      <c r="G4" s="332" t="s">
        <v>31</v>
      </c>
      <c r="H4" s="333"/>
      <c r="I4" s="333"/>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4"/>
      <c r="AQ4" s="298" t="s">
        <v>205</v>
      </c>
      <c r="AR4" s="299"/>
      <c r="AS4" s="300"/>
    </row>
    <row r="5" spans="7:51" s="32" customFormat="1" ht="15" customHeight="1" x14ac:dyDescent="0.4">
      <c r="G5" s="2" t="s">
        <v>0</v>
      </c>
      <c r="H5" s="7"/>
      <c r="I5" s="4"/>
      <c r="J5" s="4"/>
      <c r="K5" s="4"/>
      <c r="L5" s="4"/>
      <c r="M5" s="4"/>
      <c r="N5" s="4"/>
      <c r="O5" s="3" t="s">
        <v>171</v>
      </c>
      <c r="P5" s="3" t="s">
        <v>172</v>
      </c>
      <c r="Q5" s="33" t="s">
        <v>2</v>
      </c>
      <c r="R5" s="45" t="s">
        <v>10</v>
      </c>
      <c r="S5" s="45" t="s">
        <v>11</v>
      </c>
      <c r="T5" s="8"/>
      <c r="U5" s="8"/>
      <c r="V5" s="8" t="s">
        <v>3</v>
      </c>
      <c r="W5" s="8" t="s">
        <v>168</v>
      </c>
      <c r="X5" s="8"/>
      <c r="Y5" s="8"/>
      <c r="Z5" s="8" t="s">
        <v>3</v>
      </c>
      <c r="AA5" s="8" t="s">
        <v>169</v>
      </c>
      <c r="AB5" s="8"/>
      <c r="AC5" s="8"/>
      <c r="AD5" s="8" t="s">
        <v>3</v>
      </c>
      <c r="AE5" s="8" t="s">
        <v>170</v>
      </c>
      <c r="AF5" s="8" t="s">
        <v>4</v>
      </c>
      <c r="AG5" s="8" t="s">
        <v>5</v>
      </c>
      <c r="AH5" s="8" t="s">
        <v>6</v>
      </c>
      <c r="AI5" s="8" t="s">
        <v>162</v>
      </c>
      <c r="AJ5" s="8" t="s">
        <v>7</v>
      </c>
      <c r="AK5" s="8" t="s">
        <v>163</v>
      </c>
      <c r="AL5" s="87" t="s">
        <v>164</v>
      </c>
      <c r="AQ5" s="44" t="s">
        <v>195</v>
      </c>
      <c r="AR5" s="8" t="s">
        <v>196</v>
      </c>
      <c r="AS5" s="87" t="s">
        <v>197</v>
      </c>
    </row>
    <row r="6" spans="7:51" s="32" customFormat="1" ht="15" customHeight="1" x14ac:dyDescent="0.25">
      <c r="G6" s="2" t="s">
        <v>13</v>
      </c>
      <c r="H6" s="7">
        <v>18</v>
      </c>
      <c r="I6" s="8">
        <v>75.686529600000014</v>
      </c>
      <c r="J6" s="8">
        <v>420</v>
      </c>
      <c r="K6" s="8">
        <v>118.8</v>
      </c>
      <c r="L6" s="8">
        <v>36</v>
      </c>
      <c r="M6" s="8">
        <v>189.27</v>
      </c>
      <c r="N6" s="8">
        <v>8.4700000000000006</v>
      </c>
      <c r="O6" s="9">
        <f>(H6-((I6+J6+K6+L6)/(M6+N6)))</f>
        <v>14.710394813391321</v>
      </c>
      <c r="P6" s="33">
        <v>15</v>
      </c>
      <c r="Q6" s="5">
        <v>525.5</v>
      </c>
      <c r="R6" s="45"/>
      <c r="S6" s="45"/>
      <c r="T6" s="8"/>
      <c r="U6" s="8"/>
      <c r="V6" s="8"/>
      <c r="W6" s="8"/>
      <c r="X6" s="8"/>
      <c r="Y6" s="8"/>
      <c r="Z6" s="8"/>
      <c r="AA6" s="8"/>
      <c r="AB6" s="8"/>
      <c r="AC6" s="8"/>
      <c r="AD6" s="8"/>
      <c r="AE6" s="8"/>
      <c r="AF6" s="8"/>
      <c r="AG6" s="8"/>
      <c r="AH6" s="8"/>
      <c r="AI6" s="8"/>
      <c r="AJ6" s="8"/>
      <c r="AK6" s="8"/>
      <c r="AL6" s="87"/>
      <c r="AQ6" s="44">
        <v>18</v>
      </c>
      <c r="AR6" s="8">
        <v>6</v>
      </c>
      <c r="AS6" s="87">
        <f>AR6/AR13</f>
        <v>9.375E-2</v>
      </c>
      <c r="AV6" s="176"/>
      <c r="AX6" s="175"/>
      <c r="AY6" s="175"/>
    </row>
    <row r="7" spans="7:51" s="32" customFormat="1" ht="15" customHeight="1" x14ac:dyDescent="0.25">
      <c r="G7" s="2" t="s">
        <v>24</v>
      </c>
      <c r="H7" s="7">
        <v>18</v>
      </c>
      <c r="I7" s="8">
        <v>63.072108000000007</v>
      </c>
      <c r="J7" s="8">
        <v>420</v>
      </c>
      <c r="K7" s="8">
        <v>118.8</v>
      </c>
      <c r="L7" s="8">
        <v>36</v>
      </c>
      <c r="M7" s="8">
        <v>189.27</v>
      </c>
      <c r="N7" s="8">
        <v>8.4700000000000006</v>
      </c>
      <c r="O7" s="9">
        <f t="shared" ref="O7:O11" si="0">(H7-((I7+J7+K7+L7)/(M7+N7)))</f>
        <v>14.774187781935876</v>
      </c>
      <c r="P7" s="33">
        <v>15</v>
      </c>
      <c r="Q7" s="5">
        <v>486.9</v>
      </c>
      <c r="R7" s="45"/>
      <c r="S7" s="45"/>
      <c r="T7" s="8"/>
      <c r="U7" s="8"/>
      <c r="V7" s="8"/>
      <c r="W7" s="8"/>
      <c r="X7" s="8"/>
      <c r="Y7" s="8"/>
      <c r="Z7" s="8"/>
      <c r="AA7" s="8"/>
      <c r="AB7" s="8"/>
      <c r="AC7" s="8"/>
      <c r="AD7" s="8"/>
      <c r="AE7" s="8"/>
      <c r="AF7" s="8"/>
      <c r="AG7" s="8"/>
      <c r="AH7" s="8"/>
      <c r="AI7" s="8"/>
      <c r="AJ7" s="8"/>
      <c r="AK7" s="8"/>
      <c r="AL7" s="87"/>
      <c r="AQ7" s="44">
        <v>19</v>
      </c>
      <c r="AR7" s="8">
        <v>1</v>
      </c>
      <c r="AS7" s="87">
        <f>AR7/AR13</f>
        <v>1.5625E-2</v>
      </c>
      <c r="AV7" s="176"/>
      <c r="AX7" s="175"/>
      <c r="AY7" s="175"/>
    </row>
    <row r="8" spans="7:51" s="32" customFormat="1" ht="15" customHeight="1" x14ac:dyDescent="0.25">
      <c r="G8" s="2" t="s">
        <v>19</v>
      </c>
      <c r="H8" s="7">
        <v>18</v>
      </c>
      <c r="I8" s="8">
        <v>47.015076240000013</v>
      </c>
      <c r="J8" s="8">
        <v>420</v>
      </c>
      <c r="K8" s="8">
        <v>118.8</v>
      </c>
      <c r="L8" s="8">
        <v>36</v>
      </c>
      <c r="M8" s="8">
        <v>189.27</v>
      </c>
      <c r="N8" s="8">
        <v>8.4700000000000006</v>
      </c>
      <c r="O8" s="9">
        <f t="shared" si="0"/>
        <v>14.855390531809448</v>
      </c>
      <c r="P8" s="33">
        <v>15</v>
      </c>
      <c r="Q8" s="5">
        <v>478</v>
      </c>
      <c r="R8" s="45"/>
      <c r="S8" s="45"/>
      <c r="T8" s="8"/>
      <c r="U8" s="8"/>
      <c r="V8" s="8"/>
      <c r="W8" s="8"/>
      <c r="X8" s="8"/>
      <c r="Y8" s="8"/>
      <c r="Z8" s="8"/>
      <c r="AA8" s="8"/>
      <c r="AB8" s="8"/>
      <c r="AC8" s="8"/>
      <c r="AD8" s="8"/>
      <c r="AE8" s="8"/>
      <c r="AF8" s="8"/>
      <c r="AG8" s="8"/>
      <c r="AH8" s="8"/>
      <c r="AI8" s="8"/>
      <c r="AJ8" s="8"/>
      <c r="AK8" s="8"/>
      <c r="AL8" s="87"/>
      <c r="AQ8" s="44">
        <v>20</v>
      </c>
      <c r="AR8" s="8">
        <v>7</v>
      </c>
      <c r="AS8" s="87">
        <f>AR8/AR13</f>
        <v>0.109375</v>
      </c>
      <c r="AV8" s="176"/>
      <c r="AX8" s="175"/>
      <c r="AY8" s="175"/>
    </row>
    <row r="9" spans="7:51" s="32" customFormat="1" ht="15" customHeight="1" x14ac:dyDescent="0.25">
      <c r="G9" s="2" t="s">
        <v>20</v>
      </c>
      <c r="H9" s="7">
        <v>18</v>
      </c>
      <c r="I9" s="8">
        <v>41.282239680000004</v>
      </c>
      <c r="J9" s="8">
        <v>420</v>
      </c>
      <c r="K9" s="8">
        <v>118.8</v>
      </c>
      <c r="L9" s="8">
        <v>36</v>
      </c>
      <c r="M9" s="8">
        <v>189.27</v>
      </c>
      <c r="N9" s="8">
        <v>8.4700000000000006</v>
      </c>
      <c r="O9" s="9">
        <f t="shared" si="0"/>
        <v>14.884382321836757</v>
      </c>
      <c r="P9" s="33">
        <v>15</v>
      </c>
      <c r="Q9" s="5">
        <v>468.1</v>
      </c>
      <c r="R9" s="45"/>
      <c r="S9" s="45"/>
      <c r="T9" s="8"/>
      <c r="U9" s="8"/>
      <c r="V9" s="8"/>
      <c r="W9" s="8"/>
      <c r="X9" s="8"/>
      <c r="Y9" s="8"/>
      <c r="Z9" s="8"/>
      <c r="AA9" s="8"/>
      <c r="AB9" s="8"/>
      <c r="AC9" s="8"/>
      <c r="AD9" s="8"/>
      <c r="AE9" s="8"/>
      <c r="AF9" s="8"/>
      <c r="AG9" s="8"/>
      <c r="AH9" s="8"/>
      <c r="AI9" s="8"/>
      <c r="AJ9" s="8"/>
      <c r="AK9" s="8"/>
      <c r="AL9" s="87"/>
      <c r="AQ9" s="44">
        <v>21</v>
      </c>
      <c r="AR9" s="8">
        <v>4</v>
      </c>
      <c r="AS9" s="87">
        <f>AR9/AR13</f>
        <v>6.25E-2</v>
      </c>
      <c r="AV9" s="176"/>
      <c r="AX9" s="175"/>
      <c r="AY9" s="175"/>
    </row>
    <row r="10" spans="7:51" s="32" customFormat="1" ht="15" customHeight="1" x14ac:dyDescent="0.25">
      <c r="G10" s="2" t="s">
        <v>21</v>
      </c>
      <c r="H10" s="7">
        <v>18</v>
      </c>
      <c r="I10" s="8">
        <v>37.843264800000007</v>
      </c>
      <c r="J10" s="8">
        <v>420</v>
      </c>
      <c r="K10" s="8">
        <v>118.8</v>
      </c>
      <c r="L10" s="8">
        <v>36</v>
      </c>
      <c r="M10" s="8">
        <v>189.27</v>
      </c>
      <c r="N10" s="8">
        <v>8.4700000000000006</v>
      </c>
      <c r="O10" s="9">
        <f t="shared" si="0"/>
        <v>14.901773719024982</v>
      </c>
      <c r="P10" s="33">
        <v>15</v>
      </c>
      <c r="Q10" s="5">
        <v>446.7</v>
      </c>
      <c r="R10" s="45"/>
      <c r="S10" s="45"/>
      <c r="T10" s="8"/>
      <c r="U10" s="8"/>
      <c r="V10" s="8"/>
      <c r="W10" s="8"/>
      <c r="X10" s="8"/>
      <c r="Y10" s="8"/>
      <c r="Z10" s="8"/>
      <c r="AA10" s="8"/>
      <c r="AB10" s="8"/>
      <c r="AC10" s="8"/>
      <c r="AD10" s="8"/>
      <c r="AE10" s="8"/>
      <c r="AF10" s="8"/>
      <c r="AG10" s="8"/>
      <c r="AH10" s="8"/>
      <c r="AI10" s="8"/>
      <c r="AJ10" s="8"/>
      <c r="AK10" s="8"/>
      <c r="AL10" s="87"/>
      <c r="AQ10" s="44">
        <v>22</v>
      </c>
      <c r="AR10" s="8">
        <v>16</v>
      </c>
      <c r="AS10" s="87">
        <f>AR10/AR13</f>
        <v>0.25</v>
      </c>
      <c r="AV10" s="176"/>
      <c r="AX10" s="175"/>
      <c r="AY10" s="175"/>
    </row>
    <row r="11" spans="7:51" s="32" customFormat="1" ht="15" customHeight="1" x14ac:dyDescent="0.25">
      <c r="G11" s="2" t="s">
        <v>22</v>
      </c>
      <c r="H11" s="7">
        <v>18</v>
      </c>
      <c r="I11" s="8">
        <v>34.400654639999999</v>
      </c>
      <c r="J11" s="8">
        <v>420</v>
      </c>
      <c r="K11" s="8">
        <v>118.8</v>
      </c>
      <c r="L11" s="8">
        <v>36</v>
      </c>
      <c r="M11" s="8">
        <v>189.27</v>
      </c>
      <c r="N11" s="8">
        <v>8.4700000000000006</v>
      </c>
      <c r="O11" s="9">
        <f t="shared" si="0"/>
        <v>14.919183500354</v>
      </c>
      <c r="P11" s="33">
        <v>15</v>
      </c>
      <c r="Q11" s="5">
        <v>372.8</v>
      </c>
      <c r="R11" s="45"/>
      <c r="S11" s="45"/>
      <c r="T11" s="8"/>
      <c r="U11" s="8"/>
      <c r="V11" s="8"/>
      <c r="W11" s="8"/>
      <c r="X11" s="8"/>
      <c r="Y11" s="8"/>
      <c r="Z11" s="8"/>
      <c r="AA11" s="8"/>
      <c r="AB11" s="8"/>
      <c r="AC11" s="8"/>
      <c r="AD11" s="8"/>
      <c r="AE11" s="8"/>
      <c r="AF11" s="8"/>
      <c r="AG11" s="8"/>
      <c r="AH11" s="8"/>
      <c r="AI11" s="8"/>
      <c r="AJ11" s="8"/>
      <c r="AK11" s="8"/>
      <c r="AL11" s="87"/>
      <c r="AQ11" s="44">
        <v>23</v>
      </c>
      <c r="AR11" s="8">
        <v>10</v>
      </c>
      <c r="AS11" s="87">
        <f>AR11/AR13</f>
        <v>0.15625</v>
      </c>
      <c r="AV11" s="176"/>
      <c r="AX11" s="175"/>
      <c r="AY11" s="175"/>
    </row>
    <row r="12" spans="7:51" s="32" customFormat="1" ht="15" customHeight="1" x14ac:dyDescent="0.3">
      <c r="G12" s="10" t="s">
        <v>185</v>
      </c>
      <c r="H12" s="336"/>
      <c r="I12" s="336"/>
      <c r="J12" s="336"/>
      <c r="K12" s="336"/>
      <c r="L12" s="336"/>
      <c r="M12" s="336"/>
      <c r="N12" s="336"/>
      <c r="O12" s="336"/>
      <c r="P12" s="336"/>
      <c r="Q12" s="11">
        <f>SUM(Q6:Q11)</f>
        <v>2778</v>
      </c>
      <c r="R12" s="14">
        <f>9/24</f>
        <v>0.375</v>
      </c>
      <c r="S12" s="14">
        <f>24/1000</f>
        <v>2.4E-2</v>
      </c>
      <c r="T12" s="8">
        <v>3.59</v>
      </c>
      <c r="U12" s="8">
        <v>12.96</v>
      </c>
      <c r="V12" s="8">
        <f>Q12</f>
        <v>2778</v>
      </c>
      <c r="W12" s="68">
        <f>R12*S12*T12*U12*V12</f>
        <v>1163.2530528000002</v>
      </c>
      <c r="X12" s="8">
        <v>3.94</v>
      </c>
      <c r="Y12" s="8">
        <v>12.96</v>
      </c>
      <c r="Z12" s="8">
        <f>Q12</f>
        <v>2778</v>
      </c>
      <c r="AA12" s="17">
        <f>(R12*S12*X12*Y12*Z12)</f>
        <v>1276.6621248000004</v>
      </c>
      <c r="AB12" s="8">
        <v>2.13</v>
      </c>
      <c r="AC12" s="8">
        <v>41.904000000000003</v>
      </c>
      <c r="AD12" s="8">
        <f t="shared" ref="AD12" si="1">Q12</f>
        <v>2778</v>
      </c>
      <c r="AE12" s="17">
        <f>(R12*S12*AB12*AC12*AD12)</f>
        <v>2231.5665110400005</v>
      </c>
      <c r="AF12" s="99">
        <f>N310</f>
        <v>1275.5767073859145</v>
      </c>
      <c r="AG12" s="27">
        <f>W12+AA12+AE12+AF12</f>
        <v>5947.0583960259155</v>
      </c>
      <c r="AH12" s="8">
        <f>AG12*0.1</f>
        <v>594.7058396025916</v>
      </c>
      <c r="AI12" s="125">
        <f>AG12+AH12</f>
        <v>6541.7642356285069</v>
      </c>
      <c r="AJ12" s="8">
        <v>3.1</v>
      </c>
      <c r="AK12" s="130">
        <f>ROUND((AI12/AJ12),0)</f>
        <v>2110</v>
      </c>
      <c r="AL12" s="87"/>
      <c r="AM12" s="32">
        <v>18</v>
      </c>
      <c r="AQ12" s="44">
        <v>24</v>
      </c>
      <c r="AR12" s="8">
        <v>20</v>
      </c>
      <c r="AS12" s="87">
        <f>AR12/AR13</f>
        <v>0.3125</v>
      </c>
      <c r="AV12" s="176"/>
      <c r="AX12" s="175"/>
      <c r="AY12" s="175"/>
    </row>
    <row r="13" spans="7:51" s="32" customFormat="1" ht="15" customHeight="1" thickBot="1" x14ac:dyDescent="0.3">
      <c r="G13" s="2" t="s">
        <v>13</v>
      </c>
      <c r="H13" s="7">
        <v>19</v>
      </c>
      <c r="I13" s="8">
        <v>75.686529600000014</v>
      </c>
      <c r="J13" s="8">
        <v>420</v>
      </c>
      <c r="K13" s="8">
        <v>118.8</v>
      </c>
      <c r="L13" s="8">
        <v>36</v>
      </c>
      <c r="M13" s="8">
        <v>189.27</v>
      </c>
      <c r="N13" s="8">
        <v>8.4700000000000006</v>
      </c>
      <c r="O13" s="9">
        <f>(H13-((I13+J13+K13+L13)/(M13+N13)))</f>
        <v>15.710394813391321</v>
      </c>
      <c r="P13" s="7">
        <v>16</v>
      </c>
      <c r="Q13" s="5">
        <v>495.5</v>
      </c>
      <c r="R13" s="45"/>
      <c r="S13" s="45"/>
      <c r="T13" s="8"/>
      <c r="U13" s="8"/>
      <c r="V13" s="8"/>
      <c r="W13" s="8"/>
      <c r="X13" s="8"/>
      <c r="Y13" s="8"/>
      <c r="Z13" s="8"/>
      <c r="AA13" s="8"/>
      <c r="AB13" s="8"/>
      <c r="AC13" s="8"/>
      <c r="AD13" s="8"/>
      <c r="AE13" s="8"/>
      <c r="AF13" s="8"/>
      <c r="AG13" s="8"/>
      <c r="AH13" s="8"/>
      <c r="AI13" s="8"/>
      <c r="AJ13" s="8"/>
      <c r="AK13" s="8"/>
      <c r="AL13" s="87"/>
      <c r="AQ13" s="146"/>
      <c r="AR13" s="21">
        <f>SUM(AR6:AR12)</f>
        <v>64</v>
      </c>
      <c r="AS13" s="139"/>
    </row>
    <row r="14" spans="7:51" s="32" customFormat="1" ht="15" customHeight="1" x14ac:dyDescent="0.25">
      <c r="G14" s="2" t="s">
        <v>24</v>
      </c>
      <c r="H14" s="7">
        <v>19</v>
      </c>
      <c r="I14" s="8">
        <v>63.072108000000007</v>
      </c>
      <c r="J14" s="8">
        <v>420</v>
      </c>
      <c r="K14" s="8">
        <v>118.8</v>
      </c>
      <c r="L14" s="8">
        <v>36</v>
      </c>
      <c r="M14" s="8">
        <v>189.27</v>
      </c>
      <c r="N14" s="8">
        <v>8.4700000000000006</v>
      </c>
      <c r="O14" s="9">
        <f t="shared" ref="O14:O18" si="2">(H14-((I14+J14+K14+L14)/(M14+N14)))</f>
        <v>15.774187781935876</v>
      </c>
      <c r="P14" s="7">
        <v>16</v>
      </c>
      <c r="Q14" s="5">
        <v>455.9</v>
      </c>
      <c r="R14" s="45"/>
      <c r="S14" s="45"/>
      <c r="T14" s="8"/>
      <c r="U14" s="8"/>
      <c r="V14" s="8"/>
      <c r="W14" s="8"/>
      <c r="X14" s="8"/>
      <c r="Y14" s="8"/>
      <c r="Z14" s="8"/>
      <c r="AA14" s="8"/>
      <c r="AB14" s="8"/>
      <c r="AC14" s="8"/>
      <c r="AD14" s="8"/>
      <c r="AE14" s="8"/>
      <c r="AF14" s="8"/>
      <c r="AG14" s="8"/>
      <c r="AH14" s="8"/>
      <c r="AI14" s="8"/>
      <c r="AJ14" s="8"/>
      <c r="AK14" s="8"/>
      <c r="AL14" s="87"/>
    </row>
    <row r="15" spans="7:51" s="32" customFormat="1" ht="15" customHeight="1" x14ac:dyDescent="0.25">
      <c r="G15" s="2" t="s">
        <v>19</v>
      </c>
      <c r="H15" s="7">
        <v>19</v>
      </c>
      <c r="I15" s="8">
        <v>47.015076240000013</v>
      </c>
      <c r="J15" s="8">
        <v>420</v>
      </c>
      <c r="K15" s="8">
        <v>118.8</v>
      </c>
      <c r="L15" s="8">
        <v>36</v>
      </c>
      <c r="M15" s="8">
        <v>189.27</v>
      </c>
      <c r="N15" s="8">
        <v>8.4700000000000006</v>
      </c>
      <c r="O15" s="9">
        <f t="shared" si="2"/>
        <v>15.855390531809448</v>
      </c>
      <c r="P15" s="7">
        <v>16</v>
      </c>
      <c r="Q15" s="5">
        <v>447</v>
      </c>
      <c r="R15" s="45"/>
      <c r="S15" s="45"/>
      <c r="T15" s="8"/>
      <c r="U15" s="8"/>
      <c r="V15" s="8"/>
      <c r="W15" s="8"/>
      <c r="X15" s="8"/>
      <c r="Y15" s="8"/>
      <c r="Z15" s="8"/>
      <c r="AA15" s="8"/>
      <c r="AB15" s="8"/>
      <c r="AC15" s="8"/>
      <c r="AD15" s="8"/>
      <c r="AE15" s="8"/>
      <c r="AF15" s="8"/>
      <c r="AG15" s="8"/>
      <c r="AH15" s="8"/>
      <c r="AI15" s="8"/>
      <c r="AJ15" s="8"/>
      <c r="AK15" s="8"/>
      <c r="AL15" s="87"/>
    </row>
    <row r="16" spans="7:51" s="32" customFormat="1" ht="15" customHeight="1" x14ac:dyDescent="0.25">
      <c r="G16" s="2" t="s">
        <v>20</v>
      </c>
      <c r="H16" s="7">
        <v>19</v>
      </c>
      <c r="I16" s="8">
        <v>41.282239680000004</v>
      </c>
      <c r="J16" s="8">
        <v>420</v>
      </c>
      <c r="K16" s="8">
        <v>118.8</v>
      </c>
      <c r="L16" s="8">
        <v>36</v>
      </c>
      <c r="M16" s="8">
        <v>189.27</v>
      </c>
      <c r="N16" s="8">
        <v>8.4700000000000006</v>
      </c>
      <c r="O16" s="9">
        <f t="shared" si="2"/>
        <v>15.884382321836757</v>
      </c>
      <c r="P16" s="7">
        <v>16</v>
      </c>
      <c r="Q16" s="5">
        <v>438.1</v>
      </c>
      <c r="R16" s="45"/>
      <c r="S16" s="45"/>
      <c r="T16" s="8"/>
      <c r="U16" s="8"/>
      <c r="V16" s="8"/>
      <c r="W16" s="8"/>
      <c r="X16" s="8"/>
      <c r="Y16" s="8"/>
      <c r="Z16" s="8"/>
      <c r="AA16" s="8"/>
      <c r="AB16" s="8"/>
      <c r="AC16" s="8"/>
      <c r="AD16" s="8"/>
      <c r="AE16" s="8"/>
      <c r="AF16" s="8"/>
      <c r="AG16" s="8"/>
      <c r="AH16" s="8"/>
      <c r="AI16" s="8"/>
      <c r="AJ16" s="8"/>
      <c r="AK16" s="8"/>
      <c r="AL16" s="87"/>
    </row>
    <row r="17" spans="7:45" s="32" customFormat="1" ht="15" customHeight="1" x14ac:dyDescent="0.25">
      <c r="G17" s="2" t="s">
        <v>21</v>
      </c>
      <c r="H17" s="7">
        <v>19</v>
      </c>
      <c r="I17" s="8">
        <v>37.843264800000007</v>
      </c>
      <c r="J17" s="8">
        <v>420</v>
      </c>
      <c r="K17" s="8">
        <v>118.8</v>
      </c>
      <c r="L17" s="8">
        <v>36</v>
      </c>
      <c r="M17" s="8">
        <v>189.27</v>
      </c>
      <c r="N17" s="8">
        <v>8.4700000000000006</v>
      </c>
      <c r="O17" s="9">
        <f t="shared" si="2"/>
        <v>15.901773719024982</v>
      </c>
      <c r="P17" s="7">
        <v>16</v>
      </c>
      <c r="Q17" s="5">
        <v>415.7</v>
      </c>
      <c r="R17" s="45"/>
      <c r="S17" s="45"/>
      <c r="T17" s="8"/>
      <c r="U17" s="8"/>
      <c r="V17" s="8"/>
      <c r="W17" s="8"/>
      <c r="X17" s="8"/>
      <c r="Y17" s="8"/>
      <c r="Z17" s="8"/>
      <c r="AA17" s="8"/>
      <c r="AB17" s="8"/>
      <c r="AC17" s="8"/>
      <c r="AD17" s="8"/>
      <c r="AE17" s="8"/>
      <c r="AF17" s="8"/>
      <c r="AG17" s="8"/>
      <c r="AH17" s="8"/>
      <c r="AI17" s="8"/>
      <c r="AJ17" s="8"/>
      <c r="AK17" s="8"/>
      <c r="AL17" s="87"/>
    </row>
    <row r="18" spans="7:45" s="32" customFormat="1" ht="15" customHeight="1" x14ac:dyDescent="0.25">
      <c r="G18" s="2" t="s">
        <v>22</v>
      </c>
      <c r="H18" s="7">
        <v>19</v>
      </c>
      <c r="I18" s="8">
        <v>34.400654639999999</v>
      </c>
      <c r="J18" s="8">
        <v>420</v>
      </c>
      <c r="K18" s="8">
        <v>118.8</v>
      </c>
      <c r="L18" s="8">
        <v>36</v>
      </c>
      <c r="M18" s="8">
        <v>189.27</v>
      </c>
      <c r="N18" s="8">
        <v>8.4700000000000006</v>
      </c>
      <c r="O18" s="9">
        <f t="shared" si="2"/>
        <v>15.919183500354</v>
      </c>
      <c r="P18" s="7">
        <v>16</v>
      </c>
      <c r="Q18" s="5">
        <v>342.8</v>
      </c>
      <c r="R18" s="45"/>
      <c r="S18" s="45"/>
      <c r="T18" s="8"/>
      <c r="U18" s="8"/>
      <c r="V18" s="8"/>
      <c r="W18" s="8"/>
      <c r="X18" s="8"/>
      <c r="Y18" s="8"/>
      <c r="Z18" s="8"/>
      <c r="AA18" s="8"/>
      <c r="AB18" s="8"/>
      <c r="AC18" s="8"/>
      <c r="AD18" s="8"/>
      <c r="AE18" s="8"/>
      <c r="AF18" s="8"/>
      <c r="AG18" s="8"/>
      <c r="AH18" s="8"/>
      <c r="AI18" s="8"/>
      <c r="AJ18" s="8"/>
      <c r="AK18" s="8"/>
      <c r="AL18" s="87"/>
    </row>
    <row r="19" spans="7:45" s="32" customFormat="1" ht="15" customHeight="1" x14ac:dyDescent="0.3">
      <c r="G19" s="10" t="s">
        <v>186</v>
      </c>
      <c r="H19" s="336"/>
      <c r="I19" s="336"/>
      <c r="J19" s="336"/>
      <c r="K19" s="336"/>
      <c r="L19" s="336"/>
      <c r="M19" s="336"/>
      <c r="N19" s="336"/>
      <c r="O19" s="336"/>
      <c r="P19" s="336"/>
      <c r="Q19" s="11">
        <f>SUM(Q13:Q18)</f>
        <v>2595</v>
      </c>
      <c r="R19" s="14">
        <f>9/24</f>
        <v>0.375</v>
      </c>
      <c r="S19" s="14">
        <f>24/1000</f>
        <v>2.4E-2</v>
      </c>
      <c r="T19" s="8">
        <v>3.59</v>
      </c>
      <c r="U19" s="8">
        <v>12.96</v>
      </c>
      <c r="V19" s="8">
        <f>Q19</f>
        <v>2595</v>
      </c>
      <c r="W19" s="68">
        <f>R19*S19*T19*U19*V19</f>
        <v>1086.6240720000003</v>
      </c>
      <c r="X19" s="8">
        <v>3.94</v>
      </c>
      <c r="Y19" s="8">
        <v>12.96</v>
      </c>
      <c r="Z19" s="8">
        <f>Q19</f>
        <v>2595</v>
      </c>
      <c r="AA19" s="17">
        <f>(R19*S19*X19*Y19*Z19)</f>
        <v>1192.5623520000004</v>
      </c>
      <c r="AB19" s="8">
        <v>2.13</v>
      </c>
      <c r="AC19" s="8">
        <v>41.904000000000003</v>
      </c>
      <c r="AD19" s="8">
        <f t="shared" ref="AD19" si="3">Q19</f>
        <v>2595</v>
      </c>
      <c r="AE19" s="17">
        <f>(R19*S19*AB19*AC19*AD19)</f>
        <v>2084.5626696000004</v>
      </c>
      <c r="AF19" s="99">
        <f>N311</f>
        <v>1253.7425013364195</v>
      </c>
      <c r="AG19" s="27">
        <f>W19+AA19+AE19+AF19</f>
        <v>5617.4915949364204</v>
      </c>
      <c r="AH19" s="8">
        <f>AG19*0.1</f>
        <v>561.74915949364208</v>
      </c>
      <c r="AI19" s="125">
        <f>AG19+AH19</f>
        <v>6179.2407544300622</v>
      </c>
      <c r="AJ19" s="8">
        <v>3.1</v>
      </c>
      <c r="AK19" s="130">
        <f>ROUND((AI19/AJ19),0)</f>
        <v>1993</v>
      </c>
      <c r="AL19" s="87"/>
      <c r="AM19" s="32">
        <v>19</v>
      </c>
    </row>
    <row r="20" spans="7:45" s="32" customFormat="1" ht="15" customHeight="1" x14ac:dyDescent="0.25">
      <c r="G20" s="2" t="s">
        <v>13</v>
      </c>
      <c r="H20" s="7">
        <v>20</v>
      </c>
      <c r="I20" s="8">
        <v>75.686529600000014</v>
      </c>
      <c r="J20" s="8">
        <v>420</v>
      </c>
      <c r="K20" s="8">
        <v>118.8</v>
      </c>
      <c r="L20" s="8">
        <v>36</v>
      </c>
      <c r="M20" s="8">
        <v>189.27</v>
      </c>
      <c r="N20" s="8">
        <v>8.4700000000000006</v>
      </c>
      <c r="O20" s="9">
        <f>(H20-((I20+J20+K20+L20)/(M20+N20)))</f>
        <v>16.710394813391321</v>
      </c>
      <c r="P20" s="127">
        <v>17</v>
      </c>
      <c r="Q20" s="45">
        <v>465.5</v>
      </c>
      <c r="R20" s="126"/>
      <c r="S20" s="126"/>
      <c r="T20" s="45"/>
      <c r="U20" s="45"/>
      <c r="V20" s="45"/>
      <c r="W20" s="59"/>
      <c r="X20" s="45"/>
      <c r="Y20" s="45"/>
      <c r="Z20" s="45"/>
      <c r="AA20" s="59"/>
      <c r="AB20" s="45"/>
      <c r="AC20" s="45"/>
      <c r="AD20" s="45"/>
      <c r="AE20" s="59"/>
      <c r="AF20" s="45"/>
      <c r="AG20" s="59"/>
      <c r="AH20" s="45"/>
      <c r="AI20" s="126"/>
      <c r="AJ20" s="45"/>
      <c r="AK20" s="131"/>
      <c r="AL20" s="87"/>
      <c r="AR20" s="1"/>
      <c r="AS20" s="1"/>
    </row>
    <row r="21" spans="7:45" s="32" customFormat="1" ht="15" customHeight="1" x14ac:dyDescent="0.25">
      <c r="G21" s="2" t="s">
        <v>24</v>
      </c>
      <c r="H21" s="7">
        <v>20</v>
      </c>
      <c r="I21" s="8">
        <v>63.072108000000007</v>
      </c>
      <c r="J21" s="8">
        <v>420</v>
      </c>
      <c r="K21" s="8">
        <v>118.8</v>
      </c>
      <c r="L21" s="8">
        <v>36</v>
      </c>
      <c r="M21" s="8">
        <v>189.27</v>
      </c>
      <c r="N21" s="8">
        <v>8.4700000000000006</v>
      </c>
      <c r="O21" s="9">
        <f t="shared" ref="O21:O25" si="4">(H21-((I21+J21+K21+L21)/(M21+N21)))</f>
        <v>16.774187781935876</v>
      </c>
      <c r="P21" s="127">
        <v>17</v>
      </c>
      <c r="Q21" s="45">
        <v>424.9</v>
      </c>
      <c r="R21" s="126"/>
      <c r="S21" s="126"/>
      <c r="T21" s="45"/>
      <c r="U21" s="45"/>
      <c r="V21" s="45"/>
      <c r="W21" s="59"/>
      <c r="X21" s="45"/>
      <c r="Y21" s="45"/>
      <c r="Z21" s="45"/>
      <c r="AA21" s="59"/>
      <c r="AB21" s="45"/>
      <c r="AC21" s="45"/>
      <c r="AD21" s="45"/>
      <c r="AE21" s="59"/>
      <c r="AF21" s="45"/>
      <c r="AG21" s="59"/>
      <c r="AH21" s="45"/>
      <c r="AI21" s="126"/>
      <c r="AJ21" s="45"/>
      <c r="AK21" s="131"/>
      <c r="AL21" s="87"/>
      <c r="AR21" s="1"/>
      <c r="AS21" s="1"/>
    </row>
    <row r="22" spans="7:45" s="32" customFormat="1" ht="15" customHeight="1" x14ac:dyDescent="0.25">
      <c r="G22" s="2" t="s">
        <v>19</v>
      </c>
      <c r="H22" s="7">
        <v>20</v>
      </c>
      <c r="I22" s="8">
        <v>47.015076240000013</v>
      </c>
      <c r="J22" s="8">
        <v>420</v>
      </c>
      <c r="K22" s="8">
        <v>118.8</v>
      </c>
      <c r="L22" s="8">
        <v>36</v>
      </c>
      <c r="M22" s="8">
        <v>189.27</v>
      </c>
      <c r="N22" s="8">
        <v>8.4700000000000006</v>
      </c>
      <c r="O22" s="9">
        <f t="shared" si="4"/>
        <v>16.855390531809448</v>
      </c>
      <c r="P22" s="127">
        <v>17</v>
      </c>
      <c r="Q22" s="45">
        <v>416</v>
      </c>
      <c r="R22" s="126"/>
      <c r="S22" s="126"/>
      <c r="T22" s="45"/>
      <c r="U22" s="45"/>
      <c r="V22" s="45"/>
      <c r="W22" s="59"/>
      <c r="X22" s="45"/>
      <c r="Y22" s="45"/>
      <c r="Z22" s="45"/>
      <c r="AA22" s="59"/>
      <c r="AB22" s="45"/>
      <c r="AC22" s="45"/>
      <c r="AD22" s="45"/>
      <c r="AE22" s="59"/>
      <c r="AF22" s="45"/>
      <c r="AG22" s="59"/>
      <c r="AH22" s="45"/>
      <c r="AI22" s="126"/>
      <c r="AJ22" s="45"/>
      <c r="AK22" s="131"/>
      <c r="AL22" s="87"/>
      <c r="AR22" s="1"/>
      <c r="AS22" s="1"/>
    </row>
    <row r="23" spans="7:45" s="32" customFormat="1" ht="15" customHeight="1" x14ac:dyDescent="0.25">
      <c r="G23" s="2" t="s">
        <v>20</v>
      </c>
      <c r="H23" s="7">
        <v>20</v>
      </c>
      <c r="I23" s="8">
        <v>41.282239680000004</v>
      </c>
      <c r="J23" s="8">
        <v>420</v>
      </c>
      <c r="K23" s="8">
        <v>118.8</v>
      </c>
      <c r="L23" s="8">
        <v>36</v>
      </c>
      <c r="M23" s="8">
        <v>189.27</v>
      </c>
      <c r="N23" s="8">
        <v>8.4700000000000006</v>
      </c>
      <c r="O23" s="9">
        <f t="shared" si="4"/>
        <v>16.884382321836757</v>
      </c>
      <c r="P23" s="127">
        <v>17</v>
      </c>
      <c r="Q23" s="45">
        <v>408.1</v>
      </c>
      <c r="R23" s="126"/>
      <c r="S23" s="126"/>
      <c r="T23" s="45"/>
      <c r="U23" s="45"/>
      <c r="V23" s="45"/>
      <c r="W23" s="59"/>
      <c r="X23" s="45"/>
      <c r="Y23" s="45"/>
      <c r="Z23" s="45"/>
      <c r="AA23" s="59"/>
      <c r="AB23" s="45"/>
      <c r="AC23" s="45"/>
      <c r="AD23" s="45"/>
      <c r="AE23" s="59"/>
      <c r="AF23" s="45"/>
      <c r="AG23" s="59"/>
      <c r="AH23" s="45"/>
      <c r="AI23" s="126"/>
      <c r="AJ23" s="45"/>
      <c r="AK23" s="131"/>
      <c r="AL23" s="87"/>
      <c r="AR23" s="1"/>
      <c r="AS23" s="1"/>
    </row>
    <row r="24" spans="7:45" s="32" customFormat="1" ht="15" customHeight="1" x14ac:dyDescent="0.25">
      <c r="G24" s="2" t="s">
        <v>21</v>
      </c>
      <c r="H24" s="7">
        <v>20</v>
      </c>
      <c r="I24" s="8">
        <v>37.843264800000007</v>
      </c>
      <c r="J24" s="8">
        <v>420</v>
      </c>
      <c r="K24" s="8">
        <v>118.8</v>
      </c>
      <c r="L24" s="8">
        <v>36</v>
      </c>
      <c r="M24" s="8">
        <v>189.27</v>
      </c>
      <c r="N24" s="8">
        <v>8.4700000000000006</v>
      </c>
      <c r="O24" s="9">
        <f t="shared" si="4"/>
        <v>16.901773719024984</v>
      </c>
      <c r="P24" s="127">
        <v>17</v>
      </c>
      <c r="Q24" s="45">
        <v>384.7</v>
      </c>
      <c r="R24" s="126"/>
      <c r="S24" s="126"/>
      <c r="T24" s="45"/>
      <c r="U24" s="45"/>
      <c r="V24" s="45"/>
      <c r="W24" s="59"/>
      <c r="X24" s="45"/>
      <c r="Y24" s="45"/>
      <c r="Z24" s="45"/>
      <c r="AA24" s="59"/>
      <c r="AB24" s="45"/>
      <c r="AC24" s="45"/>
      <c r="AD24" s="45"/>
      <c r="AE24" s="59"/>
      <c r="AF24" s="45"/>
      <c r="AG24" s="59"/>
      <c r="AH24" s="45"/>
      <c r="AI24" s="126"/>
      <c r="AJ24" s="45"/>
      <c r="AK24" s="131"/>
      <c r="AL24" s="87"/>
      <c r="AR24" s="1"/>
      <c r="AS24" s="1"/>
    </row>
    <row r="25" spans="7:45" s="32" customFormat="1" ht="15" customHeight="1" x14ac:dyDescent="0.25">
      <c r="G25" s="2" t="s">
        <v>22</v>
      </c>
      <c r="H25" s="7">
        <v>20</v>
      </c>
      <c r="I25" s="8">
        <v>34.400654639999999</v>
      </c>
      <c r="J25" s="8">
        <v>420</v>
      </c>
      <c r="K25" s="8">
        <v>118.8</v>
      </c>
      <c r="L25" s="8">
        <v>36</v>
      </c>
      <c r="M25" s="8">
        <v>189.27</v>
      </c>
      <c r="N25" s="8">
        <v>8.4700000000000006</v>
      </c>
      <c r="O25" s="9">
        <f t="shared" si="4"/>
        <v>16.919183500354002</v>
      </c>
      <c r="P25" s="127">
        <v>17</v>
      </c>
      <c r="Q25" s="45">
        <v>312.8</v>
      </c>
      <c r="R25" s="126"/>
      <c r="S25" s="126"/>
      <c r="T25" s="45"/>
      <c r="U25" s="45"/>
      <c r="V25" s="45"/>
      <c r="W25" s="59"/>
      <c r="X25" s="45"/>
      <c r="Y25" s="45"/>
      <c r="Z25" s="45"/>
      <c r="AA25" s="59"/>
      <c r="AB25" s="45"/>
      <c r="AC25" s="45"/>
      <c r="AD25" s="45"/>
      <c r="AE25" s="59"/>
      <c r="AF25" s="45"/>
      <c r="AG25" s="59"/>
      <c r="AH25" s="45"/>
      <c r="AI25" s="126"/>
      <c r="AJ25" s="45"/>
      <c r="AK25" s="131"/>
      <c r="AL25" s="87"/>
      <c r="AR25" s="1"/>
      <c r="AS25" s="1"/>
    </row>
    <row r="26" spans="7:45" s="32" customFormat="1" ht="15" customHeight="1" x14ac:dyDescent="0.3">
      <c r="G26" s="10" t="s">
        <v>174</v>
      </c>
      <c r="H26" s="336"/>
      <c r="I26" s="336"/>
      <c r="J26" s="336"/>
      <c r="K26" s="336"/>
      <c r="L26" s="336"/>
      <c r="M26" s="336"/>
      <c r="N26" s="336"/>
      <c r="O26" s="336"/>
      <c r="P26" s="336"/>
      <c r="Q26" s="11">
        <f>SUM(Q20:Q25)</f>
        <v>2412</v>
      </c>
      <c r="R26" s="14">
        <f>9/24</f>
        <v>0.375</v>
      </c>
      <c r="S26" s="14">
        <f>24/1000</f>
        <v>2.4E-2</v>
      </c>
      <c r="T26" s="8">
        <v>3.59</v>
      </c>
      <c r="U26" s="8">
        <v>12.96</v>
      </c>
      <c r="V26" s="8">
        <f>Q26</f>
        <v>2412</v>
      </c>
      <c r="W26" s="68">
        <f>R26*S26*T26*U26*V26</f>
        <v>1009.9950912000003</v>
      </c>
      <c r="X26" s="8">
        <v>3.94</v>
      </c>
      <c r="Y26" s="8">
        <v>12.96</v>
      </c>
      <c r="Z26" s="8">
        <f>Q26</f>
        <v>2412</v>
      </c>
      <c r="AA26" s="17">
        <f>(R26*S26*X26*Y26*Z26)</f>
        <v>1108.4625792000004</v>
      </c>
      <c r="AB26" s="8">
        <v>2.13</v>
      </c>
      <c r="AC26" s="8">
        <v>41.904000000000003</v>
      </c>
      <c r="AD26" s="8">
        <f t="shared" ref="AD26" si="5">Q26</f>
        <v>2412</v>
      </c>
      <c r="AE26" s="17">
        <f>(R26*S26*AB26*AC26*AD26)</f>
        <v>1937.5588281600005</v>
      </c>
      <c r="AF26" s="99">
        <f>N312</f>
        <v>1231.9082952869246</v>
      </c>
      <c r="AG26" s="27">
        <f>W26+AA26+AE26+AF26</f>
        <v>5287.9247938469261</v>
      </c>
      <c r="AH26" s="8">
        <f>AG26*0.1</f>
        <v>528.79247938469268</v>
      </c>
      <c r="AI26" s="125">
        <f>AG26+AH26</f>
        <v>5816.7172732316185</v>
      </c>
      <c r="AJ26" s="8">
        <v>3.1</v>
      </c>
      <c r="AK26" s="130">
        <f>ROUND((AI26/AJ26),0)</f>
        <v>1876</v>
      </c>
      <c r="AL26" s="124"/>
      <c r="AM26" s="32">
        <v>20</v>
      </c>
    </row>
    <row r="27" spans="7:45" s="32" customFormat="1" ht="15" customHeight="1" x14ac:dyDescent="0.25">
      <c r="G27" s="2" t="s">
        <v>13</v>
      </c>
      <c r="H27" s="7">
        <v>21</v>
      </c>
      <c r="I27" s="8">
        <v>75.686529600000014</v>
      </c>
      <c r="J27" s="8">
        <v>420</v>
      </c>
      <c r="K27" s="8">
        <v>118.8</v>
      </c>
      <c r="L27" s="8">
        <v>36</v>
      </c>
      <c r="M27" s="8">
        <v>189.27</v>
      </c>
      <c r="N27" s="8">
        <v>8.4700000000000006</v>
      </c>
      <c r="O27" s="9">
        <f>(H27-((I27+J27+K27+L27)/(M27+N27)))</f>
        <v>17.710394813391321</v>
      </c>
      <c r="P27" s="127">
        <v>18</v>
      </c>
      <c r="Q27" s="5">
        <v>435.5</v>
      </c>
      <c r="R27" s="8"/>
      <c r="S27" s="8"/>
      <c r="T27" s="8"/>
      <c r="U27" s="8"/>
      <c r="V27" s="8"/>
      <c r="W27" s="8"/>
      <c r="X27" s="8"/>
      <c r="Y27" s="8"/>
      <c r="Z27" s="8"/>
      <c r="AA27" s="8"/>
      <c r="AB27" s="8"/>
      <c r="AC27" s="8"/>
      <c r="AD27" s="8"/>
      <c r="AE27" s="8"/>
      <c r="AF27" s="8"/>
      <c r="AG27" s="8"/>
      <c r="AH27" s="8"/>
      <c r="AI27" s="8"/>
      <c r="AJ27" s="8"/>
      <c r="AK27" s="8"/>
      <c r="AL27" s="87"/>
    </row>
    <row r="28" spans="7:45" s="32" customFormat="1" ht="15" customHeight="1" x14ac:dyDescent="0.25">
      <c r="G28" s="2" t="s">
        <v>24</v>
      </c>
      <c r="H28" s="7">
        <v>21</v>
      </c>
      <c r="I28" s="8">
        <v>63.072108000000007</v>
      </c>
      <c r="J28" s="8">
        <v>420</v>
      </c>
      <c r="K28" s="8">
        <v>118.8</v>
      </c>
      <c r="L28" s="8">
        <v>36</v>
      </c>
      <c r="M28" s="8">
        <v>189.27</v>
      </c>
      <c r="N28" s="8">
        <v>8.4700000000000006</v>
      </c>
      <c r="O28" s="9">
        <f>(H28-((I28+J28+K28+L28)/(M28+N28)))</f>
        <v>17.774187781935876</v>
      </c>
      <c r="P28" s="127">
        <v>18</v>
      </c>
      <c r="Q28" s="5">
        <v>393.9</v>
      </c>
      <c r="R28" s="8"/>
      <c r="S28" s="8"/>
      <c r="T28" s="8"/>
      <c r="U28" s="8"/>
      <c r="V28" s="8"/>
      <c r="W28" s="8"/>
      <c r="X28" s="8"/>
      <c r="Y28" s="8"/>
      <c r="Z28" s="8"/>
      <c r="AA28" s="8"/>
      <c r="AB28" s="8"/>
      <c r="AC28" s="8"/>
      <c r="AD28" s="8"/>
      <c r="AE28" s="8"/>
      <c r="AF28" s="8"/>
      <c r="AG28" s="8"/>
      <c r="AH28" s="8"/>
      <c r="AI28" s="8"/>
      <c r="AJ28" s="8"/>
      <c r="AK28" s="8"/>
      <c r="AL28" s="87"/>
    </row>
    <row r="29" spans="7:45" s="32" customFormat="1" ht="15" customHeight="1" x14ac:dyDescent="0.25">
      <c r="G29" s="2" t="s">
        <v>19</v>
      </c>
      <c r="H29" s="7">
        <v>21</v>
      </c>
      <c r="I29" s="8">
        <v>47.015076240000013</v>
      </c>
      <c r="J29" s="8">
        <v>420</v>
      </c>
      <c r="K29" s="8">
        <v>118.8</v>
      </c>
      <c r="L29" s="8">
        <v>36</v>
      </c>
      <c r="M29" s="8">
        <v>189.27</v>
      </c>
      <c r="N29" s="8">
        <v>8.4700000000000006</v>
      </c>
      <c r="O29" s="9">
        <f t="shared" ref="O29:O32" si="6">(H29-((I29+J29+K29+L29)/(M29+N29)))</f>
        <v>17.855390531809448</v>
      </c>
      <c r="P29" s="127">
        <v>18</v>
      </c>
      <c r="Q29" s="5">
        <v>385</v>
      </c>
      <c r="R29" s="8"/>
      <c r="S29" s="8"/>
      <c r="T29" s="8"/>
      <c r="U29" s="8"/>
      <c r="V29" s="8"/>
      <c r="W29" s="8"/>
      <c r="X29" s="8"/>
      <c r="Y29" s="8"/>
      <c r="Z29" s="8"/>
      <c r="AA29" s="8"/>
      <c r="AB29" s="8"/>
      <c r="AC29" s="8"/>
      <c r="AD29" s="8"/>
      <c r="AE29" s="8"/>
      <c r="AF29" s="8"/>
      <c r="AG29" s="8"/>
      <c r="AH29" s="8"/>
      <c r="AI29" s="8"/>
      <c r="AJ29" s="8"/>
      <c r="AK29" s="8"/>
      <c r="AL29" s="87"/>
    </row>
    <row r="30" spans="7:45" s="32" customFormat="1" ht="15" customHeight="1" x14ac:dyDescent="0.25">
      <c r="G30" s="2" t="s">
        <v>20</v>
      </c>
      <c r="H30" s="7">
        <v>21</v>
      </c>
      <c r="I30" s="8">
        <v>41.282239680000004</v>
      </c>
      <c r="J30" s="8">
        <v>420</v>
      </c>
      <c r="K30" s="8">
        <v>118.8</v>
      </c>
      <c r="L30" s="8">
        <v>36</v>
      </c>
      <c r="M30" s="8">
        <v>189.27</v>
      </c>
      <c r="N30" s="8">
        <v>8.4700000000000006</v>
      </c>
      <c r="O30" s="9">
        <f t="shared" si="6"/>
        <v>17.884382321836757</v>
      </c>
      <c r="P30" s="127">
        <v>18</v>
      </c>
      <c r="Q30" s="5">
        <v>378.1</v>
      </c>
      <c r="R30" s="8"/>
      <c r="S30" s="8"/>
      <c r="T30" s="8"/>
      <c r="U30" s="8"/>
      <c r="V30" s="8"/>
      <c r="W30" s="8"/>
      <c r="X30" s="8"/>
      <c r="Y30" s="8"/>
      <c r="Z30" s="8"/>
      <c r="AA30" s="8"/>
      <c r="AB30" s="8"/>
      <c r="AC30" s="8"/>
      <c r="AD30" s="8"/>
      <c r="AE30" s="8"/>
      <c r="AF30" s="8"/>
      <c r="AG30" s="8"/>
      <c r="AH30" s="8"/>
      <c r="AI30" s="8"/>
      <c r="AJ30" s="8"/>
      <c r="AK30" s="8"/>
      <c r="AL30" s="87"/>
    </row>
    <row r="31" spans="7:45" s="32" customFormat="1" ht="15" customHeight="1" x14ac:dyDescent="0.25">
      <c r="G31" s="2" t="s">
        <v>21</v>
      </c>
      <c r="H31" s="7">
        <v>21</v>
      </c>
      <c r="I31" s="8">
        <v>37.843264800000007</v>
      </c>
      <c r="J31" s="8">
        <v>420</v>
      </c>
      <c r="K31" s="8">
        <v>118.8</v>
      </c>
      <c r="L31" s="8">
        <v>36</v>
      </c>
      <c r="M31" s="8">
        <v>189.27</v>
      </c>
      <c r="N31" s="8">
        <v>8.4700000000000006</v>
      </c>
      <c r="O31" s="9">
        <f t="shared" si="6"/>
        <v>17.901773719024984</v>
      </c>
      <c r="P31" s="127">
        <v>18</v>
      </c>
      <c r="Q31" s="5">
        <v>353.7</v>
      </c>
      <c r="R31" s="8"/>
      <c r="S31" s="8"/>
      <c r="T31" s="8"/>
      <c r="U31" s="8"/>
      <c r="V31" s="8"/>
      <c r="W31" s="8"/>
      <c r="X31" s="8"/>
      <c r="Y31" s="8"/>
      <c r="Z31" s="8"/>
      <c r="AA31" s="8"/>
      <c r="AB31" s="8"/>
      <c r="AC31" s="8"/>
      <c r="AD31" s="8"/>
      <c r="AE31" s="8"/>
      <c r="AF31" s="8"/>
      <c r="AG31" s="8"/>
      <c r="AH31" s="8"/>
      <c r="AI31" s="8"/>
      <c r="AJ31" s="8"/>
      <c r="AK31" s="8"/>
      <c r="AL31" s="87"/>
    </row>
    <row r="32" spans="7:45" s="32" customFormat="1" ht="15" customHeight="1" x14ac:dyDescent="0.25">
      <c r="G32" s="2" t="s">
        <v>22</v>
      </c>
      <c r="H32" s="7">
        <v>21</v>
      </c>
      <c r="I32" s="8">
        <v>34.400654639999999</v>
      </c>
      <c r="J32" s="8">
        <v>420</v>
      </c>
      <c r="K32" s="8">
        <v>118.8</v>
      </c>
      <c r="L32" s="8">
        <v>36</v>
      </c>
      <c r="M32" s="8">
        <v>189.27</v>
      </c>
      <c r="N32" s="8">
        <v>8.4700000000000006</v>
      </c>
      <c r="O32" s="9">
        <f t="shared" si="6"/>
        <v>17.919183500354002</v>
      </c>
      <c r="P32" s="127">
        <v>18</v>
      </c>
      <c r="Q32" s="5">
        <v>282.8</v>
      </c>
      <c r="R32" s="8"/>
      <c r="S32" s="8"/>
      <c r="T32" s="8"/>
      <c r="U32" s="8"/>
      <c r="V32" s="8"/>
      <c r="W32" s="8"/>
      <c r="X32" s="8"/>
      <c r="Y32" s="8"/>
      <c r="Z32" s="8"/>
      <c r="AA32" s="8"/>
      <c r="AB32" s="8"/>
      <c r="AC32" s="8"/>
      <c r="AD32" s="8"/>
      <c r="AE32" s="8"/>
      <c r="AF32" s="8"/>
      <c r="AG32" s="8"/>
      <c r="AH32" s="8"/>
      <c r="AI32" s="8"/>
      <c r="AJ32" s="8"/>
      <c r="AK32" s="8"/>
      <c r="AL32" s="87"/>
    </row>
    <row r="33" spans="3:46" s="32" customFormat="1" ht="15" customHeight="1" x14ac:dyDescent="0.3">
      <c r="G33" s="10" t="s">
        <v>173</v>
      </c>
      <c r="H33" s="336"/>
      <c r="I33" s="336"/>
      <c r="J33" s="336"/>
      <c r="K33" s="336"/>
      <c r="L33" s="336"/>
      <c r="M33" s="336"/>
      <c r="N33" s="336"/>
      <c r="O33" s="336"/>
      <c r="P33" s="336"/>
      <c r="Q33" s="11">
        <f>SUM(Q27:Q32)</f>
        <v>2229</v>
      </c>
      <c r="R33" s="14">
        <f>9/24</f>
        <v>0.375</v>
      </c>
      <c r="S33" s="14">
        <f>24/1000</f>
        <v>2.4E-2</v>
      </c>
      <c r="T33" s="8">
        <v>3.59</v>
      </c>
      <c r="U33" s="8">
        <v>12.96</v>
      </c>
      <c r="V33" s="8">
        <f>Q33</f>
        <v>2229</v>
      </c>
      <c r="W33" s="17">
        <f>R33*S33*T33*U33*V33</f>
        <v>933.36611040000025</v>
      </c>
      <c r="X33" s="8">
        <v>3.94</v>
      </c>
      <c r="Y33" s="8">
        <v>12.96</v>
      </c>
      <c r="Z33" s="8">
        <f>Q33</f>
        <v>2229</v>
      </c>
      <c r="AA33" s="17">
        <f>(R33*S33*X33*Y33*Z33)</f>
        <v>1024.3628064000002</v>
      </c>
      <c r="AB33" s="8">
        <v>2.13</v>
      </c>
      <c r="AC33" s="8">
        <v>41.904000000000003</v>
      </c>
      <c r="AD33" s="8">
        <f>Q33</f>
        <v>2229</v>
      </c>
      <c r="AE33" s="17">
        <f>(R33*S33*AB33*AC33*AD33)</f>
        <v>1790.5549867200004</v>
      </c>
      <c r="AF33" s="96">
        <f>N313</f>
        <v>1210.0740892374297</v>
      </c>
      <c r="AG33" s="27">
        <f>W33+AA33+AE33+AF33</f>
        <v>4958.3579927574301</v>
      </c>
      <c r="AH33" s="8">
        <f>AG33*0.1</f>
        <v>495.83579927574306</v>
      </c>
      <c r="AI33" s="125">
        <f>AG33+AH33</f>
        <v>5454.1937920331729</v>
      </c>
      <c r="AJ33" s="8">
        <v>3.1</v>
      </c>
      <c r="AK33" s="130">
        <f>ROUND((AI33/AJ33),0)</f>
        <v>1759</v>
      </c>
      <c r="AL33" s="87"/>
      <c r="AM33" s="32">
        <v>21</v>
      </c>
    </row>
    <row r="34" spans="3:46" s="32" customFormat="1" ht="15" customHeight="1" x14ac:dyDescent="0.25">
      <c r="C34" s="82"/>
      <c r="G34" s="2" t="s">
        <v>13</v>
      </c>
      <c r="H34" s="7">
        <v>22</v>
      </c>
      <c r="I34" s="27">
        <v>75.686529600000014</v>
      </c>
      <c r="J34" s="5">
        <v>420</v>
      </c>
      <c r="K34" s="5">
        <v>118.8</v>
      </c>
      <c r="L34" s="5">
        <v>36</v>
      </c>
      <c r="M34" s="8">
        <v>189.27</v>
      </c>
      <c r="N34" s="8">
        <v>8.4700000000000006</v>
      </c>
      <c r="O34" s="9">
        <f>(H34-((I34+J34+K34+L34)/(M34+N34)))</f>
        <v>18.710394813391321</v>
      </c>
      <c r="P34" s="127">
        <v>19</v>
      </c>
      <c r="Q34" s="5">
        <v>405.5</v>
      </c>
      <c r="R34" s="8"/>
      <c r="S34" s="8"/>
      <c r="T34" s="8"/>
      <c r="U34" s="8"/>
      <c r="V34" s="8"/>
      <c r="W34" s="8"/>
      <c r="X34" s="8"/>
      <c r="Y34" s="8"/>
      <c r="Z34" s="8"/>
      <c r="AA34" s="8"/>
      <c r="AB34" s="8"/>
      <c r="AC34" s="8"/>
      <c r="AD34" s="8"/>
      <c r="AE34" s="8"/>
      <c r="AF34" s="8"/>
      <c r="AG34" s="8"/>
      <c r="AH34" s="8"/>
      <c r="AI34" s="8"/>
      <c r="AJ34" s="8"/>
      <c r="AK34" s="8"/>
      <c r="AL34" s="87"/>
    </row>
    <row r="35" spans="3:46" s="32" customFormat="1" ht="15" customHeight="1" x14ac:dyDescent="0.25">
      <c r="C35" s="82"/>
      <c r="G35" s="2" t="s">
        <v>24</v>
      </c>
      <c r="H35" s="7">
        <v>22</v>
      </c>
      <c r="I35" s="27">
        <v>63.072108000000007</v>
      </c>
      <c r="J35" s="5">
        <v>420</v>
      </c>
      <c r="K35" s="5">
        <v>118.8</v>
      </c>
      <c r="L35" s="5">
        <v>36</v>
      </c>
      <c r="M35" s="8">
        <v>189.27</v>
      </c>
      <c r="N35" s="8">
        <v>8.4700000000000006</v>
      </c>
      <c r="O35" s="9">
        <f t="shared" ref="O35:O39" si="7">(H35-((I35+J35+K35+L35)/(M35+N35)))</f>
        <v>18.774187781935876</v>
      </c>
      <c r="P35" s="127">
        <v>19</v>
      </c>
      <c r="Q35" s="5">
        <v>362.9</v>
      </c>
      <c r="R35" s="8"/>
      <c r="S35" s="8"/>
      <c r="T35" s="8"/>
      <c r="U35" s="8"/>
      <c r="V35" s="8"/>
      <c r="W35" s="8"/>
      <c r="X35" s="8"/>
      <c r="Y35" s="8"/>
      <c r="Z35" s="8"/>
      <c r="AA35" s="8"/>
      <c r="AB35" s="8"/>
      <c r="AC35" s="8"/>
      <c r="AD35" s="8"/>
      <c r="AE35" s="8"/>
      <c r="AF35" s="8"/>
      <c r="AG35" s="8"/>
      <c r="AH35" s="8"/>
      <c r="AI35" s="8"/>
      <c r="AJ35" s="8"/>
      <c r="AK35" s="8"/>
      <c r="AL35" s="87"/>
    </row>
    <row r="36" spans="3:46" s="32" customFormat="1" ht="15" customHeight="1" x14ac:dyDescent="0.25">
      <c r="C36" s="82"/>
      <c r="G36" s="2" t="s">
        <v>19</v>
      </c>
      <c r="H36" s="7">
        <v>22</v>
      </c>
      <c r="I36" s="27">
        <v>47.015076240000013</v>
      </c>
      <c r="J36" s="5">
        <v>420</v>
      </c>
      <c r="K36" s="5">
        <v>118.8</v>
      </c>
      <c r="L36" s="5">
        <v>36</v>
      </c>
      <c r="M36" s="8">
        <v>189.27</v>
      </c>
      <c r="N36" s="8">
        <v>8.4700000000000006</v>
      </c>
      <c r="O36" s="9">
        <f t="shared" si="7"/>
        <v>18.855390531809448</v>
      </c>
      <c r="P36" s="127">
        <v>19</v>
      </c>
      <c r="Q36" s="5">
        <v>354</v>
      </c>
      <c r="R36" s="8"/>
      <c r="S36" s="8"/>
      <c r="T36" s="8"/>
      <c r="U36" s="8"/>
      <c r="V36" s="8"/>
      <c r="W36" s="8"/>
      <c r="X36" s="8"/>
      <c r="Y36" s="8"/>
      <c r="Z36" s="8"/>
      <c r="AA36" s="8"/>
      <c r="AB36" s="8"/>
      <c r="AC36" s="8"/>
      <c r="AD36" s="8"/>
      <c r="AE36" s="8"/>
      <c r="AF36" s="8"/>
      <c r="AG36" s="8"/>
      <c r="AH36" s="8"/>
      <c r="AI36" s="8"/>
      <c r="AJ36" s="8"/>
      <c r="AK36" s="8"/>
      <c r="AL36" s="87"/>
    </row>
    <row r="37" spans="3:46" s="32" customFormat="1" ht="15" customHeight="1" x14ac:dyDescent="0.25">
      <c r="C37" s="82"/>
      <c r="G37" s="2" t="s">
        <v>20</v>
      </c>
      <c r="H37" s="7">
        <v>22</v>
      </c>
      <c r="I37" s="27">
        <v>41.282239680000004</v>
      </c>
      <c r="J37" s="5">
        <v>420</v>
      </c>
      <c r="K37" s="5">
        <v>118.8</v>
      </c>
      <c r="L37" s="5">
        <v>36</v>
      </c>
      <c r="M37" s="8">
        <v>189.27</v>
      </c>
      <c r="N37" s="8">
        <v>8.4700000000000006</v>
      </c>
      <c r="O37" s="9">
        <f t="shared" si="7"/>
        <v>18.884382321836757</v>
      </c>
      <c r="P37" s="127">
        <v>19</v>
      </c>
      <c r="Q37" s="5">
        <v>348.1</v>
      </c>
      <c r="R37" s="8"/>
      <c r="S37" s="8"/>
      <c r="T37" s="8"/>
      <c r="U37" s="8"/>
      <c r="V37" s="8"/>
      <c r="W37" s="8"/>
      <c r="X37" s="8"/>
      <c r="Y37" s="8"/>
      <c r="Z37" s="8"/>
      <c r="AA37" s="8"/>
      <c r="AB37" s="8"/>
      <c r="AC37" s="8"/>
      <c r="AD37" s="8"/>
      <c r="AE37" s="8"/>
      <c r="AF37" s="8"/>
      <c r="AG37" s="8"/>
      <c r="AH37" s="8"/>
      <c r="AI37" s="8"/>
      <c r="AJ37" s="8"/>
      <c r="AK37" s="8"/>
      <c r="AL37" s="87"/>
    </row>
    <row r="38" spans="3:46" s="32" customFormat="1" ht="15" customHeight="1" x14ac:dyDescent="0.25">
      <c r="C38" s="82"/>
      <c r="G38" s="2" t="s">
        <v>21</v>
      </c>
      <c r="H38" s="7">
        <v>22</v>
      </c>
      <c r="I38" s="27">
        <v>37.843264800000007</v>
      </c>
      <c r="J38" s="5">
        <v>420</v>
      </c>
      <c r="K38" s="5">
        <v>118.8</v>
      </c>
      <c r="L38" s="5">
        <v>36</v>
      </c>
      <c r="M38" s="8">
        <v>189.27</v>
      </c>
      <c r="N38" s="8">
        <v>8.4700000000000006</v>
      </c>
      <c r="O38" s="9">
        <f t="shared" si="7"/>
        <v>18.901773719024984</v>
      </c>
      <c r="P38" s="127">
        <v>19</v>
      </c>
      <c r="Q38" s="5">
        <v>322.7</v>
      </c>
      <c r="R38" s="8"/>
      <c r="S38" s="8"/>
      <c r="T38" s="8"/>
      <c r="U38" s="8"/>
      <c r="V38" s="8"/>
      <c r="W38" s="8"/>
      <c r="X38" s="8"/>
      <c r="Y38" s="8"/>
      <c r="Z38" s="8"/>
      <c r="AA38" s="8"/>
      <c r="AB38" s="8"/>
      <c r="AC38" s="8"/>
      <c r="AD38" s="8"/>
      <c r="AE38" s="8"/>
      <c r="AF38" s="8"/>
      <c r="AG38" s="8"/>
      <c r="AH38" s="8"/>
      <c r="AI38" s="8"/>
      <c r="AJ38" s="8"/>
      <c r="AK38" s="8"/>
      <c r="AL38" s="87"/>
    </row>
    <row r="39" spans="3:46" s="32" customFormat="1" ht="15" customHeight="1" x14ac:dyDescent="0.25">
      <c r="C39" s="82"/>
      <c r="G39" s="2" t="s">
        <v>22</v>
      </c>
      <c r="H39" s="7">
        <v>22</v>
      </c>
      <c r="I39" s="27">
        <v>34.400654639999999</v>
      </c>
      <c r="J39" s="5">
        <v>420</v>
      </c>
      <c r="K39" s="5">
        <v>118.8</v>
      </c>
      <c r="L39" s="5">
        <v>36</v>
      </c>
      <c r="M39" s="8">
        <v>189.27</v>
      </c>
      <c r="N39" s="8">
        <v>8.4700000000000006</v>
      </c>
      <c r="O39" s="9">
        <f t="shared" si="7"/>
        <v>18.919183500354002</v>
      </c>
      <c r="P39" s="127">
        <v>19</v>
      </c>
      <c r="Q39" s="5">
        <v>252.8</v>
      </c>
      <c r="R39" s="8"/>
      <c r="S39" s="8"/>
      <c r="T39" s="8"/>
      <c r="U39" s="8"/>
      <c r="V39" s="8"/>
      <c r="W39" s="8"/>
      <c r="X39" s="8"/>
      <c r="Y39" s="8"/>
      <c r="Z39" s="8"/>
      <c r="AA39" s="8"/>
      <c r="AB39" s="8"/>
      <c r="AC39" s="8"/>
      <c r="AD39" s="8"/>
      <c r="AE39" s="8"/>
      <c r="AF39" s="8"/>
      <c r="AG39" s="8"/>
      <c r="AH39" s="8"/>
      <c r="AI39" s="8"/>
      <c r="AJ39" s="8"/>
      <c r="AK39" s="8"/>
      <c r="AL39" s="87"/>
    </row>
    <row r="40" spans="3:46" s="32" customFormat="1" ht="15" customHeight="1" x14ac:dyDescent="0.3">
      <c r="G40" s="10" t="s">
        <v>140</v>
      </c>
      <c r="H40" s="336"/>
      <c r="I40" s="336"/>
      <c r="J40" s="336"/>
      <c r="K40" s="336"/>
      <c r="L40" s="336"/>
      <c r="M40" s="336"/>
      <c r="N40" s="336"/>
      <c r="O40" s="336"/>
      <c r="P40" s="336"/>
      <c r="Q40" s="11">
        <f>SUM(Q34:Q39)</f>
        <v>2046</v>
      </c>
      <c r="R40" s="14">
        <f>9/24</f>
        <v>0.375</v>
      </c>
      <c r="S40" s="14">
        <f>24/1000</f>
        <v>2.4E-2</v>
      </c>
      <c r="T40" s="8">
        <v>3.59</v>
      </c>
      <c r="U40" s="8">
        <v>12.96</v>
      </c>
      <c r="V40" s="8">
        <f>Q40</f>
        <v>2046</v>
      </c>
      <c r="W40" s="17">
        <f>R40*S40*T40*U40*V40</f>
        <v>856.73712960000023</v>
      </c>
      <c r="X40" s="8">
        <v>3.94</v>
      </c>
      <c r="Y40" s="8">
        <v>12.96</v>
      </c>
      <c r="Z40" s="8">
        <f>Q40</f>
        <v>2046</v>
      </c>
      <c r="AA40" s="17">
        <f>(R40*S40*X40*Y40*Z40)</f>
        <v>940.26303360000031</v>
      </c>
      <c r="AB40" s="8">
        <v>2.13</v>
      </c>
      <c r="AC40" s="8">
        <v>41.904000000000003</v>
      </c>
      <c r="AD40" s="8">
        <f>Q40</f>
        <v>2046</v>
      </c>
      <c r="AE40" s="17">
        <f>(R40*S40*AB40*AC40*AD40)</f>
        <v>1643.5511452800004</v>
      </c>
      <c r="AF40" s="96">
        <f>N314</f>
        <v>1188.239883187935</v>
      </c>
      <c r="AG40" s="27">
        <f>W40+AA40+AE40+AF40</f>
        <v>4628.7911916679359</v>
      </c>
      <c r="AH40" s="8">
        <f>AG40*0.1</f>
        <v>462.8791191667936</v>
      </c>
      <c r="AI40" s="125">
        <f>AG40+AH40</f>
        <v>5091.6703108347292</v>
      </c>
      <c r="AJ40" s="8">
        <v>3.1</v>
      </c>
      <c r="AK40" s="130">
        <f>ROUND((AI40/AJ40),0)</f>
        <v>1642</v>
      </c>
      <c r="AL40" s="87"/>
      <c r="AM40" s="32">
        <v>22</v>
      </c>
    </row>
    <row r="41" spans="3:46" s="32" customFormat="1" ht="15" customHeight="1" x14ac:dyDescent="0.25">
      <c r="G41" s="2" t="s">
        <v>13</v>
      </c>
      <c r="H41" s="7">
        <v>23</v>
      </c>
      <c r="I41" s="27">
        <v>75.686529600000014</v>
      </c>
      <c r="J41" s="5">
        <v>420</v>
      </c>
      <c r="K41" s="5">
        <v>118.8</v>
      </c>
      <c r="L41" s="5">
        <v>36</v>
      </c>
      <c r="M41" s="8">
        <v>189.27</v>
      </c>
      <c r="N41" s="8">
        <v>8.4700000000000006</v>
      </c>
      <c r="O41" s="9">
        <f>(H41-((I41+J41+K41+L41)/(M41+N41)))</f>
        <v>19.710394813391321</v>
      </c>
      <c r="P41" s="127">
        <v>20</v>
      </c>
      <c r="Q41" s="5">
        <v>375.5</v>
      </c>
      <c r="R41" s="126"/>
      <c r="S41" s="126"/>
      <c r="T41" s="8"/>
      <c r="U41" s="8"/>
      <c r="V41" s="8"/>
      <c r="W41" s="17"/>
      <c r="X41" s="8"/>
      <c r="Y41" s="8"/>
      <c r="Z41" s="8"/>
      <c r="AA41" s="17"/>
      <c r="AB41" s="8"/>
      <c r="AC41" s="8"/>
      <c r="AD41" s="8"/>
      <c r="AE41" s="17"/>
      <c r="AF41" s="96"/>
      <c r="AG41" s="27"/>
      <c r="AH41" s="8"/>
      <c r="AI41" s="125"/>
      <c r="AJ41" s="8"/>
      <c r="AK41" s="130"/>
      <c r="AL41" s="87"/>
      <c r="AR41" s="175"/>
      <c r="AS41" s="175"/>
    </row>
    <row r="42" spans="3:46" ht="14" x14ac:dyDescent="0.25">
      <c r="G42" s="2" t="s">
        <v>24</v>
      </c>
      <c r="H42" s="7">
        <v>23</v>
      </c>
      <c r="I42" s="27">
        <v>63.072108000000007</v>
      </c>
      <c r="J42" s="5">
        <v>420</v>
      </c>
      <c r="K42" s="5">
        <v>118.8</v>
      </c>
      <c r="L42" s="5">
        <v>36</v>
      </c>
      <c r="M42" s="8">
        <v>189.27</v>
      </c>
      <c r="N42" s="8">
        <v>8.4700000000000006</v>
      </c>
      <c r="O42" s="9">
        <f t="shared" ref="O42:O46" si="8">(H42-((I42+J42+K42+L42)/(M42+N42)))</f>
        <v>19.774187781935876</v>
      </c>
      <c r="P42" s="127">
        <v>20</v>
      </c>
      <c r="Q42" s="5">
        <v>331.9</v>
      </c>
      <c r="R42" s="132"/>
      <c r="S42" s="132"/>
      <c r="T42" s="8"/>
      <c r="U42" s="8"/>
      <c r="V42" s="8"/>
      <c r="W42" s="8"/>
      <c r="X42" s="8"/>
      <c r="Y42" s="8"/>
      <c r="Z42" s="8"/>
      <c r="AA42" s="8"/>
      <c r="AB42" s="8"/>
      <c r="AC42" s="8"/>
      <c r="AD42" s="8"/>
      <c r="AE42" s="8"/>
      <c r="AF42" s="8"/>
      <c r="AG42" s="8"/>
      <c r="AH42" s="8"/>
      <c r="AI42" s="8"/>
      <c r="AJ42" s="8"/>
      <c r="AK42" s="8"/>
      <c r="AL42" s="87"/>
      <c r="AR42" s="175"/>
      <c r="AS42" s="175"/>
      <c r="AT42" s="32"/>
    </row>
    <row r="43" spans="3:46" ht="14" x14ac:dyDescent="0.25">
      <c r="G43" s="2" t="s">
        <v>19</v>
      </c>
      <c r="H43" s="7">
        <v>23</v>
      </c>
      <c r="I43" s="27">
        <v>47.015076240000013</v>
      </c>
      <c r="J43" s="5">
        <v>420</v>
      </c>
      <c r="K43" s="5">
        <v>118.8</v>
      </c>
      <c r="L43" s="5">
        <v>36</v>
      </c>
      <c r="M43" s="8">
        <v>189.27</v>
      </c>
      <c r="N43" s="8">
        <v>8.4700000000000006</v>
      </c>
      <c r="O43" s="9">
        <f t="shared" si="8"/>
        <v>19.855390531809448</v>
      </c>
      <c r="P43" s="127">
        <v>20</v>
      </c>
      <c r="Q43" s="5">
        <v>323</v>
      </c>
      <c r="R43" s="132"/>
      <c r="S43" s="132"/>
      <c r="T43" s="8"/>
      <c r="U43" s="8"/>
      <c r="V43" s="8"/>
      <c r="W43" s="8"/>
      <c r="X43" s="8"/>
      <c r="Y43" s="8"/>
      <c r="Z43" s="8"/>
      <c r="AA43" s="8"/>
      <c r="AB43" s="8"/>
      <c r="AC43" s="8"/>
      <c r="AD43" s="8"/>
      <c r="AE43" s="8"/>
      <c r="AF43" s="8"/>
      <c r="AG43" s="8"/>
      <c r="AH43" s="8"/>
      <c r="AI43" s="8"/>
      <c r="AJ43" s="8"/>
      <c r="AK43" s="8"/>
      <c r="AL43" s="87"/>
      <c r="AR43" s="175"/>
      <c r="AS43" s="175"/>
      <c r="AT43" s="32"/>
    </row>
    <row r="44" spans="3:46" ht="14" x14ac:dyDescent="0.25">
      <c r="G44" s="2" t="s">
        <v>20</v>
      </c>
      <c r="H44" s="7">
        <v>23</v>
      </c>
      <c r="I44" s="27">
        <v>41.282239680000004</v>
      </c>
      <c r="J44" s="5">
        <v>420</v>
      </c>
      <c r="K44" s="5">
        <v>118.8</v>
      </c>
      <c r="L44" s="5">
        <v>36</v>
      </c>
      <c r="M44" s="8">
        <v>189.27</v>
      </c>
      <c r="N44" s="8">
        <v>8.4700000000000006</v>
      </c>
      <c r="O44" s="9">
        <f t="shared" si="8"/>
        <v>19.884382321836757</v>
      </c>
      <c r="P44" s="127">
        <v>20</v>
      </c>
      <c r="Q44" s="5">
        <v>318.10000000000002</v>
      </c>
      <c r="R44" s="132"/>
      <c r="S44" s="132"/>
      <c r="T44" s="8"/>
      <c r="U44" s="8"/>
      <c r="V44" s="8"/>
      <c r="W44" s="8"/>
      <c r="X44" s="8"/>
      <c r="Y44" s="8"/>
      <c r="Z44" s="8"/>
      <c r="AA44" s="8"/>
      <c r="AB44" s="8"/>
      <c r="AC44" s="8"/>
      <c r="AD44" s="8"/>
      <c r="AE44" s="8"/>
      <c r="AF44" s="8"/>
      <c r="AG44" s="8"/>
      <c r="AH44" s="8"/>
      <c r="AI44" s="8"/>
      <c r="AJ44" s="8"/>
      <c r="AK44" s="8"/>
      <c r="AL44" s="87"/>
      <c r="AR44" s="175"/>
      <c r="AS44" s="175"/>
      <c r="AT44" s="32"/>
    </row>
    <row r="45" spans="3:46" ht="14" x14ac:dyDescent="0.25">
      <c r="G45" s="2" t="s">
        <v>21</v>
      </c>
      <c r="H45" s="7">
        <v>23</v>
      </c>
      <c r="I45" s="27">
        <v>37.843264800000007</v>
      </c>
      <c r="J45" s="5">
        <v>420</v>
      </c>
      <c r="K45" s="5">
        <v>118.8</v>
      </c>
      <c r="L45" s="5">
        <v>36</v>
      </c>
      <c r="M45" s="8">
        <v>189.27</v>
      </c>
      <c r="N45" s="8">
        <v>8.4700000000000006</v>
      </c>
      <c r="O45" s="9">
        <f t="shared" si="8"/>
        <v>19.901773719024984</v>
      </c>
      <c r="P45" s="127">
        <v>20</v>
      </c>
      <c r="Q45" s="5">
        <v>291.7</v>
      </c>
      <c r="R45" s="132"/>
      <c r="S45" s="132"/>
      <c r="T45" s="8"/>
      <c r="U45" s="8"/>
      <c r="V45" s="8"/>
      <c r="W45" s="8"/>
      <c r="X45" s="8"/>
      <c r="Y45" s="8"/>
      <c r="Z45" s="8"/>
      <c r="AA45" s="8"/>
      <c r="AB45" s="8"/>
      <c r="AC45" s="8"/>
      <c r="AD45" s="8"/>
      <c r="AE45" s="8"/>
      <c r="AF45" s="8"/>
      <c r="AG45" s="8"/>
      <c r="AH45" s="8"/>
      <c r="AI45" s="8"/>
      <c r="AJ45" s="8"/>
      <c r="AK45" s="8"/>
      <c r="AL45" s="87"/>
      <c r="AR45" s="175"/>
      <c r="AS45" s="175"/>
      <c r="AT45" s="32"/>
    </row>
    <row r="46" spans="3:46" ht="14" x14ac:dyDescent="0.25">
      <c r="G46" s="2" t="s">
        <v>22</v>
      </c>
      <c r="H46" s="7">
        <v>23</v>
      </c>
      <c r="I46" s="27">
        <v>34.400654639999999</v>
      </c>
      <c r="J46" s="5">
        <v>420</v>
      </c>
      <c r="K46" s="5">
        <v>118.8</v>
      </c>
      <c r="L46" s="5">
        <v>36</v>
      </c>
      <c r="M46" s="8">
        <v>189.27</v>
      </c>
      <c r="N46" s="8">
        <v>8.4700000000000006</v>
      </c>
      <c r="O46" s="9">
        <f t="shared" si="8"/>
        <v>19.919183500354002</v>
      </c>
      <c r="P46" s="127">
        <v>20</v>
      </c>
      <c r="Q46" s="5">
        <v>222.8</v>
      </c>
      <c r="R46" s="132"/>
      <c r="S46" s="132"/>
      <c r="T46" s="8"/>
      <c r="U46" s="8"/>
      <c r="V46" s="8"/>
      <c r="W46" s="8"/>
      <c r="X46" s="8"/>
      <c r="Y46" s="8"/>
      <c r="Z46" s="8"/>
      <c r="AA46" s="8"/>
      <c r="AB46" s="8"/>
      <c r="AC46" s="8"/>
      <c r="AD46" s="8"/>
      <c r="AE46" s="8"/>
      <c r="AF46" s="8"/>
      <c r="AG46" s="8"/>
      <c r="AH46" s="8"/>
      <c r="AI46" s="8"/>
      <c r="AJ46" s="8"/>
      <c r="AK46" s="8"/>
      <c r="AL46" s="87"/>
      <c r="AR46" s="175"/>
      <c r="AS46" s="175"/>
      <c r="AT46" s="32"/>
    </row>
    <row r="47" spans="3:46" ht="14" x14ac:dyDescent="0.3">
      <c r="G47" s="10" t="s">
        <v>141</v>
      </c>
      <c r="H47" s="339"/>
      <c r="I47" s="339"/>
      <c r="J47" s="339"/>
      <c r="K47" s="339"/>
      <c r="L47" s="339"/>
      <c r="M47" s="339"/>
      <c r="N47" s="339"/>
      <c r="O47" s="339"/>
      <c r="P47" s="339"/>
      <c r="Q47" s="11">
        <f>SUM(Q41:Q46)</f>
        <v>1863</v>
      </c>
      <c r="R47" s="14">
        <f>9/24</f>
        <v>0.375</v>
      </c>
      <c r="S47" s="14">
        <f>24/1000</f>
        <v>2.4E-2</v>
      </c>
      <c r="T47" s="8">
        <v>3.59</v>
      </c>
      <c r="U47" s="8">
        <v>12.96</v>
      </c>
      <c r="V47" s="8">
        <f>Q47</f>
        <v>1863</v>
      </c>
      <c r="W47" s="17">
        <f>R47*S47*T47*U47*V47</f>
        <v>780.10814880000021</v>
      </c>
      <c r="X47" s="8">
        <v>3.94</v>
      </c>
      <c r="Y47" s="8">
        <v>12.96</v>
      </c>
      <c r="Z47" s="8">
        <f>Q47</f>
        <v>1863</v>
      </c>
      <c r="AA47" s="17">
        <f>(R47*S47*X47*Y47*Z47)</f>
        <v>856.16326080000022</v>
      </c>
      <c r="AB47" s="8">
        <v>2.13</v>
      </c>
      <c r="AC47" s="8">
        <v>41.904000000000003</v>
      </c>
      <c r="AD47" s="8">
        <f>Q47</f>
        <v>1863</v>
      </c>
      <c r="AE47" s="17">
        <f>(R47*S47*AB47*AC47*AD47)</f>
        <v>1496.5473038400003</v>
      </c>
      <c r="AF47" s="96">
        <f>N315</f>
        <v>1166.5915721384401</v>
      </c>
      <c r="AG47" s="27">
        <f>W47+AA47+AE47+AF47</f>
        <v>4299.4102855784404</v>
      </c>
      <c r="AH47" s="8">
        <f>AG47*0.1</f>
        <v>429.94102855784405</v>
      </c>
      <c r="AI47" s="125">
        <f>AG47+AH47</f>
        <v>4729.3513141362846</v>
      </c>
      <c r="AJ47" s="8">
        <v>3.1</v>
      </c>
      <c r="AK47" s="130">
        <f>ROUND((AI47/AJ47),0)</f>
        <v>1526</v>
      </c>
      <c r="AL47" s="87"/>
      <c r="AM47" s="1">
        <v>23</v>
      </c>
      <c r="AR47" s="175"/>
      <c r="AS47" s="175"/>
      <c r="AT47" s="32"/>
    </row>
    <row r="48" spans="3:46" ht="13" x14ac:dyDescent="0.25">
      <c r="G48" s="2" t="s">
        <v>13</v>
      </c>
      <c r="H48" s="7">
        <v>24</v>
      </c>
      <c r="I48" s="27">
        <v>75.686529600000014</v>
      </c>
      <c r="J48" s="5">
        <v>420</v>
      </c>
      <c r="K48" s="5">
        <v>118.8</v>
      </c>
      <c r="L48" s="5">
        <v>36</v>
      </c>
      <c r="M48" s="8">
        <v>189.27</v>
      </c>
      <c r="N48" s="8">
        <v>8.4700000000000006</v>
      </c>
      <c r="O48" s="9">
        <f>(H48-((I48+J48+K48+L48)/(M48+N48)))</f>
        <v>20.710394813391321</v>
      </c>
      <c r="P48" s="127">
        <v>21</v>
      </c>
      <c r="Q48" s="5">
        <v>345.5</v>
      </c>
      <c r="R48" s="126"/>
      <c r="S48" s="126"/>
      <c r="T48" s="8"/>
      <c r="U48" s="8"/>
      <c r="V48" s="8"/>
      <c r="W48" s="17"/>
      <c r="X48" s="8"/>
      <c r="Y48" s="8"/>
      <c r="Z48" s="8"/>
      <c r="AA48" s="17"/>
      <c r="AB48" s="8"/>
      <c r="AC48" s="8"/>
      <c r="AD48" s="8"/>
      <c r="AE48" s="17"/>
      <c r="AF48" s="96"/>
      <c r="AG48" s="27"/>
      <c r="AH48" s="8"/>
      <c r="AI48" s="125"/>
      <c r="AJ48" s="8"/>
      <c r="AK48" s="130"/>
      <c r="AL48" s="87"/>
      <c r="AT48" s="32"/>
    </row>
    <row r="49" spans="3:39" ht="13" x14ac:dyDescent="0.25">
      <c r="G49" s="2" t="s">
        <v>24</v>
      </c>
      <c r="H49" s="7">
        <v>24</v>
      </c>
      <c r="I49" s="27">
        <v>63.072108000000007</v>
      </c>
      <c r="J49" s="5">
        <v>420</v>
      </c>
      <c r="K49" s="5">
        <v>118.8</v>
      </c>
      <c r="L49" s="5">
        <v>36</v>
      </c>
      <c r="M49" s="8">
        <v>189.27</v>
      </c>
      <c r="N49" s="8">
        <v>8.4700000000000006</v>
      </c>
      <c r="O49" s="9">
        <f t="shared" ref="O49:O53" si="9">(H49-((I49+J49+K49+L49)/(M49+N49)))</f>
        <v>20.774187781935876</v>
      </c>
      <c r="P49" s="127">
        <v>21</v>
      </c>
      <c r="Q49" s="5">
        <v>300.89999999999998</v>
      </c>
      <c r="R49" s="126"/>
      <c r="S49" s="126"/>
      <c r="T49" s="8"/>
      <c r="U49" s="8"/>
      <c r="V49" s="8"/>
      <c r="W49" s="45"/>
      <c r="X49" s="8"/>
      <c r="Y49" s="8"/>
      <c r="Z49" s="8"/>
      <c r="AA49" s="45"/>
      <c r="AB49" s="8"/>
      <c r="AC49" s="8"/>
      <c r="AD49" s="8"/>
      <c r="AE49" s="45"/>
      <c r="AF49" s="45"/>
      <c r="AG49" s="27"/>
      <c r="AH49" s="8"/>
      <c r="AI49" s="126"/>
      <c r="AJ49" s="8"/>
      <c r="AK49" s="131"/>
      <c r="AL49" s="87"/>
    </row>
    <row r="50" spans="3:39" ht="13" x14ac:dyDescent="0.25">
      <c r="G50" s="2" t="s">
        <v>19</v>
      </c>
      <c r="H50" s="7">
        <v>24</v>
      </c>
      <c r="I50" s="27">
        <v>47.015076240000013</v>
      </c>
      <c r="J50" s="5">
        <v>420</v>
      </c>
      <c r="K50" s="5">
        <v>118.8</v>
      </c>
      <c r="L50" s="5">
        <v>36</v>
      </c>
      <c r="M50" s="8">
        <v>189.27</v>
      </c>
      <c r="N50" s="8">
        <v>8.4700000000000006</v>
      </c>
      <c r="O50" s="9">
        <f t="shared" si="9"/>
        <v>20.855390531809448</v>
      </c>
      <c r="P50" s="127">
        <v>21</v>
      </c>
      <c r="Q50" s="5">
        <v>292</v>
      </c>
      <c r="R50" s="126"/>
      <c r="S50" s="126"/>
      <c r="T50" s="8"/>
      <c r="U50" s="8"/>
      <c r="V50" s="8"/>
      <c r="W50" s="45"/>
      <c r="X50" s="8"/>
      <c r="Y50" s="8"/>
      <c r="Z50" s="8"/>
      <c r="AA50" s="45"/>
      <c r="AB50" s="8"/>
      <c r="AC50" s="8"/>
      <c r="AD50" s="8"/>
      <c r="AE50" s="45"/>
      <c r="AF50" s="45"/>
      <c r="AG50" s="27"/>
      <c r="AH50" s="8"/>
      <c r="AI50" s="126"/>
      <c r="AJ50" s="8"/>
      <c r="AK50" s="131"/>
      <c r="AL50" s="87"/>
    </row>
    <row r="51" spans="3:39" ht="13" x14ac:dyDescent="0.25">
      <c r="G51" s="2" t="s">
        <v>20</v>
      </c>
      <c r="H51" s="7">
        <v>24</v>
      </c>
      <c r="I51" s="27">
        <v>41.282239680000004</v>
      </c>
      <c r="J51" s="5">
        <v>420</v>
      </c>
      <c r="K51" s="5">
        <v>118.8</v>
      </c>
      <c r="L51" s="5">
        <v>36</v>
      </c>
      <c r="M51" s="8">
        <v>189.27</v>
      </c>
      <c r="N51" s="8">
        <v>8.4700000000000006</v>
      </c>
      <c r="O51" s="9">
        <f t="shared" si="9"/>
        <v>20.884382321836757</v>
      </c>
      <c r="P51" s="127">
        <v>21</v>
      </c>
      <c r="Q51" s="5">
        <v>288.10000000000002</v>
      </c>
      <c r="R51" s="126"/>
      <c r="S51" s="126"/>
      <c r="T51" s="8"/>
      <c r="U51" s="8"/>
      <c r="V51" s="8"/>
      <c r="W51" s="45"/>
      <c r="X51" s="8"/>
      <c r="Y51" s="8"/>
      <c r="Z51" s="8"/>
      <c r="AA51" s="45"/>
      <c r="AB51" s="8"/>
      <c r="AC51" s="8"/>
      <c r="AD51" s="8"/>
      <c r="AE51" s="45"/>
      <c r="AF51" s="45"/>
      <c r="AG51" s="27"/>
      <c r="AH51" s="8"/>
      <c r="AI51" s="126"/>
      <c r="AJ51" s="8"/>
      <c r="AK51" s="131"/>
      <c r="AL51" s="87"/>
    </row>
    <row r="52" spans="3:39" ht="13" x14ac:dyDescent="0.25">
      <c r="G52" s="2" t="s">
        <v>21</v>
      </c>
      <c r="H52" s="7">
        <v>24</v>
      </c>
      <c r="I52" s="27">
        <v>37.843264800000007</v>
      </c>
      <c r="J52" s="5">
        <v>420</v>
      </c>
      <c r="K52" s="5">
        <v>118.8</v>
      </c>
      <c r="L52" s="5">
        <v>36</v>
      </c>
      <c r="M52" s="8">
        <v>189.27</v>
      </c>
      <c r="N52" s="8">
        <v>8.4700000000000006</v>
      </c>
      <c r="O52" s="9">
        <f t="shared" si="9"/>
        <v>20.901773719024984</v>
      </c>
      <c r="P52" s="127">
        <v>21</v>
      </c>
      <c r="Q52" s="5">
        <v>260.7</v>
      </c>
      <c r="R52" s="126"/>
      <c r="S52" s="126"/>
      <c r="T52" s="8"/>
      <c r="U52" s="8"/>
      <c r="V52" s="8"/>
      <c r="W52" s="45"/>
      <c r="X52" s="8"/>
      <c r="Y52" s="8"/>
      <c r="Z52" s="8"/>
      <c r="AA52" s="45"/>
      <c r="AB52" s="8"/>
      <c r="AC52" s="8"/>
      <c r="AD52" s="8"/>
      <c r="AE52" s="45"/>
      <c r="AF52" s="45"/>
      <c r="AG52" s="27"/>
      <c r="AH52" s="8"/>
      <c r="AI52" s="126"/>
      <c r="AJ52" s="8"/>
      <c r="AK52" s="131"/>
      <c r="AL52" s="87"/>
    </row>
    <row r="53" spans="3:39" ht="13" x14ac:dyDescent="0.25">
      <c r="G53" s="2" t="s">
        <v>22</v>
      </c>
      <c r="H53" s="7">
        <v>24</v>
      </c>
      <c r="I53" s="27">
        <v>34.400654639999999</v>
      </c>
      <c r="J53" s="5">
        <v>420</v>
      </c>
      <c r="K53" s="5">
        <v>118.8</v>
      </c>
      <c r="L53" s="5">
        <v>36</v>
      </c>
      <c r="M53" s="8">
        <v>189.27</v>
      </c>
      <c r="N53" s="8">
        <v>8.4700000000000006</v>
      </c>
      <c r="O53" s="9">
        <f t="shared" si="9"/>
        <v>20.919183500354002</v>
      </c>
      <c r="P53" s="127">
        <v>21</v>
      </c>
      <c r="Q53" s="5">
        <v>192.8</v>
      </c>
      <c r="R53" s="126"/>
      <c r="S53" s="126"/>
      <c r="T53" s="8"/>
      <c r="U53" s="8"/>
      <c r="V53" s="8"/>
      <c r="W53" s="45"/>
      <c r="X53" s="8"/>
      <c r="Y53" s="8"/>
      <c r="Z53" s="8"/>
      <c r="AA53" s="45"/>
      <c r="AB53" s="8"/>
      <c r="AC53" s="8"/>
      <c r="AD53" s="8"/>
      <c r="AE53" s="45"/>
      <c r="AF53" s="45"/>
      <c r="AG53" s="27"/>
      <c r="AH53" s="8"/>
      <c r="AI53" s="126"/>
      <c r="AJ53" s="8"/>
      <c r="AK53" s="131"/>
      <c r="AL53" s="87"/>
    </row>
    <row r="54" spans="3:39" ht="13" x14ac:dyDescent="0.3">
      <c r="G54" s="10" t="s">
        <v>142</v>
      </c>
      <c r="H54" s="339"/>
      <c r="I54" s="339"/>
      <c r="J54" s="339"/>
      <c r="K54" s="339"/>
      <c r="L54" s="339"/>
      <c r="M54" s="339"/>
      <c r="N54" s="339"/>
      <c r="O54" s="339"/>
      <c r="P54" s="339"/>
      <c r="Q54" s="11">
        <f>SUM(Q48:Q53)</f>
        <v>1680</v>
      </c>
      <c r="R54" s="14">
        <f>9/24</f>
        <v>0.375</v>
      </c>
      <c r="S54" s="14">
        <f>24/1000</f>
        <v>2.4E-2</v>
      </c>
      <c r="T54" s="8">
        <v>3.59</v>
      </c>
      <c r="U54" s="8">
        <v>12.96</v>
      </c>
      <c r="V54" s="8">
        <f>Q54</f>
        <v>1680</v>
      </c>
      <c r="W54" s="17">
        <f>R54*S54*T54*U54*V54</f>
        <v>703.47916800000019</v>
      </c>
      <c r="X54" s="8">
        <v>3.94</v>
      </c>
      <c r="Y54" s="8">
        <v>12.96</v>
      </c>
      <c r="Z54" s="8">
        <f>Q54</f>
        <v>1680</v>
      </c>
      <c r="AA54" s="17">
        <f>(R54*S54*X54*Y54*Z54)</f>
        <v>772.06348800000023</v>
      </c>
      <c r="AB54" s="8">
        <v>2.13</v>
      </c>
      <c r="AC54" s="8">
        <v>41.904000000000003</v>
      </c>
      <c r="AD54" s="8">
        <f>Q54</f>
        <v>1680</v>
      </c>
      <c r="AE54" s="17">
        <f>(R54*S54*AB54*AC54*AD54)</f>
        <v>1349.5434624000004</v>
      </c>
      <c r="AF54" s="96">
        <f>N316</f>
        <v>1144.7136260889451</v>
      </c>
      <c r="AG54" s="27">
        <f>W54+AA54+AE54+AF54</f>
        <v>3969.7997444889461</v>
      </c>
      <c r="AH54" s="8">
        <f>AG54*0.1</f>
        <v>396.97997444889461</v>
      </c>
      <c r="AI54" s="125">
        <f>AG54+AH54</f>
        <v>4366.7797189378407</v>
      </c>
      <c r="AJ54" s="8">
        <v>3.1</v>
      </c>
      <c r="AK54" s="130">
        <f>ROUND((AI54/AJ54),0)</f>
        <v>1409</v>
      </c>
      <c r="AL54" s="133"/>
      <c r="AM54" s="1">
        <v>24</v>
      </c>
    </row>
    <row r="55" spans="3:39" ht="13" x14ac:dyDescent="0.3">
      <c r="G55" s="337" t="s">
        <v>198</v>
      </c>
      <c r="H55" s="338"/>
      <c r="I55" s="338"/>
      <c r="J55" s="338"/>
      <c r="K55" s="338"/>
      <c r="L55" s="338"/>
      <c r="M55" s="338"/>
      <c r="N55" s="338"/>
      <c r="O55" s="338"/>
      <c r="P55" s="338"/>
      <c r="Q55" s="338"/>
      <c r="R55" s="338"/>
      <c r="S55" s="338"/>
      <c r="T55" s="338"/>
      <c r="U55" s="338"/>
      <c r="V55" s="338"/>
      <c r="W55" s="338"/>
      <c r="X55" s="338"/>
      <c r="Y55" s="338"/>
      <c r="Z55" s="338"/>
      <c r="AA55" s="338"/>
      <c r="AB55" s="338"/>
      <c r="AC55" s="338"/>
      <c r="AD55" s="338"/>
      <c r="AE55" s="338"/>
      <c r="AF55" s="338"/>
      <c r="AG55" s="338"/>
      <c r="AH55" s="338"/>
      <c r="AI55" s="338"/>
      <c r="AJ55" s="338"/>
      <c r="AK55" s="338"/>
      <c r="AL55" s="138">
        <f>ROUND((AK12*AS6+AK19*AS7+AK26*AS8+AK33*AS9+AK40*AS10+AK47*AS11+AK54*AS12),0)</f>
        <v>1633</v>
      </c>
    </row>
    <row r="56" spans="3:39" ht="13" x14ac:dyDescent="0.3">
      <c r="G56" s="332" t="s">
        <v>32</v>
      </c>
      <c r="H56" s="333"/>
      <c r="I56" s="333"/>
      <c r="J56" s="333"/>
      <c r="K56" s="333"/>
      <c r="L56" s="333"/>
      <c r="M56" s="333"/>
      <c r="N56" s="333"/>
      <c r="O56" s="333"/>
      <c r="P56" s="333"/>
      <c r="Q56" s="333"/>
      <c r="R56" s="333"/>
      <c r="S56" s="333"/>
      <c r="T56" s="333"/>
      <c r="U56" s="333"/>
      <c r="V56" s="333"/>
      <c r="W56" s="333"/>
      <c r="X56" s="333"/>
      <c r="Y56" s="333"/>
      <c r="Z56" s="333"/>
      <c r="AA56" s="333"/>
      <c r="AB56" s="333"/>
      <c r="AC56" s="333"/>
      <c r="AD56" s="333"/>
      <c r="AE56" s="333"/>
      <c r="AF56" s="333"/>
      <c r="AG56" s="333"/>
      <c r="AH56" s="333"/>
      <c r="AI56" s="333"/>
      <c r="AJ56" s="333"/>
      <c r="AK56" s="333"/>
      <c r="AL56" s="334"/>
    </row>
    <row r="57" spans="3:39" ht="15.5" x14ac:dyDescent="0.4">
      <c r="C57" s="54"/>
      <c r="G57" s="2" t="s">
        <v>0</v>
      </c>
      <c r="H57" s="7"/>
      <c r="I57" s="4"/>
      <c r="J57" s="4"/>
      <c r="K57" s="4"/>
      <c r="L57" s="4"/>
      <c r="M57" s="4"/>
      <c r="N57" s="4"/>
      <c r="O57" s="3" t="s">
        <v>171</v>
      </c>
      <c r="P57" s="3" t="s">
        <v>172</v>
      </c>
      <c r="Q57" s="5" t="s">
        <v>2</v>
      </c>
      <c r="R57" s="8"/>
      <c r="S57" s="8"/>
      <c r="T57" s="8"/>
      <c r="U57" s="8"/>
      <c r="V57" s="8"/>
      <c r="W57" s="8"/>
      <c r="X57" s="8"/>
      <c r="Y57" s="8"/>
      <c r="Z57" s="8"/>
      <c r="AA57" s="8"/>
      <c r="AB57" s="8"/>
      <c r="AC57" s="8"/>
      <c r="AD57" s="8"/>
      <c r="AE57" s="8"/>
      <c r="AF57" s="8"/>
      <c r="AG57" s="8"/>
      <c r="AH57" s="8"/>
      <c r="AI57" s="8"/>
      <c r="AJ57" s="8"/>
      <c r="AK57" s="8"/>
      <c r="AL57" s="87"/>
    </row>
    <row r="58" spans="3:39" x14ac:dyDescent="0.25">
      <c r="C58" s="54"/>
      <c r="G58" s="2" t="s">
        <v>13</v>
      </c>
      <c r="H58" s="7">
        <v>18</v>
      </c>
      <c r="I58" s="18">
        <v>63.072108000000007</v>
      </c>
      <c r="J58" s="5">
        <v>420</v>
      </c>
      <c r="K58" s="5">
        <v>118.8</v>
      </c>
      <c r="L58" s="5">
        <v>36</v>
      </c>
      <c r="M58" s="8">
        <v>189.27</v>
      </c>
      <c r="N58" s="8">
        <v>8.4700000000000006</v>
      </c>
      <c r="O58" s="9">
        <f>(H58-((I58+J58+K58+L58)/(M58+N58)))</f>
        <v>14.774187781935876</v>
      </c>
      <c r="P58" s="33">
        <v>15</v>
      </c>
      <c r="Q58" s="5">
        <v>532.9</v>
      </c>
      <c r="R58" s="8"/>
      <c r="S58" s="8"/>
      <c r="T58" s="8"/>
      <c r="U58" s="8"/>
      <c r="V58" s="8"/>
      <c r="W58" s="8"/>
      <c r="X58" s="8"/>
      <c r="Y58" s="8"/>
      <c r="Z58" s="8"/>
      <c r="AA58" s="8"/>
      <c r="AB58" s="8"/>
      <c r="AC58" s="8"/>
      <c r="AD58" s="8"/>
      <c r="AE58" s="8"/>
      <c r="AF58" s="8"/>
      <c r="AG58" s="8"/>
      <c r="AH58" s="8"/>
      <c r="AI58" s="8"/>
      <c r="AJ58" s="8"/>
      <c r="AK58" s="8"/>
      <c r="AL58" s="87"/>
    </row>
    <row r="59" spans="3:39" x14ac:dyDescent="0.25">
      <c r="C59" s="54"/>
      <c r="G59" s="2" t="s">
        <v>24</v>
      </c>
      <c r="H59" s="7">
        <v>18</v>
      </c>
      <c r="I59" s="18">
        <v>51.602799600000004</v>
      </c>
      <c r="J59" s="5">
        <v>420</v>
      </c>
      <c r="K59" s="5">
        <v>118.8</v>
      </c>
      <c r="L59" s="5">
        <v>36</v>
      </c>
      <c r="M59" s="8">
        <v>189.27</v>
      </c>
      <c r="N59" s="8">
        <v>8.4700000000000006</v>
      </c>
      <c r="O59" s="9">
        <f t="shared" ref="O59:O63" si="10">(H59-((I59+J59+K59+L59)/(M59+N59)))</f>
        <v>14.832189746131284</v>
      </c>
      <c r="P59" s="33">
        <v>15</v>
      </c>
      <c r="Q59" s="5">
        <v>432.9</v>
      </c>
      <c r="R59" s="8"/>
      <c r="S59" s="8"/>
      <c r="T59" s="8"/>
      <c r="U59" s="8"/>
      <c r="V59" s="8"/>
      <c r="W59" s="8"/>
      <c r="X59" s="8"/>
      <c r="Y59" s="8"/>
      <c r="Z59" s="8"/>
      <c r="AA59" s="8"/>
      <c r="AB59" s="8"/>
      <c r="AC59" s="8"/>
      <c r="AD59" s="8"/>
      <c r="AE59" s="8"/>
      <c r="AF59" s="8"/>
      <c r="AG59" s="8"/>
      <c r="AH59" s="8"/>
      <c r="AI59" s="8"/>
      <c r="AJ59" s="8"/>
      <c r="AK59" s="8"/>
      <c r="AL59" s="87"/>
    </row>
    <row r="60" spans="3:39" x14ac:dyDescent="0.25">
      <c r="C60" s="54"/>
      <c r="G60" s="2" t="s">
        <v>19</v>
      </c>
      <c r="H60" s="7">
        <v>18</v>
      </c>
      <c r="I60" s="18">
        <v>43.57610136000001</v>
      </c>
      <c r="J60" s="5">
        <v>420</v>
      </c>
      <c r="K60" s="5">
        <v>118.8</v>
      </c>
      <c r="L60" s="5">
        <v>36</v>
      </c>
      <c r="M60" s="8">
        <v>189.27</v>
      </c>
      <c r="N60" s="8">
        <v>8.4700000000000006</v>
      </c>
      <c r="O60" s="9">
        <f t="shared" si="10"/>
        <v>14.872781928997673</v>
      </c>
      <c r="P60" s="33">
        <v>15</v>
      </c>
      <c r="Q60" s="5">
        <v>393.7</v>
      </c>
      <c r="R60" s="8"/>
      <c r="S60" s="8"/>
      <c r="T60" s="8"/>
      <c r="U60" s="8"/>
      <c r="V60" s="8"/>
      <c r="W60" s="8"/>
      <c r="X60" s="8"/>
      <c r="Y60" s="8"/>
      <c r="Z60" s="8"/>
      <c r="AA60" s="8"/>
      <c r="AB60" s="8"/>
      <c r="AC60" s="8"/>
      <c r="AD60" s="8"/>
      <c r="AE60" s="8"/>
      <c r="AF60" s="8"/>
      <c r="AG60" s="8"/>
      <c r="AH60" s="8"/>
      <c r="AI60" s="8"/>
      <c r="AJ60" s="8"/>
      <c r="AK60" s="8"/>
      <c r="AL60" s="87"/>
    </row>
    <row r="61" spans="3:39" x14ac:dyDescent="0.25">
      <c r="C61" s="54"/>
      <c r="G61" s="2" t="s">
        <v>20</v>
      </c>
      <c r="H61" s="7">
        <v>18</v>
      </c>
      <c r="I61" s="18">
        <v>40.137126480000006</v>
      </c>
      <c r="J61" s="5">
        <v>420</v>
      </c>
      <c r="K61" s="5">
        <v>118.8</v>
      </c>
      <c r="L61" s="5">
        <v>36</v>
      </c>
      <c r="M61" s="8">
        <v>189.27</v>
      </c>
      <c r="N61" s="8">
        <v>8.4700000000000006</v>
      </c>
      <c r="O61" s="9">
        <f t="shared" si="10"/>
        <v>14.8901733261859</v>
      </c>
      <c r="P61" s="33">
        <v>15</v>
      </c>
      <c r="Q61" s="5">
        <v>391.5</v>
      </c>
      <c r="R61" s="8"/>
      <c r="S61" s="8"/>
      <c r="T61" s="8"/>
      <c r="U61" s="8"/>
      <c r="V61" s="8"/>
      <c r="W61" s="8"/>
      <c r="X61" s="8"/>
      <c r="Y61" s="8"/>
      <c r="Z61" s="8"/>
      <c r="AA61" s="8"/>
      <c r="AB61" s="8"/>
      <c r="AC61" s="8"/>
      <c r="AD61" s="8"/>
      <c r="AE61" s="8"/>
      <c r="AF61" s="8"/>
      <c r="AG61" s="8"/>
      <c r="AH61" s="8"/>
      <c r="AI61" s="8"/>
      <c r="AJ61" s="8"/>
      <c r="AK61" s="8"/>
      <c r="AL61" s="87"/>
    </row>
    <row r="62" spans="3:39" x14ac:dyDescent="0.25">
      <c r="C62" s="54"/>
      <c r="G62" s="2" t="s">
        <v>21</v>
      </c>
      <c r="H62" s="7">
        <v>18</v>
      </c>
      <c r="I62" s="18">
        <v>35.549403120000008</v>
      </c>
      <c r="J62" s="5">
        <v>420</v>
      </c>
      <c r="K62" s="5">
        <v>118.8</v>
      </c>
      <c r="L62" s="5">
        <v>36</v>
      </c>
      <c r="M62" s="8">
        <v>189.27</v>
      </c>
      <c r="N62" s="8">
        <v>8.4700000000000006</v>
      </c>
      <c r="O62" s="9">
        <f t="shared" si="10"/>
        <v>14.913374111864064</v>
      </c>
      <c r="P62" s="33">
        <v>15</v>
      </c>
      <c r="Q62" s="5">
        <v>437.2</v>
      </c>
      <c r="R62" s="8"/>
      <c r="S62" s="8"/>
      <c r="T62" s="8"/>
      <c r="U62" s="8"/>
      <c r="V62" s="8"/>
      <c r="W62" s="8"/>
      <c r="X62" s="8"/>
      <c r="Y62" s="8"/>
      <c r="Z62" s="8"/>
      <c r="AA62" s="8"/>
      <c r="AB62" s="8"/>
      <c r="AC62" s="8"/>
      <c r="AD62" s="8"/>
      <c r="AE62" s="8"/>
      <c r="AF62" s="8"/>
      <c r="AG62" s="8"/>
      <c r="AH62" s="8"/>
      <c r="AI62" s="8"/>
      <c r="AJ62" s="8"/>
      <c r="AK62" s="8"/>
      <c r="AL62" s="87"/>
    </row>
    <row r="63" spans="3:39" x14ac:dyDescent="0.25">
      <c r="C63" s="54"/>
      <c r="G63" s="2" t="s">
        <v>22</v>
      </c>
      <c r="H63" s="7">
        <v>18</v>
      </c>
      <c r="I63" s="18">
        <v>30.961679760000006</v>
      </c>
      <c r="J63" s="5">
        <v>420</v>
      </c>
      <c r="K63" s="5">
        <v>118.8</v>
      </c>
      <c r="L63" s="5">
        <v>36</v>
      </c>
      <c r="M63" s="8">
        <v>189.27</v>
      </c>
      <c r="N63" s="8">
        <v>8.4700000000000006</v>
      </c>
      <c r="O63" s="9">
        <f t="shared" si="10"/>
        <v>14.936574897542227</v>
      </c>
      <c r="P63" s="33">
        <v>15</v>
      </c>
      <c r="Q63" s="5">
        <v>307</v>
      </c>
      <c r="R63" s="8"/>
      <c r="S63" s="8"/>
      <c r="T63" s="8"/>
      <c r="U63" s="8"/>
      <c r="V63" s="8"/>
      <c r="W63" s="8"/>
      <c r="X63" s="8"/>
      <c r="Y63" s="8"/>
      <c r="Z63" s="8"/>
      <c r="AA63" s="8"/>
      <c r="AB63" s="8"/>
      <c r="AC63" s="8"/>
      <c r="AD63" s="8"/>
      <c r="AE63" s="8"/>
      <c r="AF63" s="8"/>
      <c r="AG63" s="8"/>
      <c r="AH63" s="8"/>
      <c r="AI63" s="8"/>
      <c r="AJ63" s="8"/>
      <c r="AK63" s="8"/>
      <c r="AL63" s="87"/>
    </row>
    <row r="64" spans="3:39" ht="13" x14ac:dyDescent="0.3">
      <c r="C64" s="54"/>
      <c r="G64" s="10" t="s">
        <v>185</v>
      </c>
      <c r="H64" s="7"/>
      <c r="I64" s="340"/>
      <c r="J64" s="340"/>
      <c r="K64" s="340"/>
      <c r="L64" s="340"/>
      <c r="M64" s="340"/>
      <c r="N64" s="340"/>
      <c r="O64" s="340"/>
      <c r="P64" s="340"/>
      <c r="Q64" s="11">
        <f>SUM(Q58:Q63)</f>
        <v>2495.1999999999998</v>
      </c>
      <c r="R64" s="14">
        <f>9/24</f>
        <v>0.375</v>
      </c>
      <c r="S64" s="14">
        <f>24/1000</f>
        <v>2.4E-2</v>
      </c>
      <c r="T64" s="8">
        <v>3.59</v>
      </c>
      <c r="U64" s="8">
        <v>12.96</v>
      </c>
      <c r="V64" s="8">
        <f>Q64</f>
        <v>2495.1999999999998</v>
      </c>
      <c r="W64" s="17">
        <f>R64*S64*T64*U64*V64</f>
        <v>1044.8340595200002</v>
      </c>
      <c r="X64" s="8">
        <v>3.94</v>
      </c>
      <c r="Y64" s="8">
        <v>12.96</v>
      </c>
      <c r="Z64" s="8">
        <f>Q64</f>
        <v>2495.1999999999998</v>
      </c>
      <c r="AA64" s="17">
        <f>(R64*S64*X64*Y64*Z64)</f>
        <v>1146.6981043200003</v>
      </c>
      <c r="AB64" s="8">
        <v>2.13</v>
      </c>
      <c r="AC64" s="8">
        <v>41.904000000000003</v>
      </c>
      <c r="AD64" s="8">
        <f>Q64</f>
        <v>2495.1999999999998</v>
      </c>
      <c r="AE64" s="17">
        <f>(R64*S64*AB64*AC64*AD64)</f>
        <v>2004.3933615360004</v>
      </c>
      <c r="AF64" s="96">
        <f>N443</f>
        <v>1294.855436484163</v>
      </c>
      <c r="AG64" s="27">
        <f>W64+AA64+AE64+AF64</f>
        <v>5490.7809618601641</v>
      </c>
      <c r="AH64" s="8">
        <f>AG64*0.1</f>
        <v>549.07809618601641</v>
      </c>
      <c r="AI64" s="125">
        <f>AG64+AH64</f>
        <v>6039.8590580461805</v>
      </c>
      <c r="AJ64" s="8">
        <v>3.1</v>
      </c>
      <c r="AK64" s="130">
        <f>ROUND((AI64/AJ64),0)</f>
        <v>1948</v>
      </c>
      <c r="AL64" s="87"/>
    </row>
    <row r="65" spans="3:38" x14ac:dyDescent="0.25">
      <c r="C65" s="54"/>
      <c r="G65" s="2" t="s">
        <v>13</v>
      </c>
      <c r="H65" s="7">
        <v>19</v>
      </c>
      <c r="I65" s="18">
        <v>63.072108000000007</v>
      </c>
      <c r="J65" s="5">
        <v>420</v>
      </c>
      <c r="K65" s="5">
        <v>118.8</v>
      </c>
      <c r="L65" s="5">
        <v>36</v>
      </c>
      <c r="M65" s="8">
        <v>189.27</v>
      </c>
      <c r="N65" s="8">
        <v>8.4700000000000006</v>
      </c>
      <c r="O65" s="9">
        <f>(H65-((I65+J65+K65+L65)/(M65+N65)))</f>
        <v>15.774187781935876</v>
      </c>
      <c r="P65" s="33">
        <v>16</v>
      </c>
      <c r="Q65" s="5">
        <v>502.9</v>
      </c>
      <c r="R65" s="8"/>
      <c r="S65" s="8"/>
      <c r="T65" s="8"/>
      <c r="U65" s="8"/>
      <c r="V65" s="8"/>
      <c r="W65" s="8"/>
      <c r="X65" s="8"/>
      <c r="Y65" s="8"/>
      <c r="Z65" s="8"/>
      <c r="AA65" s="8"/>
      <c r="AB65" s="8"/>
      <c r="AC65" s="8"/>
      <c r="AD65" s="8"/>
      <c r="AE65" s="8"/>
      <c r="AF65" s="8"/>
      <c r="AG65" s="8"/>
      <c r="AH65" s="8"/>
      <c r="AI65" s="8"/>
      <c r="AJ65" s="8"/>
      <c r="AK65" s="8"/>
      <c r="AL65" s="87"/>
    </row>
    <row r="66" spans="3:38" x14ac:dyDescent="0.25">
      <c r="C66" s="54"/>
      <c r="G66" s="2" t="s">
        <v>24</v>
      </c>
      <c r="H66" s="7">
        <v>19</v>
      </c>
      <c r="I66" s="18">
        <v>51.602799600000004</v>
      </c>
      <c r="J66" s="5">
        <v>420</v>
      </c>
      <c r="K66" s="5">
        <v>118.8</v>
      </c>
      <c r="L66" s="5">
        <v>36</v>
      </c>
      <c r="M66" s="8">
        <v>189.27</v>
      </c>
      <c r="N66" s="8">
        <v>8.4700000000000006</v>
      </c>
      <c r="O66" s="9">
        <f t="shared" ref="O66:O70" si="11">(H66-((I66+J66+K66+L66)/(M66+N66)))</f>
        <v>15.832189746131284</v>
      </c>
      <c r="P66" s="33">
        <v>16</v>
      </c>
      <c r="Q66" s="5">
        <v>401.9</v>
      </c>
      <c r="R66" s="8"/>
      <c r="S66" s="8"/>
      <c r="T66" s="8"/>
      <c r="U66" s="8"/>
      <c r="V66" s="8"/>
      <c r="W66" s="8"/>
      <c r="X66" s="8"/>
      <c r="Y66" s="8"/>
      <c r="Z66" s="8"/>
      <c r="AA66" s="8"/>
      <c r="AB66" s="8"/>
      <c r="AC66" s="8"/>
      <c r="AD66" s="8"/>
      <c r="AE66" s="8"/>
      <c r="AF66" s="8"/>
      <c r="AG66" s="8"/>
      <c r="AH66" s="8"/>
      <c r="AI66" s="8"/>
      <c r="AJ66" s="8"/>
      <c r="AK66" s="8"/>
      <c r="AL66" s="87"/>
    </row>
    <row r="67" spans="3:38" x14ac:dyDescent="0.25">
      <c r="C67" s="54"/>
      <c r="G67" s="2" t="s">
        <v>19</v>
      </c>
      <c r="H67" s="7">
        <v>19</v>
      </c>
      <c r="I67" s="18">
        <v>43.57610136000001</v>
      </c>
      <c r="J67" s="5">
        <v>420</v>
      </c>
      <c r="K67" s="5">
        <v>118.8</v>
      </c>
      <c r="L67" s="5">
        <v>36</v>
      </c>
      <c r="M67" s="8">
        <v>189.27</v>
      </c>
      <c r="N67" s="8">
        <v>8.4700000000000006</v>
      </c>
      <c r="O67" s="9">
        <f t="shared" si="11"/>
        <v>15.872781928997673</v>
      </c>
      <c r="P67" s="33">
        <v>16</v>
      </c>
      <c r="Q67" s="5">
        <v>362.7</v>
      </c>
      <c r="R67" s="8"/>
      <c r="S67" s="8"/>
      <c r="T67" s="8"/>
      <c r="U67" s="8"/>
      <c r="V67" s="8"/>
      <c r="W67" s="8"/>
      <c r="X67" s="8"/>
      <c r="Y67" s="8"/>
      <c r="Z67" s="8"/>
      <c r="AA67" s="8"/>
      <c r="AB67" s="8"/>
      <c r="AC67" s="8"/>
      <c r="AD67" s="8"/>
      <c r="AE67" s="8"/>
      <c r="AF67" s="8"/>
      <c r="AG67" s="8"/>
      <c r="AH67" s="8"/>
      <c r="AI67" s="8"/>
      <c r="AJ67" s="8"/>
      <c r="AK67" s="8"/>
      <c r="AL67" s="87"/>
    </row>
    <row r="68" spans="3:38" x14ac:dyDescent="0.25">
      <c r="C68" s="54"/>
      <c r="G68" s="2" t="s">
        <v>20</v>
      </c>
      <c r="H68" s="7">
        <v>19</v>
      </c>
      <c r="I68" s="18">
        <v>40.137126480000006</v>
      </c>
      <c r="J68" s="5">
        <v>420</v>
      </c>
      <c r="K68" s="5">
        <v>118.8</v>
      </c>
      <c r="L68" s="5">
        <v>36</v>
      </c>
      <c r="M68" s="8">
        <v>189.27</v>
      </c>
      <c r="N68" s="8">
        <v>8.4700000000000006</v>
      </c>
      <c r="O68" s="9">
        <f t="shared" si="11"/>
        <v>15.8901733261859</v>
      </c>
      <c r="P68" s="33">
        <v>16</v>
      </c>
      <c r="Q68" s="5">
        <v>361.5</v>
      </c>
      <c r="R68" s="8"/>
      <c r="S68" s="8"/>
      <c r="T68" s="8"/>
      <c r="U68" s="8"/>
      <c r="V68" s="8"/>
      <c r="W68" s="8"/>
      <c r="X68" s="8"/>
      <c r="Y68" s="8"/>
      <c r="Z68" s="8"/>
      <c r="AA68" s="8"/>
      <c r="AB68" s="8"/>
      <c r="AC68" s="8"/>
      <c r="AD68" s="8"/>
      <c r="AE68" s="8"/>
      <c r="AF68" s="8"/>
      <c r="AG68" s="8"/>
      <c r="AH68" s="8"/>
      <c r="AI68" s="8"/>
      <c r="AJ68" s="8"/>
      <c r="AK68" s="8"/>
      <c r="AL68" s="87"/>
    </row>
    <row r="69" spans="3:38" x14ac:dyDescent="0.25">
      <c r="C69" s="54"/>
      <c r="G69" s="2" t="s">
        <v>21</v>
      </c>
      <c r="H69" s="7">
        <v>19</v>
      </c>
      <c r="I69" s="18">
        <v>35.549403120000008</v>
      </c>
      <c r="J69" s="5">
        <v>420</v>
      </c>
      <c r="K69" s="5">
        <v>118.8</v>
      </c>
      <c r="L69" s="5">
        <v>36</v>
      </c>
      <c r="M69" s="8">
        <v>189.27</v>
      </c>
      <c r="N69" s="8">
        <v>8.4700000000000006</v>
      </c>
      <c r="O69" s="9">
        <f t="shared" si="11"/>
        <v>15.913374111864064</v>
      </c>
      <c r="P69" s="33">
        <v>16</v>
      </c>
      <c r="Q69" s="5">
        <v>406.2</v>
      </c>
      <c r="R69" s="8"/>
      <c r="S69" s="8"/>
      <c r="T69" s="8"/>
      <c r="U69" s="8"/>
      <c r="V69" s="8"/>
      <c r="W69" s="8"/>
      <c r="X69" s="8"/>
      <c r="Y69" s="8"/>
      <c r="Z69" s="8"/>
      <c r="AA69" s="8"/>
      <c r="AB69" s="8"/>
      <c r="AC69" s="8"/>
      <c r="AD69" s="8"/>
      <c r="AE69" s="8"/>
      <c r="AF69" s="8"/>
      <c r="AG69" s="8"/>
      <c r="AH69" s="8"/>
      <c r="AI69" s="8"/>
      <c r="AJ69" s="8"/>
      <c r="AK69" s="8"/>
      <c r="AL69" s="87"/>
    </row>
    <row r="70" spans="3:38" x14ac:dyDescent="0.25">
      <c r="C70" s="54"/>
      <c r="G70" s="2" t="s">
        <v>22</v>
      </c>
      <c r="H70" s="7">
        <v>19</v>
      </c>
      <c r="I70" s="18">
        <v>30.961679760000006</v>
      </c>
      <c r="J70" s="5">
        <v>420</v>
      </c>
      <c r="K70" s="5">
        <v>118.8</v>
      </c>
      <c r="L70" s="5">
        <v>36</v>
      </c>
      <c r="M70" s="8">
        <v>189.27</v>
      </c>
      <c r="N70" s="8">
        <v>8.4700000000000006</v>
      </c>
      <c r="O70" s="9">
        <f t="shared" si="11"/>
        <v>15.936574897542227</v>
      </c>
      <c r="P70" s="33">
        <v>16</v>
      </c>
      <c r="Q70" s="5">
        <v>277</v>
      </c>
      <c r="R70" s="8"/>
      <c r="S70" s="8"/>
      <c r="T70" s="8"/>
      <c r="U70" s="8"/>
      <c r="V70" s="8"/>
      <c r="W70" s="8"/>
      <c r="X70" s="8"/>
      <c r="Y70" s="8"/>
      <c r="Z70" s="8"/>
      <c r="AA70" s="8"/>
      <c r="AB70" s="8"/>
      <c r="AC70" s="8"/>
      <c r="AD70" s="8"/>
      <c r="AE70" s="8"/>
      <c r="AF70" s="8"/>
      <c r="AG70" s="8"/>
      <c r="AH70" s="8"/>
      <c r="AI70" s="8"/>
      <c r="AJ70" s="8"/>
      <c r="AK70" s="8"/>
      <c r="AL70" s="87"/>
    </row>
    <row r="71" spans="3:38" ht="13" x14ac:dyDescent="0.3">
      <c r="C71" s="54"/>
      <c r="G71" s="10" t="s">
        <v>186</v>
      </c>
      <c r="H71" s="336"/>
      <c r="I71" s="336"/>
      <c r="J71" s="336"/>
      <c r="K71" s="336"/>
      <c r="L71" s="336"/>
      <c r="M71" s="336"/>
      <c r="N71" s="336"/>
      <c r="O71" s="336"/>
      <c r="P71" s="336"/>
      <c r="Q71" s="11">
        <f>SUM(Q65:Q70)</f>
        <v>2312.1999999999998</v>
      </c>
      <c r="R71" s="14">
        <f>9/24</f>
        <v>0.375</v>
      </c>
      <c r="S71" s="14">
        <f>24/1000</f>
        <v>2.4E-2</v>
      </c>
      <c r="T71" s="8">
        <v>3.59</v>
      </c>
      <c r="U71" s="8">
        <v>12.96</v>
      </c>
      <c r="V71" s="8">
        <f>Q71</f>
        <v>2312.1999999999998</v>
      </c>
      <c r="W71" s="17">
        <f>R71*S71*T71*U71*V71</f>
        <v>968.20507872000019</v>
      </c>
      <c r="X71" s="8">
        <v>3.94</v>
      </c>
      <c r="Y71" s="8">
        <v>12.96</v>
      </c>
      <c r="Z71" s="8">
        <f>Q71</f>
        <v>2312.1999999999998</v>
      </c>
      <c r="AA71" s="17">
        <f>(R71*S71*X71*Y71*Z71)</f>
        <v>1062.5983315200001</v>
      </c>
      <c r="AB71" s="8">
        <v>2.13</v>
      </c>
      <c r="AC71" s="8">
        <v>41.904000000000003</v>
      </c>
      <c r="AD71" s="8">
        <f>Q71</f>
        <v>2312.1999999999998</v>
      </c>
      <c r="AE71" s="17">
        <f>(R71*S71*AB71*AC71*AD71)</f>
        <v>1857.3895200960003</v>
      </c>
      <c r="AF71" s="96">
        <f>N444</f>
        <v>1273.021230434668</v>
      </c>
      <c r="AG71" s="27">
        <f>W71+AA71+AE71+AF71</f>
        <v>5161.2141607706681</v>
      </c>
      <c r="AH71" s="8">
        <f>AG71*0.1</f>
        <v>516.12141607706678</v>
      </c>
      <c r="AI71" s="125">
        <f>AG71+AH71</f>
        <v>5677.335576847735</v>
      </c>
      <c r="AJ71" s="8">
        <v>3.1</v>
      </c>
      <c r="AK71" s="130">
        <f>ROUND((AI71/AJ71),0)</f>
        <v>1831</v>
      </c>
      <c r="AL71" s="87"/>
    </row>
    <row r="72" spans="3:38" x14ac:dyDescent="0.25">
      <c r="C72" s="54"/>
      <c r="G72" s="2" t="s">
        <v>13</v>
      </c>
      <c r="H72" s="7">
        <v>20</v>
      </c>
      <c r="I72" s="18">
        <v>63.072108000000007</v>
      </c>
      <c r="J72" s="5">
        <v>420</v>
      </c>
      <c r="K72" s="5">
        <v>118.8</v>
      </c>
      <c r="L72" s="5">
        <v>36</v>
      </c>
      <c r="M72" s="8">
        <v>189.27</v>
      </c>
      <c r="N72" s="8">
        <v>8.4700000000000006</v>
      </c>
      <c r="O72" s="9">
        <f>(H72-((I72+J72+K72+L72)/(M72+N72)))</f>
        <v>16.774187781935876</v>
      </c>
      <c r="P72" s="33">
        <v>17</v>
      </c>
      <c r="Q72" s="5">
        <v>472.9</v>
      </c>
      <c r="R72" s="8"/>
      <c r="S72" s="8"/>
      <c r="T72" s="8"/>
      <c r="U72" s="8"/>
      <c r="V72" s="8"/>
      <c r="W72" s="8"/>
      <c r="X72" s="8"/>
      <c r="Y72" s="8"/>
      <c r="Z72" s="8"/>
      <c r="AA72" s="8"/>
      <c r="AB72" s="8"/>
      <c r="AC72" s="8"/>
      <c r="AD72" s="8"/>
      <c r="AE72" s="8"/>
      <c r="AF72" s="8"/>
      <c r="AG72" s="8"/>
      <c r="AH72" s="8"/>
      <c r="AI72" s="8"/>
      <c r="AJ72" s="8"/>
      <c r="AK72" s="8"/>
      <c r="AL72" s="87"/>
    </row>
    <row r="73" spans="3:38" x14ac:dyDescent="0.25">
      <c r="C73" s="54"/>
      <c r="G73" s="2" t="s">
        <v>24</v>
      </c>
      <c r="H73" s="7">
        <v>20</v>
      </c>
      <c r="I73" s="18">
        <v>51.602799600000004</v>
      </c>
      <c r="J73" s="5">
        <v>420</v>
      </c>
      <c r="K73" s="5">
        <v>118.8</v>
      </c>
      <c r="L73" s="5">
        <v>36</v>
      </c>
      <c r="M73" s="8">
        <v>189.27</v>
      </c>
      <c r="N73" s="8">
        <v>8.4700000000000006</v>
      </c>
      <c r="O73" s="9">
        <f t="shared" ref="O73:O77" si="12">(H73-((I73+J73+K73+L73)/(M73+N73)))</f>
        <v>16.832189746131284</v>
      </c>
      <c r="P73" s="33">
        <v>17</v>
      </c>
      <c r="Q73" s="5">
        <v>370.9</v>
      </c>
      <c r="R73" s="8"/>
      <c r="S73" s="8"/>
      <c r="T73" s="8"/>
      <c r="U73" s="8"/>
      <c r="V73" s="8"/>
      <c r="W73" s="8"/>
      <c r="X73" s="8"/>
      <c r="Y73" s="8"/>
      <c r="Z73" s="8"/>
      <c r="AA73" s="8"/>
      <c r="AB73" s="8"/>
      <c r="AC73" s="8"/>
      <c r="AD73" s="8"/>
      <c r="AE73" s="8"/>
      <c r="AF73" s="8"/>
      <c r="AG73" s="8"/>
      <c r="AH73" s="8"/>
      <c r="AI73" s="8"/>
      <c r="AJ73" s="8"/>
      <c r="AK73" s="8"/>
      <c r="AL73" s="87"/>
    </row>
    <row r="74" spans="3:38" x14ac:dyDescent="0.25">
      <c r="C74" s="54"/>
      <c r="G74" s="2" t="s">
        <v>19</v>
      </c>
      <c r="H74" s="7">
        <v>20</v>
      </c>
      <c r="I74" s="18">
        <v>43.57610136000001</v>
      </c>
      <c r="J74" s="5">
        <v>420</v>
      </c>
      <c r="K74" s="5">
        <v>118.8</v>
      </c>
      <c r="L74" s="5">
        <v>36</v>
      </c>
      <c r="M74" s="8">
        <v>189.27</v>
      </c>
      <c r="N74" s="8">
        <v>8.4700000000000006</v>
      </c>
      <c r="O74" s="9">
        <f t="shared" si="12"/>
        <v>16.872781928997675</v>
      </c>
      <c r="P74" s="33">
        <v>17</v>
      </c>
      <c r="Q74" s="5">
        <v>331.7</v>
      </c>
      <c r="R74" s="8"/>
      <c r="S74" s="8"/>
      <c r="T74" s="8"/>
      <c r="U74" s="8"/>
      <c r="V74" s="8"/>
      <c r="W74" s="8"/>
      <c r="X74" s="8"/>
      <c r="Y74" s="8"/>
      <c r="Z74" s="8"/>
      <c r="AA74" s="8"/>
      <c r="AB74" s="8"/>
      <c r="AC74" s="8"/>
      <c r="AD74" s="8"/>
      <c r="AE74" s="8"/>
      <c r="AF74" s="8"/>
      <c r="AG74" s="8"/>
      <c r="AH74" s="8"/>
      <c r="AI74" s="8"/>
      <c r="AJ74" s="8"/>
      <c r="AK74" s="8"/>
      <c r="AL74" s="87"/>
    </row>
    <row r="75" spans="3:38" x14ac:dyDescent="0.25">
      <c r="C75" s="54"/>
      <c r="G75" s="2" t="s">
        <v>20</v>
      </c>
      <c r="H75" s="7">
        <v>20</v>
      </c>
      <c r="I75" s="18">
        <v>40.137126480000006</v>
      </c>
      <c r="J75" s="5">
        <v>420</v>
      </c>
      <c r="K75" s="5">
        <v>118.8</v>
      </c>
      <c r="L75" s="5">
        <v>36</v>
      </c>
      <c r="M75" s="8">
        <v>189.27</v>
      </c>
      <c r="N75" s="8">
        <v>8.4700000000000006</v>
      </c>
      <c r="O75" s="9">
        <f t="shared" si="12"/>
        <v>16.890173326185902</v>
      </c>
      <c r="P75" s="33">
        <v>17</v>
      </c>
      <c r="Q75" s="5">
        <v>331.5</v>
      </c>
      <c r="R75" s="8"/>
      <c r="S75" s="8"/>
      <c r="T75" s="8"/>
      <c r="U75" s="8"/>
      <c r="V75" s="8"/>
      <c r="W75" s="8"/>
      <c r="X75" s="8"/>
      <c r="Y75" s="8"/>
      <c r="Z75" s="8"/>
      <c r="AA75" s="8"/>
      <c r="AB75" s="8"/>
      <c r="AC75" s="8"/>
      <c r="AD75" s="8"/>
      <c r="AE75" s="8"/>
      <c r="AF75" s="8"/>
      <c r="AG75" s="8"/>
      <c r="AH75" s="8"/>
      <c r="AI75" s="8"/>
      <c r="AJ75" s="8"/>
      <c r="AK75" s="8"/>
      <c r="AL75" s="87"/>
    </row>
    <row r="76" spans="3:38" x14ac:dyDescent="0.25">
      <c r="C76" s="54"/>
      <c r="G76" s="2" t="s">
        <v>21</v>
      </c>
      <c r="H76" s="7">
        <v>20</v>
      </c>
      <c r="I76" s="18">
        <v>35.549403120000008</v>
      </c>
      <c r="J76" s="5">
        <v>420</v>
      </c>
      <c r="K76" s="5">
        <v>118.8</v>
      </c>
      <c r="L76" s="5">
        <v>36</v>
      </c>
      <c r="M76" s="8">
        <v>189.27</v>
      </c>
      <c r="N76" s="8">
        <v>8.4700000000000006</v>
      </c>
      <c r="O76" s="9">
        <f t="shared" si="12"/>
        <v>16.913374111864066</v>
      </c>
      <c r="P76" s="33">
        <v>17</v>
      </c>
      <c r="Q76" s="5">
        <v>375.2</v>
      </c>
      <c r="R76" s="8"/>
      <c r="S76" s="8"/>
      <c r="T76" s="8"/>
      <c r="U76" s="8"/>
      <c r="V76" s="8"/>
      <c r="W76" s="8"/>
      <c r="X76" s="8"/>
      <c r="Y76" s="8"/>
      <c r="Z76" s="8"/>
      <c r="AA76" s="8"/>
      <c r="AB76" s="8"/>
      <c r="AC76" s="8"/>
      <c r="AD76" s="8"/>
      <c r="AE76" s="8"/>
      <c r="AF76" s="8"/>
      <c r="AG76" s="8"/>
      <c r="AH76" s="8"/>
      <c r="AI76" s="8"/>
      <c r="AJ76" s="8"/>
      <c r="AK76" s="8"/>
      <c r="AL76" s="87"/>
    </row>
    <row r="77" spans="3:38" x14ac:dyDescent="0.25">
      <c r="C77" s="54"/>
      <c r="G77" s="2" t="s">
        <v>22</v>
      </c>
      <c r="H77" s="7">
        <v>20</v>
      </c>
      <c r="I77" s="18">
        <v>30.961679760000006</v>
      </c>
      <c r="J77" s="5">
        <v>420</v>
      </c>
      <c r="K77" s="5">
        <v>118.8</v>
      </c>
      <c r="L77" s="5">
        <v>36</v>
      </c>
      <c r="M77" s="8">
        <v>189.27</v>
      </c>
      <c r="N77" s="8">
        <v>8.4700000000000006</v>
      </c>
      <c r="O77" s="9">
        <f t="shared" si="12"/>
        <v>16.936574897542229</v>
      </c>
      <c r="P77" s="33">
        <v>17</v>
      </c>
      <c r="Q77" s="5">
        <v>247.5</v>
      </c>
      <c r="R77" s="8"/>
      <c r="S77" s="8"/>
      <c r="T77" s="8"/>
      <c r="U77" s="8"/>
      <c r="V77" s="8"/>
      <c r="W77" s="8"/>
      <c r="X77" s="8"/>
      <c r="Y77" s="8"/>
      <c r="Z77" s="8"/>
      <c r="AA77" s="8"/>
      <c r="AB77" s="8"/>
      <c r="AC77" s="8"/>
      <c r="AD77" s="8"/>
      <c r="AE77" s="8"/>
      <c r="AF77" s="8"/>
      <c r="AG77" s="8"/>
      <c r="AH77" s="8"/>
      <c r="AI77" s="8"/>
      <c r="AJ77" s="8"/>
      <c r="AK77" s="8"/>
      <c r="AL77" s="87"/>
    </row>
    <row r="78" spans="3:38" ht="13" x14ac:dyDescent="0.3">
      <c r="C78" s="54"/>
      <c r="G78" s="10" t="s">
        <v>174</v>
      </c>
      <c r="H78" s="336"/>
      <c r="I78" s="336"/>
      <c r="J78" s="336"/>
      <c r="K78" s="336"/>
      <c r="L78" s="336"/>
      <c r="M78" s="336"/>
      <c r="N78" s="336"/>
      <c r="O78" s="336"/>
      <c r="P78" s="336"/>
      <c r="Q78" s="11">
        <f>SUM(Q72:Q77)</f>
        <v>2129.6999999999998</v>
      </c>
      <c r="R78" s="14">
        <f>9/24</f>
        <v>0.375</v>
      </c>
      <c r="S78" s="14">
        <f>24/1000</f>
        <v>2.4E-2</v>
      </c>
      <c r="T78" s="8">
        <v>3.59</v>
      </c>
      <c r="U78" s="8">
        <v>12.96</v>
      </c>
      <c r="V78" s="8">
        <f>Q78</f>
        <v>2129.6999999999998</v>
      </c>
      <c r="W78" s="17">
        <f>R78*S78*T78*U78*V78</f>
        <v>891.78546672000016</v>
      </c>
      <c r="X78" s="8">
        <v>3.94</v>
      </c>
      <c r="Y78" s="8">
        <v>12.96</v>
      </c>
      <c r="Z78" s="8">
        <f>Q78</f>
        <v>2129.6999999999998</v>
      </c>
      <c r="AA78" s="17">
        <f>(R78*S78*X78*Y78*Z78)</f>
        <v>978.72833952000019</v>
      </c>
      <c r="AB78" s="8">
        <v>2.13</v>
      </c>
      <c r="AC78" s="8">
        <v>41.904000000000003</v>
      </c>
      <c r="AD78" s="8">
        <f>Q78</f>
        <v>2129.6999999999998</v>
      </c>
      <c r="AE78" s="17">
        <f>(R78*S78*AB78*AC78*AD78)</f>
        <v>1710.7873284960003</v>
      </c>
      <c r="AF78" s="96">
        <f>N445</f>
        <v>1251.1870243851731</v>
      </c>
      <c r="AG78" s="27">
        <f>W78+AA78+AE78+AF78</f>
        <v>4832.4881591211742</v>
      </c>
      <c r="AH78" s="8">
        <f>AG78*0.1</f>
        <v>483.24881591211744</v>
      </c>
      <c r="AI78" s="125">
        <f>AG78+AH78</f>
        <v>5315.7369750332919</v>
      </c>
      <c r="AJ78" s="8">
        <v>3.1</v>
      </c>
      <c r="AK78" s="130">
        <f>ROUND((AI78/AJ78),0)</f>
        <v>1715</v>
      </c>
      <c r="AL78" s="87"/>
    </row>
    <row r="79" spans="3:38" x14ac:dyDescent="0.25">
      <c r="C79" s="54"/>
      <c r="G79" s="2" t="s">
        <v>13</v>
      </c>
      <c r="H79" s="7">
        <v>21</v>
      </c>
      <c r="I79" s="18">
        <v>63.072108000000007</v>
      </c>
      <c r="J79" s="5">
        <v>420</v>
      </c>
      <c r="K79" s="5">
        <v>118.8</v>
      </c>
      <c r="L79" s="5">
        <v>36</v>
      </c>
      <c r="M79" s="8">
        <v>189.27</v>
      </c>
      <c r="N79" s="8">
        <v>8.4700000000000006</v>
      </c>
      <c r="O79" s="9">
        <f>(H79-((I79+J79+K79+L79)/(M79+N79)))</f>
        <v>17.774187781935876</v>
      </c>
      <c r="P79" s="127">
        <v>18</v>
      </c>
      <c r="Q79" s="5">
        <v>442.9</v>
      </c>
      <c r="R79" s="8"/>
      <c r="S79" s="8"/>
      <c r="T79" s="8"/>
      <c r="U79" s="8"/>
      <c r="V79" s="8"/>
      <c r="W79" s="8"/>
      <c r="X79" s="8"/>
      <c r="Y79" s="8"/>
      <c r="Z79" s="8"/>
      <c r="AA79" s="8"/>
      <c r="AB79" s="8"/>
      <c r="AC79" s="8"/>
      <c r="AD79" s="8"/>
      <c r="AE79" s="8"/>
      <c r="AF79" s="8"/>
      <c r="AG79" s="8"/>
      <c r="AH79" s="8"/>
      <c r="AI79" s="8"/>
      <c r="AJ79" s="8"/>
      <c r="AK79" s="8"/>
      <c r="AL79" s="87"/>
    </row>
    <row r="80" spans="3:38" x14ac:dyDescent="0.25">
      <c r="C80" s="54"/>
      <c r="G80" s="2" t="s">
        <v>24</v>
      </c>
      <c r="H80" s="7">
        <v>21</v>
      </c>
      <c r="I80" s="18">
        <v>51.602799600000004</v>
      </c>
      <c r="J80" s="5">
        <v>420</v>
      </c>
      <c r="K80" s="5">
        <v>118.8</v>
      </c>
      <c r="L80" s="5">
        <v>36</v>
      </c>
      <c r="M80" s="8">
        <v>189.27</v>
      </c>
      <c r="N80" s="8">
        <v>8.4700000000000006</v>
      </c>
      <c r="O80" s="9">
        <f t="shared" ref="O80:O84" si="13">(H80-((I80+J80+K80+L80)/(M80+N80)))</f>
        <v>17.832189746131284</v>
      </c>
      <c r="P80" s="127">
        <v>18</v>
      </c>
      <c r="Q80" s="5">
        <v>339.9</v>
      </c>
      <c r="R80" s="8"/>
      <c r="S80" s="8"/>
      <c r="T80" s="8"/>
      <c r="U80" s="8"/>
      <c r="V80" s="8"/>
      <c r="W80" s="8"/>
      <c r="X80" s="8"/>
      <c r="Y80" s="8"/>
      <c r="Z80" s="8"/>
      <c r="AA80" s="8"/>
      <c r="AB80" s="8"/>
      <c r="AC80" s="8"/>
      <c r="AD80" s="8"/>
      <c r="AE80" s="8"/>
      <c r="AF80" s="8"/>
      <c r="AG80" s="8"/>
      <c r="AH80" s="8"/>
      <c r="AI80" s="8"/>
      <c r="AJ80" s="8"/>
      <c r="AK80" s="8"/>
      <c r="AL80" s="87"/>
    </row>
    <row r="81" spans="3:38" x14ac:dyDescent="0.25">
      <c r="C81" s="54"/>
      <c r="G81" s="2" t="s">
        <v>19</v>
      </c>
      <c r="H81" s="7">
        <v>21</v>
      </c>
      <c r="I81" s="18">
        <v>43.57610136000001</v>
      </c>
      <c r="J81" s="5">
        <v>420</v>
      </c>
      <c r="K81" s="5">
        <v>118.8</v>
      </c>
      <c r="L81" s="5">
        <v>36</v>
      </c>
      <c r="M81" s="8">
        <v>189.27</v>
      </c>
      <c r="N81" s="8">
        <v>8.4700000000000006</v>
      </c>
      <c r="O81" s="9">
        <f t="shared" si="13"/>
        <v>17.872781928997675</v>
      </c>
      <c r="P81" s="127">
        <v>18</v>
      </c>
      <c r="Q81" s="5">
        <v>300.7</v>
      </c>
      <c r="R81" s="8"/>
      <c r="S81" s="8"/>
      <c r="T81" s="8"/>
      <c r="U81" s="8"/>
      <c r="V81" s="8"/>
      <c r="W81" s="8"/>
      <c r="X81" s="8"/>
      <c r="Y81" s="8"/>
      <c r="Z81" s="8"/>
      <c r="AA81" s="8"/>
      <c r="AB81" s="8"/>
      <c r="AC81" s="8"/>
      <c r="AD81" s="8"/>
      <c r="AE81" s="8"/>
      <c r="AF81" s="8"/>
      <c r="AG81" s="8"/>
      <c r="AH81" s="8"/>
      <c r="AI81" s="8"/>
      <c r="AJ81" s="8"/>
      <c r="AK81" s="8"/>
      <c r="AL81" s="87"/>
    </row>
    <row r="82" spans="3:38" x14ac:dyDescent="0.25">
      <c r="C82" s="54"/>
      <c r="G82" s="2" t="s">
        <v>20</v>
      </c>
      <c r="H82" s="7">
        <v>21</v>
      </c>
      <c r="I82" s="18">
        <v>40.137126480000006</v>
      </c>
      <c r="J82" s="5">
        <v>420</v>
      </c>
      <c r="K82" s="5">
        <v>118.8</v>
      </c>
      <c r="L82" s="5">
        <v>36</v>
      </c>
      <c r="M82" s="8">
        <v>189.27</v>
      </c>
      <c r="N82" s="8">
        <v>8.4700000000000006</v>
      </c>
      <c r="O82" s="9">
        <f t="shared" si="13"/>
        <v>17.890173326185902</v>
      </c>
      <c r="P82" s="127">
        <v>18</v>
      </c>
      <c r="Q82" s="5">
        <v>301.5</v>
      </c>
      <c r="R82" s="8"/>
      <c r="S82" s="8"/>
      <c r="T82" s="8"/>
      <c r="U82" s="8"/>
      <c r="V82" s="8"/>
      <c r="W82" s="8"/>
      <c r="X82" s="8"/>
      <c r="Y82" s="8"/>
      <c r="Z82" s="8"/>
      <c r="AA82" s="8"/>
      <c r="AB82" s="8"/>
      <c r="AC82" s="8"/>
      <c r="AD82" s="8"/>
      <c r="AE82" s="8"/>
      <c r="AF82" s="8"/>
      <c r="AG82" s="8"/>
      <c r="AH82" s="8"/>
      <c r="AI82" s="8"/>
      <c r="AJ82" s="8"/>
      <c r="AK82" s="8"/>
      <c r="AL82" s="87"/>
    </row>
    <row r="83" spans="3:38" x14ac:dyDescent="0.25">
      <c r="C83" s="54"/>
      <c r="G83" s="2" t="s">
        <v>21</v>
      </c>
      <c r="H83" s="7">
        <v>21</v>
      </c>
      <c r="I83" s="18">
        <v>35.549403120000008</v>
      </c>
      <c r="J83" s="5">
        <v>420</v>
      </c>
      <c r="K83" s="5">
        <v>118.8</v>
      </c>
      <c r="L83" s="5">
        <v>36</v>
      </c>
      <c r="M83" s="8">
        <v>189.27</v>
      </c>
      <c r="N83" s="8">
        <v>8.4700000000000006</v>
      </c>
      <c r="O83" s="9">
        <f t="shared" si="13"/>
        <v>17.913374111864066</v>
      </c>
      <c r="P83" s="127">
        <v>18</v>
      </c>
      <c r="Q83" s="5">
        <v>344.2</v>
      </c>
      <c r="R83" s="8"/>
      <c r="S83" s="8"/>
      <c r="T83" s="8"/>
      <c r="U83" s="8"/>
      <c r="V83" s="8"/>
      <c r="W83" s="8"/>
      <c r="X83" s="8"/>
      <c r="Y83" s="8"/>
      <c r="Z83" s="8"/>
      <c r="AA83" s="8"/>
      <c r="AB83" s="8"/>
      <c r="AC83" s="8"/>
      <c r="AD83" s="8"/>
      <c r="AE83" s="8"/>
      <c r="AF83" s="8"/>
      <c r="AG83" s="8"/>
      <c r="AH83" s="8"/>
      <c r="AI83" s="8"/>
      <c r="AJ83" s="8"/>
      <c r="AK83" s="8"/>
      <c r="AL83" s="87"/>
    </row>
    <row r="84" spans="3:38" x14ac:dyDescent="0.25">
      <c r="C84" s="54"/>
      <c r="G84" s="2" t="s">
        <v>22</v>
      </c>
      <c r="H84" s="7">
        <v>21</v>
      </c>
      <c r="I84" s="18">
        <v>30.961679760000006</v>
      </c>
      <c r="J84" s="5">
        <v>420</v>
      </c>
      <c r="K84" s="5">
        <v>118.8</v>
      </c>
      <c r="L84" s="5">
        <v>36</v>
      </c>
      <c r="M84" s="8">
        <v>189.27</v>
      </c>
      <c r="N84" s="8">
        <v>8.4700000000000006</v>
      </c>
      <c r="O84" s="9">
        <f t="shared" si="13"/>
        <v>17.936574897542229</v>
      </c>
      <c r="P84" s="127">
        <v>18</v>
      </c>
      <c r="Q84" s="5">
        <v>218.7</v>
      </c>
      <c r="R84" s="8"/>
      <c r="S84" s="8"/>
      <c r="T84" s="8"/>
      <c r="U84" s="8"/>
      <c r="V84" s="8"/>
      <c r="W84" s="8"/>
      <c r="X84" s="8"/>
      <c r="Y84" s="8"/>
      <c r="Z84" s="8"/>
      <c r="AA84" s="8"/>
      <c r="AB84" s="8"/>
      <c r="AC84" s="8"/>
      <c r="AD84" s="8"/>
      <c r="AE84" s="8"/>
      <c r="AF84" s="8"/>
      <c r="AG84" s="8"/>
      <c r="AH84" s="8"/>
      <c r="AI84" s="8"/>
      <c r="AJ84" s="8"/>
      <c r="AK84" s="8"/>
      <c r="AL84" s="87"/>
    </row>
    <row r="85" spans="3:38" ht="13" x14ac:dyDescent="0.3">
      <c r="C85" s="54"/>
      <c r="G85" s="10" t="s">
        <v>173</v>
      </c>
      <c r="H85" s="336"/>
      <c r="I85" s="336"/>
      <c r="J85" s="336"/>
      <c r="K85" s="336"/>
      <c r="L85" s="336"/>
      <c r="M85" s="336"/>
      <c r="N85" s="336"/>
      <c r="O85" s="336"/>
      <c r="P85" s="336"/>
      <c r="Q85" s="11">
        <f>SUM(Q79:Q84)</f>
        <v>1947.9</v>
      </c>
      <c r="R85" s="14">
        <f>9/24</f>
        <v>0.375</v>
      </c>
      <c r="S85" s="14">
        <f>24/1000</f>
        <v>2.4E-2</v>
      </c>
      <c r="T85" s="8">
        <v>3.59</v>
      </c>
      <c r="U85" s="8">
        <v>12.96</v>
      </c>
      <c r="V85" s="8">
        <f>Q85</f>
        <v>1947.9</v>
      </c>
      <c r="W85" s="17">
        <f>R85*S85*T85*U85*V85</f>
        <v>815.65897104000021</v>
      </c>
      <c r="X85" s="8">
        <v>3.94</v>
      </c>
      <c r="Y85" s="8">
        <v>12.96</v>
      </c>
      <c r="Z85" s="8">
        <f>Q85</f>
        <v>1947.9</v>
      </c>
      <c r="AA85" s="17">
        <f>(R85*S85*X85*Y85*Z85)</f>
        <v>895.18004064000024</v>
      </c>
      <c r="AB85" s="8">
        <v>2.13</v>
      </c>
      <c r="AC85" s="8">
        <v>41.904000000000003</v>
      </c>
      <c r="AD85" s="8">
        <f>Q85</f>
        <v>1947.9</v>
      </c>
      <c r="AE85" s="17">
        <f>(R85*S85*AB85*AC85*AD85)</f>
        <v>1564.7474466720005</v>
      </c>
      <c r="AF85" s="96">
        <f>N446</f>
        <v>1229.3528183356782</v>
      </c>
      <c r="AG85" s="27">
        <f>W85+AA85+AE85+AF85</f>
        <v>4504.939276687679</v>
      </c>
      <c r="AH85" s="8">
        <f>AG85*0.1</f>
        <v>450.49392766876792</v>
      </c>
      <c r="AI85" s="125">
        <f>AG85+AH85</f>
        <v>4955.4332043564473</v>
      </c>
      <c r="AJ85" s="8">
        <v>3.1</v>
      </c>
      <c r="AK85" s="130">
        <f>ROUND((AI85/AJ85),0)</f>
        <v>1599</v>
      </c>
      <c r="AL85" s="87"/>
    </row>
    <row r="86" spans="3:38" x14ac:dyDescent="0.25">
      <c r="C86" s="54"/>
      <c r="G86" s="2" t="s">
        <v>13</v>
      </c>
      <c r="H86" s="7">
        <v>22</v>
      </c>
      <c r="I86" s="18">
        <v>63.072108000000007</v>
      </c>
      <c r="J86" s="5">
        <v>420</v>
      </c>
      <c r="K86" s="5">
        <v>118.8</v>
      </c>
      <c r="L86" s="5">
        <v>36</v>
      </c>
      <c r="M86" s="8">
        <v>189.27</v>
      </c>
      <c r="N86" s="8">
        <v>8.4700000000000006</v>
      </c>
      <c r="O86" s="9">
        <f>(H86-((I86+J86+K86+L86)/(M86+N86)))</f>
        <v>18.774187781935876</v>
      </c>
      <c r="P86" s="127">
        <v>19</v>
      </c>
      <c r="Q86" s="5">
        <v>412.9</v>
      </c>
      <c r="R86" s="8"/>
      <c r="S86" s="8"/>
      <c r="T86" s="8"/>
      <c r="U86" s="8"/>
      <c r="V86" s="8"/>
      <c r="W86" s="8"/>
      <c r="X86" s="8"/>
      <c r="Y86" s="8"/>
      <c r="Z86" s="8"/>
      <c r="AA86" s="8"/>
      <c r="AB86" s="8"/>
      <c r="AC86" s="8"/>
      <c r="AD86" s="8"/>
      <c r="AE86" s="8"/>
      <c r="AF86" s="8"/>
      <c r="AG86" s="8"/>
      <c r="AH86" s="8"/>
      <c r="AI86" s="8"/>
      <c r="AJ86" s="8"/>
      <c r="AK86" s="8"/>
      <c r="AL86" s="87"/>
    </row>
    <row r="87" spans="3:38" x14ac:dyDescent="0.25">
      <c r="C87" s="54"/>
      <c r="G87" s="2" t="s">
        <v>24</v>
      </c>
      <c r="H87" s="7">
        <v>22</v>
      </c>
      <c r="I87" s="18">
        <v>51.602799600000004</v>
      </c>
      <c r="J87" s="5">
        <v>420</v>
      </c>
      <c r="K87" s="5">
        <v>118.8</v>
      </c>
      <c r="L87" s="5">
        <v>36</v>
      </c>
      <c r="M87" s="8">
        <v>189.27</v>
      </c>
      <c r="N87" s="8">
        <v>8.4700000000000006</v>
      </c>
      <c r="O87" s="9">
        <f t="shared" ref="O87:O91" si="14">(H87-((I87+J87+K87+L87)/(M87+N87)))</f>
        <v>18.832189746131284</v>
      </c>
      <c r="P87" s="127">
        <v>19</v>
      </c>
      <c r="Q87" s="5">
        <v>308.89999999999998</v>
      </c>
      <c r="R87" s="8"/>
      <c r="S87" s="8"/>
      <c r="T87" s="8"/>
      <c r="U87" s="8"/>
      <c r="V87" s="8"/>
      <c r="W87" s="8"/>
      <c r="X87" s="8"/>
      <c r="Y87" s="8"/>
      <c r="Z87" s="8"/>
      <c r="AA87" s="8"/>
      <c r="AB87" s="8"/>
      <c r="AC87" s="8"/>
      <c r="AD87" s="8"/>
      <c r="AE87" s="8"/>
      <c r="AF87" s="8"/>
      <c r="AG87" s="8"/>
      <c r="AH87" s="8"/>
      <c r="AI87" s="8"/>
      <c r="AJ87" s="8"/>
      <c r="AK87" s="8"/>
      <c r="AL87" s="87"/>
    </row>
    <row r="88" spans="3:38" x14ac:dyDescent="0.25">
      <c r="C88" s="54"/>
      <c r="G88" s="2" t="s">
        <v>19</v>
      </c>
      <c r="H88" s="7">
        <v>22</v>
      </c>
      <c r="I88" s="18">
        <v>43.57610136000001</v>
      </c>
      <c r="J88" s="5">
        <v>420</v>
      </c>
      <c r="K88" s="5">
        <v>118.8</v>
      </c>
      <c r="L88" s="5">
        <v>36</v>
      </c>
      <c r="M88" s="8">
        <v>189.27</v>
      </c>
      <c r="N88" s="8">
        <v>8.4700000000000006</v>
      </c>
      <c r="O88" s="9">
        <f t="shared" si="14"/>
        <v>18.872781928997675</v>
      </c>
      <c r="P88" s="127">
        <v>19</v>
      </c>
      <c r="Q88" s="5">
        <v>269.7</v>
      </c>
      <c r="R88" s="8"/>
      <c r="S88" s="8"/>
      <c r="T88" s="8"/>
      <c r="U88" s="8"/>
      <c r="V88" s="8"/>
      <c r="W88" s="8"/>
      <c r="X88" s="8"/>
      <c r="Y88" s="8"/>
      <c r="Z88" s="8"/>
      <c r="AA88" s="8"/>
      <c r="AB88" s="8"/>
      <c r="AC88" s="8"/>
      <c r="AD88" s="8"/>
      <c r="AE88" s="8"/>
      <c r="AF88" s="8"/>
      <c r="AG88" s="8"/>
      <c r="AH88" s="8"/>
      <c r="AI88" s="8"/>
      <c r="AJ88" s="8"/>
      <c r="AK88" s="8"/>
      <c r="AL88" s="87"/>
    </row>
    <row r="89" spans="3:38" x14ac:dyDescent="0.25">
      <c r="C89" s="54"/>
      <c r="G89" s="2" t="s">
        <v>20</v>
      </c>
      <c r="H89" s="7">
        <v>22</v>
      </c>
      <c r="I89" s="18">
        <v>40.137126480000006</v>
      </c>
      <c r="J89" s="5">
        <v>420</v>
      </c>
      <c r="K89" s="5">
        <v>118.8</v>
      </c>
      <c r="L89" s="5">
        <v>36</v>
      </c>
      <c r="M89" s="8">
        <v>189.27</v>
      </c>
      <c r="N89" s="8">
        <v>8.4700000000000006</v>
      </c>
      <c r="O89" s="9">
        <f t="shared" si="14"/>
        <v>18.890173326185902</v>
      </c>
      <c r="P89" s="127">
        <v>19</v>
      </c>
      <c r="Q89" s="5">
        <v>271.5</v>
      </c>
      <c r="R89" s="8"/>
      <c r="S89" s="8"/>
      <c r="T89" s="8"/>
      <c r="U89" s="8"/>
      <c r="V89" s="8"/>
      <c r="W89" s="8"/>
      <c r="X89" s="8"/>
      <c r="Y89" s="8"/>
      <c r="Z89" s="8"/>
      <c r="AA89" s="8"/>
      <c r="AB89" s="8"/>
      <c r="AC89" s="8"/>
      <c r="AD89" s="8"/>
      <c r="AE89" s="8"/>
      <c r="AF89" s="8"/>
      <c r="AG89" s="8"/>
      <c r="AH89" s="8"/>
      <c r="AI89" s="8"/>
      <c r="AJ89" s="8"/>
      <c r="AK89" s="8"/>
      <c r="AL89" s="87"/>
    </row>
    <row r="90" spans="3:38" x14ac:dyDescent="0.25">
      <c r="C90" s="54"/>
      <c r="G90" s="2" t="s">
        <v>21</v>
      </c>
      <c r="H90" s="7">
        <v>22</v>
      </c>
      <c r="I90" s="18">
        <v>35.549403120000008</v>
      </c>
      <c r="J90" s="5">
        <v>420</v>
      </c>
      <c r="K90" s="5">
        <v>118.8</v>
      </c>
      <c r="L90" s="5">
        <v>36</v>
      </c>
      <c r="M90" s="8">
        <v>189.27</v>
      </c>
      <c r="N90" s="8">
        <v>8.4700000000000006</v>
      </c>
      <c r="O90" s="9">
        <f t="shared" si="14"/>
        <v>18.913374111864066</v>
      </c>
      <c r="P90" s="127">
        <v>19</v>
      </c>
      <c r="Q90" s="5">
        <v>313.2</v>
      </c>
      <c r="R90" s="8"/>
      <c r="S90" s="8"/>
      <c r="T90" s="8"/>
      <c r="U90" s="8"/>
      <c r="V90" s="8"/>
      <c r="W90" s="8"/>
      <c r="X90" s="8"/>
      <c r="Y90" s="8"/>
      <c r="Z90" s="8"/>
      <c r="AA90" s="8"/>
      <c r="AB90" s="8"/>
      <c r="AC90" s="8"/>
      <c r="AD90" s="8"/>
      <c r="AE90" s="8"/>
      <c r="AF90" s="8"/>
      <c r="AG90" s="8"/>
      <c r="AH90" s="8"/>
      <c r="AI90" s="8"/>
      <c r="AJ90" s="8"/>
      <c r="AK90" s="8"/>
      <c r="AL90" s="87"/>
    </row>
    <row r="91" spans="3:38" x14ac:dyDescent="0.25">
      <c r="C91" s="54"/>
      <c r="G91" s="2" t="s">
        <v>22</v>
      </c>
      <c r="H91" s="7">
        <v>22</v>
      </c>
      <c r="I91" s="18">
        <v>30.961679760000006</v>
      </c>
      <c r="J91" s="5">
        <v>420</v>
      </c>
      <c r="K91" s="5">
        <v>118.8</v>
      </c>
      <c r="L91" s="5">
        <v>36</v>
      </c>
      <c r="M91" s="8">
        <v>189.27</v>
      </c>
      <c r="N91" s="8">
        <v>8.4700000000000006</v>
      </c>
      <c r="O91" s="9">
        <f t="shared" si="14"/>
        <v>18.936574897542229</v>
      </c>
      <c r="P91" s="127">
        <v>19</v>
      </c>
      <c r="Q91" s="5">
        <v>191.3</v>
      </c>
      <c r="R91" s="8"/>
      <c r="S91" s="8"/>
      <c r="T91" s="8"/>
      <c r="U91" s="8"/>
      <c r="V91" s="8"/>
      <c r="W91" s="8"/>
      <c r="X91" s="8"/>
      <c r="Y91" s="8"/>
      <c r="Z91" s="8"/>
      <c r="AA91" s="8"/>
      <c r="AB91" s="8"/>
      <c r="AC91" s="8"/>
      <c r="AD91" s="8"/>
      <c r="AE91" s="8"/>
      <c r="AF91" s="8"/>
      <c r="AG91" s="8"/>
      <c r="AH91" s="8"/>
      <c r="AI91" s="8"/>
      <c r="AJ91" s="8"/>
      <c r="AK91" s="8"/>
      <c r="AL91" s="87"/>
    </row>
    <row r="92" spans="3:38" ht="13" x14ac:dyDescent="0.3">
      <c r="G92" s="10" t="s">
        <v>140</v>
      </c>
      <c r="H92" s="336"/>
      <c r="I92" s="336"/>
      <c r="J92" s="336"/>
      <c r="K92" s="336"/>
      <c r="L92" s="336"/>
      <c r="M92" s="336"/>
      <c r="N92" s="336"/>
      <c r="O92" s="336"/>
      <c r="P92" s="336"/>
      <c r="Q92" s="13">
        <f>SUM(Q86:Q91)</f>
        <v>1767.5</v>
      </c>
      <c r="R92" s="14">
        <f>9/24</f>
        <v>0.375</v>
      </c>
      <c r="S92" s="14">
        <f>24/1000</f>
        <v>2.4E-2</v>
      </c>
      <c r="T92" s="8">
        <v>3.59</v>
      </c>
      <c r="U92" s="8">
        <v>12.96</v>
      </c>
      <c r="V92" s="8">
        <f>Q92</f>
        <v>1767.5</v>
      </c>
      <c r="W92" s="17">
        <f>R92*S92*T92*U92*V92</f>
        <v>740.1187080000002</v>
      </c>
      <c r="X92" s="8">
        <v>3.94</v>
      </c>
      <c r="Y92" s="8">
        <v>12.96</v>
      </c>
      <c r="Z92" s="8">
        <f>Q92</f>
        <v>1767.5</v>
      </c>
      <c r="AA92" s="17">
        <f>(R92*S92*X92*Y92*Z92)</f>
        <v>812.27512800000022</v>
      </c>
      <c r="AB92" s="8">
        <v>2.13</v>
      </c>
      <c r="AC92" s="8">
        <v>41.904000000000003</v>
      </c>
      <c r="AD92" s="8">
        <f>Q92</f>
        <v>1767.5</v>
      </c>
      <c r="AE92" s="17">
        <f>(R92*S92*AB92*AC92*AD92)</f>
        <v>1419.8321844000004</v>
      </c>
      <c r="AF92" s="96">
        <f>N447</f>
        <v>1207.5186122861833</v>
      </c>
      <c r="AG92" s="27">
        <f>W92+AA92+AE92+AF92</f>
        <v>4179.7446326861846</v>
      </c>
      <c r="AH92" s="8">
        <f>AG92*0.1</f>
        <v>417.97446326861848</v>
      </c>
      <c r="AI92" s="125">
        <f>AG92+AH92</f>
        <v>4597.7190959548034</v>
      </c>
      <c r="AJ92" s="8">
        <v>3.1</v>
      </c>
      <c r="AK92" s="130">
        <f>ROUND((AI92/AJ92),0)</f>
        <v>1483</v>
      </c>
      <c r="AL92" s="87"/>
    </row>
    <row r="93" spans="3:38" ht="13" x14ac:dyDescent="0.25">
      <c r="G93" s="2" t="s">
        <v>13</v>
      </c>
      <c r="H93" s="7">
        <v>23</v>
      </c>
      <c r="I93" s="18">
        <v>63.072108000000007</v>
      </c>
      <c r="J93" s="5">
        <v>420</v>
      </c>
      <c r="K93" s="5">
        <v>118.8</v>
      </c>
      <c r="L93" s="5">
        <v>36</v>
      </c>
      <c r="M93" s="8">
        <v>189.27</v>
      </c>
      <c r="N93" s="8">
        <v>8.4700000000000006</v>
      </c>
      <c r="O93" s="9">
        <f>(H93-((I93+J93+K93+L93)/(M93+N93)))</f>
        <v>19.774187781935876</v>
      </c>
      <c r="P93" s="127">
        <v>20</v>
      </c>
      <c r="Q93" s="5">
        <v>382.9</v>
      </c>
      <c r="R93" s="14"/>
      <c r="S93" s="14"/>
      <c r="T93" s="8"/>
      <c r="U93" s="8"/>
      <c r="V93" s="8"/>
      <c r="W93" s="17"/>
      <c r="X93" s="8"/>
      <c r="Y93" s="8"/>
      <c r="Z93" s="8"/>
      <c r="AA93" s="17"/>
      <c r="AB93" s="8"/>
      <c r="AC93" s="8"/>
      <c r="AD93" s="8"/>
      <c r="AE93" s="17"/>
      <c r="AF93" s="96"/>
      <c r="AG93" s="27"/>
      <c r="AH93" s="8"/>
      <c r="AI93" s="125"/>
      <c r="AJ93" s="8"/>
      <c r="AK93" s="130"/>
      <c r="AL93" s="87"/>
    </row>
    <row r="94" spans="3:38" x14ac:dyDescent="0.25">
      <c r="G94" s="2" t="s">
        <v>24</v>
      </c>
      <c r="H94" s="7">
        <v>23</v>
      </c>
      <c r="I94" s="18">
        <v>51.602799600000004</v>
      </c>
      <c r="J94" s="5">
        <v>420</v>
      </c>
      <c r="K94" s="5">
        <v>118.8</v>
      </c>
      <c r="L94" s="5">
        <v>36</v>
      </c>
      <c r="M94" s="8">
        <v>189.27</v>
      </c>
      <c r="N94" s="8">
        <v>8.4700000000000006</v>
      </c>
      <c r="O94" s="9">
        <f t="shared" ref="O94:O98" si="15">(H94-((I94+J94+K94+L94)/(M94+N94)))</f>
        <v>19.832189746131284</v>
      </c>
      <c r="P94" s="127">
        <v>20</v>
      </c>
      <c r="Q94" s="5">
        <v>277.89999999999998</v>
      </c>
      <c r="R94" s="8"/>
      <c r="S94" s="8"/>
      <c r="T94" s="8"/>
      <c r="U94" s="8"/>
      <c r="V94" s="8"/>
      <c r="W94" s="8"/>
      <c r="X94" s="8"/>
      <c r="Y94" s="8"/>
      <c r="Z94" s="8"/>
      <c r="AA94" s="8"/>
      <c r="AB94" s="8"/>
      <c r="AC94" s="8"/>
      <c r="AD94" s="8"/>
      <c r="AE94" s="8"/>
      <c r="AF94" s="8"/>
      <c r="AG94" s="8"/>
      <c r="AH94" s="8"/>
      <c r="AI94" s="8"/>
      <c r="AJ94" s="8"/>
      <c r="AK94" s="8"/>
      <c r="AL94" s="87"/>
    </row>
    <row r="95" spans="3:38" x14ac:dyDescent="0.25">
      <c r="G95" s="2" t="s">
        <v>19</v>
      </c>
      <c r="H95" s="7">
        <v>23</v>
      </c>
      <c r="I95" s="18">
        <v>43.57610136000001</v>
      </c>
      <c r="J95" s="5">
        <v>420</v>
      </c>
      <c r="K95" s="5">
        <v>118.8</v>
      </c>
      <c r="L95" s="5">
        <v>36</v>
      </c>
      <c r="M95" s="8">
        <v>189.27</v>
      </c>
      <c r="N95" s="8">
        <v>8.4700000000000006</v>
      </c>
      <c r="O95" s="9">
        <f t="shared" si="15"/>
        <v>19.872781928997675</v>
      </c>
      <c r="P95" s="127">
        <v>20</v>
      </c>
      <c r="Q95" s="5">
        <v>238.7</v>
      </c>
      <c r="R95" s="8"/>
      <c r="S95" s="8"/>
      <c r="T95" s="8"/>
      <c r="U95" s="8"/>
      <c r="V95" s="8"/>
      <c r="W95" s="8"/>
      <c r="X95" s="8"/>
      <c r="Y95" s="8"/>
      <c r="Z95" s="8"/>
      <c r="AA95" s="8"/>
      <c r="AB95" s="8"/>
      <c r="AC95" s="8"/>
      <c r="AD95" s="8"/>
      <c r="AE95" s="8"/>
      <c r="AF95" s="8"/>
      <c r="AG95" s="8"/>
      <c r="AH95" s="8"/>
      <c r="AI95" s="8"/>
      <c r="AJ95" s="8"/>
      <c r="AK95" s="8"/>
      <c r="AL95" s="87"/>
    </row>
    <row r="96" spans="3:38" x14ac:dyDescent="0.25">
      <c r="G96" s="2" t="s">
        <v>20</v>
      </c>
      <c r="H96" s="7">
        <v>23</v>
      </c>
      <c r="I96" s="18">
        <v>40.137126480000006</v>
      </c>
      <c r="J96" s="5">
        <v>420</v>
      </c>
      <c r="K96" s="5">
        <v>118.8</v>
      </c>
      <c r="L96" s="5">
        <v>36</v>
      </c>
      <c r="M96" s="8">
        <v>189.27</v>
      </c>
      <c r="N96" s="8">
        <v>8.4700000000000006</v>
      </c>
      <c r="O96" s="9">
        <f t="shared" si="15"/>
        <v>19.890173326185902</v>
      </c>
      <c r="P96" s="127">
        <v>20</v>
      </c>
      <c r="Q96" s="5">
        <v>241.5</v>
      </c>
      <c r="R96" s="8"/>
      <c r="S96" s="8"/>
      <c r="T96" s="8"/>
      <c r="U96" s="8"/>
      <c r="V96" s="8"/>
      <c r="W96" s="8"/>
      <c r="X96" s="8"/>
      <c r="Y96" s="8"/>
      <c r="Z96" s="8"/>
      <c r="AA96" s="8"/>
      <c r="AB96" s="8"/>
      <c r="AC96" s="8"/>
      <c r="AD96" s="8"/>
      <c r="AE96" s="8"/>
      <c r="AF96" s="8"/>
      <c r="AG96" s="8"/>
      <c r="AH96" s="8"/>
      <c r="AI96" s="8"/>
      <c r="AJ96" s="8"/>
      <c r="AK96" s="8"/>
      <c r="AL96" s="87"/>
    </row>
    <row r="97" spans="3:38" x14ac:dyDescent="0.25">
      <c r="G97" s="2" t="s">
        <v>21</v>
      </c>
      <c r="H97" s="7">
        <v>23</v>
      </c>
      <c r="I97" s="18">
        <v>35.549403120000008</v>
      </c>
      <c r="J97" s="5">
        <v>420</v>
      </c>
      <c r="K97" s="5">
        <v>118.8</v>
      </c>
      <c r="L97" s="5">
        <v>36</v>
      </c>
      <c r="M97" s="8">
        <v>189.27</v>
      </c>
      <c r="N97" s="8">
        <v>8.4700000000000006</v>
      </c>
      <c r="O97" s="9">
        <f t="shared" si="15"/>
        <v>19.913374111864066</v>
      </c>
      <c r="P97" s="127">
        <v>20</v>
      </c>
      <c r="Q97" s="5">
        <v>282.2</v>
      </c>
      <c r="R97" s="8"/>
      <c r="S97" s="8"/>
      <c r="T97" s="8"/>
      <c r="U97" s="8"/>
      <c r="V97" s="8"/>
      <c r="W97" s="8"/>
      <c r="X97" s="8"/>
      <c r="Y97" s="8"/>
      <c r="Z97" s="8"/>
      <c r="AA97" s="8"/>
      <c r="AB97" s="8"/>
      <c r="AC97" s="8"/>
      <c r="AD97" s="8"/>
      <c r="AE97" s="8"/>
      <c r="AF97" s="8"/>
      <c r="AG97" s="8"/>
      <c r="AH97" s="8"/>
      <c r="AI97" s="8"/>
      <c r="AJ97" s="8"/>
      <c r="AK97" s="8"/>
      <c r="AL97" s="87"/>
    </row>
    <row r="98" spans="3:38" x14ac:dyDescent="0.25">
      <c r="G98" s="2" t="s">
        <v>22</v>
      </c>
      <c r="H98" s="7">
        <v>23</v>
      </c>
      <c r="I98" s="18">
        <v>30.961679760000006</v>
      </c>
      <c r="J98" s="5">
        <v>420</v>
      </c>
      <c r="K98" s="5">
        <v>118.8</v>
      </c>
      <c r="L98" s="5">
        <v>36</v>
      </c>
      <c r="M98" s="8">
        <v>189.27</v>
      </c>
      <c r="N98" s="8">
        <v>8.4700000000000006</v>
      </c>
      <c r="O98" s="9">
        <f t="shared" si="15"/>
        <v>19.936574897542229</v>
      </c>
      <c r="P98" s="127">
        <v>20</v>
      </c>
      <c r="Q98" s="5">
        <v>165.2</v>
      </c>
      <c r="R98" s="8"/>
      <c r="S98" s="8"/>
      <c r="T98" s="8"/>
      <c r="U98" s="8"/>
      <c r="V98" s="8"/>
      <c r="W98" s="8"/>
      <c r="X98" s="8"/>
      <c r="Y98" s="8"/>
      <c r="Z98" s="8"/>
      <c r="AA98" s="8"/>
      <c r="AB98" s="8"/>
      <c r="AC98" s="8"/>
      <c r="AD98" s="8"/>
      <c r="AE98" s="8"/>
      <c r="AF98" s="8"/>
      <c r="AG98" s="8"/>
      <c r="AH98" s="8"/>
      <c r="AI98" s="8"/>
      <c r="AJ98" s="8"/>
      <c r="AK98" s="8"/>
      <c r="AL98" s="87"/>
    </row>
    <row r="99" spans="3:38" ht="13" x14ac:dyDescent="0.3">
      <c r="G99" s="10" t="s">
        <v>141</v>
      </c>
      <c r="H99" s="335"/>
      <c r="I99" s="335"/>
      <c r="J99" s="335"/>
      <c r="K99" s="335"/>
      <c r="L99" s="335"/>
      <c r="M99" s="335"/>
      <c r="N99" s="335"/>
      <c r="O99" s="335"/>
      <c r="P99" s="335"/>
      <c r="Q99" s="13">
        <f>SUM(Q93:Q98)</f>
        <v>1588.4</v>
      </c>
      <c r="R99" s="14">
        <f>9/24</f>
        <v>0.375</v>
      </c>
      <c r="S99" s="14">
        <f>24/1000</f>
        <v>2.4E-2</v>
      </c>
      <c r="T99" s="8">
        <v>3.59</v>
      </c>
      <c r="U99" s="8">
        <v>12.96</v>
      </c>
      <c r="V99" s="8">
        <f>Q99</f>
        <v>1588.4</v>
      </c>
      <c r="W99" s="17">
        <f>R99*S99*T99*U99*V99</f>
        <v>665.12280384000019</v>
      </c>
      <c r="X99" s="8">
        <v>3.94</v>
      </c>
      <c r="Y99" s="8">
        <v>12.96</v>
      </c>
      <c r="Z99" s="8">
        <f>Q99</f>
        <v>1588.4</v>
      </c>
      <c r="AA99" s="17">
        <f>(R99*S99*X99*Y99*Z99)</f>
        <v>729.9676454400003</v>
      </c>
      <c r="AB99" s="8">
        <v>2.13</v>
      </c>
      <c r="AC99" s="8">
        <v>41.904000000000003</v>
      </c>
      <c r="AD99" s="8">
        <f>Q99</f>
        <v>1588.4</v>
      </c>
      <c r="AE99" s="17">
        <f>(R99*S99*AB99*AC99*AD99)</f>
        <v>1275.9612117120002</v>
      </c>
      <c r="AF99" s="96">
        <f>N448</f>
        <v>1185.6844062366886</v>
      </c>
      <c r="AG99" s="27">
        <f>W99+AA99+AE99+AF99</f>
        <v>3856.7360672286891</v>
      </c>
      <c r="AH99" s="8">
        <f>AG99*0.1</f>
        <v>385.67360672286895</v>
      </c>
      <c r="AI99" s="125">
        <f>AG99+AH99</f>
        <v>4242.409673951558</v>
      </c>
      <c r="AJ99" s="8">
        <v>3.1</v>
      </c>
      <c r="AK99" s="130">
        <f>ROUND((AI99/AJ99),0)</f>
        <v>1369</v>
      </c>
      <c r="AL99" s="87"/>
    </row>
    <row r="100" spans="3:38" ht="13" x14ac:dyDescent="0.25">
      <c r="G100" s="2" t="s">
        <v>13</v>
      </c>
      <c r="H100" s="7">
        <v>24</v>
      </c>
      <c r="I100" s="18">
        <v>63.072108000000007</v>
      </c>
      <c r="J100" s="5">
        <v>420</v>
      </c>
      <c r="K100" s="5">
        <v>118.8</v>
      </c>
      <c r="L100" s="5">
        <v>36</v>
      </c>
      <c r="M100" s="8">
        <v>189.27</v>
      </c>
      <c r="N100" s="8">
        <v>8.4700000000000006</v>
      </c>
      <c r="O100" s="9">
        <f>(H100-((I100+J100+K100+L100)/(M100+N100)))</f>
        <v>20.774187781935876</v>
      </c>
      <c r="P100" s="127">
        <v>21</v>
      </c>
      <c r="Q100" s="5">
        <v>352.9</v>
      </c>
      <c r="R100" s="14"/>
      <c r="S100" s="14"/>
      <c r="T100" s="8"/>
      <c r="U100" s="8"/>
      <c r="V100" s="8"/>
      <c r="W100" s="17"/>
      <c r="X100" s="8"/>
      <c r="Y100" s="8"/>
      <c r="Z100" s="8"/>
      <c r="AA100" s="17"/>
      <c r="AB100" s="8"/>
      <c r="AC100" s="8"/>
      <c r="AD100" s="8"/>
      <c r="AE100" s="17"/>
      <c r="AF100" s="96"/>
      <c r="AG100" s="27"/>
      <c r="AH100" s="8"/>
      <c r="AI100" s="125"/>
      <c r="AJ100" s="8"/>
      <c r="AK100" s="130"/>
      <c r="AL100" s="87"/>
    </row>
    <row r="101" spans="3:38" ht="13" x14ac:dyDescent="0.25">
      <c r="G101" s="2" t="s">
        <v>24</v>
      </c>
      <c r="H101" s="7">
        <v>24</v>
      </c>
      <c r="I101" s="18">
        <v>51.602799600000004</v>
      </c>
      <c r="J101" s="5">
        <v>420</v>
      </c>
      <c r="K101" s="5">
        <v>118.8</v>
      </c>
      <c r="L101" s="5">
        <v>36</v>
      </c>
      <c r="M101" s="8">
        <v>189.27</v>
      </c>
      <c r="N101" s="8">
        <v>8.4700000000000006</v>
      </c>
      <c r="O101" s="9">
        <f t="shared" ref="O101:O105" si="16">(H101-((I101+J101+K101+L101)/(M101+N101)))</f>
        <v>20.832189746131284</v>
      </c>
      <c r="P101" s="127">
        <v>21</v>
      </c>
      <c r="Q101" s="5">
        <v>246.9</v>
      </c>
      <c r="R101" s="126"/>
      <c r="S101" s="126"/>
      <c r="T101" s="8"/>
      <c r="U101" s="8"/>
      <c r="V101" s="8"/>
      <c r="W101" s="45"/>
      <c r="X101" s="8"/>
      <c r="Y101" s="8"/>
      <c r="Z101" s="8"/>
      <c r="AA101" s="45"/>
      <c r="AB101" s="8"/>
      <c r="AC101" s="8"/>
      <c r="AD101" s="8"/>
      <c r="AE101" s="45"/>
      <c r="AF101" s="45"/>
      <c r="AG101" s="27"/>
      <c r="AH101" s="8"/>
      <c r="AI101" s="126"/>
      <c r="AJ101" s="8"/>
      <c r="AK101" s="131"/>
      <c r="AL101" s="87"/>
    </row>
    <row r="102" spans="3:38" ht="13" x14ac:dyDescent="0.25">
      <c r="G102" s="2" t="s">
        <v>19</v>
      </c>
      <c r="H102" s="7">
        <v>24</v>
      </c>
      <c r="I102" s="18">
        <v>43.57610136000001</v>
      </c>
      <c r="J102" s="5">
        <v>420</v>
      </c>
      <c r="K102" s="5">
        <v>118.8</v>
      </c>
      <c r="L102" s="5">
        <v>36</v>
      </c>
      <c r="M102" s="8">
        <v>189.27</v>
      </c>
      <c r="N102" s="8">
        <v>8.4700000000000006</v>
      </c>
      <c r="O102" s="9">
        <f t="shared" si="16"/>
        <v>20.872781928997675</v>
      </c>
      <c r="P102" s="127">
        <v>21</v>
      </c>
      <c r="Q102" s="5">
        <v>207.7</v>
      </c>
      <c r="R102" s="126"/>
      <c r="S102" s="126"/>
      <c r="T102" s="8"/>
      <c r="U102" s="8"/>
      <c r="V102" s="8"/>
      <c r="W102" s="45"/>
      <c r="X102" s="8"/>
      <c r="Y102" s="8"/>
      <c r="Z102" s="8"/>
      <c r="AA102" s="45"/>
      <c r="AB102" s="8"/>
      <c r="AC102" s="8"/>
      <c r="AD102" s="8"/>
      <c r="AE102" s="45"/>
      <c r="AF102" s="45"/>
      <c r="AG102" s="27"/>
      <c r="AH102" s="8"/>
      <c r="AI102" s="126"/>
      <c r="AJ102" s="8"/>
      <c r="AK102" s="131"/>
      <c r="AL102" s="87"/>
    </row>
    <row r="103" spans="3:38" ht="13" x14ac:dyDescent="0.25">
      <c r="G103" s="2" t="s">
        <v>20</v>
      </c>
      <c r="H103" s="7">
        <v>24</v>
      </c>
      <c r="I103" s="18">
        <v>40.137126480000006</v>
      </c>
      <c r="J103" s="5">
        <v>420</v>
      </c>
      <c r="K103" s="5">
        <v>118.8</v>
      </c>
      <c r="L103" s="5">
        <v>36</v>
      </c>
      <c r="M103" s="8">
        <v>189.27</v>
      </c>
      <c r="N103" s="8">
        <v>8.4700000000000006</v>
      </c>
      <c r="O103" s="9">
        <f t="shared" si="16"/>
        <v>20.890173326185902</v>
      </c>
      <c r="P103" s="127">
        <v>21</v>
      </c>
      <c r="Q103" s="5">
        <v>211.5</v>
      </c>
      <c r="R103" s="126"/>
      <c r="S103" s="126"/>
      <c r="T103" s="8"/>
      <c r="U103" s="8"/>
      <c r="V103" s="8"/>
      <c r="W103" s="45"/>
      <c r="X103" s="8"/>
      <c r="Y103" s="8"/>
      <c r="Z103" s="8"/>
      <c r="AA103" s="45"/>
      <c r="AB103" s="8"/>
      <c r="AC103" s="8"/>
      <c r="AD103" s="8"/>
      <c r="AE103" s="45"/>
      <c r="AF103" s="45"/>
      <c r="AG103" s="27"/>
      <c r="AH103" s="8"/>
      <c r="AI103" s="126"/>
      <c r="AJ103" s="8"/>
      <c r="AK103" s="131"/>
      <c r="AL103" s="87"/>
    </row>
    <row r="104" spans="3:38" ht="13" x14ac:dyDescent="0.25">
      <c r="G104" s="2" t="s">
        <v>21</v>
      </c>
      <c r="H104" s="7">
        <v>24</v>
      </c>
      <c r="I104" s="18">
        <v>35.549403120000008</v>
      </c>
      <c r="J104" s="5">
        <v>420</v>
      </c>
      <c r="K104" s="5">
        <v>118.8</v>
      </c>
      <c r="L104" s="5">
        <v>36</v>
      </c>
      <c r="M104" s="8">
        <v>189.27</v>
      </c>
      <c r="N104" s="8">
        <v>8.4700000000000006</v>
      </c>
      <c r="O104" s="9">
        <f t="shared" si="16"/>
        <v>20.913374111864066</v>
      </c>
      <c r="P104" s="127">
        <v>21</v>
      </c>
      <c r="Q104" s="5">
        <v>251.2</v>
      </c>
      <c r="R104" s="126"/>
      <c r="S104" s="126"/>
      <c r="T104" s="8"/>
      <c r="U104" s="8"/>
      <c r="V104" s="8"/>
      <c r="W104" s="45"/>
      <c r="X104" s="8"/>
      <c r="Y104" s="8"/>
      <c r="Z104" s="8"/>
      <c r="AA104" s="45"/>
      <c r="AB104" s="8"/>
      <c r="AC104" s="8"/>
      <c r="AD104" s="8"/>
      <c r="AE104" s="45"/>
      <c r="AF104" s="45"/>
      <c r="AG104" s="27"/>
      <c r="AH104" s="8"/>
      <c r="AI104" s="126"/>
      <c r="AJ104" s="8"/>
      <c r="AK104" s="131"/>
      <c r="AL104" s="87"/>
    </row>
    <row r="105" spans="3:38" ht="13" x14ac:dyDescent="0.25">
      <c r="G105" s="2" t="s">
        <v>22</v>
      </c>
      <c r="H105" s="7">
        <v>24</v>
      </c>
      <c r="I105" s="18">
        <v>30.961679760000006</v>
      </c>
      <c r="J105" s="5">
        <v>420</v>
      </c>
      <c r="K105" s="5">
        <v>118.8</v>
      </c>
      <c r="L105" s="5">
        <v>36</v>
      </c>
      <c r="M105" s="8">
        <v>189.27</v>
      </c>
      <c r="N105" s="8">
        <v>8.4700000000000006</v>
      </c>
      <c r="O105" s="9">
        <f t="shared" si="16"/>
        <v>20.936574897542229</v>
      </c>
      <c r="P105" s="127">
        <v>21</v>
      </c>
      <c r="Q105" s="5">
        <v>141.5</v>
      </c>
      <c r="R105" s="126"/>
      <c r="S105" s="126"/>
      <c r="T105" s="8"/>
      <c r="U105" s="8"/>
      <c r="V105" s="8"/>
      <c r="W105" s="45"/>
      <c r="X105" s="8"/>
      <c r="Y105" s="8"/>
      <c r="Z105" s="8"/>
      <c r="AA105" s="45"/>
      <c r="AB105" s="8"/>
      <c r="AC105" s="8"/>
      <c r="AD105" s="8"/>
      <c r="AE105" s="45"/>
      <c r="AF105" s="45"/>
      <c r="AG105" s="27"/>
      <c r="AH105" s="8"/>
      <c r="AI105" s="126"/>
      <c r="AJ105" s="8"/>
      <c r="AK105" s="131"/>
      <c r="AL105" s="87"/>
    </row>
    <row r="106" spans="3:38" ht="13" x14ac:dyDescent="0.3">
      <c r="G106" s="10" t="s">
        <v>142</v>
      </c>
      <c r="H106" s="335"/>
      <c r="I106" s="335"/>
      <c r="J106" s="335"/>
      <c r="K106" s="335"/>
      <c r="L106" s="335"/>
      <c r="M106" s="335"/>
      <c r="N106" s="335"/>
      <c r="O106" s="335"/>
      <c r="P106" s="335"/>
      <c r="Q106" s="13">
        <f>SUM(Q100:Q105)</f>
        <v>1411.7</v>
      </c>
      <c r="R106" s="14">
        <f>9/24</f>
        <v>0.375</v>
      </c>
      <c r="S106" s="14">
        <f>24/1000</f>
        <v>2.4E-2</v>
      </c>
      <c r="T106" s="8">
        <v>3.59</v>
      </c>
      <c r="U106" s="8">
        <v>12.96</v>
      </c>
      <c r="V106" s="8">
        <f>Q106</f>
        <v>1411.7</v>
      </c>
      <c r="W106" s="17">
        <f>R106*S106*T106*U106*V106</f>
        <v>591.13186992000021</v>
      </c>
      <c r="X106" s="8">
        <v>3.94</v>
      </c>
      <c r="Y106" s="8">
        <v>12.96</v>
      </c>
      <c r="Z106" s="8">
        <f>Q106</f>
        <v>1411.7</v>
      </c>
      <c r="AA106" s="17">
        <f>(R106*S106*X106*Y106*Z106)</f>
        <v>648.76311072000021</v>
      </c>
      <c r="AB106" s="8">
        <v>2.13</v>
      </c>
      <c r="AC106" s="8">
        <v>41.904000000000003</v>
      </c>
      <c r="AD106" s="8">
        <f>Q106</f>
        <v>1411.7</v>
      </c>
      <c r="AE106" s="17">
        <f>(R106*S106*AB106*AC106*AD106)</f>
        <v>1134.0181582560003</v>
      </c>
      <c r="AF106" s="96">
        <f>N449</f>
        <v>1163.8502001871936</v>
      </c>
      <c r="AG106" s="27">
        <f>W106+AA106+AE106+AF106</f>
        <v>3537.7633390831943</v>
      </c>
      <c r="AH106" s="8">
        <f>AG106*0.1</f>
        <v>353.77633390831943</v>
      </c>
      <c r="AI106" s="125">
        <f>AG106+AH106</f>
        <v>3891.5396729915137</v>
      </c>
      <c r="AJ106" s="8">
        <v>3.1</v>
      </c>
      <c r="AK106" s="130">
        <f>ROUND((AI106/AJ106),0)</f>
        <v>1255</v>
      </c>
      <c r="AL106" s="133"/>
    </row>
    <row r="107" spans="3:38" ht="13" x14ac:dyDescent="0.3">
      <c r="G107" s="337" t="s">
        <v>199</v>
      </c>
      <c r="H107" s="338"/>
      <c r="I107" s="338"/>
      <c r="J107" s="338"/>
      <c r="K107" s="338"/>
      <c r="L107" s="338"/>
      <c r="M107" s="338"/>
      <c r="N107" s="338"/>
      <c r="O107" s="338"/>
      <c r="P107" s="338"/>
      <c r="Q107" s="338"/>
      <c r="R107" s="338"/>
      <c r="S107" s="338"/>
      <c r="T107" s="338"/>
      <c r="U107" s="338"/>
      <c r="V107" s="338"/>
      <c r="W107" s="338"/>
      <c r="X107" s="338"/>
      <c r="Y107" s="338"/>
      <c r="Z107" s="338"/>
      <c r="AA107" s="338"/>
      <c r="AB107" s="338"/>
      <c r="AC107" s="338"/>
      <c r="AD107" s="338"/>
      <c r="AE107" s="338"/>
      <c r="AF107" s="338"/>
      <c r="AG107" s="338"/>
      <c r="AH107" s="338"/>
      <c r="AI107" s="338"/>
      <c r="AJ107" s="338"/>
      <c r="AK107" s="338"/>
      <c r="AL107" s="138">
        <f>ROUND((AK64*AS6+AK71*AS7+AK78*AS8+AK85*AS9+AK92*AS10+AK99*AS11+AK106*AS12),0)</f>
        <v>1476</v>
      </c>
    </row>
    <row r="108" spans="3:38" ht="13" x14ac:dyDescent="0.3">
      <c r="G108" s="332" t="s">
        <v>33</v>
      </c>
      <c r="H108" s="333"/>
      <c r="I108" s="333"/>
      <c r="J108" s="333"/>
      <c r="K108" s="333"/>
      <c r="L108" s="333"/>
      <c r="M108" s="333"/>
      <c r="N108" s="333"/>
      <c r="O108" s="333"/>
      <c r="P108" s="333"/>
      <c r="Q108" s="333"/>
      <c r="R108" s="333"/>
      <c r="S108" s="333"/>
      <c r="T108" s="333"/>
      <c r="U108" s="333"/>
      <c r="V108" s="333"/>
      <c r="W108" s="333"/>
      <c r="X108" s="333"/>
      <c r="Y108" s="333"/>
      <c r="Z108" s="333"/>
      <c r="AA108" s="333"/>
      <c r="AB108" s="333"/>
      <c r="AC108" s="333"/>
      <c r="AD108" s="333"/>
      <c r="AE108" s="333"/>
      <c r="AF108" s="333"/>
      <c r="AG108" s="333"/>
      <c r="AH108" s="333"/>
      <c r="AI108" s="333"/>
      <c r="AJ108" s="333"/>
      <c r="AK108" s="333"/>
      <c r="AL108" s="334"/>
    </row>
    <row r="109" spans="3:38" ht="15.5" x14ac:dyDescent="0.4">
      <c r="C109" s="54"/>
      <c r="G109" s="2" t="s">
        <v>0</v>
      </c>
      <c r="H109" s="8"/>
      <c r="I109" s="4"/>
      <c r="J109" s="4"/>
      <c r="K109" s="4"/>
      <c r="L109" s="4"/>
      <c r="M109" s="4"/>
      <c r="N109" s="4"/>
      <c r="O109" s="3" t="s">
        <v>171</v>
      </c>
      <c r="P109" s="3" t="s">
        <v>172</v>
      </c>
      <c r="Q109" s="5" t="s">
        <v>2</v>
      </c>
      <c r="R109" s="8"/>
      <c r="S109" s="8"/>
      <c r="T109" s="8"/>
      <c r="U109" s="8"/>
      <c r="V109" s="8"/>
      <c r="W109" s="8"/>
      <c r="X109" s="8"/>
      <c r="Y109" s="8"/>
      <c r="Z109" s="8"/>
      <c r="AA109" s="8"/>
      <c r="AB109" s="8"/>
      <c r="AC109" s="8"/>
      <c r="AD109" s="8"/>
      <c r="AE109" s="8"/>
      <c r="AF109" s="8"/>
      <c r="AG109" s="8"/>
      <c r="AH109" s="8"/>
      <c r="AI109" s="8"/>
      <c r="AJ109" s="8"/>
      <c r="AK109" s="8"/>
      <c r="AL109" s="87"/>
    </row>
    <row r="110" spans="3:38" x14ac:dyDescent="0.25">
      <c r="C110" s="54"/>
      <c r="G110" s="2" t="s">
        <v>13</v>
      </c>
      <c r="H110" s="7">
        <v>18</v>
      </c>
      <c r="I110" s="18">
        <v>50.457686400000007</v>
      </c>
      <c r="J110" s="5">
        <v>420</v>
      </c>
      <c r="K110" s="5">
        <v>118.8</v>
      </c>
      <c r="L110" s="5">
        <v>36</v>
      </c>
      <c r="M110" s="8">
        <v>189.27</v>
      </c>
      <c r="N110" s="8">
        <v>8.4700000000000006</v>
      </c>
      <c r="O110" s="9">
        <f>(H110-((I110+J110+K110+L110)/(M110+N110)))</f>
        <v>14.83798075048043</v>
      </c>
      <c r="P110" s="33">
        <v>15</v>
      </c>
      <c r="Q110" s="5">
        <v>607.5</v>
      </c>
      <c r="R110" s="8"/>
      <c r="S110" s="8"/>
      <c r="T110" s="8"/>
      <c r="U110" s="8"/>
      <c r="V110" s="8"/>
      <c r="W110" s="8"/>
      <c r="X110" s="8"/>
      <c r="Y110" s="8"/>
      <c r="Z110" s="8"/>
      <c r="AA110" s="8"/>
      <c r="AB110" s="8"/>
      <c r="AC110" s="8"/>
      <c r="AD110" s="8"/>
      <c r="AE110" s="8"/>
      <c r="AF110" s="8"/>
      <c r="AG110" s="8"/>
      <c r="AH110" s="8"/>
      <c r="AI110" s="8"/>
      <c r="AJ110" s="8"/>
      <c r="AK110" s="8"/>
      <c r="AL110" s="87"/>
    </row>
    <row r="111" spans="3:38" x14ac:dyDescent="0.25">
      <c r="C111" s="54"/>
      <c r="G111" s="2" t="s">
        <v>24</v>
      </c>
      <c r="H111" s="7">
        <v>18</v>
      </c>
      <c r="I111" s="18">
        <v>45.869963040000009</v>
      </c>
      <c r="J111" s="5">
        <v>420</v>
      </c>
      <c r="K111" s="5">
        <v>118.8</v>
      </c>
      <c r="L111" s="5">
        <v>36</v>
      </c>
      <c r="M111" s="8">
        <v>189.27</v>
      </c>
      <c r="N111" s="8">
        <v>8.4700000000000006</v>
      </c>
      <c r="O111" s="9">
        <f t="shared" ref="O111:O115" si="17">(H111-((I111+J111+K111+L111)/(M111+N111)))</f>
        <v>14.861181536158593</v>
      </c>
      <c r="P111" s="33">
        <v>15</v>
      </c>
      <c r="Q111" s="5">
        <v>511.4</v>
      </c>
      <c r="R111" s="8"/>
      <c r="S111" s="8"/>
      <c r="T111" s="8"/>
      <c r="U111" s="8"/>
      <c r="V111" s="8"/>
      <c r="W111" s="8"/>
      <c r="X111" s="8"/>
      <c r="Y111" s="8"/>
      <c r="Z111" s="8"/>
      <c r="AA111" s="8"/>
      <c r="AB111" s="8"/>
      <c r="AC111" s="8"/>
      <c r="AD111" s="8"/>
      <c r="AE111" s="8"/>
      <c r="AF111" s="8"/>
      <c r="AG111" s="8"/>
      <c r="AH111" s="8"/>
      <c r="AI111" s="8"/>
      <c r="AJ111" s="8"/>
      <c r="AK111" s="8"/>
      <c r="AL111" s="87"/>
    </row>
    <row r="112" spans="3:38" x14ac:dyDescent="0.25">
      <c r="C112" s="54"/>
      <c r="G112" s="2" t="s">
        <v>19</v>
      </c>
      <c r="H112" s="7">
        <v>18</v>
      </c>
      <c r="I112" s="18">
        <v>42.427352880000001</v>
      </c>
      <c r="J112" s="5">
        <v>420</v>
      </c>
      <c r="K112" s="5">
        <v>118.8</v>
      </c>
      <c r="L112" s="5">
        <v>36</v>
      </c>
      <c r="M112" s="8">
        <v>189.27</v>
      </c>
      <c r="N112" s="8">
        <v>8.4700000000000006</v>
      </c>
      <c r="O112" s="9">
        <f t="shared" si="17"/>
        <v>14.87859131748761</v>
      </c>
      <c r="P112" s="33">
        <v>15</v>
      </c>
      <c r="Q112" s="5">
        <v>458.6</v>
      </c>
      <c r="R112" s="8"/>
      <c r="S112" s="8"/>
      <c r="T112" s="8"/>
      <c r="U112" s="8"/>
      <c r="V112" s="8"/>
      <c r="W112" s="8"/>
      <c r="X112" s="8"/>
      <c r="Y112" s="8"/>
      <c r="Z112" s="8"/>
      <c r="AA112" s="8"/>
      <c r="AB112" s="8"/>
      <c r="AC112" s="8"/>
      <c r="AD112" s="8"/>
      <c r="AE112" s="8"/>
      <c r="AF112" s="8"/>
      <c r="AG112" s="8"/>
      <c r="AH112" s="8"/>
      <c r="AI112" s="8"/>
      <c r="AJ112" s="8"/>
      <c r="AK112" s="8"/>
      <c r="AL112" s="87"/>
    </row>
    <row r="113" spans="3:38" x14ac:dyDescent="0.25">
      <c r="C113" s="54"/>
      <c r="G113" s="2" t="s">
        <v>20</v>
      </c>
      <c r="H113" s="7">
        <v>18</v>
      </c>
      <c r="I113" s="18">
        <v>37.843264800000007</v>
      </c>
      <c r="J113" s="5">
        <v>420</v>
      </c>
      <c r="K113" s="5">
        <v>118.8</v>
      </c>
      <c r="L113" s="5">
        <v>36</v>
      </c>
      <c r="M113" s="8">
        <v>189.27</v>
      </c>
      <c r="N113" s="8">
        <v>8.4700000000000006</v>
      </c>
      <c r="O113" s="9">
        <f t="shared" si="17"/>
        <v>14.901773719024982</v>
      </c>
      <c r="P113" s="33">
        <v>15</v>
      </c>
      <c r="Q113" s="5">
        <v>420.9</v>
      </c>
      <c r="R113" s="8"/>
      <c r="S113" s="8"/>
      <c r="T113" s="8"/>
      <c r="U113" s="8"/>
      <c r="V113" s="8"/>
      <c r="W113" s="8"/>
      <c r="X113" s="8"/>
      <c r="Y113" s="8"/>
      <c r="Z113" s="8"/>
      <c r="AA113" s="8"/>
      <c r="AB113" s="8"/>
      <c r="AC113" s="8"/>
      <c r="AD113" s="8"/>
      <c r="AE113" s="8"/>
      <c r="AF113" s="8"/>
      <c r="AG113" s="8"/>
      <c r="AH113" s="8"/>
      <c r="AI113" s="8"/>
      <c r="AJ113" s="8"/>
      <c r="AK113" s="8"/>
      <c r="AL113" s="87"/>
    </row>
    <row r="114" spans="3:38" x14ac:dyDescent="0.25">
      <c r="C114" s="54"/>
      <c r="G114" s="2" t="s">
        <v>21</v>
      </c>
      <c r="H114" s="7">
        <v>18</v>
      </c>
      <c r="I114" s="18">
        <v>32.10679296</v>
      </c>
      <c r="J114" s="5">
        <v>420</v>
      </c>
      <c r="K114" s="5">
        <v>118.8</v>
      </c>
      <c r="L114" s="5">
        <v>36</v>
      </c>
      <c r="M114" s="8">
        <v>189.27</v>
      </c>
      <c r="N114" s="8">
        <v>8.4700000000000006</v>
      </c>
      <c r="O114" s="9">
        <f t="shared" si="17"/>
        <v>14.930783893193082</v>
      </c>
      <c r="P114" s="33">
        <v>15</v>
      </c>
      <c r="Q114" s="5">
        <v>382.9</v>
      </c>
      <c r="R114" s="8"/>
      <c r="S114" s="8"/>
      <c r="T114" s="8"/>
      <c r="U114" s="8"/>
      <c r="V114" s="8"/>
      <c r="W114" s="8"/>
      <c r="X114" s="8"/>
      <c r="Y114" s="8"/>
      <c r="Z114" s="8"/>
      <c r="AA114" s="8"/>
      <c r="AB114" s="8"/>
      <c r="AC114" s="8"/>
      <c r="AD114" s="8"/>
      <c r="AE114" s="8"/>
      <c r="AF114" s="8"/>
      <c r="AG114" s="8"/>
      <c r="AH114" s="8"/>
      <c r="AI114" s="8"/>
      <c r="AJ114" s="8"/>
      <c r="AK114" s="8"/>
      <c r="AL114" s="87"/>
    </row>
    <row r="115" spans="3:38" x14ac:dyDescent="0.25">
      <c r="C115" s="54"/>
      <c r="G115" s="2" t="s">
        <v>22</v>
      </c>
      <c r="H115" s="7">
        <v>18</v>
      </c>
      <c r="I115" s="18">
        <v>27.522704880000003</v>
      </c>
      <c r="J115" s="5">
        <v>420</v>
      </c>
      <c r="K115" s="5">
        <v>118.8</v>
      </c>
      <c r="L115" s="5">
        <v>36</v>
      </c>
      <c r="M115" s="8">
        <v>189.27</v>
      </c>
      <c r="N115" s="8">
        <v>8.4700000000000006</v>
      </c>
      <c r="O115" s="9">
        <f t="shared" si="17"/>
        <v>14.953966294730455</v>
      </c>
      <c r="P115" s="33">
        <v>15</v>
      </c>
      <c r="Q115" s="5">
        <v>182.1</v>
      </c>
      <c r="R115" s="8"/>
      <c r="S115" s="8"/>
      <c r="T115" s="8"/>
      <c r="U115" s="8"/>
      <c r="V115" s="8"/>
      <c r="W115" s="8"/>
      <c r="X115" s="8"/>
      <c r="Y115" s="8"/>
      <c r="Z115" s="8"/>
      <c r="AA115" s="8"/>
      <c r="AB115" s="8"/>
      <c r="AC115" s="8"/>
      <c r="AD115" s="8"/>
      <c r="AE115" s="8"/>
      <c r="AF115" s="8"/>
      <c r="AG115" s="8"/>
      <c r="AH115" s="8"/>
      <c r="AI115" s="8"/>
      <c r="AJ115" s="8"/>
      <c r="AK115" s="8"/>
      <c r="AL115" s="87"/>
    </row>
    <row r="116" spans="3:38" ht="13" x14ac:dyDescent="0.3">
      <c r="C116" s="54"/>
      <c r="G116" s="10" t="s">
        <v>185</v>
      </c>
      <c r="H116" s="339"/>
      <c r="I116" s="339"/>
      <c r="J116" s="339"/>
      <c r="K116" s="339"/>
      <c r="L116" s="339"/>
      <c r="M116" s="339"/>
      <c r="N116" s="339"/>
      <c r="O116" s="339"/>
      <c r="P116" s="339"/>
      <c r="Q116" s="13">
        <f>SUM(Q110:Q115)</f>
        <v>2563.4</v>
      </c>
      <c r="R116" s="14">
        <f>9/24</f>
        <v>0.375</v>
      </c>
      <c r="S116" s="14">
        <f>24/1000</f>
        <v>2.4E-2</v>
      </c>
      <c r="T116" s="8">
        <v>3.59</v>
      </c>
      <c r="U116" s="8">
        <v>12.96</v>
      </c>
      <c r="V116" s="8">
        <f>Q116</f>
        <v>2563.4</v>
      </c>
      <c r="W116" s="17">
        <f>R116*S116*T116*U116*V116</f>
        <v>1073.3919638400002</v>
      </c>
      <c r="X116" s="8">
        <v>3.94</v>
      </c>
      <c r="Y116" s="8">
        <v>12.96</v>
      </c>
      <c r="Z116" s="8">
        <f>Q116</f>
        <v>2563.4</v>
      </c>
      <c r="AA116" s="17">
        <f>(R116*S116*X116*Y116*Z116)</f>
        <v>1178.0402054400004</v>
      </c>
      <c r="AB116" s="8">
        <v>2.13</v>
      </c>
      <c r="AC116" s="8">
        <v>41.904000000000003</v>
      </c>
      <c r="AD116" s="8">
        <f>Q116</f>
        <v>2563.4</v>
      </c>
      <c r="AE116" s="17">
        <f>(R116*S116*AB116*AC116*AD116)</f>
        <v>2059.1783997120006</v>
      </c>
      <c r="AF116" s="96">
        <f>N577</f>
        <v>1285.0299025401093</v>
      </c>
      <c r="AG116" s="27">
        <f>W116+AA116+AE116+AF116</f>
        <v>5595.6404715321096</v>
      </c>
      <c r="AH116" s="8">
        <f>AG116*0.1</f>
        <v>559.56404715321094</v>
      </c>
      <c r="AI116" s="125">
        <f>AG116+AH116</f>
        <v>6155.2045186853202</v>
      </c>
      <c r="AJ116" s="8">
        <v>3.1</v>
      </c>
      <c r="AK116" s="130">
        <f>ROUND((AI116/AJ116),0)</f>
        <v>1986</v>
      </c>
      <c r="AL116" s="133"/>
    </row>
    <row r="117" spans="3:38" x14ac:dyDescent="0.25">
      <c r="C117" s="54"/>
      <c r="G117" s="2" t="s">
        <v>13</v>
      </c>
      <c r="H117" s="7">
        <v>19</v>
      </c>
      <c r="I117" s="18">
        <v>50.457686400000007</v>
      </c>
      <c r="J117" s="5">
        <v>420</v>
      </c>
      <c r="K117" s="5">
        <v>118.8</v>
      </c>
      <c r="L117" s="5">
        <v>36</v>
      </c>
      <c r="M117" s="8">
        <v>189.27</v>
      </c>
      <c r="N117" s="8">
        <v>8.4700000000000006</v>
      </c>
      <c r="O117" s="9">
        <f>(H117-((I117+J117+K117+L117)/(M117+N117)))</f>
        <v>15.83798075048043</v>
      </c>
      <c r="P117" s="33">
        <v>16</v>
      </c>
      <c r="Q117" s="5">
        <v>577.5</v>
      </c>
      <c r="R117" s="8"/>
      <c r="S117" s="8"/>
      <c r="T117" s="8"/>
      <c r="U117" s="8"/>
      <c r="V117" s="8"/>
      <c r="W117" s="8"/>
      <c r="X117" s="8"/>
      <c r="Y117" s="8"/>
      <c r="Z117" s="8"/>
      <c r="AA117" s="8"/>
      <c r="AB117" s="8"/>
      <c r="AC117" s="8"/>
      <c r="AD117" s="8"/>
      <c r="AE117" s="8"/>
      <c r="AF117" s="8"/>
      <c r="AG117" s="8"/>
      <c r="AH117" s="8"/>
      <c r="AI117" s="8"/>
      <c r="AJ117" s="8"/>
      <c r="AK117" s="8"/>
      <c r="AL117" s="87"/>
    </row>
    <row r="118" spans="3:38" x14ac:dyDescent="0.25">
      <c r="C118" s="54"/>
      <c r="G118" s="2" t="s">
        <v>24</v>
      </c>
      <c r="H118" s="7">
        <v>19</v>
      </c>
      <c r="I118" s="18">
        <v>45.869963040000009</v>
      </c>
      <c r="J118" s="5">
        <v>420</v>
      </c>
      <c r="K118" s="5">
        <v>118.8</v>
      </c>
      <c r="L118" s="5">
        <v>36</v>
      </c>
      <c r="M118" s="8">
        <v>189.27</v>
      </c>
      <c r="N118" s="8">
        <v>8.4700000000000006</v>
      </c>
      <c r="O118" s="9">
        <f t="shared" ref="O118:O122" si="18">(H118-((I118+J118+K118+L118)/(M118+N118)))</f>
        <v>15.861181536158593</v>
      </c>
      <c r="P118" s="33">
        <v>16</v>
      </c>
      <c r="Q118" s="5">
        <v>480.4</v>
      </c>
      <c r="R118" s="8"/>
      <c r="S118" s="8"/>
      <c r="T118" s="8"/>
      <c r="U118" s="8"/>
      <c r="V118" s="8"/>
      <c r="W118" s="8"/>
      <c r="X118" s="8"/>
      <c r="Y118" s="8"/>
      <c r="Z118" s="8"/>
      <c r="AA118" s="8"/>
      <c r="AB118" s="8"/>
      <c r="AC118" s="8"/>
      <c r="AD118" s="8"/>
      <c r="AE118" s="8"/>
      <c r="AF118" s="8"/>
      <c r="AG118" s="8"/>
      <c r="AH118" s="8"/>
      <c r="AI118" s="8"/>
      <c r="AJ118" s="8"/>
      <c r="AK118" s="8"/>
      <c r="AL118" s="87"/>
    </row>
    <row r="119" spans="3:38" x14ac:dyDescent="0.25">
      <c r="C119" s="54"/>
      <c r="G119" s="2" t="s">
        <v>19</v>
      </c>
      <c r="H119" s="7">
        <v>19</v>
      </c>
      <c r="I119" s="18">
        <v>42.427352880000001</v>
      </c>
      <c r="J119" s="5">
        <v>420</v>
      </c>
      <c r="K119" s="5">
        <v>118.8</v>
      </c>
      <c r="L119" s="5">
        <v>36</v>
      </c>
      <c r="M119" s="8">
        <v>189.27</v>
      </c>
      <c r="N119" s="8">
        <v>8.4700000000000006</v>
      </c>
      <c r="O119" s="9">
        <f t="shared" si="18"/>
        <v>15.87859131748761</v>
      </c>
      <c r="P119" s="33">
        <v>16</v>
      </c>
      <c r="Q119" s="5">
        <v>427.6</v>
      </c>
      <c r="R119" s="8"/>
      <c r="S119" s="8"/>
      <c r="T119" s="8"/>
      <c r="U119" s="8"/>
      <c r="V119" s="8"/>
      <c r="W119" s="8"/>
      <c r="X119" s="8"/>
      <c r="Y119" s="8"/>
      <c r="Z119" s="8"/>
      <c r="AA119" s="8"/>
      <c r="AB119" s="8"/>
      <c r="AC119" s="8"/>
      <c r="AD119" s="8"/>
      <c r="AE119" s="8"/>
      <c r="AF119" s="8"/>
      <c r="AG119" s="8"/>
      <c r="AH119" s="8"/>
      <c r="AI119" s="8"/>
      <c r="AJ119" s="8"/>
      <c r="AK119" s="8"/>
      <c r="AL119" s="87"/>
    </row>
    <row r="120" spans="3:38" x14ac:dyDescent="0.25">
      <c r="C120" s="54"/>
      <c r="G120" s="2" t="s">
        <v>20</v>
      </c>
      <c r="H120" s="7">
        <v>19</v>
      </c>
      <c r="I120" s="18">
        <v>37.843264800000007</v>
      </c>
      <c r="J120" s="5">
        <v>420</v>
      </c>
      <c r="K120" s="5">
        <v>118.8</v>
      </c>
      <c r="L120" s="5">
        <v>36</v>
      </c>
      <c r="M120" s="8">
        <v>189.27</v>
      </c>
      <c r="N120" s="8">
        <v>8.4700000000000006</v>
      </c>
      <c r="O120" s="9">
        <f t="shared" si="18"/>
        <v>15.901773719024982</v>
      </c>
      <c r="P120" s="33">
        <v>16</v>
      </c>
      <c r="Q120" s="5">
        <v>390.9</v>
      </c>
      <c r="R120" s="8"/>
      <c r="S120" s="8"/>
      <c r="T120" s="8"/>
      <c r="U120" s="8"/>
      <c r="V120" s="8"/>
      <c r="W120" s="8"/>
      <c r="X120" s="8"/>
      <c r="Y120" s="8"/>
      <c r="Z120" s="8"/>
      <c r="AA120" s="8"/>
      <c r="AB120" s="8"/>
      <c r="AC120" s="8"/>
      <c r="AD120" s="8"/>
      <c r="AE120" s="8"/>
      <c r="AF120" s="8"/>
      <c r="AG120" s="8"/>
      <c r="AH120" s="8"/>
      <c r="AI120" s="8"/>
      <c r="AJ120" s="8"/>
      <c r="AK120" s="8"/>
      <c r="AL120" s="87"/>
    </row>
    <row r="121" spans="3:38" x14ac:dyDescent="0.25">
      <c r="C121" s="54"/>
      <c r="G121" s="2" t="s">
        <v>21</v>
      </c>
      <c r="H121" s="7">
        <v>19</v>
      </c>
      <c r="I121" s="18">
        <v>32.10679296</v>
      </c>
      <c r="J121" s="5">
        <v>420</v>
      </c>
      <c r="K121" s="5">
        <v>118.8</v>
      </c>
      <c r="L121" s="5">
        <v>36</v>
      </c>
      <c r="M121" s="8">
        <v>189.27</v>
      </c>
      <c r="N121" s="8">
        <v>8.4700000000000006</v>
      </c>
      <c r="O121" s="9">
        <f t="shared" si="18"/>
        <v>15.930783893193082</v>
      </c>
      <c r="P121" s="33">
        <v>16</v>
      </c>
      <c r="Q121" s="5">
        <v>351.9</v>
      </c>
      <c r="R121" s="8"/>
      <c r="S121" s="8"/>
      <c r="T121" s="8"/>
      <c r="U121" s="8"/>
      <c r="V121" s="8"/>
      <c r="W121" s="8"/>
      <c r="X121" s="8"/>
      <c r="Y121" s="8"/>
      <c r="Z121" s="8"/>
      <c r="AA121" s="8"/>
      <c r="AB121" s="8"/>
      <c r="AC121" s="8"/>
      <c r="AD121" s="8"/>
      <c r="AE121" s="8"/>
      <c r="AF121" s="8"/>
      <c r="AG121" s="8"/>
      <c r="AH121" s="8"/>
      <c r="AI121" s="8"/>
      <c r="AJ121" s="8"/>
      <c r="AK121" s="8"/>
      <c r="AL121" s="87"/>
    </row>
    <row r="122" spans="3:38" x14ac:dyDescent="0.25">
      <c r="C122" s="54"/>
      <c r="G122" s="2" t="s">
        <v>22</v>
      </c>
      <c r="H122" s="7">
        <v>19</v>
      </c>
      <c r="I122" s="18">
        <v>27.522704880000003</v>
      </c>
      <c r="J122" s="5">
        <v>420</v>
      </c>
      <c r="K122" s="5">
        <v>118.8</v>
      </c>
      <c r="L122" s="5">
        <v>36</v>
      </c>
      <c r="M122" s="8">
        <v>189.27</v>
      </c>
      <c r="N122" s="8">
        <v>8.4700000000000006</v>
      </c>
      <c r="O122" s="9">
        <f t="shared" si="18"/>
        <v>15.953966294730455</v>
      </c>
      <c r="P122" s="33">
        <v>16</v>
      </c>
      <c r="Q122" s="5">
        <v>157.69999999999999</v>
      </c>
      <c r="R122" s="8"/>
      <c r="S122" s="8"/>
      <c r="T122" s="8"/>
      <c r="U122" s="8"/>
      <c r="V122" s="8"/>
      <c r="W122" s="8"/>
      <c r="X122" s="8"/>
      <c r="Y122" s="8"/>
      <c r="Z122" s="8"/>
      <c r="AA122" s="8"/>
      <c r="AB122" s="8"/>
      <c r="AC122" s="8"/>
      <c r="AD122" s="8"/>
      <c r="AE122" s="8"/>
      <c r="AF122" s="8"/>
      <c r="AG122" s="8"/>
      <c r="AH122" s="8"/>
      <c r="AI122" s="8"/>
      <c r="AJ122" s="8"/>
      <c r="AK122" s="8"/>
      <c r="AL122" s="87"/>
    </row>
    <row r="123" spans="3:38" ht="13" x14ac:dyDescent="0.3">
      <c r="C123" s="54"/>
      <c r="G123" s="10" t="s">
        <v>186</v>
      </c>
      <c r="H123" s="339"/>
      <c r="I123" s="339"/>
      <c r="J123" s="339"/>
      <c r="K123" s="339"/>
      <c r="L123" s="339"/>
      <c r="M123" s="339"/>
      <c r="N123" s="339"/>
      <c r="O123" s="339"/>
      <c r="P123" s="339"/>
      <c r="Q123" s="13">
        <f>SUM(Q117:Q122)</f>
        <v>2386</v>
      </c>
      <c r="R123" s="14">
        <f>9/24</f>
        <v>0.375</v>
      </c>
      <c r="S123" s="14">
        <f>24/1000</f>
        <v>2.4E-2</v>
      </c>
      <c r="T123" s="8">
        <v>3.59</v>
      </c>
      <c r="U123" s="8">
        <v>12.96</v>
      </c>
      <c r="V123" s="8">
        <f>Q123</f>
        <v>2386</v>
      </c>
      <c r="W123" s="17">
        <f>R123*S123*T123*U123*V123</f>
        <v>999.10791360000019</v>
      </c>
      <c r="X123" s="8">
        <v>3.94</v>
      </c>
      <c r="Y123" s="8">
        <v>12.96</v>
      </c>
      <c r="Z123" s="8">
        <f>Q123</f>
        <v>2386</v>
      </c>
      <c r="AA123" s="17">
        <f>(R123*S123*X123*Y123*Z123)</f>
        <v>1096.5139776000003</v>
      </c>
      <c r="AB123" s="8">
        <v>2.13</v>
      </c>
      <c r="AC123" s="8">
        <v>41.904000000000003</v>
      </c>
      <c r="AD123" s="8">
        <f>Q123</f>
        <v>2386</v>
      </c>
      <c r="AE123" s="17">
        <f>(R123*S123*AB123*AC123*AD123)</f>
        <v>1916.6730364800005</v>
      </c>
      <c r="AF123" s="96">
        <f>N578</f>
        <v>1265.8638364906144</v>
      </c>
      <c r="AG123" s="27">
        <f>W123+AA123+AE123+AF123</f>
        <v>5278.1587641706155</v>
      </c>
      <c r="AH123" s="8">
        <f>AG123*0.1</f>
        <v>527.81587641706153</v>
      </c>
      <c r="AI123" s="125">
        <f>AG123+AH123</f>
        <v>5805.9746405876767</v>
      </c>
      <c r="AJ123" s="8">
        <v>3.1</v>
      </c>
      <c r="AK123" s="130">
        <f>ROUND((AI123/AJ123),0)</f>
        <v>1873</v>
      </c>
      <c r="AL123" s="133"/>
    </row>
    <row r="124" spans="3:38" x14ac:dyDescent="0.25">
      <c r="C124" s="54"/>
      <c r="G124" s="2" t="s">
        <v>13</v>
      </c>
      <c r="H124" s="7">
        <v>20</v>
      </c>
      <c r="I124" s="18">
        <v>50.457686400000007</v>
      </c>
      <c r="J124" s="5">
        <v>420</v>
      </c>
      <c r="K124" s="5">
        <v>118.8</v>
      </c>
      <c r="L124" s="5">
        <v>36</v>
      </c>
      <c r="M124" s="8">
        <v>189.27</v>
      </c>
      <c r="N124" s="8">
        <v>8.4700000000000006</v>
      </c>
      <c r="O124" s="9">
        <f>(H124-((I124+J124+K124+L124)/(M124+N124)))</f>
        <v>16.83798075048043</v>
      </c>
      <c r="P124" s="127">
        <v>17</v>
      </c>
      <c r="Q124" s="5">
        <v>547.5</v>
      </c>
      <c r="R124" s="8"/>
      <c r="S124" s="8"/>
      <c r="T124" s="8"/>
      <c r="U124" s="8"/>
      <c r="V124" s="8"/>
      <c r="W124" s="8"/>
      <c r="X124" s="8"/>
      <c r="Y124" s="8"/>
      <c r="Z124" s="8"/>
      <c r="AA124" s="8"/>
      <c r="AB124" s="8"/>
      <c r="AC124" s="8"/>
      <c r="AD124" s="8"/>
      <c r="AE124" s="8"/>
      <c r="AF124" s="8"/>
      <c r="AG124" s="8"/>
      <c r="AH124" s="8"/>
      <c r="AI124" s="8"/>
      <c r="AJ124" s="8"/>
      <c r="AK124" s="8"/>
      <c r="AL124" s="87"/>
    </row>
    <row r="125" spans="3:38" x14ac:dyDescent="0.25">
      <c r="C125" s="54"/>
      <c r="G125" s="2" t="s">
        <v>24</v>
      </c>
      <c r="H125" s="7">
        <v>20</v>
      </c>
      <c r="I125" s="18">
        <v>45.869963040000009</v>
      </c>
      <c r="J125" s="5">
        <v>420</v>
      </c>
      <c r="K125" s="5">
        <v>118.8</v>
      </c>
      <c r="L125" s="5">
        <v>36</v>
      </c>
      <c r="M125" s="8">
        <v>189.27</v>
      </c>
      <c r="N125" s="8">
        <v>8.4700000000000006</v>
      </c>
      <c r="O125" s="9">
        <f t="shared" ref="O125:O129" si="19">(H125-((I125+J125+K125+L125)/(M125+N125)))</f>
        <v>16.861181536158593</v>
      </c>
      <c r="P125" s="127">
        <v>17</v>
      </c>
      <c r="Q125" s="5">
        <v>449.4</v>
      </c>
      <c r="R125" s="8"/>
      <c r="S125" s="8"/>
      <c r="T125" s="8"/>
      <c r="U125" s="8"/>
      <c r="V125" s="8"/>
      <c r="W125" s="8"/>
      <c r="X125" s="8"/>
      <c r="Y125" s="8"/>
      <c r="Z125" s="8"/>
      <c r="AA125" s="8"/>
      <c r="AB125" s="8"/>
      <c r="AC125" s="8"/>
      <c r="AD125" s="8"/>
      <c r="AE125" s="8"/>
      <c r="AF125" s="8"/>
      <c r="AG125" s="8"/>
      <c r="AH125" s="8"/>
      <c r="AI125" s="8"/>
      <c r="AJ125" s="8"/>
      <c r="AK125" s="8"/>
      <c r="AL125" s="87"/>
    </row>
    <row r="126" spans="3:38" x14ac:dyDescent="0.25">
      <c r="C126" s="54"/>
      <c r="G126" s="2" t="s">
        <v>19</v>
      </c>
      <c r="H126" s="7">
        <v>20</v>
      </c>
      <c r="I126" s="18">
        <v>42.427352880000001</v>
      </c>
      <c r="J126" s="5">
        <v>420</v>
      </c>
      <c r="K126" s="5">
        <v>118.8</v>
      </c>
      <c r="L126" s="5">
        <v>36</v>
      </c>
      <c r="M126" s="8">
        <v>189.27</v>
      </c>
      <c r="N126" s="8">
        <v>8.4700000000000006</v>
      </c>
      <c r="O126" s="9">
        <f t="shared" si="19"/>
        <v>16.878591317487611</v>
      </c>
      <c r="P126" s="127">
        <v>17</v>
      </c>
      <c r="Q126" s="5">
        <v>396.6</v>
      </c>
      <c r="R126" s="8"/>
      <c r="S126" s="8"/>
      <c r="T126" s="8"/>
      <c r="U126" s="8"/>
      <c r="V126" s="8"/>
      <c r="W126" s="8"/>
      <c r="X126" s="8"/>
      <c r="Y126" s="8"/>
      <c r="Z126" s="8"/>
      <c r="AA126" s="8"/>
      <c r="AB126" s="8"/>
      <c r="AC126" s="8"/>
      <c r="AD126" s="8"/>
      <c r="AE126" s="8"/>
      <c r="AF126" s="8"/>
      <c r="AG126" s="8"/>
      <c r="AH126" s="8"/>
      <c r="AI126" s="8"/>
      <c r="AJ126" s="8"/>
      <c r="AK126" s="8"/>
      <c r="AL126" s="87"/>
    </row>
    <row r="127" spans="3:38" x14ac:dyDescent="0.25">
      <c r="C127" s="54"/>
      <c r="G127" s="2" t="s">
        <v>20</v>
      </c>
      <c r="H127" s="7">
        <v>20</v>
      </c>
      <c r="I127" s="18">
        <v>37.843264800000007</v>
      </c>
      <c r="J127" s="5">
        <v>420</v>
      </c>
      <c r="K127" s="5">
        <v>118.8</v>
      </c>
      <c r="L127" s="5">
        <v>36</v>
      </c>
      <c r="M127" s="8">
        <v>189.27</v>
      </c>
      <c r="N127" s="8">
        <v>8.4700000000000006</v>
      </c>
      <c r="O127" s="9">
        <f t="shared" si="19"/>
        <v>16.901773719024984</v>
      </c>
      <c r="P127" s="127">
        <v>17</v>
      </c>
      <c r="Q127" s="5">
        <v>360.9</v>
      </c>
      <c r="R127" s="8"/>
      <c r="S127" s="8"/>
      <c r="T127" s="8"/>
      <c r="U127" s="8"/>
      <c r="V127" s="8"/>
      <c r="W127" s="8"/>
      <c r="X127" s="8"/>
      <c r="Y127" s="8"/>
      <c r="Z127" s="8"/>
      <c r="AA127" s="8"/>
      <c r="AB127" s="8"/>
      <c r="AC127" s="8"/>
      <c r="AD127" s="8"/>
      <c r="AE127" s="8"/>
      <c r="AF127" s="8"/>
      <c r="AG127" s="8"/>
      <c r="AH127" s="8"/>
      <c r="AI127" s="8"/>
      <c r="AJ127" s="8"/>
      <c r="AK127" s="8"/>
      <c r="AL127" s="87"/>
    </row>
    <row r="128" spans="3:38" x14ac:dyDescent="0.25">
      <c r="C128" s="54"/>
      <c r="G128" s="2" t="s">
        <v>21</v>
      </c>
      <c r="H128" s="7">
        <v>20</v>
      </c>
      <c r="I128" s="18">
        <v>32.10679296</v>
      </c>
      <c r="J128" s="5">
        <v>420</v>
      </c>
      <c r="K128" s="5">
        <v>118.8</v>
      </c>
      <c r="L128" s="5">
        <v>36</v>
      </c>
      <c r="M128" s="8">
        <v>189.27</v>
      </c>
      <c r="N128" s="8">
        <v>8.4700000000000006</v>
      </c>
      <c r="O128" s="9">
        <f t="shared" si="19"/>
        <v>16.93078389319308</v>
      </c>
      <c r="P128" s="127">
        <v>17</v>
      </c>
      <c r="Q128" s="5">
        <v>320.89999999999998</v>
      </c>
      <c r="R128" s="8"/>
      <c r="S128" s="8"/>
      <c r="T128" s="8"/>
      <c r="U128" s="8"/>
      <c r="V128" s="8"/>
      <c r="W128" s="8"/>
      <c r="X128" s="8"/>
      <c r="Y128" s="8"/>
      <c r="Z128" s="8"/>
      <c r="AA128" s="8"/>
      <c r="AB128" s="8"/>
      <c r="AC128" s="8"/>
      <c r="AD128" s="8"/>
      <c r="AE128" s="8"/>
      <c r="AF128" s="8"/>
      <c r="AG128" s="8"/>
      <c r="AH128" s="8"/>
      <c r="AI128" s="8"/>
      <c r="AJ128" s="8"/>
      <c r="AK128" s="8"/>
      <c r="AL128" s="87"/>
    </row>
    <row r="129" spans="3:38" x14ac:dyDescent="0.25">
      <c r="C129" s="54"/>
      <c r="G129" s="2" t="s">
        <v>22</v>
      </c>
      <c r="H129" s="7">
        <v>20</v>
      </c>
      <c r="I129" s="18">
        <v>27.522704880000003</v>
      </c>
      <c r="J129" s="5">
        <v>420</v>
      </c>
      <c r="K129" s="5">
        <v>118.8</v>
      </c>
      <c r="L129" s="5">
        <v>36</v>
      </c>
      <c r="M129" s="8">
        <v>189.27</v>
      </c>
      <c r="N129" s="8">
        <v>8.4700000000000006</v>
      </c>
      <c r="O129" s="9">
        <f t="shared" si="19"/>
        <v>16.953966294730456</v>
      </c>
      <c r="P129" s="127">
        <v>17</v>
      </c>
      <c r="Q129" s="5">
        <v>134.30000000000001</v>
      </c>
      <c r="R129" s="8"/>
      <c r="S129" s="8"/>
      <c r="T129" s="8"/>
      <c r="U129" s="8"/>
      <c r="V129" s="8"/>
      <c r="W129" s="8"/>
      <c r="X129" s="8"/>
      <c r="Y129" s="8"/>
      <c r="Z129" s="8"/>
      <c r="AA129" s="8"/>
      <c r="AB129" s="8"/>
      <c r="AC129" s="8"/>
      <c r="AD129" s="8"/>
      <c r="AE129" s="8"/>
      <c r="AF129" s="8"/>
      <c r="AG129" s="8"/>
      <c r="AH129" s="8"/>
      <c r="AI129" s="8"/>
      <c r="AJ129" s="8"/>
      <c r="AK129" s="8"/>
      <c r="AL129" s="87"/>
    </row>
    <row r="130" spans="3:38" ht="13" x14ac:dyDescent="0.3">
      <c r="C130" s="54"/>
      <c r="G130" s="10" t="s">
        <v>174</v>
      </c>
      <c r="H130" s="339"/>
      <c r="I130" s="339"/>
      <c r="J130" s="339"/>
      <c r="K130" s="339"/>
      <c r="L130" s="339"/>
      <c r="M130" s="339"/>
      <c r="N130" s="339"/>
      <c r="O130" s="339"/>
      <c r="P130" s="339"/>
      <c r="Q130" s="13">
        <f>SUM(Q124:Q129)</f>
        <v>2209.6000000000004</v>
      </c>
      <c r="R130" s="14">
        <f>9/24</f>
        <v>0.375</v>
      </c>
      <c r="S130" s="14">
        <f>24/1000</f>
        <v>2.4E-2</v>
      </c>
      <c r="T130" s="8">
        <v>3.59</v>
      </c>
      <c r="U130" s="8">
        <v>12.96</v>
      </c>
      <c r="V130" s="8">
        <f>Q130</f>
        <v>2209.6000000000004</v>
      </c>
      <c r="W130" s="17">
        <f>R130*S130*T130*U130*V130</f>
        <v>925.24260096000035</v>
      </c>
      <c r="X130" s="8">
        <v>3.94</v>
      </c>
      <c r="Y130" s="8">
        <v>12.96</v>
      </c>
      <c r="Z130" s="8">
        <f>Q130</f>
        <v>2209.6000000000004</v>
      </c>
      <c r="AA130" s="17">
        <f>(R130*S130*X130*Y130*Z130)</f>
        <v>1015.4473113600004</v>
      </c>
      <c r="AB130" s="8">
        <v>2.13</v>
      </c>
      <c r="AC130" s="8">
        <v>41.904000000000003</v>
      </c>
      <c r="AD130" s="8">
        <f>Q130</f>
        <v>2209.6000000000004</v>
      </c>
      <c r="AE130" s="17">
        <f>(R130*S130*AB130*AC130*AD130)</f>
        <v>1774.9709729280007</v>
      </c>
      <c r="AF130" s="96">
        <f>N579</f>
        <v>1246.6977704411197</v>
      </c>
      <c r="AG130" s="27">
        <f>W130+AA130+AE130+AF130</f>
        <v>4962.3586556891205</v>
      </c>
      <c r="AH130" s="8">
        <f>AG130*0.1</f>
        <v>496.23586556891206</v>
      </c>
      <c r="AI130" s="125">
        <f>AG130+AH130</f>
        <v>5458.5945212580327</v>
      </c>
      <c r="AJ130" s="8">
        <v>3.1</v>
      </c>
      <c r="AK130" s="130">
        <f>ROUND((AI130/AJ130),0)</f>
        <v>1761</v>
      </c>
      <c r="AL130" s="87"/>
    </row>
    <row r="131" spans="3:38" x14ac:dyDescent="0.25">
      <c r="C131" s="54"/>
      <c r="G131" s="2" t="s">
        <v>13</v>
      </c>
      <c r="H131" s="7">
        <v>21</v>
      </c>
      <c r="I131" s="18">
        <v>50.457686400000007</v>
      </c>
      <c r="J131" s="5">
        <v>420</v>
      </c>
      <c r="K131" s="5">
        <v>118.8</v>
      </c>
      <c r="L131" s="5">
        <v>36</v>
      </c>
      <c r="M131" s="8">
        <v>189.27</v>
      </c>
      <c r="N131" s="8">
        <v>8.4700000000000006</v>
      </c>
      <c r="O131" s="9">
        <f>(H131-((I131+J131+K131+L131)/(M131+N131)))</f>
        <v>17.83798075048043</v>
      </c>
      <c r="P131" s="127">
        <v>18</v>
      </c>
      <c r="Q131" s="5">
        <v>517.5</v>
      </c>
      <c r="R131" s="8"/>
      <c r="S131" s="8"/>
      <c r="T131" s="8"/>
      <c r="U131" s="8"/>
      <c r="V131" s="8"/>
      <c r="W131" s="8"/>
      <c r="X131" s="8"/>
      <c r="Y131" s="8"/>
      <c r="Z131" s="8"/>
      <c r="AA131" s="8"/>
      <c r="AB131" s="8"/>
      <c r="AC131" s="8"/>
      <c r="AD131" s="8"/>
      <c r="AE131" s="8"/>
      <c r="AF131" s="8"/>
      <c r="AG131" s="8"/>
      <c r="AH131" s="8"/>
      <c r="AI131" s="8"/>
      <c r="AJ131" s="8"/>
      <c r="AK131" s="8"/>
      <c r="AL131" s="87"/>
    </row>
    <row r="132" spans="3:38" x14ac:dyDescent="0.25">
      <c r="C132" s="54"/>
      <c r="G132" s="2" t="s">
        <v>24</v>
      </c>
      <c r="H132" s="7">
        <v>21</v>
      </c>
      <c r="I132" s="18">
        <v>45.869963040000009</v>
      </c>
      <c r="J132" s="5">
        <v>420</v>
      </c>
      <c r="K132" s="5">
        <v>118.8</v>
      </c>
      <c r="L132" s="5">
        <v>36</v>
      </c>
      <c r="M132" s="8">
        <v>189.27</v>
      </c>
      <c r="N132" s="8">
        <v>8.4700000000000006</v>
      </c>
      <c r="O132" s="9">
        <f t="shared" ref="O132:O136" si="20">(H132-((I132+J132+K132+L132)/(M132+N132)))</f>
        <v>17.861181536158593</v>
      </c>
      <c r="P132" s="127">
        <v>18</v>
      </c>
      <c r="Q132" s="5">
        <v>418.4</v>
      </c>
      <c r="R132" s="8"/>
      <c r="S132" s="8"/>
      <c r="T132" s="8"/>
      <c r="U132" s="8"/>
      <c r="V132" s="8"/>
      <c r="W132" s="8"/>
      <c r="X132" s="8"/>
      <c r="Y132" s="8"/>
      <c r="Z132" s="8"/>
      <c r="AA132" s="8"/>
      <c r="AB132" s="8"/>
      <c r="AC132" s="8"/>
      <c r="AD132" s="8"/>
      <c r="AE132" s="8"/>
      <c r="AF132" s="8"/>
      <c r="AG132" s="8"/>
      <c r="AH132" s="8"/>
      <c r="AI132" s="8"/>
      <c r="AJ132" s="8"/>
      <c r="AK132" s="8"/>
      <c r="AL132" s="87"/>
    </row>
    <row r="133" spans="3:38" x14ac:dyDescent="0.25">
      <c r="C133" s="54"/>
      <c r="G133" s="2" t="s">
        <v>19</v>
      </c>
      <c r="H133" s="7">
        <v>21</v>
      </c>
      <c r="I133" s="18">
        <v>42.427352880000001</v>
      </c>
      <c r="J133" s="5">
        <v>420</v>
      </c>
      <c r="K133" s="5">
        <v>118.8</v>
      </c>
      <c r="L133" s="5">
        <v>36</v>
      </c>
      <c r="M133" s="8">
        <v>189.27</v>
      </c>
      <c r="N133" s="8">
        <v>8.4700000000000006</v>
      </c>
      <c r="O133" s="9">
        <f t="shared" si="20"/>
        <v>17.878591317487611</v>
      </c>
      <c r="P133" s="127">
        <v>18</v>
      </c>
      <c r="Q133" s="5">
        <v>365.6</v>
      </c>
      <c r="R133" s="8"/>
      <c r="S133" s="8"/>
      <c r="T133" s="8"/>
      <c r="U133" s="8"/>
      <c r="V133" s="8"/>
      <c r="W133" s="8"/>
      <c r="X133" s="8"/>
      <c r="Y133" s="8"/>
      <c r="Z133" s="8"/>
      <c r="AA133" s="8"/>
      <c r="AB133" s="8"/>
      <c r="AC133" s="8"/>
      <c r="AD133" s="8"/>
      <c r="AE133" s="8"/>
      <c r="AF133" s="8"/>
      <c r="AG133" s="8"/>
      <c r="AH133" s="8"/>
      <c r="AI133" s="8"/>
      <c r="AJ133" s="8"/>
      <c r="AK133" s="8"/>
      <c r="AL133" s="87"/>
    </row>
    <row r="134" spans="3:38" x14ac:dyDescent="0.25">
      <c r="C134" s="54"/>
      <c r="G134" s="2" t="s">
        <v>20</v>
      </c>
      <c r="H134" s="7">
        <v>21</v>
      </c>
      <c r="I134" s="18">
        <v>37.843264800000007</v>
      </c>
      <c r="J134" s="5">
        <v>420</v>
      </c>
      <c r="K134" s="5">
        <v>118.8</v>
      </c>
      <c r="L134" s="5">
        <v>36</v>
      </c>
      <c r="M134" s="8">
        <v>189.27</v>
      </c>
      <c r="N134" s="8">
        <v>8.4700000000000006</v>
      </c>
      <c r="O134" s="9">
        <f t="shared" si="20"/>
        <v>17.901773719024984</v>
      </c>
      <c r="P134" s="127">
        <v>18</v>
      </c>
      <c r="Q134" s="5">
        <v>330.9</v>
      </c>
      <c r="R134" s="8"/>
      <c r="S134" s="8"/>
      <c r="T134" s="8"/>
      <c r="U134" s="8"/>
      <c r="V134" s="8"/>
      <c r="W134" s="8"/>
      <c r="X134" s="8"/>
      <c r="Y134" s="8"/>
      <c r="Z134" s="8"/>
      <c r="AA134" s="8"/>
      <c r="AB134" s="8"/>
      <c r="AC134" s="8"/>
      <c r="AD134" s="8"/>
      <c r="AE134" s="8"/>
      <c r="AF134" s="8"/>
      <c r="AG134" s="8"/>
      <c r="AH134" s="8"/>
      <c r="AI134" s="8"/>
      <c r="AJ134" s="8"/>
      <c r="AK134" s="8"/>
      <c r="AL134" s="87"/>
    </row>
    <row r="135" spans="3:38" x14ac:dyDescent="0.25">
      <c r="C135" s="54"/>
      <c r="G135" s="2" t="s">
        <v>21</v>
      </c>
      <c r="H135" s="7">
        <v>21</v>
      </c>
      <c r="I135" s="18">
        <v>32.10679296</v>
      </c>
      <c r="J135" s="5">
        <v>420</v>
      </c>
      <c r="K135" s="5">
        <v>118.8</v>
      </c>
      <c r="L135" s="5">
        <v>36</v>
      </c>
      <c r="M135" s="8">
        <v>189.27</v>
      </c>
      <c r="N135" s="8">
        <v>8.4700000000000006</v>
      </c>
      <c r="O135" s="9">
        <f t="shared" si="20"/>
        <v>17.93078389319308</v>
      </c>
      <c r="P135" s="127">
        <v>18</v>
      </c>
      <c r="Q135" s="5">
        <v>289.89999999999998</v>
      </c>
      <c r="R135" s="8"/>
      <c r="S135" s="8"/>
      <c r="T135" s="8"/>
      <c r="U135" s="8"/>
      <c r="V135" s="8"/>
      <c r="W135" s="8"/>
      <c r="X135" s="8"/>
      <c r="Y135" s="8"/>
      <c r="Z135" s="8"/>
      <c r="AA135" s="8"/>
      <c r="AB135" s="8"/>
      <c r="AC135" s="8"/>
      <c r="AD135" s="8"/>
      <c r="AE135" s="8"/>
      <c r="AF135" s="8"/>
      <c r="AG135" s="8"/>
      <c r="AH135" s="8"/>
      <c r="AI135" s="8"/>
      <c r="AJ135" s="8"/>
      <c r="AK135" s="8"/>
      <c r="AL135" s="87"/>
    </row>
    <row r="136" spans="3:38" x14ac:dyDescent="0.25">
      <c r="C136" s="54"/>
      <c r="G136" s="2" t="s">
        <v>22</v>
      </c>
      <c r="H136" s="7">
        <v>21</v>
      </c>
      <c r="I136" s="18">
        <v>27.522704880000003</v>
      </c>
      <c r="J136" s="5">
        <v>420</v>
      </c>
      <c r="K136" s="5">
        <v>118.8</v>
      </c>
      <c r="L136" s="5">
        <v>36</v>
      </c>
      <c r="M136" s="8">
        <v>189.27</v>
      </c>
      <c r="N136" s="8">
        <v>8.4700000000000006</v>
      </c>
      <c r="O136" s="9">
        <f t="shared" si="20"/>
        <v>17.953966294730456</v>
      </c>
      <c r="P136" s="127">
        <v>18</v>
      </c>
      <c r="Q136" s="5">
        <v>112.9</v>
      </c>
      <c r="R136" s="8"/>
      <c r="S136" s="8"/>
      <c r="T136" s="8"/>
      <c r="U136" s="8"/>
      <c r="V136" s="8"/>
      <c r="W136" s="8"/>
      <c r="X136" s="8"/>
      <c r="Y136" s="8"/>
      <c r="Z136" s="8"/>
      <c r="AA136" s="8"/>
      <c r="AB136" s="8"/>
      <c r="AC136" s="8"/>
      <c r="AD136" s="8"/>
      <c r="AE136" s="8"/>
      <c r="AF136" s="8"/>
      <c r="AG136" s="8"/>
      <c r="AH136" s="8"/>
      <c r="AI136" s="8"/>
      <c r="AJ136" s="8"/>
      <c r="AK136" s="8"/>
      <c r="AL136" s="87"/>
    </row>
    <row r="137" spans="3:38" ht="13" x14ac:dyDescent="0.3">
      <c r="C137" s="54"/>
      <c r="G137" s="10" t="s">
        <v>173</v>
      </c>
      <c r="H137" s="339"/>
      <c r="I137" s="339"/>
      <c r="J137" s="339"/>
      <c r="K137" s="339"/>
      <c r="L137" s="339"/>
      <c r="M137" s="339"/>
      <c r="N137" s="339"/>
      <c r="O137" s="339"/>
      <c r="P137" s="339"/>
      <c r="Q137" s="13">
        <f>SUM(Q131:Q136)</f>
        <v>2035.2000000000003</v>
      </c>
      <c r="R137" s="14">
        <f>9/24</f>
        <v>0.375</v>
      </c>
      <c r="S137" s="14">
        <f>24/1000</f>
        <v>2.4E-2</v>
      </c>
      <c r="T137" s="8">
        <v>3.59</v>
      </c>
      <c r="U137" s="8">
        <v>12.96</v>
      </c>
      <c r="V137" s="8">
        <f>Q137</f>
        <v>2035.2000000000003</v>
      </c>
      <c r="W137" s="17">
        <f>R137*S137*T137*U137*V137</f>
        <v>852.21476352000036</v>
      </c>
      <c r="X137" s="8">
        <v>3.94</v>
      </c>
      <c r="Y137" s="8">
        <v>12.96</v>
      </c>
      <c r="Z137" s="8">
        <f>Q137</f>
        <v>2035.2000000000003</v>
      </c>
      <c r="AA137" s="17">
        <f>(R137*S137*X137*Y137*Z137)</f>
        <v>935.29976832000034</v>
      </c>
      <c r="AB137" s="8">
        <v>2.13</v>
      </c>
      <c r="AC137" s="8">
        <v>41.904000000000003</v>
      </c>
      <c r="AD137" s="8">
        <f>Q137</f>
        <v>2035.2000000000003</v>
      </c>
      <c r="AE137" s="17">
        <f>(R137*S137*AB137*AC137*AD137)</f>
        <v>1634.8755087360005</v>
      </c>
      <c r="AF137" s="96">
        <f>N580</f>
        <v>1224.8635643916248</v>
      </c>
      <c r="AG137" s="27">
        <f>W137+AA137+AE137+AF137</f>
        <v>4647.2536049676264</v>
      </c>
      <c r="AH137" s="8">
        <f>AG137*0.1</f>
        <v>464.72536049676268</v>
      </c>
      <c r="AI137" s="125">
        <f>AG137+AH137</f>
        <v>5111.9789654643891</v>
      </c>
      <c r="AJ137" s="8">
        <v>3.1</v>
      </c>
      <c r="AK137" s="130">
        <f>ROUND((AI137/AJ137),0)</f>
        <v>1649</v>
      </c>
      <c r="AL137" s="87"/>
    </row>
    <row r="138" spans="3:38" x14ac:dyDescent="0.25">
      <c r="C138" s="54"/>
      <c r="G138" s="2" t="s">
        <v>13</v>
      </c>
      <c r="H138" s="7">
        <v>22</v>
      </c>
      <c r="I138" s="18">
        <v>50.457686400000007</v>
      </c>
      <c r="J138" s="5">
        <v>420</v>
      </c>
      <c r="K138" s="5">
        <v>118.8</v>
      </c>
      <c r="L138" s="5">
        <v>36</v>
      </c>
      <c r="M138" s="8">
        <v>189.27</v>
      </c>
      <c r="N138" s="8">
        <v>8.4700000000000006</v>
      </c>
      <c r="O138" s="9">
        <f>(H138-((I138+J138+K138+L138)/(M138+N138)))</f>
        <v>18.83798075048043</v>
      </c>
      <c r="P138" s="127">
        <v>19</v>
      </c>
      <c r="Q138" s="5">
        <v>487.5</v>
      </c>
      <c r="R138" s="8"/>
      <c r="S138" s="8"/>
      <c r="T138" s="8"/>
      <c r="U138" s="8"/>
      <c r="V138" s="8"/>
      <c r="W138" s="8"/>
      <c r="X138" s="8"/>
      <c r="Y138" s="8"/>
      <c r="Z138" s="8"/>
      <c r="AA138" s="8"/>
      <c r="AB138" s="8"/>
      <c r="AC138" s="8"/>
      <c r="AD138" s="8"/>
      <c r="AE138" s="8"/>
      <c r="AF138" s="8"/>
      <c r="AG138" s="8"/>
      <c r="AH138" s="8"/>
      <c r="AI138" s="8"/>
      <c r="AJ138" s="8"/>
      <c r="AK138" s="8"/>
      <c r="AL138" s="87"/>
    </row>
    <row r="139" spans="3:38" x14ac:dyDescent="0.25">
      <c r="C139" s="54"/>
      <c r="G139" s="2" t="s">
        <v>24</v>
      </c>
      <c r="H139" s="7">
        <v>22</v>
      </c>
      <c r="I139" s="18">
        <v>45.869963040000009</v>
      </c>
      <c r="J139" s="5">
        <v>420</v>
      </c>
      <c r="K139" s="5">
        <v>118.8</v>
      </c>
      <c r="L139" s="5">
        <v>36</v>
      </c>
      <c r="M139" s="8">
        <v>189.27</v>
      </c>
      <c r="N139" s="8">
        <v>8.4700000000000006</v>
      </c>
      <c r="O139" s="9">
        <f t="shared" ref="O139:O143" si="21">(H139-((I139+J139+K139+L139)/(M139+N139)))</f>
        <v>18.861181536158593</v>
      </c>
      <c r="P139" s="127">
        <v>19</v>
      </c>
      <c r="Q139" s="5">
        <v>387.4</v>
      </c>
      <c r="R139" s="8"/>
      <c r="S139" s="8"/>
      <c r="T139" s="8"/>
      <c r="U139" s="8"/>
      <c r="V139" s="8"/>
      <c r="W139" s="8"/>
      <c r="X139" s="8"/>
      <c r="Y139" s="8"/>
      <c r="Z139" s="8"/>
      <c r="AA139" s="8"/>
      <c r="AB139" s="8"/>
      <c r="AC139" s="8"/>
      <c r="AD139" s="8"/>
      <c r="AE139" s="8"/>
      <c r="AF139" s="8"/>
      <c r="AG139" s="8"/>
      <c r="AH139" s="8"/>
      <c r="AI139" s="8"/>
      <c r="AJ139" s="8"/>
      <c r="AK139" s="8"/>
      <c r="AL139" s="87"/>
    </row>
    <row r="140" spans="3:38" x14ac:dyDescent="0.25">
      <c r="C140" s="54"/>
      <c r="G140" s="2" t="s">
        <v>19</v>
      </c>
      <c r="H140" s="7">
        <v>22</v>
      </c>
      <c r="I140" s="18">
        <v>42.427352880000001</v>
      </c>
      <c r="J140" s="5">
        <v>420</v>
      </c>
      <c r="K140" s="5">
        <v>118.8</v>
      </c>
      <c r="L140" s="5">
        <v>36</v>
      </c>
      <c r="M140" s="8">
        <v>189.27</v>
      </c>
      <c r="N140" s="8">
        <v>8.4700000000000006</v>
      </c>
      <c r="O140" s="9">
        <f t="shared" si="21"/>
        <v>18.878591317487611</v>
      </c>
      <c r="P140" s="127">
        <v>19</v>
      </c>
      <c r="Q140" s="5">
        <v>334.6</v>
      </c>
      <c r="R140" s="8"/>
      <c r="S140" s="8"/>
      <c r="T140" s="8"/>
      <c r="U140" s="8"/>
      <c r="V140" s="8"/>
      <c r="W140" s="8"/>
      <c r="X140" s="8"/>
      <c r="Y140" s="8"/>
      <c r="Z140" s="8"/>
      <c r="AA140" s="8"/>
      <c r="AB140" s="8"/>
      <c r="AC140" s="8"/>
      <c r="AD140" s="8"/>
      <c r="AE140" s="8"/>
      <c r="AF140" s="8"/>
      <c r="AG140" s="8"/>
      <c r="AH140" s="8"/>
      <c r="AI140" s="8"/>
      <c r="AJ140" s="8"/>
      <c r="AK140" s="8"/>
      <c r="AL140" s="87"/>
    </row>
    <row r="141" spans="3:38" x14ac:dyDescent="0.25">
      <c r="C141" s="54"/>
      <c r="G141" s="2" t="s">
        <v>20</v>
      </c>
      <c r="H141" s="7">
        <v>22</v>
      </c>
      <c r="I141" s="18">
        <v>37.843264800000007</v>
      </c>
      <c r="J141" s="5">
        <v>420</v>
      </c>
      <c r="K141" s="5">
        <v>118.8</v>
      </c>
      <c r="L141" s="5">
        <v>36</v>
      </c>
      <c r="M141" s="8">
        <v>189.27</v>
      </c>
      <c r="N141" s="8">
        <v>8.4700000000000006</v>
      </c>
      <c r="O141" s="9">
        <f t="shared" si="21"/>
        <v>18.901773719024984</v>
      </c>
      <c r="P141" s="127">
        <v>19</v>
      </c>
      <c r="Q141" s="5">
        <v>300.89999999999998</v>
      </c>
      <c r="R141" s="8"/>
      <c r="S141" s="8"/>
      <c r="T141" s="8"/>
      <c r="U141" s="8"/>
      <c r="V141" s="8"/>
      <c r="W141" s="8"/>
      <c r="X141" s="8"/>
      <c r="Y141" s="8"/>
      <c r="Z141" s="8"/>
      <c r="AA141" s="8"/>
      <c r="AB141" s="8"/>
      <c r="AC141" s="8"/>
      <c r="AD141" s="8"/>
      <c r="AE141" s="8"/>
      <c r="AF141" s="8"/>
      <c r="AG141" s="8"/>
      <c r="AH141" s="8"/>
      <c r="AI141" s="8"/>
      <c r="AJ141" s="8"/>
      <c r="AK141" s="8"/>
      <c r="AL141" s="87"/>
    </row>
    <row r="142" spans="3:38" x14ac:dyDescent="0.25">
      <c r="C142" s="54"/>
      <c r="G142" s="2" t="s">
        <v>21</v>
      </c>
      <c r="H142" s="7">
        <v>22</v>
      </c>
      <c r="I142" s="18">
        <v>32.10679296</v>
      </c>
      <c r="J142" s="5">
        <v>420</v>
      </c>
      <c r="K142" s="5">
        <v>118.8</v>
      </c>
      <c r="L142" s="5">
        <v>36</v>
      </c>
      <c r="M142" s="8">
        <v>189.27</v>
      </c>
      <c r="N142" s="8">
        <v>8.4700000000000006</v>
      </c>
      <c r="O142" s="9">
        <f t="shared" si="21"/>
        <v>18.93078389319308</v>
      </c>
      <c r="P142" s="127">
        <v>19</v>
      </c>
      <c r="Q142" s="5">
        <v>258.89999999999998</v>
      </c>
      <c r="R142" s="8"/>
      <c r="S142" s="8"/>
      <c r="T142" s="8"/>
      <c r="U142" s="8"/>
      <c r="V142" s="8"/>
      <c r="W142" s="8"/>
      <c r="X142" s="8"/>
      <c r="Y142" s="8"/>
      <c r="Z142" s="8"/>
      <c r="AA142" s="8"/>
      <c r="AB142" s="8"/>
      <c r="AC142" s="8"/>
      <c r="AD142" s="8"/>
      <c r="AE142" s="8"/>
      <c r="AF142" s="8"/>
      <c r="AG142" s="8"/>
      <c r="AH142" s="8"/>
      <c r="AI142" s="8"/>
      <c r="AJ142" s="8"/>
      <c r="AK142" s="8"/>
      <c r="AL142" s="87"/>
    </row>
    <row r="143" spans="3:38" x14ac:dyDescent="0.25">
      <c r="C143" s="54"/>
      <c r="G143" s="2" t="s">
        <v>22</v>
      </c>
      <c r="H143" s="7">
        <v>22</v>
      </c>
      <c r="I143" s="18">
        <v>27.522704880000003</v>
      </c>
      <c r="J143" s="5">
        <v>420</v>
      </c>
      <c r="K143" s="5">
        <v>118.8</v>
      </c>
      <c r="L143" s="5">
        <v>36</v>
      </c>
      <c r="M143" s="8">
        <v>189.27</v>
      </c>
      <c r="N143" s="8">
        <v>8.4700000000000006</v>
      </c>
      <c r="O143" s="9">
        <f t="shared" si="21"/>
        <v>18.953966294730456</v>
      </c>
      <c r="P143" s="127">
        <v>19</v>
      </c>
      <c r="Q143" s="5">
        <v>93.6</v>
      </c>
      <c r="R143" s="8"/>
      <c r="S143" s="8"/>
      <c r="T143" s="8"/>
      <c r="U143" s="8"/>
      <c r="V143" s="8"/>
      <c r="W143" s="8"/>
      <c r="X143" s="8"/>
      <c r="Y143" s="8"/>
      <c r="Z143" s="8"/>
      <c r="AA143" s="8"/>
      <c r="AB143" s="8"/>
      <c r="AC143" s="8"/>
      <c r="AD143" s="8"/>
      <c r="AE143" s="8"/>
      <c r="AF143" s="8"/>
      <c r="AG143" s="8"/>
      <c r="AH143" s="8"/>
      <c r="AI143" s="8"/>
      <c r="AJ143" s="8"/>
      <c r="AK143" s="8"/>
      <c r="AL143" s="87"/>
    </row>
    <row r="144" spans="3:38" ht="13" x14ac:dyDescent="0.3">
      <c r="G144" s="10" t="s">
        <v>140</v>
      </c>
      <c r="H144" s="339"/>
      <c r="I144" s="339"/>
      <c r="J144" s="339"/>
      <c r="K144" s="339"/>
      <c r="L144" s="339"/>
      <c r="M144" s="339"/>
      <c r="N144" s="339"/>
      <c r="O144" s="339"/>
      <c r="P144" s="339"/>
      <c r="Q144" s="13">
        <f>SUM(Q138:Q143)</f>
        <v>1862.9</v>
      </c>
      <c r="R144" s="14">
        <f>9/24</f>
        <v>0.375</v>
      </c>
      <c r="S144" s="14">
        <f>24/1000</f>
        <v>2.4E-2</v>
      </c>
      <c r="T144" s="8">
        <v>3.59</v>
      </c>
      <c r="U144" s="8">
        <v>12.96</v>
      </c>
      <c r="V144" s="8">
        <f>Q144</f>
        <v>1862.9</v>
      </c>
      <c r="W144" s="17">
        <f>R144*S144*T144*U144*V144</f>
        <v>780.06627504000028</v>
      </c>
      <c r="X144" s="8">
        <v>3.94</v>
      </c>
      <c r="Y144" s="8">
        <v>12.96</v>
      </c>
      <c r="Z144" s="8">
        <f>Q144</f>
        <v>1862.9</v>
      </c>
      <c r="AA144" s="17">
        <f>(R144*S144*X144*Y144*Z144)</f>
        <v>856.11730464000027</v>
      </c>
      <c r="AB144" s="8">
        <v>2.13</v>
      </c>
      <c r="AC144" s="8">
        <v>41.904000000000003</v>
      </c>
      <c r="AD144" s="8">
        <f>Q144</f>
        <v>1862.9</v>
      </c>
      <c r="AE144" s="17">
        <f>(R144*S144*AB144*AC144*AD144)</f>
        <v>1496.4669738720004</v>
      </c>
      <c r="AF144" s="96">
        <f>N581</f>
        <v>1203.0293583421299</v>
      </c>
      <c r="AG144" s="27">
        <f>W144+AA144+AE144+AF144</f>
        <v>4335.6799118941308</v>
      </c>
      <c r="AH144" s="8">
        <f>AG144*0.1</f>
        <v>433.56799118941308</v>
      </c>
      <c r="AI144" s="125">
        <f>AG144+AH144</f>
        <v>4769.2479030835439</v>
      </c>
      <c r="AJ144" s="8">
        <v>3.1</v>
      </c>
      <c r="AK144" s="130">
        <f>ROUND((AI144/AJ144),0)</f>
        <v>1538</v>
      </c>
      <c r="AL144" s="87"/>
    </row>
    <row r="145" spans="7:38" ht="13" x14ac:dyDescent="0.25">
      <c r="G145" s="2" t="s">
        <v>13</v>
      </c>
      <c r="H145" s="7">
        <v>23</v>
      </c>
      <c r="I145" s="18">
        <v>50.457686400000007</v>
      </c>
      <c r="J145" s="5">
        <v>420</v>
      </c>
      <c r="K145" s="5">
        <v>118.8</v>
      </c>
      <c r="L145" s="5">
        <v>36</v>
      </c>
      <c r="M145" s="8">
        <v>189.27</v>
      </c>
      <c r="N145" s="8">
        <v>8.4700000000000006</v>
      </c>
      <c r="O145" s="9">
        <f>(H145-((I145+J145+K145+L145)/(M145+N145)))</f>
        <v>19.83798075048043</v>
      </c>
      <c r="P145" s="127">
        <v>20</v>
      </c>
      <c r="Q145" s="5">
        <v>457.5</v>
      </c>
      <c r="R145" s="14"/>
      <c r="S145" s="14"/>
      <c r="T145" s="8"/>
      <c r="U145" s="8"/>
      <c r="V145" s="8"/>
      <c r="W145" s="17"/>
      <c r="X145" s="8"/>
      <c r="Y145" s="8"/>
      <c r="Z145" s="8"/>
      <c r="AA145" s="17"/>
      <c r="AB145" s="8"/>
      <c r="AC145" s="8"/>
      <c r="AD145" s="8"/>
      <c r="AE145" s="17"/>
      <c r="AF145" s="96"/>
      <c r="AG145" s="27"/>
      <c r="AH145" s="8"/>
      <c r="AI145" s="125"/>
      <c r="AJ145" s="8"/>
      <c r="AK145" s="130"/>
      <c r="AL145" s="87"/>
    </row>
    <row r="146" spans="7:38" x14ac:dyDescent="0.25">
      <c r="G146" s="2" t="s">
        <v>24</v>
      </c>
      <c r="H146" s="7">
        <v>23</v>
      </c>
      <c r="I146" s="18">
        <v>45.869963040000009</v>
      </c>
      <c r="J146" s="5">
        <v>420</v>
      </c>
      <c r="K146" s="5">
        <v>118.8</v>
      </c>
      <c r="L146" s="5">
        <v>36</v>
      </c>
      <c r="M146" s="8">
        <v>189.27</v>
      </c>
      <c r="N146" s="8">
        <v>8.4700000000000006</v>
      </c>
      <c r="O146" s="9">
        <f t="shared" ref="O146:O150" si="22">(H146-((I146+J146+K146+L146)/(M146+N146)))</f>
        <v>19.861181536158593</v>
      </c>
      <c r="P146" s="127">
        <v>20</v>
      </c>
      <c r="Q146" s="5">
        <v>356.4</v>
      </c>
      <c r="R146" s="8"/>
      <c r="S146" s="8"/>
      <c r="T146" s="8"/>
      <c r="U146" s="8"/>
      <c r="V146" s="8"/>
      <c r="W146" s="8"/>
      <c r="X146" s="8"/>
      <c r="Y146" s="8"/>
      <c r="Z146" s="8"/>
      <c r="AA146" s="8"/>
      <c r="AB146" s="8"/>
      <c r="AC146" s="8"/>
      <c r="AD146" s="8"/>
      <c r="AE146" s="8"/>
      <c r="AF146" s="8"/>
      <c r="AG146" s="8"/>
      <c r="AH146" s="8"/>
      <c r="AI146" s="8"/>
      <c r="AJ146" s="8"/>
      <c r="AK146" s="8"/>
      <c r="AL146" s="87"/>
    </row>
    <row r="147" spans="7:38" x14ac:dyDescent="0.25">
      <c r="G147" s="2" t="s">
        <v>19</v>
      </c>
      <c r="H147" s="7">
        <v>23</v>
      </c>
      <c r="I147" s="18">
        <v>42.427352880000001</v>
      </c>
      <c r="J147" s="5">
        <v>420</v>
      </c>
      <c r="K147" s="5">
        <v>118.8</v>
      </c>
      <c r="L147" s="5">
        <v>36</v>
      </c>
      <c r="M147" s="8">
        <v>189.27</v>
      </c>
      <c r="N147" s="8">
        <v>8.4700000000000006</v>
      </c>
      <c r="O147" s="9">
        <f t="shared" si="22"/>
        <v>19.878591317487611</v>
      </c>
      <c r="P147" s="127">
        <v>20</v>
      </c>
      <c r="Q147" s="5">
        <v>303.60000000000002</v>
      </c>
      <c r="R147" s="8"/>
      <c r="S147" s="8"/>
      <c r="T147" s="8"/>
      <c r="U147" s="8"/>
      <c r="V147" s="8"/>
      <c r="W147" s="8"/>
      <c r="X147" s="8"/>
      <c r="Y147" s="8"/>
      <c r="Z147" s="8"/>
      <c r="AA147" s="8"/>
      <c r="AB147" s="8"/>
      <c r="AC147" s="8"/>
      <c r="AD147" s="8"/>
      <c r="AE147" s="8"/>
      <c r="AF147" s="8"/>
      <c r="AG147" s="8"/>
      <c r="AH147" s="8"/>
      <c r="AI147" s="8"/>
      <c r="AJ147" s="8"/>
      <c r="AK147" s="8"/>
      <c r="AL147" s="87"/>
    </row>
    <row r="148" spans="7:38" x14ac:dyDescent="0.25">
      <c r="G148" s="2" t="s">
        <v>20</v>
      </c>
      <c r="H148" s="7">
        <v>23</v>
      </c>
      <c r="I148" s="18">
        <v>37.843264800000007</v>
      </c>
      <c r="J148" s="5">
        <v>420</v>
      </c>
      <c r="K148" s="5">
        <v>118.8</v>
      </c>
      <c r="L148" s="5">
        <v>36</v>
      </c>
      <c r="M148" s="8">
        <v>189.27</v>
      </c>
      <c r="N148" s="8">
        <v>8.4700000000000006</v>
      </c>
      <c r="O148" s="9">
        <f t="shared" si="22"/>
        <v>19.901773719024984</v>
      </c>
      <c r="P148" s="127">
        <v>20</v>
      </c>
      <c r="Q148" s="5">
        <v>270.89999999999998</v>
      </c>
      <c r="R148" s="8"/>
      <c r="S148" s="8"/>
      <c r="T148" s="8"/>
      <c r="U148" s="8"/>
      <c r="V148" s="8"/>
      <c r="W148" s="8"/>
      <c r="X148" s="8"/>
      <c r="Y148" s="8"/>
      <c r="Z148" s="8"/>
      <c r="AA148" s="8"/>
      <c r="AB148" s="8"/>
      <c r="AC148" s="8"/>
      <c r="AD148" s="8"/>
      <c r="AE148" s="8"/>
      <c r="AF148" s="8"/>
      <c r="AG148" s="8"/>
      <c r="AH148" s="8"/>
      <c r="AI148" s="8"/>
      <c r="AJ148" s="8"/>
      <c r="AK148" s="8"/>
      <c r="AL148" s="87"/>
    </row>
    <row r="149" spans="7:38" x14ac:dyDescent="0.25">
      <c r="G149" s="2" t="s">
        <v>21</v>
      </c>
      <c r="H149" s="7">
        <v>23</v>
      </c>
      <c r="I149" s="18">
        <v>32.10679296</v>
      </c>
      <c r="J149" s="5">
        <v>420</v>
      </c>
      <c r="K149" s="5">
        <v>118.8</v>
      </c>
      <c r="L149" s="5">
        <v>36</v>
      </c>
      <c r="M149" s="8">
        <v>189.27</v>
      </c>
      <c r="N149" s="8">
        <v>8.4700000000000006</v>
      </c>
      <c r="O149" s="9">
        <f t="shared" si="22"/>
        <v>19.93078389319308</v>
      </c>
      <c r="P149" s="127">
        <v>20</v>
      </c>
      <c r="Q149" s="5">
        <v>228</v>
      </c>
      <c r="R149" s="8"/>
      <c r="S149" s="8"/>
      <c r="T149" s="8"/>
      <c r="U149" s="8"/>
      <c r="V149" s="8"/>
      <c r="W149" s="8"/>
      <c r="X149" s="8"/>
      <c r="Y149" s="8"/>
      <c r="Z149" s="8"/>
      <c r="AA149" s="8"/>
      <c r="AB149" s="8"/>
      <c r="AC149" s="8"/>
      <c r="AD149" s="8"/>
      <c r="AE149" s="8"/>
      <c r="AF149" s="8"/>
      <c r="AG149" s="8"/>
      <c r="AH149" s="8"/>
      <c r="AI149" s="8"/>
      <c r="AJ149" s="8"/>
      <c r="AK149" s="8"/>
      <c r="AL149" s="87"/>
    </row>
    <row r="150" spans="7:38" x14ac:dyDescent="0.25">
      <c r="G150" s="2" t="s">
        <v>22</v>
      </c>
      <c r="H150" s="7">
        <v>23</v>
      </c>
      <c r="I150" s="18">
        <v>27.522704880000003</v>
      </c>
      <c r="J150" s="5">
        <v>420</v>
      </c>
      <c r="K150" s="5">
        <v>118.8</v>
      </c>
      <c r="L150" s="5">
        <v>36</v>
      </c>
      <c r="M150" s="8">
        <v>189.27</v>
      </c>
      <c r="N150" s="8">
        <v>8.4700000000000006</v>
      </c>
      <c r="O150" s="9">
        <f t="shared" si="22"/>
        <v>19.953966294730456</v>
      </c>
      <c r="P150" s="127">
        <v>20</v>
      </c>
      <c r="Q150" s="5">
        <v>77.2</v>
      </c>
      <c r="R150" s="8"/>
      <c r="S150" s="8"/>
      <c r="T150" s="8"/>
      <c r="U150" s="8"/>
      <c r="V150" s="8"/>
      <c r="W150" s="8"/>
      <c r="X150" s="8"/>
      <c r="Y150" s="8"/>
      <c r="Z150" s="8"/>
      <c r="AA150" s="8"/>
      <c r="AB150" s="8"/>
      <c r="AC150" s="8"/>
      <c r="AD150" s="8"/>
      <c r="AE150" s="8"/>
      <c r="AF150" s="8"/>
      <c r="AG150" s="8"/>
      <c r="AH150" s="8"/>
      <c r="AI150" s="8"/>
      <c r="AJ150" s="8"/>
      <c r="AK150" s="8"/>
      <c r="AL150" s="87"/>
    </row>
    <row r="151" spans="7:38" ht="13" x14ac:dyDescent="0.3">
      <c r="G151" s="10" t="s">
        <v>141</v>
      </c>
      <c r="H151" s="335"/>
      <c r="I151" s="335"/>
      <c r="J151" s="335"/>
      <c r="K151" s="335"/>
      <c r="L151" s="335"/>
      <c r="M151" s="335"/>
      <c r="N151" s="335"/>
      <c r="O151" s="335"/>
      <c r="P151" s="335"/>
      <c r="Q151" s="13">
        <f>SUM(Q145:Q150)</f>
        <v>1693.6000000000001</v>
      </c>
      <c r="R151" s="14">
        <f>9/24</f>
        <v>0.375</v>
      </c>
      <c r="S151" s="14">
        <f>24/1000</f>
        <v>2.4E-2</v>
      </c>
      <c r="T151" s="8">
        <v>3.59</v>
      </c>
      <c r="U151" s="8">
        <v>12.96</v>
      </c>
      <c r="V151" s="8">
        <f>Q151</f>
        <v>1693.6000000000001</v>
      </c>
      <c r="W151" s="17">
        <f>R151*S151*T151*U151*V151</f>
        <v>709.17399936000027</v>
      </c>
      <c r="X151" s="8">
        <v>3.94</v>
      </c>
      <c r="Y151" s="8">
        <v>12.96</v>
      </c>
      <c r="Z151" s="8">
        <f>Q151</f>
        <v>1693.6000000000001</v>
      </c>
      <c r="AA151" s="17">
        <f>(R151*S151*X151*Y151*Z151)</f>
        <v>778.31352576000029</v>
      </c>
      <c r="AB151" s="8">
        <v>2.13</v>
      </c>
      <c r="AC151" s="8">
        <v>41.904000000000003</v>
      </c>
      <c r="AD151" s="8">
        <f>Q151</f>
        <v>1693.6000000000001</v>
      </c>
      <c r="AE151" s="17">
        <f>(R151*S151*AB151*AC151*AD151)</f>
        <v>1360.4683380480003</v>
      </c>
      <c r="AF151" s="96">
        <f>N582</f>
        <v>1185.7295083744366</v>
      </c>
      <c r="AG151" s="27">
        <f>W151+AA151+AE151+AF151</f>
        <v>4033.6853715424377</v>
      </c>
      <c r="AH151" s="8">
        <f>AG151*0.1</f>
        <v>403.36853715424377</v>
      </c>
      <c r="AI151" s="125">
        <f>AG151+AH151</f>
        <v>4437.0539086966819</v>
      </c>
      <c r="AJ151" s="8">
        <v>3.1</v>
      </c>
      <c r="AK151" s="130">
        <f>ROUND((AI151/AJ151),0)</f>
        <v>1431</v>
      </c>
      <c r="AL151" s="87"/>
    </row>
    <row r="152" spans="7:38" ht="13" x14ac:dyDescent="0.25">
      <c r="G152" s="2" t="s">
        <v>13</v>
      </c>
      <c r="H152" s="7">
        <v>24</v>
      </c>
      <c r="I152" s="18">
        <v>50.457686400000007</v>
      </c>
      <c r="J152" s="5">
        <v>420</v>
      </c>
      <c r="K152" s="5">
        <v>118.8</v>
      </c>
      <c r="L152" s="5">
        <v>36</v>
      </c>
      <c r="M152" s="8">
        <v>189.27</v>
      </c>
      <c r="N152" s="8">
        <v>8.4700000000000006</v>
      </c>
      <c r="O152" s="9">
        <f>(H152-((I152+J152+K152+L152)/(M152+N152)))</f>
        <v>20.83798075048043</v>
      </c>
      <c r="P152" s="127">
        <v>21</v>
      </c>
      <c r="Q152" s="5">
        <v>427.5</v>
      </c>
      <c r="R152" s="14"/>
      <c r="S152" s="14"/>
      <c r="T152" s="8"/>
      <c r="U152" s="8"/>
      <c r="V152" s="8"/>
      <c r="W152" s="17"/>
      <c r="X152" s="8"/>
      <c r="Y152" s="8"/>
      <c r="Z152" s="8"/>
      <c r="AA152" s="17"/>
      <c r="AB152" s="8"/>
      <c r="AC152" s="8"/>
      <c r="AD152" s="8"/>
      <c r="AE152" s="17"/>
      <c r="AF152" s="96"/>
      <c r="AG152" s="27"/>
      <c r="AH152" s="8"/>
      <c r="AI152" s="125"/>
      <c r="AJ152" s="8"/>
      <c r="AK152" s="130"/>
      <c r="AL152" s="87"/>
    </row>
    <row r="153" spans="7:38" x14ac:dyDescent="0.25">
      <c r="G153" s="2" t="s">
        <v>24</v>
      </c>
      <c r="H153" s="7">
        <v>24</v>
      </c>
      <c r="I153" s="18">
        <v>45.869963040000009</v>
      </c>
      <c r="J153" s="5">
        <v>420</v>
      </c>
      <c r="K153" s="5">
        <v>118.8</v>
      </c>
      <c r="L153" s="5">
        <v>36</v>
      </c>
      <c r="M153" s="8">
        <v>189.27</v>
      </c>
      <c r="N153" s="8">
        <v>8.4700000000000006</v>
      </c>
      <c r="O153" s="9">
        <f t="shared" ref="O153:O157" si="23">(H153-((I153+J153+K153+L153)/(M153+N153)))</f>
        <v>20.861181536158593</v>
      </c>
      <c r="P153" s="127">
        <v>21</v>
      </c>
      <c r="Q153" s="5">
        <v>325.39999999999998</v>
      </c>
      <c r="R153" s="8"/>
      <c r="S153" s="8"/>
      <c r="T153" s="8"/>
      <c r="U153" s="8"/>
      <c r="V153" s="8"/>
      <c r="W153" s="8"/>
      <c r="X153" s="8"/>
      <c r="Y153" s="8"/>
      <c r="Z153" s="8"/>
      <c r="AA153" s="8"/>
      <c r="AB153" s="8"/>
      <c r="AC153" s="8"/>
      <c r="AD153" s="8"/>
      <c r="AE153" s="8"/>
      <c r="AF153" s="8"/>
      <c r="AG153" s="8" t="s">
        <v>161</v>
      </c>
      <c r="AH153" s="8"/>
      <c r="AI153" s="8"/>
      <c r="AJ153" s="8"/>
      <c r="AK153" s="8"/>
      <c r="AL153" s="87"/>
    </row>
    <row r="154" spans="7:38" x14ac:dyDescent="0.25">
      <c r="G154" s="2" t="s">
        <v>19</v>
      </c>
      <c r="H154" s="7">
        <v>24</v>
      </c>
      <c r="I154" s="18">
        <v>42.427352880000001</v>
      </c>
      <c r="J154" s="5">
        <v>420</v>
      </c>
      <c r="K154" s="5">
        <v>118.8</v>
      </c>
      <c r="L154" s="5">
        <v>36</v>
      </c>
      <c r="M154" s="8">
        <v>189.27</v>
      </c>
      <c r="N154" s="8">
        <v>8.4700000000000006</v>
      </c>
      <c r="O154" s="9">
        <f t="shared" si="23"/>
        <v>20.878591317487611</v>
      </c>
      <c r="P154" s="127">
        <v>21</v>
      </c>
      <c r="Q154" s="5">
        <v>272.60000000000002</v>
      </c>
      <c r="R154" s="8"/>
      <c r="S154" s="8"/>
      <c r="T154" s="8"/>
      <c r="U154" s="8"/>
      <c r="V154" s="8"/>
      <c r="W154" s="8"/>
      <c r="X154" s="8"/>
      <c r="Y154" s="8"/>
      <c r="Z154" s="8"/>
      <c r="AA154" s="8"/>
      <c r="AB154" s="8"/>
      <c r="AC154" s="8"/>
      <c r="AD154" s="8"/>
      <c r="AE154" s="8"/>
      <c r="AF154" s="8"/>
      <c r="AG154" s="8"/>
      <c r="AH154" s="8"/>
      <c r="AI154" s="8"/>
      <c r="AJ154" s="8"/>
      <c r="AK154" s="8"/>
      <c r="AL154" s="87"/>
    </row>
    <row r="155" spans="7:38" x14ac:dyDescent="0.25">
      <c r="G155" s="2" t="s">
        <v>20</v>
      </c>
      <c r="H155" s="7">
        <v>24</v>
      </c>
      <c r="I155" s="18">
        <v>37.843264800000007</v>
      </c>
      <c r="J155" s="5">
        <v>420</v>
      </c>
      <c r="K155" s="5">
        <v>118.8</v>
      </c>
      <c r="L155" s="5">
        <v>36</v>
      </c>
      <c r="M155" s="8">
        <v>189.27</v>
      </c>
      <c r="N155" s="8">
        <v>8.4700000000000006</v>
      </c>
      <c r="O155" s="9">
        <f t="shared" si="23"/>
        <v>20.901773719024984</v>
      </c>
      <c r="P155" s="127">
        <v>21</v>
      </c>
      <c r="Q155" s="5">
        <v>240.9</v>
      </c>
      <c r="R155" s="8"/>
      <c r="S155" s="8"/>
      <c r="T155" s="8"/>
      <c r="U155" s="8"/>
      <c r="V155" s="8"/>
      <c r="W155" s="8"/>
      <c r="X155" s="8"/>
      <c r="Y155" s="8"/>
      <c r="Z155" s="8"/>
      <c r="AA155" s="8"/>
      <c r="AB155" s="8"/>
      <c r="AC155" s="8"/>
      <c r="AD155" s="8"/>
      <c r="AE155" s="8"/>
      <c r="AF155" s="8"/>
      <c r="AG155" s="8"/>
      <c r="AH155" s="8"/>
      <c r="AI155" s="8"/>
      <c r="AJ155" s="8"/>
      <c r="AK155" s="8"/>
      <c r="AL155" s="87"/>
    </row>
    <row r="156" spans="7:38" x14ac:dyDescent="0.25">
      <c r="G156" s="2" t="s">
        <v>21</v>
      </c>
      <c r="H156" s="7">
        <v>24</v>
      </c>
      <c r="I156" s="18">
        <v>32.10679296</v>
      </c>
      <c r="J156" s="5">
        <v>420</v>
      </c>
      <c r="K156" s="5">
        <v>118.8</v>
      </c>
      <c r="L156" s="5">
        <v>36</v>
      </c>
      <c r="M156" s="8">
        <v>189.27</v>
      </c>
      <c r="N156" s="8">
        <v>8.4700000000000006</v>
      </c>
      <c r="O156" s="9">
        <f t="shared" si="23"/>
        <v>20.93078389319308</v>
      </c>
      <c r="P156" s="127">
        <v>21</v>
      </c>
      <c r="Q156" s="5">
        <v>197.7</v>
      </c>
      <c r="R156" s="8"/>
      <c r="S156" s="8"/>
      <c r="T156" s="8"/>
      <c r="U156" s="8"/>
      <c r="V156" s="8"/>
      <c r="W156" s="8"/>
      <c r="X156" s="8"/>
      <c r="Y156" s="8"/>
      <c r="Z156" s="8"/>
      <c r="AA156" s="8"/>
      <c r="AB156" s="8"/>
      <c r="AC156" s="8"/>
      <c r="AD156" s="8"/>
      <c r="AE156" s="8"/>
      <c r="AF156" s="8"/>
      <c r="AG156" s="8"/>
      <c r="AH156" s="8"/>
      <c r="AI156" s="8"/>
      <c r="AJ156" s="8"/>
      <c r="AK156" s="8"/>
      <c r="AL156" s="87"/>
    </row>
    <row r="157" spans="7:38" x14ac:dyDescent="0.25">
      <c r="G157" s="2" t="s">
        <v>22</v>
      </c>
      <c r="H157" s="7">
        <v>24</v>
      </c>
      <c r="I157" s="18">
        <v>27.522704880000003</v>
      </c>
      <c r="J157" s="5">
        <v>420</v>
      </c>
      <c r="K157" s="5">
        <v>118.8</v>
      </c>
      <c r="L157" s="5">
        <v>36</v>
      </c>
      <c r="M157" s="8">
        <v>189.27</v>
      </c>
      <c r="N157" s="8">
        <v>8.4700000000000006</v>
      </c>
      <c r="O157" s="9">
        <f t="shared" si="23"/>
        <v>20.953966294730456</v>
      </c>
      <c r="P157" s="127">
        <v>21</v>
      </c>
      <c r="Q157" s="5">
        <v>62.8</v>
      </c>
      <c r="R157" s="8"/>
      <c r="S157" s="8"/>
      <c r="T157" s="8"/>
      <c r="U157" s="8"/>
      <c r="V157" s="8"/>
      <c r="W157" s="8"/>
      <c r="X157" s="8"/>
      <c r="Y157" s="8"/>
      <c r="Z157" s="8"/>
      <c r="AA157" s="8"/>
      <c r="AB157" s="8"/>
      <c r="AC157" s="8"/>
      <c r="AD157" s="8"/>
      <c r="AE157" s="8"/>
      <c r="AF157" s="8"/>
      <c r="AG157" s="8"/>
      <c r="AH157" s="8"/>
      <c r="AI157" s="8"/>
      <c r="AJ157" s="8"/>
      <c r="AK157" s="8"/>
      <c r="AL157" s="87"/>
    </row>
    <row r="158" spans="7:38" ht="13" x14ac:dyDescent="0.3">
      <c r="G158" s="10" t="s">
        <v>142</v>
      </c>
      <c r="H158" s="339"/>
      <c r="I158" s="339"/>
      <c r="J158" s="339"/>
      <c r="K158" s="339"/>
      <c r="L158" s="339"/>
      <c r="M158" s="339"/>
      <c r="N158" s="339"/>
      <c r="O158" s="339"/>
      <c r="P158" s="339"/>
      <c r="Q158" s="13">
        <f>SUM(Q152:Q157)</f>
        <v>1526.9</v>
      </c>
      <c r="R158" s="14">
        <f>9/24</f>
        <v>0.375</v>
      </c>
      <c r="S158" s="14">
        <f>24/1000</f>
        <v>2.4E-2</v>
      </c>
      <c r="T158" s="8">
        <v>3.59</v>
      </c>
      <c r="U158" s="8">
        <v>12.96</v>
      </c>
      <c r="V158" s="8">
        <f>Q158</f>
        <v>1526.9</v>
      </c>
      <c r="W158" s="17">
        <f>R158*S158*T158*U158*V158</f>
        <v>639.37044144000015</v>
      </c>
      <c r="X158" s="8">
        <v>3.94</v>
      </c>
      <c r="Y158" s="8">
        <v>12.96</v>
      </c>
      <c r="Z158" s="8">
        <f>Q158</f>
        <v>1526.9</v>
      </c>
      <c r="AA158" s="17">
        <f>(R158*S158*X158*Y158*Z158)</f>
        <v>701.70460704000027</v>
      </c>
      <c r="AB158" s="8">
        <v>2.13</v>
      </c>
      <c r="AC158" s="8">
        <v>41.904000000000003</v>
      </c>
      <c r="AD158" s="8">
        <f>Q158</f>
        <v>1526.9</v>
      </c>
      <c r="AE158" s="17">
        <f>(R158*S158*AB158*AC158*AD158)</f>
        <v>1226.5582813920003</v>
      </c>
      <c r="AF158" s="96">
        <f>N583</f>
        <v>1168.4296584067433</v>
      </c>
      <c r="AG158" s="27">
        <f>W158+AA158+AE158+AF158</f>
        <v>3736.0629882787443</v>
      </c>
      <c r="AH158" s="8">
        <f>AG158*0.1</f>
        <v>373.60629882787447</v>
      </c>
      <c r="AI158" s="125">
        <f>AG158+AH158</f>
        <v>4109.6692871066189</v>
      </c>
      <c r="AJ158" s="8">
        <v>3.1</v>
      </c>
      <c r="AK158" s="130">
        <f>ROUND((AI158/AJ158),0)</f>
        <v>1326</v>
      </c>
      <c r="AL158" s="133"/>
    </row>
    <row r="159" spans="7:38" ht="13.5" thickBot="1" x14ac:dyDescent="0.35">
      <c r="G159" s="341" t="s">
        <v>200</v>
      </c>
      <c r="H159" s="342"/>
      <c r="I159" s="342"/>
      <c r="J159" s="342"/>
      <c r="K159" s="342"/>
      <c r="L159" s="342"/>
      <c r="M159" s="342"/>
      <c r="N159" s="342"/>
      <c r="O159" s="342"/>
      <c r="P159" s="342"/>
      <c r="Q159" s="342"/>
      <c r="R159" s="342"/>
      <c r="S159" s="342"/>
      <c r="T159" s="342"/>
      <c r="U159" s="342"/>
      <c r="V159" s="342"/>
      <c r="W159" s="342"/>
      <c r="X159" s="342"/>
      <c r="Y159" s="342"/>
      <c r="Z159" s="342"/>
      <c r="AA159" s="342"/>
      <c r="AB159" s="342"/>
      <c r="AC159" s="342"/>
      <c r="AD159" s="342"/>
      <c r="AE159" s="342"/>
      <c r="AF159" s="342"/>
      <c r="AG159" s="342"/>
      <c r="AH159" s="342"/>
      <c r="AI159" s="342"/>
      <c r="AJ159" s="342"/>
      <c r="AK159" s="342"/>
      <c r="AL159" s="138">
        <f>ROUND((AK116*AS6+AK123*AS7+AK130*AS8+AK137*AS9+AK144*AS10+AK151*AS11+AK158*AS12),0)</f>
        <v>1534</v>
      </c>
    </row>
    <row r="161" spans="2:21" ht="13" thickBot="1" x14ac:dyDescent="0.3"/>
    <row r="162" spans="2:21" ht="15" customHeight="1" x14ac:dyDescent="0.25">
      <c r="C162" s="323" t="s">
        <v>83</v>
      </c>
      <c r="D162" s="324"/>
      <c r="G162" s="317" t="s">
        <v>224</v>
      </c>
      <c r="H162" s="318"/>
      <c r="I162" s="318"/>
      <c r="J162" s="318"/>
      <c r="K162" s="318"/>
      <c r="L162" s="318"/>
      <c r="M162" s="318"/>
      <c r="N162" s="318"/>
      <c r="O162" s="318"/>
      <c r="P162" s="318"/>
      <c r="Q162" s="318"/>
      <c r="R162" s="318"/>
      <c r="S162" s="318"/>
      <c r="T162" s="319"/>
      <c r="U162" s="129"/>
    </row>
    <row r="163" spans="2:21" ht="13" customHeight="1" x14ac:dyDescent="0.25">
      <c r="B163" s="119"/>
      <c r="C163" s="325"/>
      <c r="D163" s="326"/>
      <c r="G163" s="320"/>
      <c r="H163" s="321"/>
      <c r="I163" s="321"/>
      <c r="J163" s="321"/>
      <c r="K163" s="321"/>
      <c r="L163" s="321"/>
      <c r="M163" s="321"/>
      <c r="N163" s="321"/>
      <c r="O163" s="321"/>
      <c r="P163" s="321"/>
      <c r="Q163" s="321"/>
      <c r="R163" s="321"/>
      <c r="S163" s="321"/>
      <c r="T163" s="322"/>
      <c r="U163" s="129"/>
    </row>
    <row r="164" spans="2:21" ht="20.149999999999999" customHeight="1" x14ac:dyDescent="0.25">
      <c r="C164" s="78" t="s">
        <v>38</v>
      </c>
      <c r="D164" s="79">
        <v>-1</v>
      </c>
      <c r="G164" s="43" t="s">
        <v>0</v>
      </c>
      <c r="H164" s="42" t="s">
        <v>37</v>
      </c>
      <c r="I164" s="42" t="s">
        <v>36</v>
      </c>
      <c r="J164" s="42" t="s">
        <v>35</v>
      </c>
      <c r="K164" s="42" t="s">
        <v>47</v>
      </c>
      <c r="L164" s="47" t="s">
        <v>56</v>
      </c>
      <c r="M164" s="47" t="s">
        <v>50</v>
      </c>
      <c r="N164" s="47" t="s">
        <v>51</v>
      </c>
      <c r="O164" s="47" t="s">
        <v>48</v>
      </c>
      <c r="P164" s="47" t="s">
        <v>52</v>
      </c>
      <c r="Q164" s="37" t="s">
        <v>53</v>
      </c>
      <c r="R164" s="37" t="s">
        <v>54</v>
      </c>
      <c r="S164" s="37" t="s">
        <v>49</v>
      </c>
      <c r="T164" s="48" t="s">
        <v>55</v>
      </c>
    </row>
    <row r="165" spans="2:21" ht="16" customHeight="1" x14ac:dyDescent="0.25">
      <c r="C165" s="78" t="s">
        <v>39</v>
      </c>
      <c r="D165" s="79">
        <v>-1</v>
      </c>
      <c r="G165" s="2" t="s">
        <v>13</v>
      </c>
      <c r="H165" s="71">
        <v>38.4</v>
      </c>
      <c r="I165" s="71">
        <v>8.8000000000000007</v>
      </c>
      <c r="J165" s="71">
        <f t="shared" ref="J165:J170" si="24">I165/2</f>
        <v>4.4000000000000004</v>
      </c>
      <c r="K165" s="71">
        <f>H165-J165</f>
        <v>34</v>
      </c>
      <c r="L165" s="59">
        <f>D$173</f>
        <v>3</v>
      </c>
      <c r="M165" s="45">
        <v>18</v>
      </c>
      <c r="N165" s="45">
        <f t="shared" ref="N165:N170" si="25">25.5-M165</f>
        <v>7.5</v>
      </c>
      <c r="O165" s="45">
        <f t="shared" ref="O165:O170" si="26">K165-29.4</f>
        <v>4.6000000000000014</v>
      </c>
      <c r="P165" s="8">
        <f t="shared" ref="P165:P170" si="27">L165+N165+O165</f>
        <v>15.100000000000001</v>
      </c>
      <c r="Q165" s="8">
        <v>3.75</v>
      </c>
      <c r="R165" s="8">
        <v>1.296</v>
      </c>
      <c r="S165" s="8">
        <f>30*9</f>
        <v>270</v>
      </c>
      <c r="T165" s="40">
        <f>(P165*Q165*R165*S165)/1000</f>
        <v>19.814220000000002</v>
      </c>
      <c r="U165" s="128"/>
    </row>
    <row r="166" spans="2:21" ht="15.65" customHeight="1" x14ac:dyDescent="0.25">
      <c r="C166" s="78" t="s">
        <v>40</v>
      </c>
      <c r="D166" s="79">
        <v>0</v>
      </c>
      <c r="G166" s="2" t="s">
        <v>24</v>
      </c>
      <c r="H166" s="41">
        <v>37</v>
      </c>
      <c r="I166" s="41">
        <v>8.1</v>
      </c>
      <c r="J166" s="71">
        <f t="shared" si="24"/>
        <v>4.05</v>
      </c>
      <c r="K166" s="71">
        <f t="shared" ref="K166:K170" si="28">H166-J166</f>
        <v>32.950000000000003</v>
      </c>
      <c r="L166" s="59">
        <f t="shared" ref="L166:L170" si="29">D$173</f>
        <v>3</v>
      </c>
      <c r="M166" s="45">
        <v>18</v>
      </c>
      <c r="N166" s="45">
        <f t="shared" si="25"/>
        <v>7.5</v>
      </c>
      <c r="O166" s="45">
        <f t="shared" si="26"/>
        <v>3.5500000000000043</v>
      </c>
      <c r="P166" s="8">
        <f t="shared" si="27"/>
        <v>14.050000000000004</v>
      </c>
      <c r="Q166" s="8">
        <v>3.75</v>
      </c>
      <c r="R166" s="8">
        <v>1.296</v>
      </c>
      <c r="S166" s="8">
        <f>31*9</f>
        <v>279</v>
      </c>
      <c r="T166" s="40">
        <f t="shared" ref="T166:T167" si="30">(P166*Q166*R166*S166)/1000</f>
        <v>19.050957000000007</v>
      </c>
      <c r="U166" s="128"/>
    </row>
    <row r="167" spans="2:21" ht="16.5" customHeight="1" x14ac:dyDescent="0.25">
      <c r="C167" s="78" t="s">
        <v>41</v>
      </c>
      <c r="D167" s="79">
        <v>7</v>
      </c>
      <c r="G167" s="2" t="s">
        <v>19</v>
      </c>
      <c r="H167" s="41">
        <v>35.9</v>
      </c>
      <c r="I167" s="41">
        <v>7.9</v>
      </c>
      <c r="J167" s="71">
        <f t="shared" si="24"/>
        <v>3.95</v>
      </c>
      <c r="K167" s="71">
        <f t="shared" si="28"/>
        <v>31.95</v>
      </c>
      <c r="L167" s="59">
        <f t="shared" si="29"/>
        <v>3</v>
      </c>
      <c r="M167" s="45">
        <v>18</v>
      </c>
      <c r="N167" s="45">
        <f t="shared" si="25"/>
        <v>7.5</v>
      </c>
      <c r="O167" s="45">
        <f t="shared" si="26"/>
        <v>2.5500000000000007</v>
      </c>
      <c r="P167" s="8">
        <f t="shared" si="27"/>
        <v>13.05</v>
      </c>
      <c r="Q167" s="8">
        <v>3.75</v>
      </c>
      <c r="R167" s="8">
        <v>1.296</v>
      </c>
      <c r="S167" s="8">
        <f>31*9</f>
        <v>279</v>
      </c>
      <c r="T167" s="40">
        <f t="shared" si="30"/>
        <v>17.695017</v>
      </c>
      <c r="U167" s="128"/>
    </row>
    <row r="168" spans="2:21" ht="15.65" customHeight="1" x14ac:dyDescent="0.25">
      <c r="C168" s="78" t="s">
        <v>42</v>
      </c>
      <c r="D168" s="79">
        <v>7</v>
      </c>
      <c r="G168" s="2" t="s">
        <v>20</v>
      </c>
      <c r="H168" s="41">
        <v>35</v>
      </c>
      <c r="I168" s="41">
        <v>7.7</v>
      </c>
      <c r="J168" s="71">
        <f t="shared" si="24"/>
        <v>3.85</v>
      </c>
      <c r="K168" s="71">
        <f t="shared" si="28"/>
        <v>31.15</v>
      </c>
      <c r="L168" s="59">
        <f t="shared" si="29"/>
        <v>3</v>
      </c>
      <c r="M168" s="45">
        <v>18</v>
      </c>
      <c r="N168" s="45">
        <f t="shared" si="25"/>
        <v>7.5</v>
      </c>
      <c r="O168" s="45">
        <f t="shared" si="26"/>
        <v>1.75</v>
      </c>
      <c r="P168" s="8">
        <f t="shared" si="27"/>
        <v>12.25</v>
      </c>
      <c r="Q168" s="8">
        <v>3.75</v>
      </c>
      <c r="R168" s="8">
        <v>1.296</v>
      </c>
      <c r="S168" s="8">
        <f>30*9</f>
        <v>270</v>
      </c>
      <c r="T168" s="40">
        <f>(P168*Q168*R168*S168)/1000</f>
        <v>16.074450000000002</v>
      </c>
      <c r="U168" s="128"/>
    </row>
    <row r="169" spans="2:21" ht="17.5" customHeight="1" x14ac:dyDescent="0.25">
      <c r="C169" s="78" t="s">
        <v>43</v>
      </c>
      <c r="D169" s="79">
        <v>6</v>
      </c>
      <c r="G169" s="2" t="s">
        <v>21</v>
      </c>
      <c r="H169" s="41">
        <v>34</v>
      </c>
      <c r="I169" s="41">
        <v>6.7</v>
      </c>
      <c r="J169" s="71">
        <f t="shared" si="24"/>
        <v>3.35</v>
      </c>
      <c r="K169" s="71">
        <f t="shared" si="28"/>
        <v>30.65</v>
      </c>
      <c r="L169" s="59">
        <f t="shared" si="29"/>
        <v>3</v>
      </c>
      <c r="M169" s="45">
        <v>18</v>
      </c>
      <c r="N169" s="45">
        <f t="shared" si="25"/>
        <v>7.5</v>
      </c>
      <c r="O169" s="45">
        <f t="shared" si="26"/>
        <v>1.25</v>
      </c>
      <c r="P169" s="8">
        <f t="shared" si="27"/>
        <v>11.75</v>
      </c>
      <c r="Q169" s="8">
        <v>3.75</v>
      </c>
      <c r="R169" s="8">
        <v>1.296</v>
      </c>
      <c r="S169" s="8">
        <f>31*9</f>
        <v>279</v>
      </c>
      <c r="T169" s="40">
        <f t="shared" ref="T169:T170" si="31">(P169*Q169*R169*S169)/1000</f>
        <v>15.932295000000002</v>
      </c>
      <c r="U169" s="128"/>
    </row>
    <row r="170" spans="2:21" ht="15" customHeight="1" x14ac:dyDescent="0.25">
      <c r="C170" s="78" t="s">
        <v>44</v>
      </c>
      <c r="D170" s="79">
        <v>4</v>
      </c>
      <c r="G170" s="2" t="s">
        <v>22</v>
      </c>
      <c r="H170" s="41">
        <v>31.2</v>
      </c>
      <c r="I170" s="41">
        <v>6.1</v>
      </c>
      <c r="J170" s="71">
        <f t="shared" si="24"/>
        <v>3.05</v>
      </c>
      <c r="K170" s="71">
        <f t="shared" si="28"/>
        <v>28.15</v>
      </c>
      <c r="L170" s="59">
        <f t="shared" si="29"/>
        <v>3</v>
      </c>
      <c r="M170" s="45">
        <v>18</v>
      </c>
      <c r="N170" s="45">
        <f t="shared" si="25"/>
        <v>7.5</v>
      </c>
      <c r="O170" s="45">
        <f t="shared" si="26"/>
        <v>-1.25</v>
      </c>
      <c r="P170" s="8">
        <f t="shared" si="27"/>
        <v>9.25</v>
      </c>
      <c r="Q170" s="8">
        <v>3.75</v>
      </c>
      <c r="R170" s="8">
        <v>1.296</v>
      </c>
      <c r="S170" s="8">
        <f>30*9</f>
        <v>270</v>
      </c>
      <c r="T170" s="40">
        <f t="shared" si="31"/>
        <v>12.13785</v>
      </c>
      <c r="U170" s="128"/>
    </row>
    <row r="171" spans="2:21" ht="20.149999999999999" customHeight="1" x14ac:dyDescent="0.25">
      <c r="C171" s="78" t="s">
        <v>45</v>
      </c>
      <c r="D171" s="79">
        <v>3</v>
      </c>
      <c r="G171" s="303" t="s">
        <v>187</v>
      </c>
      <c r="H171" s="304"/>
      <c r="I171" s="304"/>
      <c r="J171" s="304"/>
      <c r="K171" s="304"/>
      <c r="L171" s="304"/>
      <c r="M171" s="304"/>
      <c r="N171" s="304"/>
      <c r="O171" s="304"/>
      <c r="P171" s="304"/>
      <c r="Q171" s="304"/>
      <c r="R171" s="304"/>
      <c r="S171" s="304"/>
      <c r="T171" s="69">
        <f>SUM(T165:T170)</f>
        <v>100.70478900000001</v>
      </c>
      <c r="U171" s="128"/>
    </row>
    <row r="172" spans="2:21" ht="16" customHeight="1" x14ac:dyDescent="0.25">
      <c r="C172" s="78" t="s">
        <v>46</v>
      </c>
      <c r="D172" s="79">
        <v>2</v>
      </c>
      <c r="G172" s="2" t="s">
        <v>13</v>
      </c>
      <c r="H172" s="71">
        <v>38.4</v>
      </c>
      <c r="I172" s="71">
        <v>8.8000000000000007</v>
      </c>
      <c r="J172" s="71">
        <f t="shared" ref="J172:J177" si="32">I172/2</f>
        <v>4.4000000000000004</v>
      </c>
      <c r="K172" s="71">
        <f>H172-J172</f>
        <v>34</v>
      </c>
      <c r="L172" s="59">
        <f>D$173</f>
        <v>3</v>
      </c>
      <c r="M172" s="45">
        <v>19</v>
      </c>
      <c r="N172" s="45">
        <f t="shared" ref="N172:N177" si="33">25.5-M172</f>
        <v>6.5</v>
      </c>
      <c r="O172" s="45">
        <f t="shared" ref="O172:O177" si="34">K172-29.4</f>
        <v>4.6000000000000014</v>
      </c>
      <c r="P172" s="8">
        <f t="shared" ref="P172:P177" si="35">L172+N172+O172</f>
        <v>14.100000000000001</v>
      </c>
      <c r="Q172" s="8">
        <v>3.75</v>
      </c>
      <c r="R172" s="8">
        <v>1.296</v>
      </c>
      <c r="S172" s="8">
        <f>30*9</f>
        <v>270</v>
      </c>
      <c r="T172" s="40">
        <f>(P172*Q172*R172*S172)/1000</f>
        <v>18.502020000000005</v>
      </c>
      <c r="U172" s="128"/>
    </row>
    <row r="173" spans="2:21" ht="15.65" customHeight="1" thickBot="1" x14ac:dyDescent="0.3">
      <c r="C173" s="80" t="s">
        <v>77</v>
      </c>
      <c r="D173" s="81">
        <f>(D164+D165+D166+D167+D168+D169+D170+D171+D172)/9</f>
        <v>3</v>
      </c>
      <c r="G173" s="2" t="s">
        <v>24</v>
      </c>
      <c r="H173" s="41">
        <v>37</v>
      </c>
      <c r="I173" s="41">
        <v>8.1</v>
      </c>
      <c r="J173" s="71">
        <f t="shared" si="32"/>
        <v>4.05</v>
      </c>
      <c r="K173" s="71">
        <f t="shared" ref="K173:K177" si="36">H173-J173</f>
        <v>32.950000000000003</v>
      </c>
      <c r="L173" s="59">
        <f t="shared" ref="L173:L177" si="37">D$173</f>
        <v>3</v>
      </c>
      <c r="M173" s="45">
        <v>19</v>
      </c>
      <c r="N173" s="45">
        <f t="shared" si="33"/>
        <v>6.5</v>
      </c>
      <c r="O173" s="45">
        <f t="shared" si="34"/>
        <v>3.5500000000000043</v>
      </c>
      <c r="P173" s="8">
        <f t="shared" si="35"/>
        <v>13.050000000000004</v>
      </c>
      <c r="Q173" s="8">
        <v>3.75</v>
      </c>
      <c r="R173" s="8">
        <v>1.296</v>
      </c>
      <c r="S173" s="8">
        <f>31*9</f>
        <v>279</v>
      </c>
      <c r="T173" s="40">
        <f t="shared" ref="T173:T174" si="38">(P173*Q173*R173*S173)/1000</f>
        <v>17.695017000000007</v>
      </c>
      <c r="U173" s="128"/>
    </row>
    <row r="174" spans="2:21" ht="17.149999999999999" customHeight="1" x14ac:dyDescent="0.25">
      <c r="G174" s="2" t="s">
        <v>19</v>
      </c>
      <c r="H174" s="41">
        <v>35.9</v>
      </c>
      <c r="I174" s="41">
        <v>7.9</v>
      </c>
      <c r="J174" s="71">
        <f t="shared" si="32"/>
        <v>3.95</v>
      </c>
      <c r="K174" s="71">
        <f t="shared" si="36"/>
        <v>31.95</v>
      </c>
      <c r="L174" s="59">
        <f t="shared" si="37"/>
        <v>3</v>
      </c>
      <c r="M174" s="45">
        <v>19</v>
      </c>
      <c r="N174" s="45">
        <f t="shared" si="33"/>
        <v>6.5</v>
      </c>
      <c r="O174" s="45">
        <f t="shared" si="34"/>
        <v>2.5500000000000007</v>
      </c>
      <c r="P174" s="8">
        <f t="shared" si="35"/>
        <v>12.05</v>
      </c>
      <c r="Q174" s="8">
        <v>3.75</v>
      </c>
      <c r="R174" s="8">
        <v>1.296</v>
      </c>
      <c r="S174" s="8">
        <f>31*9</f>
        <v>279</v>
      </c>
      <c r="T174" s="40">
        <f t="shared" si="38"/>
        <v>16.339077</v>
      </c>
      <c r="U174" s="128"/>
    </row>
    <row r="175" spans="2:21" ht="17.5" customHeight="1" x14ac:dyDescent="0.25">
      <c r="G175" s="2" t="s">
        <v>20</v>
      </c>
      <c r="H175" s="41">
        <v>35</v>
      </c>
      <c r="I175" s="41">
        <v>7.7</v>
      </c>
      <c r="J175" s="71">
        <f t="shared" si="32"/>
        <v>3.85</v>
      </c>
      <c r="K175" s="71">
        <f t="shared" si="36"/>
        <v>31.15</v>
      </c>
      <c r="L175" s="59">
        <f t="shared" si="37"/>
        <v>3</v>
      </c>
      <c r="M175" s="45">
        <v>19</v>
      </c>
      <c r="N175" s="45">
        <f t="shared" si="33"/>
        <v>6.5</v>
      </c>
      <c r="O175" s="45">
        <f t="shared" si="34"/>
        <v>1.75</v>
      </c>
      <c r="P175" s="8">
        <f t="shared" si="35"/>
        <v>11.25</v>
      </c>
      <c r="Q175" s="8">
        <v>3.75</v>
      </c>
      <c r="R175" s="8">
        <v>1.296</v>
      </c>
      <c r="S175" s="8">
        <f>30*9</f>
        <v>270</v>
      </c>
      <c r="T175" s="40">
        <f>(P175*Q175*R175*S175)/1000</f>
        <v>14.762250000000002</v>
      </c>
      <c r="U175" s="128"/>
    </row>
    <row r="176" spans="2:21" ht="14.15" customHeight="1" x14ac:dyDescent="0.25">
      <c r="G176" s="2" t="s">
        <v>21</v>
      </c>
      <c r="H176" s="41">
        <v>34</v>
      </c>
      <c r="I176" s="41">
        <v>6.7</v>
      </c>
      <c r="J176" s="71">
        <f t="shared" si="32"/>
        <v>3.35</v>
      </c>
      <c r="K176" s="71">
        <f t="shared" si="36"/>
        <v>30.65</v>
      </c>
      <c r="L176" s="59">
        <f t="shared" si="37"/>
        <v>3</v>
      </c>
      <c r="M176" s="45">
        <v>19</v>
      </c>
      <c r="N176" s="45">
        <f t="shared" si="33"/>
        <v>6.5</v>
      </c>
      <c r="O176" s="45">
        <f t="shared" si="34"/>
        <v>1.25</v>
      </c>
      <c r="P176" s="8">
        <f t="shared" si="35"/>
        <v>10.75</v>
      </c>
      <c r="Q176" s="8">
        <v>3.75</v>
      </c>
      <c r="R176" s="8">
        <v>1.296</v>
      </c>
      <c r="S176" s="8">
        <f>31*9</f>
        <v>279</v>
      </c>
      <c r="T176" s="40">
        <f t="shared" ref="T176:T177" si="39">(P176*Q176*R176*S176)/1000</f>
        <v>14.576355000000001</v>
      </c>
      <c r="U176" s="128"/>
    </row>
    <row r="177" spans="7:21" ht="14.15" customHeight="1" x14ac:dyDescent="0.25">
      <c r="G177" s="2" t="s">
        <v>22</v>
      </c>
      <c r="H177" s="41">
        <v>31.2</v>
      </c>
      <c r="I177" s="41">
        <v>6.1</v>
      </c>
      <c r="J177" s="71">
        <f t="shared" si="32"/>
        <v>3.05</v>
      </c>
      <c r="K177" s="71">
        <f t="shared" si="36"/>
        <v>28.15</v>
      </c>
      <c r="L177" s="59">
        <f t="shared" si="37"/>
        <v>3</v>
      </c>
      <c r="M177" s="45">
        <v>19</v>
      </c>
      <c r="N177" s="45">
        <f t="shared" si="33"/>
        <v>6.5</v>
      </c>
      <c r="O177" s="45">
        <f t="shared" si="34"/>
        <v>-1.25</v>
      </c>
      <c r="P177" s="8">
        <f t="shared" si="35"/>
        <v>8.25</v>
      </c>
      <c r="Q177" s="8">
        <v>3.75</v>
      </c>
      <c r="R177" s="8">
        <v>1.296</v>
      </c>
      <c r="S177" s="8">
        <f>30*9</f>
        <v>270</v>
      </c>
      <c r="T177" s="40">
        <f t="shared" si="39"/>
        <v>10.82565</v>
      </c>
      <c r="U177" s="128"/>
    </row>
    <row r="178" spans="7:21" ht="20.5" customHeight="1" x14ac:dyDescent="0.25">
      <c r="G178" s="303" t="s">
        <v>188</v>
      </c>
      <c r="H178" s="304"/>
      <c r="I178" s="304"/>
      <c r="J178" s="304"/>
      <c r="K178" s="304"/>
      <c r="L178" s="304"/>
      <c r="M178" s="304"/>
      <c r="N178" s="304"/>
      <c r="O178" s="304"/>
      <c r="P178" s="304"/>
      <c r="Q178" s="304"/>
      <c r="R178" s="304"/>
      <c r="S178" s="304"/>
      <c r="T178" s="69">
        <f>SUM(T172:T177)</f>
        <v>92.700369000000023</v>
      </c>
      <c r="U178" s="128"/>
    </row>
    <row r="179" spans="7:21" ht="15" customHeight="1" x14ac:dyDescent="0.25">
      <c r="G179" s="2" t="s">
        <v>13</v>
      </c>
      <c r="H179" s="71">
        <v>38.4</v>
      </c>
      <c r="I179" s="71">
        <v>8.8000000000000007</v>
      </c>
      <c r="J179" s="71">
        <f t="shared" ref="J179:J184" si="40">I179/2</f>
        <v>4.4000000000000004</v>
      </c>
      <c r="K179" s="71">
        <f>H179-J179</f>
        <v>34</v>
      </c>
      <c r="L179" s="59">
        <f t="shared" ref="L179:L184" si="41">D$173</f>
        <v>3</v>
      </c>
      <c r="M179" s="45">
        <v>20</v>
      </c>
      <c r="N179" s="45">
        <f t="shared" ref="N179:N184" si="42">25.5-M179</f>
        <v>5.5</v>
      </c>
      <c r="O179" s="45">
        <f t="shared" ref="O179:O184" si="43">K179-29.4</f>
        <v>4.6000000000000014</v>
      </c>
      <c r="P179" s="8">
        <f t="shared" ref="P179:P184" si="44">L179+N179+O179</f>
        <v>13.100000000000001</v>
      </c>
      <c r="Q179" s="8">
        <v>3.75</v>
      </c>
      <c r="R179" s="8">
        <v>1.296</v>
      </c>
      <c r="S179" s="8">
        <f>30*9</f>
        <v>270</v>
      </c>
      <c r="T179" s="40">
        <f>(P179*Q179*R179*S179)/1000</f>
        <v>17.189820000000005</v>
      </c>
    </row>
    <row r="180" spans="7:21" ht="13" customHeight="1" x14ac:dyDescent="0.25">
      <c r="G180" s="2" t="s">
        <v>24</v>
      </c>
      <c r="H180" s="41">
        <v>37</v>
      </c>
      <c r="I180" s="41">
        <v>8.1</v>
      </c>
      <c r="J180" s="71">
        <f t="shared" si="40"/>
        <v>4.05</v>
      </c>
      <c r="K180" s="71">
        <f t="shared" ref="K180:K184" si="45">H180-J180</f>
        <v>32.950000000000003</v>
      </c>
      <c r="L180" s="59">
        <f t="shared" si="41"/>
        <v>3</v>
      </c>
      <c r="M180" s="45">
        <v>20</v>
      </c>
      <c r="N180" s="45">
        <f t="shared" si="42"/>
        <v>5.5</v>
      </c>
      <c r="O180" s="45">
        <f t="shared" si="43"/>
        <v>3.5500000000000043</v>
      </c>
      <c r="P180" s="8">
        <f t="shared" si="44"/>
        <v>12.050000000000004</v>
      </c>
      <c r="Q180" s="8">
        <v>3.75</v>
      </c>
      <c r="R180" s="8">
        <v>1.296</v>
      </c>
      <c r="S180" s="8">
        <f>31*9</f>
        <v>279</v>
      </c>
      <c r="T180" s="40">
        <f t="shared" ref="T180:T184" si="46">(P180*Q180*R180*S180)/1000</f>
        <v>16.339077000000007</v>
      </c>
    </row>
    <row r="181" spans="7:21" ht="15" customHeight="1" x14ac:dyDescent="0.25">
      <c r="G181" s="2" t="s">
        <v>19</v>
      </c>
      <c r="H181" s="41">
        <v>35.9</v>
      </c>
      <c r="I181" s="41">
        <v>7.9</v>
      </c>
      <c r="J181" s="71">
        <f t="shared" si="40"/>
        <v>3.95</v>
      </c>
      <c r="K181" s="71">
        <f t="shared" si="45"/>
        <v>31.95</v>
      </c>
      <c r="L181" s="59">
        <f t="shared" si="41"/>
        <v>3</v>
      </c>
      <c r="M181" s="45">
        <v>20</v>
      </c>
      <c r="N181" s="45">
        <f t="shared" si="42"/>
        <v>5.5</v>
      </c>
      <c r="O181" s="45">
        <f t="shared" si="43"/>
        <v>2.5500000000000007</v>
      </c>
      <c r="P181" s="8">
        <f t="shared" si="44"/>
        <v>11.05</v>
      </c>
      <c r="Q181" s="8">
        <v>3.75</v>
      </c>
      <c r="R181" s="8">
        <v>1.296</v>
      </c>
      <c r="S181" s="8">
        <f>31*9</f>
        <v>279</v>
      </c>
      <c r="T181" s="40">
        <f t="shared" si="46"/>
        <v>14.983137000000001</v>
      </c>
    </row>
    <row r="182" spans="7:21" ht="12" customHeight="1" x14ac:dyDescent="0.25">
      <c r="G182" s="2" t="s">
        <v>20</v>
      </c>
      <c r="H182" s="41">
        <v>35</v>
      </c>
      <c r="I182" s="41">
        <v>7.7</v>
      </c>
      <c r="J182" s="71">
        <f t="shared" si="40"/>
        <v>3.85</v>
      </c>
      <c r="K182" s="71">
        <f t="shared" si="45"/>
        <v>31.15</v>
      </c>
      <c r="L182" s="59">
        <f t="shared" si="41"/>
        <v>3</v>
      </c>
      <c r="M182" s="45">
        <v>20</v>
      </c>
      <c r="N182" s="45">
        <f t="shared" si="42"/>
        <v>5.5</v>
      </c>
      <c r="O182" s="45">
        <f t="shared" si="43"/>
        <v>1.75</v>
      </c>
      <c r="P182" s="8">
        <f t="shared" si="44"/>
        <v>10.25</v>
      </c>
      <c r="Q182" s="8">
        <v>3.75</v>
      </c>
      <c r="R182" s="8">
        <v>1.296</v>
      </c>
      <c r="S182" s="8">
        <f>30*9</f>
        <v>270</v>
      </c>
      <c r="T182" s="40">
        <f>(P182*Q182*R182*S182)/1000</f>
        <v>13.450050000000001</v>
      </c>
    </row>
    <row r="183" spans="7:21" ht="14.15" customHeight="1" x14ac:dyDescent="0.25">
      <c r="G183" s="2" t="s">
        <v>21</v>
      </c>
      <c r="H183" s="41">
        <v>34</v>
      </c>
      <c r="I183" s="41">
        <v>6.7</v>
      </c>
      <c r="J183" s="71">
        <f t="shared" si="40"/>
        <v>3.35</v>
      </c>
      <c r="K183" s="71">
        <f t="shared" si="45"/>
        <v>30.65</v>
      </c>
      <c r="L183" s="59">
        <f t="shared" si="41"/>
        <v>3</v>
      </c>
      <c r="M183" s="45">
        <v>20</v>
      </c>
      <c r="N183" s="45">
        <f t="shared" si="42"/>
        <v>5.5</v>
      </c>
      <c r="O183" s="45">
        <f t="shared" si="43"/>
        <v>1.25</v>
      </c>
      <c r="P183" s="8">
        <f t="shared" si="44"/>
        <v>9.75</v>
      </c>
      <c r="Q183" s="8">
        <v>3.75</v>
      </c>
      <c r="R183" s="8">
        <v>1.296</v>
      </c>
      <c r="S183" s="8">
        <f>31*9</f>
        <v>279</v>
      </c>
      <c r="T183" s="40">
        <f t="shared" si="46"/>
        <v>13.220414999999999</v>
      </c>
    </row>
    <row r="184" spans="7:21" ht="13.5" customHeight="1" x14ac:dyDescent="0.25">
      <c r="G184" s="2" t="s">
        <v>22</v>
      </c>
      <c r="H184" s="41">
        <v>31.2</v>
      </c>
      <c r="I184" s="41">
        <v>6.1</v>
      </c>
      <c r="J184" s="71">
        <f t="shared" si="40"/>
        <v>3.05</v>
      </c>
      <c r="K184" s="71">
        <f t="shared" si="45"/>
        <v>28.15</v>
      </c>
      <c r="L184" s="59">
        <f t="shared" si="41"/>
        <v>3</v>
      </c>
      <c r="M184" s="45">
        <v>20</v>
      </c>
      <c r="N184" s="45">
        <f t="shared" si="42"/>
        <v>5.5</v>
      </c>
      <c r="O184" s="45">
        <f t="shared" si="43"/>
        <v>-1.25</v>
      </c>
      <c r="P184" s="8">
        <f t="shared" si="44"/>
        <v>7.25</v>
      </c>
      <c r="Q184" s="8">
        <v>3.75</v>
      </c>
      <c r="R184" s="8">
        <v>1.296</v>
      </c>
      <c r="S184" s="8">
        <f>30*9</f>
        <v>270</v>
      </c>
      <c r="T184" s="40">
        <f t="shared" si="46"/>
        <v>9.5134500000000006</v>
      </c>
    </row>
    <row r="185" spans="7:21" ht="20.149999999999999" customHeight="1" x14ac:dyDescent="0.25">
      <c r="G185" s="303" t="s">
        <v>175</v>
      </c>
      <c r="H185" s="304"/>
      <c r="I185" s="304"/>
      <c r="J185" s="304"/>
      <c r="K185" s="304"/>
      <c r="L185" s="304"/>
      <c r="M185" s="304"/>
      <c r="N185" s="304"/>
      <c r="O185" s="304"/>
      <c r="P185" s="304"/>
      <c r="Q185" s="304"/>
      <c r="R185" s="304"/>
      <c r="S185" s="304"/>
      <c r="T185" s="69">
        <f>SUM(T179:T184)</f>
        <v>84.695949000000027</v>
      </c>
      <c r="U185" s="105"/>
    </row>
    <row r="186" spans="7:21" ht="13.5" customHeight="1" x14ac:dyDescent="0.25">
      <c r="G186" s="2" t="s">
        <v>13</v>
      </c>
      <c r="H186" s="71">
        <v>38.4</v>
      </c>
      <c r="I186" s="71">
        <v>8.8000000000000007</v>
      </c>
      <c r="J186" s="71">
        <f t="shared" ref="J186:J191" si="47">I186/2</f>
        <v>4.4000000000000004</v>
      </c>
      <c r="K186" s="71">
        <f>H186-J186</f>
        <v>34</v>
      </c>
      <c r="L186" s="59">
        <f t="shared" ref="L186:L191" si="48">D$173</f>
        <v>3</v>
      </c>
      <c r="M186" s="45">
        <v>21</v>
      </c>
      <c r="N186" s="45">
        <f t="shared" ref="N186:N191" si="49">25.5-M186</f>
        <v>4.5</v>
      </c>
      <c r="O186" s="45">
        <f t="shared" ref="O186:O191" si="50">K186-29.4</f>
        <v>4.6000000000000014</v>
      </c>
      <c r="P186" s="8">
        <f t="shared" ref="P186:P191" si="51">L186+N186+O186</f>
        <v>12.100000000000001</v>
      </c>
      <c r="Q186" s="8">
        <v>3.75</v>
      </c>
      <c r="R186" s="8">
        <v>1.296</v>
      </c>
      <c r="S186" s="8">
        <f>30*9</f>
        <v>270</v>
      </c>
      <c r="T186" s="40">
        <f t="shared" ref="T186:T191" si="52">(P186*Q186*R186*S186)/1000</f>
        <v>15.877620000000002</v>
      </c>
    </row>
    <row r="187" spans="7:21" ht="13.5" customHeight="1" x14ac:dyDescent="0.25">
      <c r="G187" s="2" t="s">
        <v>24</v>
      </c>
      <c r="H187" s="41">
        <v>37</v>
      </c>
      <c r="I187" s="41">
        <v>8.1</v>
      </c>
      <c r="J187" s="71">
        <f t="shared" si="47"/>
        <v>4.05</v>
      </c>
      <c r="K187" s="71">
        <f t="shared" ref="K187:K191" si="53">H187-J187</f>
        <v>32.950000000000003</v>
      </c>
      <c r="L187" s="59">
        <f t="shared" si="48"/>
        <v>3</v>
      </c>
      <c r="M187" s="45">
        <v>21</v>
      </c>
      <c r="N187" s="45">
        <f t="shared" si="49"/>
        <v>4.5</v>
      </c>
      <c r="O187" s="45">
        <f t="shared" si="50"/>
        <v>3.5500000000000043</v>
      </c>
      <c r="P187" s="8">
        <f t="shared" si="51"/>
        <v>11.050000000000004</v>
      </c>
      <c r="Q187" s="8">
        <v>3.75</v>
      </c>
      <c r="R187" s="8">
        <v>1.296</v>
      </c>
      <c r="S187" s="8">
        <f>31*9</f>
        <v>279</v>
      </c>
      <c r="T187" s="40">
        <f t="shared" si="52"/>
        <v>14.983137000000005</v>
      </c>
    </row>
    <row r="188" spans="7:21" ht="13.5" customHeight="1" x14ac:dyDescent="0.25">
      <c r="G188" s="2" t="s">
        <v>19</v>
      </c>
      <c r="H188" s="41">
        <v>35.9</v>
      </c>
      <c r="I188" s="41">
        <v>7.9</v>
      </c>
      <c r="J188" s="71">
        <f t="shared" si="47"/>
        <v>3.95</v>
      </c>
      <c r="K188" s="71">
        <f t="shared" si="53"/>
        <v>31.95</v>
      </c>
      <c r="L188" s="59">
        <f t="shared" si="48"/>
        <v>3</v>
      </c>
      <c r="M188" s="45">
        <v>21</v>
      </c>
      <c r="N188" s="45">
        <f t="shared" si="49"/>
        <v>4.5</v>
      </c>
      <c r="O188" s="45">
        <f t="shared" si="50"/>
        <v>2.5500000000000007</v>
      </c>
      <c r="P188" s="8">
        <f t="shared" si="51"/>
        <v>10.050000000000001</v>
      </c>
      <c r="Q188" s="8">
        <v>3.75</v>
      </c>
      <c r="R188" s="8">
        <v>1.296</v>
      </c>
      <c r="S188" s="8">
        <f>31*9</f>
        <v>279</v>
      </c>
      <c r="T188" s="40">
        <f t="shared" si="52"/>
        <v>13.627197000000001</v>
      </c>
    </row>
    <row r="189" spans="7:21" ht="13.5" customHeight="1" x14ac:dyDescent="0.25">
      <c r="G189" s="2" t="s">
        <v>20</v>
      </c>
      <c r="H189" s="41">
        <v>35</v>
      </c>
      <c r="I189" s="41">
        <v>7.7</v>
      </c>
      <c r="J189" s="71">
        <f t="shared" si="47"/>
        <v>3.85</v>
      </c>
      <c r="K189" s="71">
        <f t="shared" si="53"/>
        <v>31.15</v>
      </c>
      <c r="L189" s="59">
        <f t="shared" si="48"/>
        <v>3</v>
      </c>
      <c r="M189" s="45">
        <v>21</v>
      </c>
      <c r="N189" s="45">
        <f t="shared" si="49"/>
        <v>4.5</v>
      </c>
      <c r="O189" s="45">
        <f t="shared" si="50"/>
        <v>1.75</v>
      </c>
      <c r="P189" s="8">
        <f t="shared" si="51"/>
        <v>9.25</v>
      </c>
      <c r="Q189" s="8">
        <v>3.75</v>
      </c>
      <c r="R189" s="8">
        <v>1.296</v>
      </c>
      <c r="S189" s="8">
        <f>30*9</f>
        <v>270</v>
      </c>
      <c r="T189" s="40">
        <f t="shared" si="52"/>
        <v>12.13785</v>
      </c>
    </row>
    <row r="190" spans="7:21" ht="13.5" customHeight="1" x14ac:dyDescent="0.25">
      <c r="G190" s="2" t="s">
        <v>21</v>
      </c>
      <c r="H190" s="41">
        <v>34</v>
      </c>
      <c r="I190" s="41">
        <v>6.7</v>
      </c>
      <c r="J190" s="71">
        <f t="shared" si="47"/>
        <v>3.35</v>
      </c>
      <c r="K190" s="71">
        <f t="shared" si="53"/>
        <v>30.65</v>
      </c>
      <c r="L190" s="59">
        <f t="shared" si="48"/>
        <v>3</v>
      </c>
      <c r="M190" s="45">
        <v>21</v>
      </c>
      <c r="N190" s="45">
        <f t="shared" si="49"/>
        <v>4.5</v>
      </c>
      <c r="O190" s="45">
        <f t="shared" si="50"/>
        <v>1.25</v>
      </c>
      <c r="P190" s="8">
        <f t="shared" si="51"/>
        <v>8.75</v>
      </c>
      <c r="Q190" s="8">
        <v>3.75</v>
      </c>
      <c r="R190" s="8">
        <v>1.296</v>
      </c>
      <c r="S190" s="8">
        <f>31*9</f>
        <v>279</v>
      </c>
      <c r="T190" s="40">
        <f t="shared" si="52"/>
        <v>11.864475000000001</v>
      </c>
    </row>
    <row r="191" spans="7:21" ht="13.5" customHeight="1" x14ac:dyDescent="0.25">
      <c r="G191" s="2" t="s">
        <v>22</v>
      </c>
      <c r="H191" s="41">
        <v>31.2</v>
      </c>
      <c r="I191" s="41">
        <v>6.1</v>
      </c>
      <c r="J191" s="71">
        <f t="shared" si="47"/>
        <v>3.05</v>
      </c>
      <c r="K191" s="71">
        <f t="shared" si="53"/>
        <v>28.15</v>
      </c>
      <c r="L191" s="59">
        <f t="shared" si="48"/>
        <v>3</v>
      </c>
      <c r="M191" s="45">
        <v>21</v>
      </c>
      <c r="N191" s="45">
        <f t="shared" si="49"/>
        <v>4.5</v>
      </c>
      <c r="O191" s="45">
        <f t="shared" si="50"/>
        <v>-1.25</v>
      </c>
      <c r="P191" s="8">
        <f t="shared" si="51"/>
        <v>6.25</v>
      </c>
      <c r="Q191" s="8">
        <v>3.75</v>
      </c>
      <c r="R191" s="8">
        <v>1.296</v>
      </c>
      <c r="S191" s="8">
        <f>30*9</f>
        <v>270</v>
      </c>
      <c r="T191" s="40">
        <f t="shared" si="52"/>
        <v>8.2012499999999999</v>
      </c>
    </row>
    <row r="192" spans="7:21" ht="18.649999999999999" customHeight="1" x14ac:dyDescent="0.25">
      <c r="G192" s="303" t="s">
        <v>176</v>
      </c>
      <c r="H192" s="304"/>
      <c r="I192" s="304"/>
      <c r="J192" s="304"/>
      <c r="K192" s="304"/>
      <c r="L192" s="304"/>
      <c r="M192" s="304"/>
      <c r="N192" s="304"/>
      <c r="O192" s="304"/>
      <c r="P192" s="304"/>
      <c r="Q192" s="304"/>
      <c r="R192" s="304"/>
      <c r="S192" s="304"/>
      <c r="T192" s="69">
        <f>SUM(T186:T191)</f>
        <v>76.691529000000017</v>
      </c>
      <c r="U192" s="105"/>
    </row>
    <row r="193" spans="7:21" ht="14.5" customHeight="1" x14ac:dyDescent="0.25">
      <c r="G193" s="2" t="s">
        <v>13</v>
      </c>
      <c r="H193" s="71">
        <v>38.4</v>
      </c>
      <c r="I193" s="71">
        <v>8.8000000000000007</v>
      </c>
      <c r="J193" s="71">
        <f t="shared" ref="J193:J198" si="54">I193/2</f>
        <v>4.4000000000000004</v>
      </c>
      <c r="K193" s="71">
        <f t="shared" ref="K193:K198" si="55">H193-J193</f>
        <v>34</v>
      </c>
      <c r="L193" s="59">
        <f>D173</f>
        <v>3</v>
      </c>
      <c r="M193" s="45">
        <v>22</v>
      </c>
      <c r="N193" s="45">
        <f t="shared" ref="N193:N198" si="56">25.5-M193</f>
        <v>3.5</v>
      </c>
      <c r="O193" s="45">
        <f t="shared" ref="O193:O198" si="57">K193-29.4</f>
        <v>4.6000000000000014</v>
      </c>
      <c r="P193" s="8">
        <f t="shared" ref="P193:P198" si="58">L193+N193+O193</f>
        <v>11.100000000000001</v>
      </c>
      <c r="Q193" s="8">
        <v>3.75</v>
      </c>
      <c r="R193" s="8">
        <v>1.296</v>
      </c>
      <c r="S193" s="8">
        <f>30*9</f>
        <v>270</v>
      </c>
      <c r="T193" s="40">
        <f t="shared" ref="T193:T198" si="59">(P193*Q193*R193*S193)/1000</f>
        <v>14.565420000000003</v>
      </c>
    </row>
    <row r="194" spans="7:21" ht="14" x14ac:dyDescent="0.25">
      <c r="G194" s="2" t="s">
        <v>24</v>
      </c>
      <c r="H194" s="41">
        <v>37</v>
      </c>
      <c r="I194" s="41">
        <v>8.1</v>
      </c>
      <c r="J194" s="71">
        <f t="shared" si="54"/>
        <v>4.05</v>
      </c>
      <c r="K194" s="71">
        <f t="shared" si="55"/>
        <v>32.950000000000003</v>
      </c>
      <c r="L194" s="59">
        <f>D173</f>
        <v>3</v>
      </c>
      <c r="M194" s="45">
        <v>22</v>
      </c>
      <c r="N194" s="45">
        <f t="shared" si="56"/>
        <v>3.5</v>
      </c>
      <c r="O194" s="45">
        <f t="shared" si="57"/>
        <v>3.5500000000000043</v>
      </c>
      <c r="P194" s="8">
        <f t="shared" si="58"/>
        <v>10.050000000000004</v>
      </c>
      <c r="Q194" s="8">
        <v>3.75</v>
      </c>
      <c r="R194" s="8">
        <v>1.296</v>
      </c>
      <c r="S194" s="8">
        <f>31*9</f>
        <v>279</v>
      </c>
      <c r="T194" s="40">
        <f t="shared" si="59"/>
        <v>13.627197000000006</v>
      </c>
    </row>
    <row r="195" spans="7:21" ht="14" x14ac:dyDescent="0.25">
      <c r="G195" s="2" t="s">
        <v>19</v>
      </c>
      <c r="H195" s="41">
        <v>35.9</v>
      </c>
      <c r="I195" s="41">
        <v>7.9</v>
      </c>
      <c r="J195" s="71">
        <f t="shared" si="54"/>
        <v>3.95</v>
      </c>
      <c r="K195" s="71">
        <f t="shared" si="55"/>
        <v>31.95</v>
      </c>
      <c r="L195" s="59">
        <f>D173</f>
        <v>3</v>
      </c>
      <c r="M195" s="45">
        <v>22</v>
      </c>
      <c r="N195" s="45">
        <f t="shared" si="56"/>
        <v>3.5</v>
      </c>
      <c r="O195" s="45">
        <f t="shared" si="57"/>
        <v>2.5500000000000007</v>
      </c>
      <c r="P195" s="8">
        <f t="shared" si="58"/>
        <v>9.0500000000000007</v>
      </c>
      <c r="Q195" s="8">
        <v>3.75</v>
      </c>
      <c r="R195" s="8">
        <v>1.296</v>
      </c>
      <c r="S195" s="8">
        <f>31*9</f>
        <v>279</v>
      </c>
      <c r="T195" s="40">
        <f t="shared" si="59"/>
        <v>12.271257000000002</v>
      </c>
    </row>
    <row r="196" spans="7:21" ht="14" x14ac:dyDescent="0.25">
      <c r="G196" s="2" t="s">
        <v>20</v>
      </c>
      <c r="H196" s="41">
        <v>35</v>
      </c>
      <c r="I196" s="41">
        <v>7.7</v>
      </c>
      <c r="J196" s="71">
        <f t="shared" si="54"/>
        <v>3.85</v>
      </c>
      <c r="K196" s="71">
        <f t="shared" si="55"/>
        <v>31.15</v>
      </c>
      <c r="L196" s="59">
        <f>D173</f>
        <v>3</v>
      </c>
      <c r="M196" s="45">
        <v>22</v>
      </c>
      <c r="N196" s="45">
        <f t="shared" si="56"/>
        <v>3.5</v>
      </c>
      <c r="O196" s="45">
        <f t="shared" si="57"/>
        <v>1.75</v>
      </c>
      <c r="P196" s="8">
        <f t="shared" si="58"/>
        <v>8.25</v>
      </c>
      <c r="Q196" s="8">
        <v>3.75</v>
      </c>
      <c r="R196" s="8">
        <v>1.296</v>
      </c>
      <c r="S196" s="8">
        <f>30*9</f>
        <v>270</v>
      </c>
      <c r="T196" s="40">
        <f t="shared" si="59"/>
        <v>10.82565</v>
      </c>
    </row>
    <row r="197" spans="7:21" ht="14" x14ac:dyDescent="0.25">
      <c r="G197" s="2" t="s">
        <v>21</v>
      </c>
      <c r="H197" s="41">
        <v>34</v>
      </c>
      <c r="I197" s="41">
        <v>6.7</v>
      </c>
      <c r="J197" s="71">
        <f t="shared" si="54"/>
        <v>3.35</v>
      </c>
      <c r="K197" s="71">
        <f t="shared" si="55"/>
        <v>30.65</v>
      </c>
      <c r="L197" s="59">
        <f>D173</f>
        <v>3</v>
      </c>
      <c r="M197" s="45">
        <v>22</v>
      </c>
      <c r="N197" s="45">
        <f t="shared" si="56"/>
        <v>3.5</v>
      </c>
      <c r="O197" s="45">
        <f t="shared" si="57"/>
        <v>1.25</v>
      </c>
      <c r="P197" s="8">
        <f t="shared" si="58"/>
        <v>7.75</v>
      </c>
      <c r="Q197" s="8">
        <v>3.75</v>
      </c>
      <c r="R197" s="8">
        <v>1.296</v>
      </c>
      <c r="S197" s="8">
        <f>31*9</f>
        <v>279</v>
      </c>
      <c r="T197" s="40">
        <f t="shared" si="59"/>
        <v>10.508535</v>
      </c>
    </row>
    <row r="198" spans="7:21" ht="14" x14ac:dyDescent="0.25">
      <c r="G198" s="2" t="s">
        <v>22</v>
      </c>
      <c r="H198" s="41">
        <v>31.2</v>
      </c>
      <c r="I198" s="41">
        <v>6.1</v>
      </c>
      <c r="J198" s="71">
        <f t="shared" si="54"/>
        <v>3.05</v>
      </c>
      <c r="K198" s="71">
        <f t="shared" si="55"/>
        <v>28.15</v>
      </c>
      <c r="L198" s="59">
        <f>D173</f>
        <v>3</v>
      </c>
      <c r="M198" s="45">
        <v>22</v>
      </c>
      <c r="N198" s="45">
        <f t="shared" si="56"/>
        <v>3.5</v>
      </c>
      <c r="O198" s="45">
        <f t="shared" si="57"/>
        <v>-1.25</v>
      </c>
      <c r="P198" s="8">
        <f t="shared" si="58"/>
        <v>5.25</v>
      </c>
      <c r="Q198" s="8">
        <v>3.75</v>
      </c>
      <c r="R198" s="8">
        <v>1.296</v>
      </c>
      <c r="S198" s="8">
        <f>30*9</f>
        <v>270</v>
      </c>
      <c r="T198" s="40">
        <f t="shared" si="59"/>
        <v>6.8890500000000001</v>
      </c>
    </row>
    <row r="199" spans="7:21" ht="20.149999999999999" customHeight="1" x14ac:dyDescent="0.25">
      <c r="G199" s="303" t="s">
        <v>146</v>
      </c>
      <c r="H199" s="304"/>
      <c r="I199" s="304"/>
      <c r="J199" s="304"/>
      <c r="K199" s="304"/>
      <c r="L199" s="304"/>
      <c r="M199" s="304"/>
      <c r="N199" s="304"/>
      <c r="O199" s="304"/>
      <c r="P199" s="304"/>
      <c r="Q199" s="304"/>
      <c r="R199" s="304"/>
      <c r="S199" s="304"/>
      <c r="T199" s="69">
        <f>SUM(T193:T198)</f>
        <v>68.687109000000021</v>
      </c>
      <c r="U199" s="105"/>
    </row>
    <row r="200" spans="7:21" ht="14" x14ac:dyDescent="0.25">
      <c r="G200" s="2" t="s">
        <v>13</v>
      </c>
      <c r="H200" s="71">
        <v>38.4</v>
      </c>
      <c r="I200" s="121">
        <v>8.8000000000000007</v>
      </c>
      <c r="J200" s="71">
        <f t="shared" ref="J200:J205" si="60">I200/2</f>
        <v>4.4000000000000004</v>
      </c>
      <c r="K200" s="71">
        <f t="shared" ref="K200:K205" si="61">H200-J200</f>
        <v>34</v>
      </c>
      <c r="L200" s="59">
        <f>D173</f>
        <v>3</v>
      </c>
      <c r="M200" s="45">
        <v>23</v>
      </c>
      <c r="N200" s="45">
        <f t="shared" ref="N200:N205" si="62">25.5-M200</f>
        <v>2.5</v>
      </c>
      <c r="O200" s="45">
        <f t="shared" ref="O200:O205" si="63">K200-29.4</f>
        <v>4.6000000000000014</v>
      </c>
      <c r="P200" s="8">
        <f t="shared" ref="P200:P205" si="64">L200+N200+O200</f>
        <v>10.100000000000001</v>
      </c>
      <c r="Q200" s="8">
        <v>3.75</v>
      </c>
      <c r="R200" s="8">
        <v>1.296</v>
      </c>
      <c r="S200" s="8">
        <f>30*9</f>
        <v>270</v>
      </c>
      <c r="T200" s="40">
        <f>(P200*Q200*R200*S200)/1000</f>
        <v>13.253220000000002</v>
      </c>
    </row>
    <row r="201" spans="7:21" ht="14" x14ac:dyDescent="0.25">
      <c r="G201" s="2" t="s">
        <v>24</v>
      </c>
      <c r="H201" s="41">
        <v>37</v>
      </c>
      <c r="I201" s="41">
        <v>8.1</v>
      </c>
      <c r="J201" s="71">
        <f t="shared" si="60"/>
        <v>4.05</v>
      </c>
      <c r="K201" s="71">
        <f t="shared" si="61"/>
        <v>32.950000000000003</v>
      </c>
      <c r="L201" s="59">
        <f>D173</f>
        <v>3</v>
      </c>
      <c r="M201" s="45">
        <v>23</v>
      </c>
      <c r="N201" s="45">
        <f t="shared" si="62"/>
        <v>2.5</v>
      </c>
      <c r="O201" s="45">
        <f t="shared" si="63"/>
        <v>3.5500000000000043</v>
      </c>
      <c r="P201" s="8">
        <f t="shared" si="64"/>
        <v>9.0500000000000043</v>
      </c>
      <c r="Q201" s="8">
        <v>3.75</v>
      </c>
      <c r="R201" s="8">
        <v>1.296</v>
      </c>
      <c r="S201" s="8">
        <f>31*9</f>
        <v>279</v>
      </c>
      <c r="T201" s="40">
        <f>(P201*Q201*R201*S201)/1000</f>
        <v>12.271257000000006</v>
      </c>
    </row>
    <row r="202" spans="7:21" ht="14" x14ac:dyDescent="0.25">
      <c r="G202" s="2" t="s">
        <v>19</v>
      </c>
      <c r="H202" s="41">
        <v>35.9</v>
      </c>
      <c r="I202" s="41">
        <v>7.9</v>
      </c>
      <c r="J202" s="71">
        <f t="shared" si="60"/>
        <v>3.95</v>
      </c>
      <c r="K202" s="71">
        <f t="shared" si="61"/>
        <v>31.95</v>
      </c>
      <c r="L202" s="59">
        <f>D173</f>
        <v>3</v>
      </c>
      <c r="M202" s="45">
        <v>23</v>
      </c>
      <c r="N202" s="45">
        <f t="shared" si="62"/>
        <v>2.5</v>
      </c>
      <c r="O202" s="45">
        <f t="shared" si="63"/>
        <v>2.5500000000000007</v>
      </c>
      <c r="P202" s="8">
        <f t="shared" si="64"/>
        <v>8.0500000000000007</v>
      </c>
      <c r="Q202" s="8">
        <v>3.75</v>
      </c>
      <c r="R202" s="8">
        <v>1.296</v>
      </c>
      <c r="S202" s="8">
        <f>31*9</f>
        <v>279</v>
      </c>
      <c r="T202" s="40">
        <f t="shared" ref="T202:T205" si="65">(P202*Q202*R202*S202)/1000</f>
        <v>10.915317000000002</v>
      </c>
    </row>
    <row r="203" spans="7:21" ht="14" x14ac:dyDescent="0.25">
      <c r="G203" s="2" t="s">
        <v>20</v>
      </c>
      <c r="H203" s="41">
        <v>35</v>
      </c>
      <c r="I203" s="41">
        <v>7.7</v>
      </c>
      <c r="J203" s="71">
        <f t="shared" si="60"/>
        <v>3.85</v>
      </c>
      <c r="K203" s="71">
        <f t="shared" si="61"/>
        <v>31.15</v>
      </c>
      <c r="L203" s="59">
        <f>D173</f>
        <v>3</v>
      </c>
      <c r="M203" s="45">
        <v>23</v>
      </c>
      <c r="N203" s="45">
        <f t="shared" si="62"/>
        <v>2.5</v>
      </c>
      <c r="O203" s="45">
        <f t="shared" si="63"/>
        <v>1.75</v>
      </c>
      <c r="P203" s="8">
        <f t="shared" si="64"/>
        <v>7.25</v>
      </c>
      <c r="Q203" s="8">
        <v>3.75</v>
      </c>
      <c r="R203" s="8">
        <v>1.296</v>
      </c>
      <c r="S203" s="8">
        <f>30*9</f>
        <v>270</v>
      </c>
      <c r="T203" s="40">
        <f t="shared" si="65"/>
        <v>9.5134500000000006</v>
      </c>
    </row>
    <row r="204" spans="7:21" ht="14" x14ac:dyDescent="0.25">
      <c r="G204" s="2" t="s">
        <v>21</v>
      </c>
      <c r="H204" s="41">
        <v>34</v>
      </c>
      <c r="I204" s="41">
        <v>6.7</v>
      </c>
      <c r="J204" s="71">
        <f t="shared" si="60"/>
        <v>3.35</v>
      </c>
      <c r="K204" s="71">
        <f t="shared" si="61"/>
        <v>30.65</v>
      </c>
      <c r="L204" s="59">
        <f>D173</f>
        <v>3</v>
      </c>
      <c r="M204" s="45">
        <v>23</v>
      </c>
      <c r="N204" s="45">
        <f t="shared" si="62"/>
        <v>2.5</v>
      </c>
      <c r="O204" s="45">
        <f t="shared" si="63"/>
        <v>1.25</v>
      </c>
      <c r="P204" s="8">
        <f t="shared" si="64"/>
        <v>6.75</v>
      </c>
      <c r="Q204" s="8">
        <v>3.75</v>
      </c>
      <c r="R204" s="8">
        <v>1.296</v>
      </c>
      <c r="S204" s="8">
        <f>31*9</f>
        <v>279</v>
      </c>
      <c r="T204" s="40">
        <f t="shared" si="65"/>
        <v>9.1525949999999998</v>
      </c>
    </row>
    <row r="205" spans="7:21" ht="14" x14ac:dyDescent="0.25">
      <c r="G205" s="2" t="s">
        <v>22</v>
      </c>
      <c r="H205" s="41">
        <v>31.2</v>
      </c>
      <c r="I205" s="41">
        <v>6.1</v>
      </c>
      <c r="J205" s="71">
        <f t="shared" si="60"/>
        <v>3.05</v>
      </c>
      <c r="K205" s="71">
        <f t="shared" si="61"/>
        <v>28.15</v>
      </c>
      <c r="L205" s="59">
        <f>D173</f>
        <v>3</v>
      </c>
      <c r="M205" s="45">
        <v>23</v>
      </c>
      <c r="N205" s="45">
        <f t="shared" si="62"/>
        <v>2.5</v>
      </c>
      <c r="O205" s="45">
        <f t="shared" si="63"/>
        <v>-1.25</v>
      </c>
      <c r="P205" s="8">
        <f t="shared" si="64"/>
        <v>4.25</v>
      </c>
      <c r="Q205" s="8">
        <v>3.75</v>
      </c>
      <c r="R205" s="8">
        <v>1.296</v>
      </c>
      <c r="S205" s="8">
        <f>31*9</f>
        <v>279</v>
      </c>
      <c r="T205" s="40">
        <f t="shared" si="65"/>
        <v>5.7627449999999998</v>
      </c>
    </row>
    <row r="206" spans="7:21" ht="15" x14ac:dyDescent="0.25">
      <c r="G206" s="303" t="s">
        <v>147</v>
      </c>
      <c r="H206" s="304"/>
      <c r="I206" s="304"/>
      <c r="J206" s="304"/>
      <c r="K206" s="304"/>
      <c r="L206" s="304"/>
      <c r="M206" s="304"/>
      <c r="N206" s="304"/>
      <c r="O206" s="304"/>
      <c r="P206" s="304"/>
      <c r="Q206" s="304"/>
      <c r="R206" s="304"/>
      <c r="S206" s="304"/>
      <c r="T206" s="69">
        <f>SUM(T200:T205)</f>
        <v>60.868584000000006</v>
      </c>
      <c r="U206" s="105"/>
    </row>
    <row r="207" spans="7:21" ht="14" x14ac:dyDescent="0.25">
      <c r="G207" s="2" t="s">
        <v>13</v>
      </c>
      <c r="H207" s="71">
        <v>38.4</v>
      </c>
      <c r="I207" s="121">
        <v>8.8000000000000007</v>
      </c>
      <c r="J207" s="71">
        <f>I207/2</f>
        <v>4.4000000000000004</v>
      </c>
      <c r="K207" s="71">
        <f>H207-J207</f>
        <v>34</v>
      </c>
      <c r="L207" s="59">
        <f>D173</f>
        <v>3</v>
      </c>
      <c r="M207" s="45">
        <v>24</v>
      </c>
      <c r="N207" s="72">
        <f t="shared" ref="N207:N212" si="66">25.5-M207</f>
        <v>1.5</v>
      </c>
      <c r="O207" s="72">
        <f t="shared" ref="O207:O212" si="67">K207-29.4</f>
        <v>4.6000000000000014</v>
      </c>
      <c r="P207" s="8">
        <f t="shared" ref="P207:P212" si="68">L207+N207+O207</f>
        <v>9.1000000000000014</v>
      </c>
      <c r="Q207" s="8">
        <v>3.75</v>
      </c>
      <c r="R207" s="8">
        <v>1.296</v>
      </c>
      <c r="S207" s="8">
        <v>270</v>
      </c>
      <c r="T207" s="40">
        <f t="shared" ref="T207:T212" si="69">(P207*Q207*R207*S207)/1000</f>
        <v>11.941020000000004</v>
      </c>
    </row>
    <row r="208" spans="7:21" ht="14" x14ac:dyDescent="0.25">
      <c r="G208" s="2" t="s">
        <v>24</v>
      </c>
      <c r="H208" s="41">
        <v>37</v>
      </c>
      <c r="I208" s="41">
        <v>8.1</v>
      </c>
      <c r="J208" s="71">
        <f t="shared" ref="J208:J212" si="70">I208/2</f>
        <v>4.05</v>
      </c>
      <c r="K208" s="71">
        <f t="shared" ref="K208:K212" si="71">H208-J208</f>
        <v>32.950000000000003</v>
      </c>
      <c r="L208" s="59">
        <f>D173</f>
        <v>3</v>
      </c>
      <c r="M208" s="45">
        <v>24</v>
      </c>
      <c r="N208" s="72">
        <f t="shared" si="66"/>
        <v>1.5</v>
      </c>
      <c r="O208" s="72">
        <f t="shared" si="67"/>
        <v>3.5500000000000043</v>
      </c>
      <c r="P208" s="8">
        <f t="shared" si="68"/>
        <v>8.0500000000000043</v>
      </c>
      <c r="Q208" s="8">
        <v>3.75</v>
      </c>
      <c r="R208" s="8">
        <v>1.296</v>
      </c>
      <c r="S208" s="8">
        <f>31*9</f>
        <v>279</v>
      </c>
      <c r="T208" s="40">
        <f t="shared" si="69"/>
        <v>10.915317000000005</v>
      </c>
    </row>
    <row r="209" spans="7:21" ht="14" x14ac:dyDescent="0.25">
      <c r="G209" s="2" t="s">
        <v>19</v>
      </c>
      <c r="H209" s="41">
        <v>35.9</v>
      </c>
      <c r="I209" s="41">
        <v>7.9</v>
      </c>
      <c r="J209" s="71">
        <f t="shared" si="70"/>
        <v>3.95</v>
      </c>
      <c r="K209" s="71">
        <f t="shared" si="71"/>
        <v>31.95</v>
      </c>
      <c r="L209" s="59">
        <f>D173</f>
        <v>3</v>
      </c>
      <c r="M209" s="45">
        <v>24</v>
      </c>
      <c r="N209" s="72">
        <f t="shared" si="66"/>
        <v>1.5</v>
      </c>
      <c r="O209" s="72">
        <f t="shared" si="67"/>
        <v>2.5500000000000007</v>
      </c>
      <c r="P209" s="8">
        <f t="shared" si="68"/>
        <v>7.0500000000000007</v>
      </c>
      <c r="Q209" s="8">
        <v>3.75</v>
      </c>
      <c r="R209" s="8">
        <v>1.296</v>
      </c>
      <c r="S209" s="8">
        <f>31*9</f>
        <v>279</v>
      </c>
      <c r="T209" s="40">
        <f t="shared" si="69"/>
        <v>9.5593770000000013</v>
      </c>
    </row>
    <row r="210" spans="7:21" ht="14" x14ac:dyDescent="0.25">
      <c r="G210" s="2" t="s">
        <v>20</v>
      </c>
      <c r="H210" s="41">
        <v>35</v>
      </c>
      <c r="I210" s="41">
        <v>7.7</v>
      </c>
      <c r="J210" s="71">
        <f t="shared" si="70"/>
        <v>3.85</v>
      </c>
      <c r="K210" s="71">
        <f t="shared" si="71"/>
        <v>31.15</v>
      </c>
      <c r="L210" s="59">
        <f>D173</f>
        <v>3</v>
      </c>
      <c r="M210" s="45">
        <v>24</v>
      </c>
      <c r="N210" s="72">
        <f t="shared" si="66"/>
        <v>1.5</v>
      </c>
      <c r="O210" s="72">
        <f t="shared" si="67"/>
        <v>1.75</v>
      </c>
      <c r="P210" s="8">
        <f t="shared" si="68"/>
        <v>6.25</v>
      </c>
      <c r="Q210" s="8">
        <v>3.75</v>
      </c>
      <c r="R210" s="8">
        <v>1.296</v>
      </c>
      <c r="S210" s="8">
        <f>30*9</f>
        <v>270</v>
      </c>
      <c r="T210" s="40">
        <f t="shared" si="69"/>
        <v>8.2012499999999999</v>
      </c>
    </row>
    <row r="211" spans="7:21" ht="14" x14ac:dyDescent="0.25">
      <c r="G211" s="2" t="s">
        <v>21</v>
      </c>
      <c r="H211" s="41">
        <v>34</v>
      </c>
      <c r="I211" s="41">
        <v>6.7</v>
      </c>
      <c r="J211" s="71">
        <f t="shared" si="70"/>
        <v>3.35</v>
      </c>
      <c r="K211" s="71">
        <f t="shared" si="71"/>
        <v>30.65</v>
      </c>
      <c r="L211" s="59">
        <f>D173</f>
        <v>3</v>
      </c>
      <c r="M211" s="45">
        <v>24</v>
      </c>
      <c r="N211" s="72">
        <f t="shared" si="66"/>
        <v>1.5</v>
      </c>
      <c r="O211" s="72">
        <f t="shared" si="67"/>
        <v>1.25</v>
      </c>
      <c r="P211" s="8">
        <f t="shared" si="68"/>
        <v>5.75</v>
      </c>
      <c r="Q211" s="8">
        <v>3.75</v>
      </c>
      <c r="R211" s="8">
        <v>1.296</v>
      </c>
      <c r="S211" s="8">
        <f>31*9</f>
        <v>279</v>
      </c>
      <c r="T211" s="40">
        <f t="shared" si="69"/>
        <v>7.7966549999999994</v>
      </c>
    </row>
    <row r="212" spans="7:21" ht="14" x14ac:dyDescent="0.25">
      <c r="G212" s="2" t="s">
        <v>22</v>
      </c>
      <c r="H212" s="41">
        <v>31.2</v>
      </c>
      <c r="I212" s="41">
        <v>6.1</v>
      </c>
      <c r="J212" s="71">
        <f t="shared" si="70"/>
        <v>3.05</v>
      </c>
      <c r="K212" s="71">
        <f t="shared" si="71"/>
        <v>28.15</v>
      </c>
      <c r="L212" s="59">
        <f>D173</f>
        <v>3</v>
      </c>
      <c r="M212" s="45">
        <v>24</v>
      </c>
      <c r="N212" s="72">
        <f t="shared" si="66"/>
        <v>1.5</v>
      </c>
      <c r="O212" s="72">
        <f t="shared" si="67"/>
        <v>-1.25</v>
      </c>
      <c r="P212" s="8">
        <f t="shared" si="68"/>
        <v>3.25</v>
      </c>
      <c r="Q212" s="8">
        <v>3.75</v>
      </c>
      <c r="R212" s="8">
        <v>1.296</v>
      </c>
      <c r="S212" s="8">
        <f>31*9</f>
        <v>279</v>
      </c>
      <c r="T212" s="40">
        <f t="shared" si="69"/>
        <v>4.4068050000000003</v>
      </c>
    </row>
    <row r="213" spans="7:21" ht="15.5" thickBot="1" x14ac:dyDescent="0.3">
      <c r="G213" s="301" t="s">
        <v>148</v>
      </c>
      <c r="H213" s="302"/>
      <c r="I213" s="302"/>
      <c r="J213" s="302"/>
      <c r="K213" s="302"/>
      <c r="L213" s="302"/>
      <c r="M213" s="302"/>
      <c r="N213" s="302"/>
      <c r="O213" s="302"/>
      <c r="P213" s="302"/>
      <c r="Q213" s="302"/>
      <c r="R213" s="302"/>
      <c r="S213" s="302"/>
      <c r="T213" s="70">
        <f>SUM(T207:T212)</f>
        <v>52.82042400000001</v>
      </c>
      <c r="U213" s="105"/>
    </row>
    <row r="217" spans="7:21" ht="13" thickBot="1" x14ac:dyDescent="0.3"/>
    <row r="218" spans="7:21" ht="13" x14ac:dyDescent="0.3">
      <c r="G218" s="295" t="s">
        <v>145</v>
      </c>
      <c r="H218" s="296"/>
      <c r="I218" s="296"/>
      <c r="J218" s="296"/>
      <c r="K218" s="296"/>
      <c r="L218" s="296"/>
      <c r="M218" s="297"/>
    </row>
    <row r="219" spans="7:21" ht="15" x14ac:dyDescent="0.25">
      <c r="G219" s="46" t="s">
        <v>78</v>
      </c>
      <c r="H219" s="37" t="s">
        <v>63</v>
      </c>
      <c r="I219" s="37" t="s">
        <v>64</v>
      </c>
      <c r="J219" s="37" t="s">
        <v>79</v>
      </c>
      <c r="K219" s="37" t="s">
        <v>82</v>
      </c>
      <c r="L219" s="37" t="s">
        <v>57</v>
      </c>
      <c r="M219" s="73" t="s">
        <v>80</v>
      </c>
    </row>
    <row r="220" spans="7:21" x14ac:dyDescent="0.25">
      <c r="G220" s="2" t="s">
        <v>13</v>
      </c>
      <c r="H220" s="8">
        <v>0.55000000000000004</v>
      </c>
      <c r="I220" s="8">
        <v>0.51</v>
      </c>
      <c r="J220" s="75">
        <v>208.2</v>
      </c>
      <c r="K220" s="8">
        <v>1.296</v>
      </c>
      <c r="L220" s="8">
        <f>30*9</f>
        <v>270</v>
      </c>
      <c r="M220" s="40">
        <f t="shared" ref="M220:M225" si="72">(H220*I220*J220*K220*L220)/1000</f>
        <v>20.435362991999998</v>
      </c>
    </row>
    <row r="221" spans="7:21" x14ac:dyDescent="0.25">
      <c r="G221" s="2" t="s">
        <v>24</v>
      </c>
      <c r="H221" s="8">
        <v>0.55000000000000004</v>
      </c>
      <c r="I221" s="8">
        <v>0.51</v>
      </c>
      <c r="J221" s="75">
        <v>173.5</v>
      </c>
      <c r="K221" s="8">
        <v>1.296</v>
      </c>
      <c r="L221" s="8">
        <f>31*9</f>
        <v>279</v>
      </c>
      <c r="M221" s="40">
        <f t="shared" si="72"/>
        <v>17.597118132000002</v>
      </c>
    </row>
    <row r="222" spans="7:21" x14ac:dyDescent="0.25">
      <c r="G222" s="2" t="s">
        <v>19</v>
      </c>
      <c r="H222" s="8">
        <v>0.55000000000000004</v>
      </c>
      <c r="I222" s="8">
        <v>0.51</v>
      </c>
      <c r="J222" s="75">
        <v>129.33000000000001</v>
      </c>
      <c r="K222" s="8">
        <v>1.296</v>
      </c>
      <c r="L222" s="8">
        <f>31*9</f>
        <v>279</v>
      </c>
      <c r="M222" s="40">
        <f t="shared" si="72"/>
        <v>13.117206270960002</v>
      </c>
    </row>
    <row r="223" spans="7:21" x14ac:dyDescent="0.25">
      <c r="G223" s="2" t="s">
        <v>20</v>
      </c>
      <c r="H223" s="8">
        <v>0.55000000000000004</v>
      </c>
      <c r="I223" s="8">
        <v>0.51</v>
      </c>
      <c r="J223" s="75">
        <v>113.56</v>
      </c>
      <c r="K223" s="8">
        <v>1.296</v>
      </c>
      <c r="L223" s="8">
        <f>30*9</f>
        <v>270</v>
      </c>
      <c r="M223" s="40">
        <f t="shared" si="72"/>
        <v>11.1462047136</v>
      </c>
    </row>
    <row r="224" spans="7:21" x14ac:dyDescent="0.25">
      <c r="G224" s="2" t="s">
        <v>21</v>
      </c>
      <c r="H224" s="8">
        <v>0.55000000000000004</v>
      </c>
      <c r="I224" s="8">
        <v>0.51</v>
      </c>
      <c r="J224" s="75">
        <v>104.1</v>
      </c>
      <c r="K224" s="8">
        <v>1.296</v>
      </c>
      <c r="L224" s="8">
        <f>31*9</f>
        <v>279</v>
      </c>
      <c r="M224" s="40">
        <f t="shared" si="72"/>
        <v>10.5582708792</v>
      </c>
    </row>
    <row r="225" spans="7:20" x14ac:dyDescent="0.25">
      <c r="G225" s="2" t="s">
        <v>22</v>
      </c>
      <c r="H225" s="8">
        <v>0.55000000000000004</v>
      </c>
      <c r="I225" s="8">
        <v>0.51</v>
      </c>
      <c r="J225" s="75">
        <v>94.63</v>
      </c>
      <c r="K225" s="8">
        <v>1.296</v>
      </c>
      <c r="L225" s="8">
        <f>30*9</f>
        <v>270</v>
      </c>
      <c r="M225" s="40">
        <f t="shared" si="72"/>
        <v>9.2881767528000019</v>
      </c>
    </row>
    <row r="226" spans="7:20" ht="15.5" thickBot="1" x14ac:dyDescent="0.45">
      <c r="G226" s="310" t="s">
        <v>159</v>
      </c>
      <c r="H226" s="311"/>
      <c r="I226" s="311"/>
      <c r="J226" s="311"/>
      <c r="K226" s="311"/>
      <c r="L226" s="311"/>
      <c r="M226" s="74">
        <f>SUM(M220:M225)</f>
        <v>82.142339740560004</v>
      </c>
    </row>
    <row r="229" spans="7:20" ht="13" thickBot="1" x14ac:dyDescent="0.3"/>
    <row r="230" spans="7:20" ht="13" x14ac:dyDescent="0.3">
      <c r="G230" s="308" t="s">
        <v>143</v>
      </c>
      <c r="H230" s="309"/>
      <c r="I230" s="309"/>
      <c r="J230" s="309"/>
      <c r="K230" s="309"/>
      <c r="L230" s="309"/>
      <c r="M230" s="309"/>
      <c r="N230" s="309"/>
      <c r="O230" s="309"/>
      <c r="P230" s="309"/>
      <c r="Q230" s="309"/>
      <c r="R230" s="309"/>
      <c r="S230" s="309"/>
      <c r="T230" s="129"/>
    </row>
    <row r="231" spans="7:20" ht="15" x14ac:dyDescent="0.25">
      <c r="G231" s="46" t="s">
        <v>0</v>
      </c>
      <c r="H231" s="37" t="s">
        <v>84</v>
      </c>
      <c r="I231" s="37" t="s">
        <v>95</v>
      </c>
      <c r="J231" s="37" t="s">
        <v>96</v>
      </c>
      <c r="K231" s="37" t="s">
        <v>97</v>
      </c>
      <c r="L231" s="37" t="s">
        <v>98</v>
      </c>
      <c r="M231" s="37" t="s">
        <v>99</v>
      </c>
      <c r="N231" s="37" t="s">
        <v>100</v>
      </c>
      <c r="O231" s="37" t="s">
        <v>101</v>
      </c>
      <c r="P231" s="83" t="s">
        <v>85</v>
      </c>
      <c r="Q231" s="37" t="s">
        <v>102</v>
      </c>
      <c r="R231" s="37" t="s">
        <v>86</v>
      </c>
      <c r="S231" s="73" t="s">
        <v>103</v>
      </c>
    </row>
    <row r="232" spans="7:20" ht="14" x14ac:dyDescent="0.25">
      <c r="G232" s="2" t="s">
        <v>13</v>
      </c>
      <c r="H232" s="8">
        <v>0.6</v>
      </c>
      <c r="I232" s="8">
        <v>38.880000000000003</v>
      </c>
      <c r="J232" s="8">
        <v>1.0049999999999999</v>
      </c>
      <c r="K232" s="8">
        <v>1.2929999999999999</v>
      </c>
      <c r="L232" s="71">
        <v>38.4</v>
      </c>
      <c r="M232" s="8">
        <v>18</v>
      </c>
      <c r="N232" s="8">
        <f t="shared" ref="N232:N237" si="73">L232-M232</f>
        <v>20.399999999999999</v>
      </c>
      <c r="O232" s="27">
        <f t="shared" ref="O232:O237" si="74">H232*I232*J232*K232*N232</f>
        <v>618.40395820799984</v>
      </c>
      <c r="P232" s="8">
        <v>0.27700000000000002</v>
      </c>
      <c r="Q232" s="18">
        <f t="shared" ref="Q232:Q237" si="75">O232*P232</f>
        <v>171.29789642361598</v>
      </c>
      <c r="R232" s="8">
        <f>30*9</f>
        <v>270</v>
      </c>
      <c r="S232" s="40">
        <f t="shared" ref="S232:S237" si="76">(Q232*R232)/1000</f>
        <v>46.250432034376317</v>
      </c>
    </row>
    <row r="233" spans="7:20" ht="14" x14ac:dyDescent="0.25">
      <c r="G233" s="2" t="s">
        <v>24</v>
      </c>
      <c r="H233" s="8">
        <v>0.6</v>
      </c>
      <c r="I233" s="8">
        <v>38.880000000000003</v>
      </c>
      <c r="J233" s="8">
        <v>1.0049999999999999</v>
      </c>
      <c r="K233" s="8">
        <v>1.2929999999999999</v>
      </c>
      <c r="L233" s="41">
        <v>37</v>
      </c>
      <c r="M233" s="8">
        <v>18</v>
      </c>
      <c r="N233" s="8">
        <f t="shared" si="73"/>
        <v>19</v>
      </c>
      <c r="O233" s="27">
        <f t="shared" si="74"/>
        <v>575.96447087999979</v>
      </c>
      <c r="P233" s="8">
        <v>0.27700000000000002</v>
      </c>
      <c r="Q233" s="18">
        <f t="shared" si="75"/>
        <v>159.54215843375997</v>
      </c>
      <c r="R233" s="8">
        <f>31*9</f>
        <v>279</v>
      </c>
      <c r="S233" s="40">
        <f t="shared" si="76"/>
        <v>44.512262203019034</v>
      </c>
    </row>
    <row r="234" spans="7:20" ht="14" x14ac:dyDescent="0.25">
      <c r="G234" s="2" t="s">
        <v>19</v>
      </c>
      <c r="H234" s="8">
        <v>0.6</v>
      </c>
      <c r="I234" s="8">
        <v>38.880000000000003</v>
      </c>
      <c r="J234" s="8">
        <v>1.0049999999999999</v>
      </c>
      <c r="K234" s="8">
        <v>1.2929999999999999</v>
      </c>
      <c r="L234" s="41">
        <v>35.9</v>
      </c>
      <c r="M234" s="8">
        <v>18</v>
      </c>
      <c r="N234" s="8">
        <f t="shared" si="73"/>
        <v>17.899999999999999</v>
      </c>
      <c r="O234" s="27">
        <f t="shared" si="74"/>
        <v>542.61915940799986</v>
      </c>
      <c r="P234" s="8">
        <v>0.27700000000000002</v>
      </c>
      <c r="Q234" s="18">
        <f t="shared" si="75"/>
        <v>150.30550715601598</v>
      </c>
      <c r="R234" s="8">
        <f>31*9</f>
        <v>279</v>
      </c>
      <c r="S234" s="40">
        <f t="shared" si="76"/>
        <v>41.935236496528461</v>
      </c>
    </row>
    <row r="235" spans="7:20" ht="14" x14ac:dyDescent="0.25">
      <c r="G235" s="2" t="s">
        <v>20</v>
      </c>
      <c r="H235" s="8">
        <v>0.6</v>
      </c>
      <c r="I235" s="8">
        <v>38.880000000000003</v>
      </c>
      <c r="J235" s="8">
        <v>1.0049999999999999</v>
      </c>
      <c r="K235" s="8">
        <v>1.2929999999999999</v>
      </c>
      <c r="L235" s="41">
        <v>35</v>
      </c>
      <c r="M235" s="8">
        <v>18</v>
      </c>
      <c r="N235" s="8">
        <f t="shared" si="73"/>
        <v>17</v>
      </c>
      <c r="O235" s="27">
        <f t="shared" si="74"/>
        <v>515.33663183999988</v>
      </c>
      <c r="P235" s="8">
        <v>0.27700000000000002</v>
      </c>
      <c r="Q235" s="18">
        <f t="shared" si="75"/>
        <v>142.74824701967998</v>
      </c>
      <c r="R235" s="8">
        <f>30*9</f>
        <v>270</v>
      </c>
      <c r="S235" s="40">
        <f t="shared" si="76"/>
        <v>38.542026695313595</v>
      </c>
    </row>
    <row r="236" spans="7:20" ht="14" x14ac:dyDescent="0.25">
      <c r="G236" s="2" t="s">
        <v>21</v>
      </c>
      <c r="H236" s="8">
        <v>0.6</v>
      </c>
      <c r="I236" s="8">
        <v>38.880000000000003</v>
      </c>
      <c r="J236" s="8">
        <v>1.0049999999999999</v>
      </c>
      <c r="K236" s="8">
        <v>1.2929999999999999</v>
      </c>
      <c r="L236" s="41">
        <v>34</v>
      </c>
      <c r="M236" s="8">
        <v>18</v>
      </c>
      <c r="N236" s="8">
        <f t="shared" si="73"/>
        <v>16</v>
      </c>
      <c r="O236" s="27">
        <f t="shared" si="74"/>
        <v>485.02271231999987</v>
      </c>
      <c r="P236" s="8">
        <v>0.27700000000000002</v>
      </c>
      <c r="Q236" s="18">
        <f t="shared" si="75"/>
        <v>134.35129131263997</v>
      </c>
      <c r="R236" s="8">
        <f>31*9</f>
        <v>279</v>
      </c>
      <c r="S236" s="40">
        <f t="shared" si="76"/>
        <v>37.484010276226556</v>
      </c>
    </row>
    <row r="237" spans="7:20" ht="14" x14ac:dyDescent="0.25">
      <c r="G237" s="2" t="s">
        <v>22</v>
      </c>
      <c r="H237" s="8">
        <v>0.6</v>
      </c>
      <c r="I237" s="8">
        <v>38.880000000000003</v>
      </c>
      <c r="J237" s="8">
        <v>1.0049999999999999</v>
      </c>
      <c r="K237" s="8">
        <v>1.2929999999999999</v>
      </c>
      <c r="L237" s="120">
        <v>31.2</v>
      </c>
      <c r="M237" s="8">
        <v>18</v>
      </c>
      <c r="N237" s="8">
        <f t="shared" si="73"/>
        <v>13.2</v>
      </c>
      <c r="O237" s="27">
        <f t="shared" si="74"/>
        <v>400.14373766399984</v>
      </c>
      <c r="P237" s="8">
        <v>0.27700000000000002</v>
      </c>
      <c r="Q237" s="18">
        <f t="shared" si="75"/>
        <v>110.83981533292797</v>
      </c>
      <c r="R237" s="8">
        <f>30*9</f>
        <v>270</v>
      </c>
      <c r="S237" s="40">
        <f t="shared" si="76"/>
        <v>29.926750139890551</v>
      </c>
    </row>
    <row r="238" spans="7:20" ht="15" x14ac:dyDescent="0.4">
      <c r="G238" s="305" t="s">
        <v>189</v>
      </c>
      <c r="H238" s="306"/>
      <c r="I238" s="306"/>
      <c r="J238" s="306"/>
      <c r="K238" s="306"/>
      <c r="L238" s="306"/>
      <c r="M238" s="306"/>
      <c r="N238" s="306"/>
      <c r="O238" s="306"/>
      <c r="P238" s="306"/>
      <c r="Q238" s="306"/>
      <c r="R238" s="307"/>
      <c r="S238" s="107">
        <f>SUM(S232:S237)</f>
        <v>238.65071784535451</v>
      </c>
    </row>
    <row r="239" spans="7:20" ht="14" x14ac:dyDescent="0.25">
      <c r="G239" s="2" t="s">
        <v>13</v>
      </c>
      <c r="H239" s="8">
        <v>0.6</v>
      </c>
      <c r="I239" s="8">
        <v>38.880000000000003</v>
      </c>
      <c r="J239" s="8">
        <v>1.0049999999999999</v>
      </c>
      <c r="K239" s="8">
        <v>1.2929999999999999</v>
      </c>
      <c r="L239" s="71">
        <v>38.4</v>
      </c>
      <c r="M239" s="8">
        <v>19</v>
      </c>
      <c r="N239" s="8">
        <f t="shared" ref="N239:N244" si="77">L239-M239</f>
        <v>19.399999999999999</v>
      </c>
      <c r="O239" s="27">
        <f t="shared" ref="O239:O244" si="78">H239*I239*J239*K239*N239</f>
        <v>588.09003868799982</v>
      </c>
      <c r="P239" s="8">
        <v>0.27700000000000002</v>
      </c>
      <c r="Q239" s="18">
        <f t="shared" ref="Q239:Q244" si="79">O239*P239</f>
        <v>162.90094071657597</v>
      </c>
      <c r="R239" s="8">
        <f>30*9</f>
        <v>270</v>
      </c>
      <c r="S239" s="40">
        <f t="shared" ref="S239:S244" si="80">(Q239*R239)/1000</f>
        <v>43.983253993475515</v>
      </c>
    </row>
    <row r="240" spans="7:20" ht="14" x14ac:dyDescent="0.25">
      <c r="G240" s="2" t="s">
        <v>24</v>
      </c>
      <c r="H240" s="8">
        <v>0.6</v>
      </c>
      <c r="I240" s="8">
        <v>38.880000000000003</v>
      </c>
      <c r="J240" s="8">
        <v>1.0049999999999999</v>
      </c>
      <c r="K240" s="8">
        <v>1.2929999999999999</v>
      </c>
      <c r="L240" s="41">
        <v>37</v>
      </c>
      <c r="M240" s="8">
        <v>19</v>
      </c>
      <c r="N240" s="8">
        <f t="shared" si="77"/>
        <v>18</v>
      </c>
      <c r="O240" s="27">
        <f t="shared" si="78"/>
        <v>545.65055135999989</v>
      </c>
      <c r="P240" s="8">
        <v>0.27700000000000002</v>
      </c>
      <c r="Q240" s="18">
        <f t="shared" si="79"/>
        <v>151.14520272671999</v>
      </c>
      <c r="R240" s="8">
        <f>31*9</f>
        <v>279</v>
      </c>
      <c r="S240" s="40">
        <f t="shared" si="80"/>
        <v>42.169511560754877</v>
      </c>
    </row>
    <row r="241" spans="7:20" ht="14" x14ac:dyDescent="0.25">
      <c r="G241" s="2" t="s">
        <v>19</v>
      </c>
      <c r="H241" s="8">
        <v>0.6</v>
      </c>
      <c r="I241" s="8">
        <v>38.880000000000003</v>
      </c>
      <c r="J241" s="8">
        <v>1.0049999999999999</v>
      </c>
      <c r="K241" s="8">
        <v>1.2929999999999999</v>
      </c>
      <c r="L241" s="41">
        <v>35.9</v>
      </c>
      <c r="M241" s="8">
        <v>19</v>
      </c>
      <c r="N241" s="8">
        <f t="shared" si="77"/>
        <v>16.899999999999999</v>
      </c>
      <c r="O241" s="27">
        <f t="shared" si="78"/>
        <v>512.30523988799985</v>
      </c>
      <c r="P241" s="8">
        <v>0.27700000000000002</v>
      </c>
      <c r="Q241" s="18">
        <f t="shared" si="79"/>
        <v>141.90855144897597</v>
      </c>
      <c r="R241" s="8">
        <f>31*9</f>
        <v>279</v>
      </c>
      <c r="S241" s="40">
        <f t="shared" si="80"/>
        <v>39.592485854264297</v>
      </c>
    </row>
    <row r="242" spans="7:20" ht="14" x14ac:dyDescent="0.25">
      <c r="G242" s="2" t="s">
        <v>20</v>
      </c>
      <c r="H242" s="8">
        <v>0.6</v>
      </c>
      <c r="I242" s="8">
        <v>38.880000000000003</v>
      </c>
      <c r="J242" s="8">
        <v>1.0049999999999999</v>
      </c>
      <c r="K242" s="8">
        <v>1.2929999999999999</v>
      </c>
      <c r="L242" s="41">
        <v>35</v>
      </c>
      <c r="M242" s="8">
        <v>19</v>
      </c>
      <c r="N242" s="8">
        <f t="shared" si="77"/>
        <v>16</v>
      </c>
      <c r="O242" s="27">
        <f t="shared" si="78"/>
        <v>485.02271231999987</v>
      </c>
      <c r="P242" s="8">
        <v>0.27700000000000002</v>
      </c>
      <c r="Q242" s="18">
        <f t="shared" si="79"/>
        <v>134.35129131263997</v>
      </c>
      <c r="R242" s="8">
        <f>30*9</f>
        <v>270</v>
      </c>
      <c r="S242" s="40">
        <f t="shared" si="80"/>
        <v>36.274848654412793</v>
      </c>
    </row>
    <row r="243" spans="7:20" ht="14" x14ac:dyDescent="0.25">
      <c r="G243" s="2" t="s">
        <v>21</v>
      </c>
      <c r="H243" s="8">
        <v>0.6</v>
      </c>
      <c r="I243" s="8">
        <v>38.880000000000003</v>
      </c>
      <c r="J243" s="8">
        <v>1.0049999999999999</v>
      </c>
      <c r="K243" s="8">
        <v>1.2929999999999999</v>
      </c>
      <c r="L243" s="41">
        <v>34</v>
      </c>
      <c r="M243" s="8">
        <v>19</v>
      </c>
      <c r="N243" s="8">
        <f t="shared" si="77"/>
        <v>15</v>
      </c>
      <c r="O243" s="27">
        <f t="shared" si="78"/>
        <v>454.70879279999986</v>
      </c>
      <c r="P243" s="8">
        <v>0.27700000000000002</v>
      </c>
      <c r="Q243" s="18">
        <f t="shared" si="79"/>
        <v>125.95433560559997</v>
      </c>
      <c r="R243" s="8">
        <f>31*9</f>
        <v>279</v>
      </c>
      <c r="S243" s="40">
        <f t="shared" si="80"/>
        <v>35.141259633962392</v>
      </c>
    </row>
    <row r="244" spans="7:20" ht="14" x14ac:dyDescent="0.25">
      <c r="G244" s="2" t="s">
        <v>22</v>
      </c>
      <c r="H244" s="8">
        <v>0.6</v>
      </c>
      <c r="I244" s="8">
        <v>38.880000000000003</v>
      </c>
      <c r="J244" s="8">
        <v>1.0049999999999999</v>
      </c>
      <c r="K244" s="8">
        <v>1.2929999999999999</v>
      </c>
      <c r="L244" s="120">
        <v>31.2</v>
      </c>
      <c r="M244" s="8">
        <v>19</v>
      </c>
      <c r="N244" s="8">
        <f t="shared" si="77"/>
        <v>12.2</v>
      </c>
      <c r="O244" s="27">
        <f t="shared" si="78"/>
        <v>369.82981814399989</v>
      </c>
      <c r="P244" s="8">
        <v>0.27700000000000002</v>
      </c>
      <c r="Q244" s="18">
        <f t="shared" si="79"/>
        <v>102.44285962588798</v>
      </c>
      <c r="R244" s="8">
        <f>30*9</f>
        <v>270</v>
      </c>
      <c r="S244" s="40">
        <f t="shared" si="80"/>
        <v>27.659572098989752</v>
      </c>
    </row>
    <row r="245" spans="7:20" ht="15" x14ac:dyDescent="0.4">
      <c r="G245" s="305" t="s">
        <v>178</v>
      </c>
      <c r="H245" s="306"/>
      <c r="I245" s="306"/>
      <c r="J245" s="306"/>
      <c r="K245" s="306"/>
      <c r="L245" s="306"/>
      <c r="M245" s="306"/>
      <c r="N245" s="306"/>
      <c r="O245" s="306"/>
      <c r="P245" s="306"/>
      <c r="Q245" s="306"/>
      <c r="R245" s="307"/>
      <c r="S245" s="107">
        <f>SUM(S239:S244)</f>
        <v>224.82093179585962</v>
      </c>
    </row>
    <row r="246" spans="7:20" ht="14" x14ac:dyDescent="0.25">
      <c r="G246" s="2" t="s">
        <v>13</v>
      </c>
      <c r="H246" s="8">
        <v>0.6</v>
      </c>
      <c r="I246" s="8">
        <v>38.880000000000003</v>
      </c>
      <c r="J246" s="8">
        <v>1.0049999999999999</v>
      </c>
      <c r="K246" s="8">
        <v>1.2929999999999999</v>
      </c>
      <c r="L246" s="71">
        <v>38.4</v>
      </c>
      <c r="M246" s="8">
        <v>20</v>
      </c>
      <c r="N246" s="8">
        <f t="shared" ref="N246:N251" si="81">L246-M246</f>
        <v>18.399999999999999</v>
      </c>
      <c r="O246" s="27">
        <f t="shared" ref="O246:O251" si="82">H246*I246*J246*K246*N246</f>
        <v>557.77611916799981</v>
      </c>
      <c r="P246" s="8">
        <v>0.27700000000000002</v>
      </c>
      <c r="Q246" s="18">
        <f t="shared" ref="Q246:Q251" si="83">O246*P246</f>
        <v>154.50398500953597</v>
      </c>
      <c r="R246" s="8">
        <f>30*9</f>
        <v>270</v>
      </c>
      <c r="S246" s="40">
        <f t="shared" ref="S246:S251" si="84">(Q246*R246)/1000</f>
        <v>41.716075952574712</v>
      </c>
    </row>
    <row r="247" spans="7:20" ht="14" x14ac:dyDescent="0.25">
      <c r="G247" s="2" t="s">
        <v>24</v>
      </c>
      <c r="H247" s="8">
        <v>0.6</v>
      </c>
      <c r="I247" s="8">
        <v>38.880000000000003</v>
      </c>
      <c r="J247" s="8">
        <v>1.0049999999999999</v>
      </c>
      <c r="K247" s="8">
        <v>1.2929999999999999</v>
      </c>
      <c r="L247" s="41">
        <v>37</v>
      </c>
      <c r="M247" s="8">
        <v>20</v>
      </c>
      <c r="N247" s="8">
        <f t="shared" si="81"/>
        <v>17</v>
      </c>
      <c r="O247" s="27">
        <f t="shared" si="82"/>
        <v>515.33663183999988</v>
      </c>
      <c r="P247" s="8">
        <v>0.27700000000000002</v>
      </c>
      <c r="Q247" s="18">
        <f t="shared" si="83"/>
        <v>142.74824701967998</v>
      </c>
      <c r="R247" s="8">
        <f>31*9</f>
        <v>279</v>
      </c>
      <c r="S247" s="40">
        <f t="shared" si="84"/>
        <v>39.826760918490713</v>
      </c>
    </row>
    <row r="248" spans="7:20" ht="14" x14ac:dyDescent="0.25">
      <c r="G248" s="2" t="s">
        <v>19</v>
      </c>
      <c r="H248" s="8">
        <v>0.6</v>
      </c>
      <c r="I248" s="8">
        <v>38.880000000000003</v>
      </c>
      <c r="J248" s="8">
        <v>1.0049999999999999</v>
      </c>
      <c r="K248" s="8">
        <v>1.2929999999999999</v>
      </c>
      <c r="L248" s="41">
        <v>35.9</v>
      </c>
      <c r="M248" s="8">
        <v>20</v>
      </c>
      <c r="N248" s="8">
        <f t="shared" si="81"/>
        <v>15.899999999999999</v>
      </c>
      <c r="O248" s="27">
        <f t="shared" si="82"/>
        <v>481.99132036799983</v>
      </c>
      <c r="P248" s="8">
        <v>0.27700000000000002</v>
      </c>
      <c r="Q248" s="18">
        <f t="shared" si="83"/>
        <v>133.51159574193596</v>
      </c>
      <c r="R248" s="8">
        <f>31*9</f>
        <v>279</v>
      </c>
      <c r="S248" s="40">
        <f>(Q248*R248)/1000</f>
        <v>37.249735212000132</v>
      </c>
    </row>
    <row r="249" spans="7:20" ht="14" x14ac:dyDescent="0.25">
      <c r="G249" s="2" t="s">
        <v>20</v>
      </c>
      <c r="H249" s="8">
        <v>0.6</v>
      </c>
      <c r="I249" s="8">
        <v>38.880000000000003</v>
      </c>
      <c r="J249" s="8">
        <v>1.0049999999999999</v>
      </c>
      <c r="K249" s="8">
        <v>1.2929999999999999</v>
      </c>
      <c r="L249" s="41">
        <v>35</v>
      </c>
      <c r="M249" s="8">
        <v>20</v>
      </c>
      <c r="N249" s="8">
        <f t="shared" si="81"/>
        <v>15</v>
      </c>
      <c r="O249" s="27">
        <f t="shared" si="82"/>
        <v>454.70879279999986</v>
      </c>
      <c r="P249" s="8">
        <v>0.27700000000000002</v>
      </c>
      <c r="Q249" s="18">
        <f t="shared" si="83"/>
        <v>125.95433560559997</v>
      </c>
      <c r="R249" s="8">
        <f>30*9</f>
        <v>270</v>
      </c>
      <c r="S249" s="40">
        <f t="shared" si="84"/>
        <v>34.007670613511991</v>
      </c>
    </row>
    <row r="250" spans="7:20" ht="14" x14ac:dyDescent="0.25">
      <c r="G250" s="2" t="s">
        <v>21</v>
      </c>
      <c r="H250" s="8">
        <v>0.6</v>
      </c>
      <c r="I250" s="8">
        <v>38.880000000000003</v>
      </c>
      <c r="J250" s="8">
        <v>1.0049999999999999</v>
      </c>
      <c r="K250" s="8">
        <v>1.2929999999999999</v>
      </c>
      <c r="L250" s="41">
        <v>34</v>
      </c>
      <c r="M250" s="8">
        <v>20</v>
      </c>
      <c r="N250" s="8">
        <f t="shared" si="81"/>
        <v>14</v>
      </c>
      <c r="O250" s="27">
        <f t="shared" si="82"/>
        <v>424.3948732799999</v>
      </c>
      <c r="P250" s="8">
        <v>0.27700000000000002</v>
      </c>
      <c r="Q250" s="18">
        <f t="shared" si="83"/>
        <v>117.55737989855999</v>
      </c>
      <c r="R250" s="8">
        <f>31*9</f>
        <v>279</v>
      </c>
      <c r="S250" s="40">
        <f t="shared" si="84"/>
        <v>32.798508991698242</v>
      </c>
    </row>
    <row r="251" spans="7:20" ht="14" x14ac:dyDescent="0.25">
      <c r="G251" s="2" t="s">
        <v>22</v>
      </c>
      <c r="H251" s="8">
        <v>0.6</v>
      </c>
      <c r="I251" s="8">
        <v>38.880000000000003</v>
      </c>
      <c r="J251" s="8">
        <v>1.0049999999999999</v>
      </c>
      <c r="K251" s="8">
        <v>1.2929999999999999</v>
      </c>
      <c r="L251" s="120">
        <v>31.2</v>
      </c>
      <c r="M251" s="8">
        <v>20</v>
      </c>
      <c r="N251" s="8">
        <f t="shared" si="81"/>
        <v>11.2</v>
      </c>
      <c r="O251" s="27">
        <f t="shared" si="82"/>
        <v>339.51589862399987</v>
      </c>
      <c r="P251" s="8">
        <v>0.27700000000000002</v>
      </c>
      <c r="Q251" s="18">
        <f t="shared" si="83"/>
        <v>94.045903918847969</v>
      </c>
      <c r="R251" s="8">
        <f>30*9</f>
        <v>270</v>
      </c>
      <c r="S251" s="40">
        <f t="shared" si="84"/>
        <v>25.39239405808895</v>
      </c>
    </row>
    <row r="252" spans="7:20" ht="15" x14ac:dyDescent="0.4">
      <c r="G252" s="305" t="s">
        <v>177</v>
      </c>
      <c r="H252" s="306"/>
      <c r="I252" s="306"/>
      <c r="J252" s="306"/>
      <c r="K252" s="306"/>
      <c r="L252" s="306"/>
      <c r="M252" s="306"/>
      <c r="N252" s="306"/>
      <c r="O252" s="306"/>
      <c r="P252" s="306"/>
      <c r="Q252" s="306"/>
      <c r="R252" s="307"/>
      <c r="S252" s="107">
        <f>SUM(S246:S251)</f>
        <v>210.99114574636471</v>
      </c>
      <c r="T252" s="134"/>
    </row>
    <row r="253" spans="7:20" ht="14" x14ac:dyDescent="0.25">
      <c r="G253" s="2" t="s">
        <v>13</v>
      </c>
      <c r="H253" s="8">
        <v>0.6</v>
      </c>
      <c r="I253" s="8">
        <v>38.880000000000003</v>
      </c>
      <c r="J253" s="8">
        <v>1.0049999999999999</v>
      </c>
      <c r="K253" s="8">
        <v>1.2929999999999999</v>
      </c>
      <c r="L253" s="71">
        <v>38.4</v>
      </c>
      <c r="M253" s="8">
        <v>21</v>
      </c>
      <c r="N253" s="8">
        <f t="shared" ref="N253:N258" si="85">L253-M253</f>
        <v>17.399999999999999</v>
      </c>
      <c r="O253" s="27">
        <f t="shared" ref="O253:O258" si="86">H253*I253*J253*K253*N253</f>
        <v>527.4621996479998</v>
      </c>
      <c r="P253" s="8">
        <v>0.27700000000000002</v>
      </c>
      <c r="Q253" s="18">
        <f t="shared" ref="Q253:Q258" si="87">O253*P253</f>
        <v>146.10702930249596</v>
      </c>
      <c r="R253" s="8">
        <f>30*9</f>
        <v>270</v>
      </c>
      <c r="S253" s="40">
        <f t="shared" ref="S253:S258" si="88">(Q253*R253)/1000</f>
        <v>39.448897911673903</v>
      </c>
    </row>
    <row r="254" spans="7:20" ht="14" x14ac:dyDescent="0.25">
      <c r="G254" s="2" t="s">
        <v>24</v>
      </c>
      <c r="H254" s="8">
        <v>0.6</v>
      </c>
      <c r="I254" s="8">
        <v>38.880000000000003</v>
      </c>
      <c r="J254" s="8">
        <v>1.0049999999999999</v>
      </c>
      <c r="K254" s="8">
        <v>1.2929999999999999</v>
      </c>
      <c r="L254" s="41">
        <v>37</v>
      </c>
      <c r="M254" s="8">
        <v>21</v>
      </c>
      <c r="N254" s="8">
        <f t="shared" si="85"/>
        <v>16</v>
      </c>
      <c r="O254" s="27">
        <f t="shared" si="86"/>
        <v>485.02271231999987</v>
      </c>
      <c r="P254" s="8">
        <v>0.27700000000000002</v>
      </c>
      <c r="Q254" s="18">
        <f t="shared" si="87"/>
        <v>134.35129131263997</v>
      </c>
      <c r="R254" s="8">
        <f>31*9</f>
        <v>279</v>
      </c>
      <c r="S254" s="40">
        <f t="shared" si="88"/>
        <v>37.484010276226556</v>
      </c>
    </row>
    <row r="255" spans="7:20" ht="14" x14ac:dyDescent="0.25">
      <c r="G255" s="2" t="s">
        <v>19</v>
      </c>
      <c r="H255" s="8">
        <v>0.6</v>
      </c>
      <c r="I255" s="8">
        <v>38.880000000000003</v>
      </c>
      <c r="J255" s="8">
        <v>1.0049999999999999</v>
      </c>
      <c r="K255" s="8">
        <v>1.2929999999999999</v>
      </c>
      <c r="L255" s="41">
        <v>35.9</v>
      </c>
      <c r="M255" s="8">
        <v>21</v>
      </c>
      <c r="N255" s="8">
        <f t="shared" si="85"/>
        <v>14.899999999999999</v>
      </c>
      <c r="O255" s="27">
        <f t="shared" si="86"/>
        <v>451.67740084799982</v>
      </c>
      <c r="P255" s="8">
        <v>0.27700000000000002</v>
      </c>
      <c r="Q255" s="18">
        <f t="shared" si="87"/>
        <v>125.11464003489596</v>
      </c>
      <c r="R255" s="8">
        <f>31*9</f>
        <v>279</v>
      </c>
      <c r="S255" s="40">
        <f t="shared" si="88"/>
        <v>34.906984569735968</v>
      </c>
    </row>
    <row r="256" spans="7:20" ht="14" x14ac:dyDescent="0.25">
      <c r="G256" s="2" t="s">
        <v>20</v>
      </c>
      <c r="H256" s="8">
        <v>0.6</v>
      </c>
      <c r="I256" s="8">
        <v>38.880000000000003</v>
      </c>
      <c r="J256" s="8">
        <v>1.0049999999999999</v>
      </c>
      <c r="K256" s="8">
        <v>1.2929999999999999</v>
      </c>
      <c r="L256" s="41">
        <v>35</v>
      </c>
      <c r="M256" s="8">
        <v>21</v>
      </c>
      <c r="N256" s="8">
        <f t="shared" si="85"/>
        <v>14</v>
      </c>
      <c r="O256" s="27">
        <f t="shared" si="86"/>
        <v>424.3948732799999</v>
      </c>
      <c r="P256" s="8">
        <v>0.27700000000000002</v>
      </c>
      <c r="Q256" s="18">
        <f t="shared" si="87"/>
        <v>117.55737989855999</v>
      </c>
      <c r="R256" s="8">
        <f>30*9</f>
        <v>270</v>
      </c>
      <c r="S256" s="40">
        <f t="shared" si="88"/>
        <v>31.740492572611199</v>
      </c>
    </row>
    <row r="257" spans="7:20" ht="14" x14ac:dyDescent="0.25">
      <c r="G257" s="2" t="s">
        <v>21</v>
      </c>
      <c r="H257" s="8">
        <v>0.6</v>
      </c>
      <c r="I257" s="8">
        <v>38.880000000000003</v>
      </c>
      <c r="J257" s="8">
        <v>1.0049999999999999</v>
      </c>
      <c r="K257" s="8">
        <v>1.2929999999999999</v>
      </c>
      <c r="L257" s="41">
        <v>34</v>
      </c>
      <c r="M257" s="8">
        <v>21</v>
      </c>
      <c r="N257" s="8">
        <f t="shared" si="85"/>
        <v>13</v>
      </c>
      <c r="O257" s="27">
        <f t="shared" si="86"/>
        <v>394.08095375999989</v>
      </c>
      <c r="P257" s="8">
        <v>0.27700000000000002</v>
      </c>
      <c r="Q257" s="18">
        <f t="shared" si="87"/>
        <v>109.16042419151998</v>
      </c>
      <c r="R257" s="8">
        <f>31*9</f>
        <v>279</v>
      </c>
      <c r="S257" s="40">
        <f t="shared" si="88"/>
        <v>30.455758349434074</v>
      </c>
    </row>
    <row r="258" spans="7:20" ht="14" x14ac:dyDescent="0.25">
      <c r="G258" s="2" t="s">
        <v>22</v>
      </c>
      <c r="H258" s="8">
        <v>0.6</v>
      </c>
      <c r="I258" s="8">
        <v>38.880000000000003</v>
      </c>
      <c r="J258" s="8">
        <v>1.0049999999999999</v>
      </c>
      <c r="K258" s="8">
        <v>1.2929999999999999</v>
      </c>
      <c r="L258" s="120">
        <v>31.2</v>
      </c>
      <c r="M258" s="8">
        <v>21</v>
      </c>
      <c r="N258" s="8">
        <f t="shared" si="85"/>
        <v>10.199999999999999</v>
      </c>
      <c r="O258" s="27">
        <f t="shared" si="86"/>
        <v>309.20197910399992</v>
      </c>
      <c r="P258" s="8">
        <v>0.27700000000000002</v>
      </c>
      <c r="Q258" s="18">
        <f t="shared" si="87"/>
        <v>85.648948211807991</v>
      </c>
      <c r="R258" s="8">
        <f>30*9</f>
        <v>270</v>
      </c>
      <c r="S258" s="40">
        <f t="shared" si="88"/>
        <v>23.125216017188158</v>
      </c>
    </row>
    <row r="259" spans="7:20" ht="15" x14ac:dyDescent="0.4">
      <c r="G259" s="305" t="s">
        <v>178</v>
      </c>
      <c r="H259" s="306"/>
      <c r="I259" s="306"/>
      <c r="J259" s="306"/>
      <c r="K259" s="306"/>
      <c r="L259" s="306"/>
      <c r="M259" s="306"/>
      <c r="N259" s="306"/>
      <c r="O259" s="306"/>
      <c r="P259" s="306"/>
      <c r="Q259" s="306"/>
      <c r="R259" s="307"/>
      <c r="S259" s="107">
        <f>SUM(S253:S258)</f>
        <v>197.16135969686985</v>
      </c>
      <c r="T259" s="105"/>
    </row>
    <row r="260" spans="7:20" ht="14" x14ac:dyDescent="0.25">
      <c r="G260" s="2" t="s">
        <v>13</v>
      </c>
      <c r="H260" s="8">
        <v>0.6</v>
      </c>
      <c r="I260" s="8">
        <v>38.880000000000003</v>
      </c>
      <c r="J260" s="8">
        <v>1.0049999999999999</v>
      </c>
      <c r="K260" s="8">
        <v>1.2929999999999999</v>
      </c>
      <c r="L260" s="71">
        <v>38.4</v>
      </c>
      <c r="M260" s="8">
        <v>22</v>
      </c>
      <c r="N260" s="8">
        <f t="shared" ref="N260:N265" si="89">L260-M260</f>
        <v>16.399999999999999</v>
      </c>
      <c r="O260" s="27">
        <f t="shared" ref="O260:O265" si="90">H260*I260*J260*K260*N260</f>
        <v>497.14828012799984</v>
      </c>
      <c r="P260" s="8">
        <v>0.27700000000000002</v>
      </c>
      <c r="Q260" s="18">
        <f t="shared" ref="Q260:Q265" si="91">O260*P260</f>
        <v>137.71007359545598</v>
      </c>
      <c r="R260" s="8">
        <f>30*9</f>
        <v>270</v>
      </c>
      <c r="S260" s="40">
        <f t="shared" ref="S260:S265" si="92">(Q260*R260)/1000</f>
        <v>37.181719870773115</v>
      </c>
    </row>
    <row r="261" spans="7:20" ht="14" x14ac:dyDescent="0.25">
      <c r="G261" s="2" t="s">
        <v>24</v>
      </c>
      <c r="H261" s="8">
        <v>0.6</v>
      </c>
      <c r="I261" s="8">
        <v>38.880000000000003</v>
      </c>
      <c r="J261" s="8">
        <v>1.0049999999999999</v>
      </c>
      <c r="K261" s="8">
        <v>1.2929999999999999</v>
      </c>
      <c r="L261" s="41">
        <v>37</v>
      </c>
      <c r="M261" s="8">
        <v>22</v>
      </c>
      <c r="N261" s="8">
        <f t="shared" si="89"/>
        <v>15</v>
      </c>
      <c r="O261" s="27">
        <f t="shared" si="90"/>
        <v>454.70879279999986</v>
      </c>
      <c r="P261" s="8">
        <v>0.27700000000000002</v>
      </c>
      <c r="Q261" s="18">
        <f t="shared" si="91"/>
        <v>125.95433560559997</v>
      </c>
      <c r="R261" s="8">
        <f>31*9</f>
        <v>279</v>
      </c>
      <c r="S261" s="40">
        <f t="shared" si="92"/>
        <v>35.141259633962392</v>
      </c>
    </row>
    <row r="262" spans="7:20" ht="14" x14ac:dyDescent="0.25">
      <c r="G262" s="2" t="s">
        <v>19</v>
      </c>
      <c r="H262" s="8">
        <v>0.6</v>
      </c>
      <c r="I262" s="8">
        <v>38.880000000000003</v>
      </c>
      <c r="J262" s="8">
        <v>1.0049999999999999</v>
      </c>
      <c r="K262" s="8">
        <v>1.2929999999999999</v>
      </c>
      <c r="L262" s="41">
        <v>35.9</v>
      </c>
      <c r="M262" s="8">
        <v>22</v>
      </c>
      <c r="N262" s="8">
        <f t="shared" si="89"/>
        <v>13.899999999999999</v>
      </c>
      <c r="O262" s="27">
        <f t="shared" si="90"/>
        <v>421.36348132799986</v>
      </c>
      <c r="P262" s="8">
        <v>0.27700000000000002</v>
      </c>
      <c r="Q262" s="18">
        <f t="shared" si="91"/>
        <v>116.71768432785598</v>
      </c>
      <c r="R262" s="8">
        <f>31*9</f>
        <v>279</v>
      </c>
      <c r="S262" s="40">
        <f t="shared" si="92"/>
        <v>32.564233927471818</v>
      </c>
    </row>
    <row r="263" spans="7:20" ht="14" x14ac:dyDescent="0.25">
      <c r="G263" s="2" t="s">
        <v>20</v>
      </c>
      <c r="H263" s="8">
        <v>0.6</v>
      </c>
      <c r="I263" s="8">
        <v>38.880000000000003</v>
      </c>
      <c r="J263" s="8">
        <v>1.0049999999999999</v>
      </c>
      <c r="K263" s="8">
        <v>1.2929999999999999</v>
      </c>
      <c r="L263" s="41">
        <v>35</v>
      </c>
      <c r="M263" s="8">
        <v>22</v>
      </c>
      <c r="N263" s="8">
        <f t="shared" si="89"/>
        <v>13</v>
      </c>
      <c r="O263" s="27">
        <f t="shared" si="90"/>
        <v>394.08095375999989</v>
      </c>
      <c r="P263" s="8">
        <v>0.27700000000000002</v>
      </c>
      <c r="Q263" s="18">
        <f t="shared" si="91"/>
        <v>109.16042419151998</v>
      </c>
      <c r="R263" s="8">
        <f>30*9</f>
        <v>270</v>
      </c>
      <c r="S263" s="40">
        <f t="shared" si="92"/>
        <v>29.473314531710397</v>
      </c>
    </row>
    <row r="264" spans="7:20" ht="14" x14ac:dyDescent="0.25">
      <c r="G264" s="2" t="s">
        <v>21</v>
      </c>
      <c r="H264" s="8">
        <v>0.6</v>
      </c>
      <c r="I264" s="8">
        <v>38.880000000000003</v>
      </c>
      <c r="J264" s="8">
        <v>1.0049999999999999</v>
      </c>
      <c r="K264" s="8">
        <v>1.2929999999999999</v>
      </c>
      <c r="L264" s="41">
        <v>34</v>
      </c>
      <c r="M264" s="8">
        <v>22</v>
      </c>
      <c r="N264" s="8">
        <f t="shared" si="89"/>
        <v>12</v>
      </c>
      <c r="O264" s="27">
        <f t="shared" si="90"/>
        <v>363.76703423999993</v>
      </c>
      <c r="P264" s="8">
        <v>0.27700000000000002</v>
      </c>
      <c r="Q264" s="18">
        <f t="shared" si="91"/>
        <v>100.76346848447999</v>
      </c>
      <c r="R264" s="8">
        <f>31*9</f>
        <v>279</v>
      </c>
      <c r="S264" s="40">
        <f t="shared" si="92"/>
        <v>28.113007707169917</v>
      </c>
    </row>
    <row r="265" spans="7:20" ht="14" x14ac:dyDescent="0.25">
      <c r="G265" s="2" t="s">
        <v>22</v>
      </c>
      <c r="H265" s="8">
        <v>0.6</v>
      </c>
      <c r="I265" s="8">
        <v>38.880000000000003</v>
      </c>
      <c r="J265" s="8">
        <v>1.0049999999999999</v>
      </c>
      <c r="K265" s="8">
        <v>1.2929999999999999</v>
      </c>
      <c r="L265" s="120">
        <v>31.2</v>
      </c>
      <c r="M265" s="8">
        <v>22</v>
      </c>
      <c r="N265" s="8">
        <f t="shared" si="89"/>
        <v>9.1999999999999993</v>
      </c>
      <c r="O265" s="27">
        <f t="shared" si="90"/>
        <v>278.8880595839999</v>
      </c>
      <c r="P265" s="8">
        <v>0.27700000000000002</v>
      </c>
      <c r="Q265" s="18">
        <f t="shared" si="91"/>
        <v>77.251992504767983</v>
      </c>
      <c r="R265" s="8">
        <f>30*9</f>
        <v>270</v>
      </c>
      <c r="S265" s="40">
        <f t="shared" si="92"/>
        <v>20.858037976287356</v>
      </c>
    </row>
    <row r="266" spans="7:20" ht="15" x14ac:dyDescent="0.4">
      <c r="G266" s="305" t="s">
        <v>133</v>
      </c>
      <c r="H266" s="306"/>
      <c r="I266" s="306"/>
      <c r="J266" s="306"/>
      <c r="K266" s="306"/>
      <c r="L266" s="306"/>
      <c r="M266" s="306"/>
      <c r="N266" s="306"/>
      <c r="O266" s="306"/>
      <c r="P266" s="306"/>
      <c r="Q266" s="306"/>
      <c r="R266" s="307"/>
      <c r="S266" s="107">
        <f>SUM(S260:S265)</f>
        <v>183.331573647375</v>
      </c>
      <c r="T266" s="105"/>
    </row>
    <row r="267" spans="7:20" ht="14" x14ac:dyDescent="0.25">
      <c r="G267" s="2" t="s">
        <v>13</v>
      </c>
      <c r="H267" s="8">
        <v>0.6</v>
      </c>
      <c r="I267" s="8">
        <v>38.880000000000003</v>
      </c>
      <c r="J267" s="8">
        <v>1.0049999999999999</v>
      </c>
      <c r="K267" s="8">
        <v>1.2929999999999999</v>
      </c>
      <c r="L267" s="71">
        <v>38.4</v>
      </c>
      <c r="M267" s="8">
        <v>23</v>
      </c>
      <c r="N267" s="8">
        <f t="shared" ref="N267:N272" si="93">L267-M267</f>
        <v>15.399999999999999</v>
      </c>
      <c r="O267" s="27">
        <f t="shared" ref="O267:O272" si="94">H267*I267*J267*K267*N267</f>
        <v>466.83436060799983</v>
      </c>
      <c r="P267" s="8">
        <v>0.27700000000000002</v>
      </c>
      <c r="Q267" s="18">
        <f t="shared" ref="Q267:Q272" si="95">O267*P267</f>
        <v>129.31311788841597</v>
      </c>
      <c r="R267" s="8">
        <f>30*9</f>
        <v>270</v>
      </c>
      <c r="S267" s="40">
        <f>(Q267*R267)/1000</f>
        <v>34.914541829872313</v>
      </c>
    </row>
    <row r="268" spans="7:20" ht="14" x14ac:dyDescent="0.25">
      <c r="G268" s="2" t="s">
        <v>24</v>
      </c>
      <c r="H268" s="8">
        <v>0.6</v>
      </c>
      <c r="I268" s="8">
        <v>38.880000000000003</v>
      </c>
      <c r="J268" s="8">
        <v>1.0049999999999999</v>
      </c>
      <c r="K268" s="8">
        <v>1.2929999999999999</v>
      </c>
      <c r="L268" s="41">
        <v>37</v>
      </c>
      <c r="M268" s="8">
        <v>23</v>
      </c>
      <c r="N268" s="8">
        <f t="shared" si="93"/>
        <v>14</v>
      </c>
      <c r="O268" s="27">
        <f t="shared" si="94"/>
        <v>424.3948732799999</v>
      </c>
      <c r="P268" s="8">
        <v>0.27700000000000002</v>
      </c>
      <c r="Q268" s="18">
        <f t="shared" si="95"/>
        <v>117.55737989855999</v>
      </c>
      <c r="R268" s="8">
        <f>31*9</f>
        <v>279</v>
      </c>
      <c r="S268" s="40">
        <f t="shared" ref="S268:S272" si="96">(Q268*R268)/1000</f>
        <v>32.798508991698242</v>
      </c>
    </row>
    <row r="269" spans="7:20" ht="14" x14ac:dyDescent="0.25">
      <c r="G269" s="2" t="s">
        <v>19</v>
      </c>
      <c r="H269" s="8">
        <v>0.6</v>
      </c>
      <c r="I269" s="8">
        <v>38.880000000000003</v>
      </c>
      <c r="J269" s="8">
        <v>1.0049999999999999</v>
      </c>
      <c r="K269" s="8">
        <v>1.2929999999999999</v>
      </c>
      <c r="L269" s="41">
        <v>35.9</v>
      </c>
      <c r="M269" s="8">
        <v>23</v>
      </c>
      <c r="N269" s="8">
        <f t="shared" si="93"/>
        <v>12.899999999999999</v>
      </c>
      <c r="O269" s="27">
        <f t="shared" si="94"/>
        <v>391.04956180799985</v>
      </c>
      <c r="P269" s="8">
        <v>0.27700000000000002</v>
      </c>
      <c r="Q269" s="18">
        <f t="shared" si="95"/>
        <v>108.32072862081597</v>
      </c>
      <c r="R269" s="8">
        <f>31*9</f>
        <v>279</v>
      </c>
      <c r="S269" s="40">
        <f t="shared" si="96"/>
        <v>30.221483285207654</v>
      </c>
    </row>
    <row r="270" spans="7:20" ht="14" x14ac:dyDescent="0.25">
      <c r="G270" s="2" t="s">
        <v>20</v>
      </c>
      <c r="H270" s="8">
        <v>0.6</v>
      </c>
      <c r="I270" s="8">
        <v>38.880000000000003</v>
      </c>
      <c r="J270" s="8">
        <v>1.0049999999999999</v>
      </c>
      <c r="K270" s="8">
        <v>1.2929999999999999</v>
      </c>
      <c r="L270" s="41">
        <v>35</v>
      </c>
      <c r="M270" s="8">
        <v>23</v>
      </c>
      <c r="N270" s="8">
        <f t="shared" si="93"/>
        <v>12</v>
      </c>
      <c r="O270" s="27">
        <f t="shared" si="94"/>
        <v>363.76703423999993</v>
      </c>
      <c r="P270" s="8">
        <v>0.27700000000000002</v>
      </c>
      <c r="Q270" s="18">
        <f t="shared" si="95"/>
        <v>100.76346848447999</v>
      </c>
      <c r="R270" s="8">
        <f>30*9</f>
        <v>270</v>
      </c>
      <c r="S270" s="40">
        <f t="shared" si="96"/>
        <v>27.206136490809598</v>
      </c>
    </row>
    <row r="271" spans="7:20" ht="14" x14ac:dyDescent="0.25">
      <c r="G271" s="2" t="s">
        <v>21</v>
      </c>
      <c r="H271" s="8">
        <v>0.6</v>
      </c>
      <c r="I271" s="8">
        <v>38.880000000000003</v>
      </c>
      <c r="J271" s="8">
        <v>1.0049999999999999</v>
      </c>
      <c r="K271" s="8">
        <v>1.2929999999999999</v>
      </c>
      <c r="L271" s="41">
        <v>34</v>
      </c>
      <c r="M271" s="8">
        <v>23</v>
      </c>
      <c r="N271" s="8">
        <f t="shared" si="93"/>
        <v>11</v>
      </c>
      <c r="O271" s="27">
        <f t="shared" si="94"/>
        <v>333.45311471999992</v>
      </c>
      <c r="P271" s="8">
        <v>0.27700000000000002</v>
      </c>
      <c r="Q271" s="18">
        <f t="shared" si="95"/>
        <v>92.366512777439979</v>
      </c>
      <c r="R271" s="8">
        <f>31*9</f>
        <v>279</v>
      </c>
      <c r="S271" s="40">
        <f t="shared" si="96"/>
        <v>25.770257064905753</v>
      </c>
    </row>
    <row r="272" spans="7:20" ht="14" x14ac:dyDescent="0.25">
      <c r="G272" s="2" t="s">
        <v>22</v>
      </c>
      <c r="H272" s="8">
        <v>0.6</v>
      </c>
      <c r="I272" s="8">
        <v>38.880000000000003</v>
      </c>
      <c r="J272" s="8">
        <v>1.0049999999999999</v>
      </c>
      <c r="K272" s="8">
        <v>1.2929999999999999</v>
      </c>
      <c r="L272" s="120">
        <v>31.2</v>
      </c>
      <c r="M272" s="8">
        <v>23</v>
      </c>
      <c r="N272" s="8">
        <f t="shared" si="93"/>
        <v>8.1999999999999993</v>
      </c>
      <c r="O272" s="27">
        <f t="shared" si="94"/>
        <v>248.57414006399992</v>
      </c>
      <c r="P272" s="8">
        <v>0.27700000000000002</v>
      </c>
      <c r="Q272" s="18">
        <f t="shared" si="95"/>
        <v>68.85503679772799</v>
      </c>
      <c r="R272" s="8">
        <f>30*9</f>
        <v>270</v>
      </c>
      <c r="S272" s="40">
        <f t="shared" si="96"/>
        <v>18.590859935386558</v>
      </c>
    </row>
    <row r="273" spans="7:20" ht="15" x14ac:dyDescent="0.4">
      <c r="G273" s="305" t="s">
        <v>88</v>
      </c>
      <c r="H273" s="306"/>
      <c r="I273" s="306"/>
      <c r="J273" s="306"/>
      <c r="K273" s="306"/>
      <c r="L273" s="306"/>
      <c r="M273" s="306"/>
      <c r="N273" s="306"/>
      <c r="O273" s="306"/>
      <c r="P273" s="306"/>
      <c r="Q273" s="306"/>
      <c r="R273" s="307"/>
      <c r="S273" s="107">
        <f>SUM(S267:S272)</f>
        <v>169.50178759788014</v>
      </c>
      <c r="T273" s="105"/>
    </row>
    <row r="274" spans="7:20" ht="14" x14ac:dyDescent="0.25">
      <c r="G274" s="2" t="s">
        <v>13</v>
      </c>
      <c r="H274" s="8">
        <v>0.6</v>
      </c>
      <c r="I274" s="8">
        <v>38.880000000000003</v>
      </c>
      <c r="J274" s="8">
        <v>1.0049999999999999</v>
      </c>
      <c r="K274" s="8">
        <v>1.2929999999999999</v>
      </c>
      <c r="L274" s="71">
        <v>38.4</v>
      </c>
      <c r="M274" s="8">
        <v>24</v>
      </c>
      <c r="N274" s="8">
        <f t="shared" ref="N274:N279" si="97">L274-M274</f>
        <v>14.399999999999999</v>
      </c>
      <c r="O274" s="27">
        <f t="shared" ref="O274:O279" si="98">H274*I274*J274*K274*N274</f>
        <v>436.52044108799981</v>
      </c>
      <c r="P274" s="8">
        <v>0.27700000000000002</v>
      </c>
      <c r="Q274" s="18">
        <f t="shared" ref="Q274:Q279" si="99">O274*P274</f>
        <v>120.91616218137595</v>
      </c>
      <c r="R274" s="8">
        <f>30*9</f>
        <v>270</v>
      </c>
      <c r="S274" s="40">
        <f t="shared" ref="S274:S279" si="100">(Q274*R274)/1000</f>
        <v>32.647363788971504</v>
      </c>
    </row>
    <row r="275" spans="7:20" ht="14" x14ac:dyDescent="0.25">
      <c r="G275" s="2" t="s">
        <v>24</v>
      </c>
      <c r="H275" s="8">
        <v>0.6</v>
      </c>
      <c r="I275" s="8">
        <v>38.880000000000003</v>
      </c>
      <c r="J275" s="8">
        <v>1.0049999999999999</v>
      </c>
      <c r="K275" s="8">
        <v>1.2929999999999999</v>
      </c>
      <c r="L275" s="41">
        <v>37</v>
      </c>
      <c r="M275" s="8">
        <v>24</v>
      </c>
      <c r="N275" s="8">
        <f t="shared" si="97"/>
        <v>13</v>
      </c>
      <c r="O275" s="27">
        <f t="shared" si="98"/>
        <v>394.08095375999989</v>
      </c>
      <c r="P275" s="8">
        <v>0.27700000000000002</v>
      </c>
      <c r="Q275" s="18">
        <f t="shared" si="99"/>
        <v>109.16042419151998</v>
      </c>
      <c r="R275" s="8">
        <f>31*9</f>
        <v>279</v>
      </c>
      <c r="S275" s="40">
        <f t="shared" si="100"/>
        <v>30.455758349434074</v>
      </c>
    </row>
    <row r="276" spans="7:20" ht="14" x14ac:dyDescent="0.25">
      <c r="G276" s="2" t="s">
        <v>19</v>
      </c>
      <c r="H276" s="8">
        <v>0.6</v>
      </c>
      <c r="I276" s="8">
        <v>38.880000000000003</v>
      </c>
      <c r="J276" s="8">
        <v>1.0049999999999999</v>
      </c>
      <c r="K276" s="8">
        <v>1.2929999999999999</v>
      </c>
      <c r="L276" s="41">
        <v>35.9</v>
      </c>
      <c r="M276" s="8">
        <v>24</v>
      </c>
      <c r="N276" s="8">
        <f t="shared" si="97"/>
        <v>11.899999999999999</v>
      </c>
      <c r="O276" s="27">
        <f t="shared" si="98"/>
        <v>360.73564228799984</v>
      </c>
      <c r="P276" s="8">
        <v>0.27700000000000002</v>
      </c>
      <c r="Q276" s="18">
        <f t="shared" si="99"/>
        <v>99.923772913775963</v>
      </c>
      <c r="R276" s="8">
        <f>31*9</f>
        <v>279</v>
      </c>
      <c r="S276" s="40">
        <f t="shared" si="100"/>
        <v>27.878732642943493</v>
      </c>
    </row>
    <row r="277" spans="7:20" ht="14" x14ac:dyDescent="0.25">
      <c r="G277" s="2" t="s">
        <v>20</v>
      </c>
      <c r="H277" s="8">
        <v>0.6</v>
      </c>
      <c r="I277" s="8">
        <v>38.880000000000003</v>
      </c>
      <c r="J277" s="8">
        <v>1.0049999999999999</v>
      </c>
      <c r="K277" s="8">
        <v>1.2929999999999999</v>
      </c>
      <c r="L277" s="41">
        <v>35</v>
      </c>
      <c r="M277" s="8">
        <v>24</v>
      </c>
      <c r="N277" s="8">
        <f t="shared" si="97"/>
        <v>11</v>
      </c>
      <c r="O277" s="27">
        <f t="shared" si="98"/>
        <v>333.45311471999992</v>
      </c>
      <c r="P277" s="8">
        <v>0.27700000000000002</v>
      </c>
      <c r="Q277" s="18">
        <f t="shared" si="99"/>
        <v>92.366512777439979</v>
      </c>
      <c r="R277" s="8">
        <f>30*9</f>
        <v>270</v>
      </c>
      <c r="S277" s="40">
        <f t="shared" si="100"/>
        <v>24.938958449908792</v>
      </c>
    </row>
    <row r="278" spans="7:20" ht="14" x14ac:dyDescent="0.25">
      <c r="G278" s="2" t="s">
        <v>21</v>
      </c>
      <c r="H278" s="8">
        <v>0.6</v>
      </c>
      <c r="I278" s="8">
        <v>38.880000000000003</v>
      </c>
      <c r="J278" s="8">
        <v>1.0049999999999999</v>
      </c>
      <c r="K278" s="8">
        <v>1.2929999999999999</v>
      </c>
      <c r="L278" s="41">
        <v>34</v>
      </c>
      <c r="M278" s="8">
        <v>24</v>
      </c>
      <c r="N278" s="8">
        <f t="shared" si="97"/>
        <v>10</v>
      </c>
      <c r="O278" s="27">
        <f t="shared" si="98"/>
        <v>303.1391951999999</v>
      </c>
      <c r="P278" s="8">
        <v>0.27700000000000002</v>
      </c>
      <c r="Q278" s="18">
        <f t="shared" si="99"/>
        <v>83.969557070399986</v>
      </c>
      <c r="R278" s="8">
        <f>31*9</f>
        <v>279</v>
      </c>
      <c r="S278" s="40">
        <f t="shared" si="100"/>
        <v>23.427506422641596</v>
      </c>
    </row>
    <row r="279" spans="7:20" ht="14" x14ac:dyDescent="0.25">
      <c r="G279" s="2" t="s">
        <v>22</v>
      </c>
      <c r="H279" s="8">
        <v>0.6</v>
      </c>
      <c r="I279" s="8">
        <v>38.880000000000003</v>
      </c>
      <c r="J279" s="8">
        <v>1.0049999999999999</v>
      </c>
      <c r="K279" s="8">
        <v>1.2929999999999999</v>
      </c>
      <c r="L279" s="120">
        <v>31.2</v>
      </c>
      <c r="M279" s="8">
        <v>24</v>
      </c>
      <c r="N279" s="8">
        <f t="shared" si="97"/>
        <v>7.1999999999999993</v>
      </c>
      <c r="O279" s="27">
        <f t="shared" si="98"/>
        <v>218.26022054399991</v>
      </c>
      <c r="P279" s="8">
        <v>0.27700000000000002</v>
      </c>
      <c r="Q279" s="18">
        <f t="shared" si="99"/>
        <v>60.458081090687976</v>
      </c>
      <c r="R279" s="8">
        <f>30*9</f>
        <v>270</v>
      </c>
      <c r="S279" s="40">
        <f t="shared" si="100"/>
        <v>16.323681894485752</v>
      </c>
    </row>
    <row r="280" spans="7:20" ht="15" x14ac:dyDescent="0.4">
      <c r="G280" s="305" t="s">
        <v>90</v>
      </c>
      <c r="H280" s="306"/>
      <c r="I280" s="306"/>
      <c r="J280" s="306"/>
      <c r="K280" s="306"/>
      <c r="L280" s="306"/>
      <c r="M280" s="306"/>
      <c r="N280" s="306"/>
      <c r="O280" s="306"/>
      <c r="P280" s="306"/>
      <c r="Q280" s="306"/>
      <c r="R280" s="307"/>
      <c r="S280" s="107">
        <f>SUM(S274:S279)</f>
        <v>155.67200154838523</v>
      </c>
      <c r="T280" s="105"/>
    </row>
    <row r="283" spans="7:20" ht="13" thickBot="1" x14ac:dyDescent="0.3"/>
    <row r="284" spans="7:20" ht="13" x14ac:dyDescent="0.3">
      <c r="G284" s="295" t="s">
        <v>111</v>
      </c>
      <c r="H284" s="296"/>
      <c r="I284" s="296"/>
      <c r="J284" s="296"/>
      <c r="K284" s="296"/>
      <c r="L284" s="296"/>
      <c r="M284" s="296"/>
      <c r="N284" s="296"/>
      <c r="O284" s="296"/>
      <c r="P284" s="316"/>
      <c r="Q284" s="297"/>
    </row>
    <row r="285" spans="7:20" x14ac:dyDescent="0.25">
      <c r="G285" s="2" t="s">
        <v>0</v>
      </c>
      <c r="H285" s="5" t="s">
        <v>104</v>
      </c>
      <c r="I285" s="5" t="s">
        <v>105</v>
      </c>
      <c r="J285" s="5" t="s">
        <v>64</v>
      </c>
      <c r="K285" s="5" t="s">
        <v>106</v>
      </c>
      <c r="L285" s="5" t="s">
        <v>107</v>
      </c>
      <c r="M285" s="5" t="s">
        <v>108</v>
      </c>
      <c r="N285" s="5" t="s">
        <v>110</v>
      </c>
      <c r="O285" s="5" t="s">
        <v>86</v>
      </c>
      <c r="P285" s="101"/>
      <c r="Q285" s="85" t="s">
        <v>109</v>
      </c>
    </row>
    <row r="286" spans="7:20" x14ac:dyDescent="0.25">
      <c r="G286" s="2" t="s">
        <v>13</v>
      </c>
      <c r="H286" s="5">
        <v>4</v>
      </c>
      <c r="I286" s="5">
        <v>75</v>
      </c>
      <c r="J286" s="5">
        <v>1</v>
      </c>
      <c r="K286" s="5">
        <v>300</v>
      </c>
      <c r="L286" s="5">
        <v>30</v>
      </c>
      <c r="M286" s="5">
        <v>120</v>
      </c>
      <c r="N286" s="5">
        <v>420</v>
      </c>
      <c r="O286" s="8">
        <f>30*9</f>
        <v>270</v>
      </c>
      <c r="P286" s="102"/>
      <c r="Q286" s="85">
        <f t="shared" ref="Q286:Q291" si="101">(N286*O286)/1000</f>
        <v>113.4</v>
      </c>
    </row>
    <row r="287" spans="7:20" x14ac:dyDescent="0.25">
      <c r="G287" s="2" t="s">
        <v>24</v>
      </c>
      <c r="H287" s="5">
        <v>4</v>
      </c>
      <c r="I287" s="5">
        <v>75</v>
      </c>
      <c r="J287" s="5">
        <v>1</v>
      </c>
      <c r="K287" s="5">
        <v>300</v>
      </c>
      <c r="L287" s="5">
        <v>30</v>
      </c>
      <c r="M287" s="5">
        <v>120</v>
      </c>
      <c r="N287" s="5">
        <v>420</v>
      </c>
      <c r="O287" s="8">
        <f t="shared" ref="O287:O290" si="102">31*9</f>
        <v>279</v>
      </c>
      <c r="P287" s="102"/>
      <c r="Q287" s="85">
        <f t="shared" si="101"/>
        <v>117.18</v>
      </c>
    </row>
    <row r="288" spans="7:20" x14ac:dyDescent="0.25">
      <c r="G288" s="2" t="s">
        <v>19</v>
      </c>
      <c r="H288" s="5">
        <v>4</v>
      </c>
      <c r="I288" s="5">
        <v>75</v>
      </c>
      <c r="J288" s="5">
        <v>1</v>
      </c>
      <c r="K288" s="5">
        <v>300</v>
      </c>
      <c r="L288" s="5">
        <v>30</v>
      </c>
      <c r="M288" s="5">
        <v>120</v>
      </c>
      <c r="N288" s="5">
        <v>420</v>
      </c>
      <c r="O288" s="8">
        <f t="shared" si="102"/>
        <v>279</v>
      </c>
      <c r="P288" s="102"/>
      <c r="Q288" s="85">
        <f t="shared" si="101"/>
        <v>117.18</v>
      </c>
    </row>
    <row r="289" spans="7:17" x14ac:dyDescent="0.25">
      <c r="G289" s="2" t="s">
        <v>20</v>
      </c>
      <c r="H289" s="5">
        <v>4</v>
      </c>
      <c r="I289" s="5">
        <v>75</v>
      </c>
      <c r="J289" s="5">
        <v>1</v>
      </c>
      <c r="K289" s="5">
        <v>300</v>
      </c>
      <c r="L289" s="5">
        <v>30</v>
      </c>
      <c r="M289" s="5">
        <v>120</v>
      </c>
      <c r="N289" s="5">
        <v>420</v>
      </c>
      <c r="O289" s="8">
        <v>270</v>
      </c>
      <c r="P289" s="102"/>
      <c r="Q289" s="85">
        <f t="shared" si="101"/>
        <v>113.4</v>
      </c>
    </row>
    <row r="290" spans="7:17" x14ac:dyDescent="0.25">
      <c r="G290" s="2" t="s">
        <v>21</v>
      </c>
      <c r="H290" s="5">
        <v>4</v>
      </c>
      <c r="I290" s="5">
        <v>75</v>
      </c>
      <c r="J290" s="5">
        <v>1</v>
      </c>
      <c r="K290" s="5">
        <v>300</v>
      </c>
      <c r="L290" s="5">
        <v>30</v>
      </c>
      <c r="M290" s="5">
        <v>120</v>
      </c>
      <c r="N290" s="5">
        <v>420</v>
      </c>
      <c r="O290" s="8">
        <f t="shared" si="102"/>
        <v>279</v>
      </c>
      <c r="P290" s="102"/>
      <c r="Q290" s="85">
        <f t="shared" si="101"/>
        <v>117.18</v>
      </c>
    </row>
    <row r="291" spans="7:17" x14ac:dyDescent="0.25">
      <c r="G291" s="2" t="s">
        <v>22</v>
      </c>
      <c r="H291" s="5">
        <v>4</v>
      </c>
      <c r="I291" s="5">
        <v>75</v>
      </c>
      <c r="J291" s="5">
        <v>1</v>
      </c>
      <c r="K291" s="5">
        <v>300</v>
      </c>
      <c r="L291" s="5">
        <v>30</v>
      </c>
      <c r="M291" s="5">
        <v>120</v>
      </c>
      <c r="N291" s="5">
        <v>420</v>
      </c>
      <c r="O291" s="8">
        <f>30*9</f>
        <v>270</v>
      </c>
      <c r="P291" s="102"/>
      <c r="Q291" s="85">
        <f t="shared" si="101"/>
        <v>113.4</v>
      </c>
    </row>
    <row r="292" spans="7:17" ht="13.5" thickBot="1" x14ac:dyDescent="0.35">
      <c r="G292" s="312" t="s">
        <v>111</v>
      </c>
      <c r="H292" s="313"/>
      <c r="I292" s="313"/>
      <c r="J292" s="313"/>
      <c r="K292" s="313"/>
      <c r="L292" s="313"/>
      <c r="M292" s="313"/>
      <c r="N292" s="313"/>
      <c r="O292" s="313"/>
      <c r="P292" s="103"/>
      <c r="Q292" s="88">
        <f>SUM(Q286:Q291)</f>
        <v>691.7399999999999</v>
      </c>
    </row>
    <row r="295" spans="7:17" ht="13" thickBot="1" x14ac:dyDescent="0.3"/>
    <row r="296" spans="7:17" ht="13" x14ac:dyDescent="0.3">
      <c r="G296" s="289" t="s">
        <v>118</v>
      </c>
      <c r="H296" s="290"/>
      <c r="I296" s="290"/>
      <c r="J296" s="290"/>
      <c r="K296" s="290"/>
      <c r="L296" s="290"/>
      <c r="M296" s="291"/>
    </row>
    <row r="297" spans="7:17" ht="15.5" x14ac:dyDescent="0.4">
      <c r="G297" s="49" t="s">
        <v>112</v>
      </c>
      <c r="H297" s="18" t="s">
        <v>113</v>
      </c>
      <c r="I297" s="18" t="s">
        <v>114</v>
      </c>
      <c r="J297" s="18" t="s">
        <v>115</v>
      </c>
      <c r="K297" s="18" t="s">
        <v>64</v>
      </c>
      <c r="L297" s="18" t="s">
        <v>116</v>
      </c>
      <c r="M297" s="86" t="s">
        <v>117</v>
      </c>
    </row>
    <row r="298" spans="7:17" x14ac:dyDescent="0.25">
      <c r="G298" s="49">
        <v>3</v>
      </c>
      <c r="H298" s="18">
        <v>60</v>
      </c>
      <c r="I298" s="18">
        <v>1.24</v>
      </c>
      <c r="J298" s="18">
        <v>0.66</v>
      </c>
      <c r="K298" s="18">
        <v>0.8</v>
      </c>
      <c r="L298" s="18">
        <f>6*183</f>
        <v>1098</v>
      </c>
      <c r="M298" s="35">
        <f>(G298*H298*I298*J298*K298*L298)/1000</f>
        <v>129.39886080000002</v>
      </c>
    </row>
    <row r="299" spans="7:17" ht="13.5" thickBot="1" x14ac:dyDescent="0.35">
      <c r="G299" s="327" t="s">
        <v>118</v>
      </c>
      <c r="H299" s="328"/>
      <c r="I299" s="328"/>
      <c r="J299" s="328"/>
      <c r="K299" s="328"/>
      <c r="L299" s="328"/>
      <c r="M299" s="74">
        <f>M298</f>
        <v>129.39886080000002</v>
      </c>
    </row>
    <row r="301" spans="7:17" ht="13" thickBot="1" x14ac:dyDescent="0.3"/>
    <row r="302" spans="7:17" ht="13" x14ac:dyDescent="0.3">
      <c r="G302" s="295" t="s">
        <v>124</v>
      </c>
      <c r="H302" s="296"/>
      <c r="I302" s="296"/>
      <c r="J302" s="297"/>
    </row>
    <row r="303" spans="7:17" x14ac:dyDescent="0.25">
      <c r="G303" s="44" t="s">
        <v>119</v>
      </c>
      <c r="H303" s="8" t="s">
        <v>120</v>
      </c>
      <c r="I303" s="8" t="s">
        <v>121</v>
      </c>
      <c r="J303" s="87" t="s">
        <v>122</v>
      </c>
    </row>
    <row r="304" spans="7:17" x14ac:dyDescent="0.25">
      <c r="G304" s="44">
        <v>36</v>
      </c>
      <c r="H304" s="8">
        <v>5</v>
      </c>
      <c r="I304" s="8">
        <f>H304*183</f>
        <v>915</v>
      </c>
      <c r="J304" s="85">
        <f>(G304*I304)/1000</f>
        <v>32.94</v>
      </c>
    </row>
    <row r="305" spans="7:21" ht="13.5" thickBot="1" x14ac:dyDescent="0.35">
      <c r="G305" s="312" t="s">
        <v>123</v>
      </c>
      <c r="H305" s="313"/>
      <c r="I305" s="313"/>
      <c r="J305" s="88">
        <f>J304</f>
        <v>32.94</v>
      </c>
    </row>
    <row r="307" spans="7:21" ht="13" thickBot="1" x14ac:dyDescent="0.3"/>
    <row r="308" spans="7:21" ht="13" x14ac:dyDescent="0.3">
      <c r="G308" s="295" t="s">
        <v>144</v>
      </c>
      <c r="H308" s="296"/>
      <c r="I308" s="296"/>
      <c r="J308" s="296"/>
      <c r="K308" s="296"/>
      <c r="L308" s="296"/>
      <c r="M308" s="296"/>
      <c r="N308" s="297"/>
    </row>
    <row r="309" spans="7:21" ht="13" x14ac:dyDescent="0.25">
      <c r="G309" s="94" t="s">
        <v>125</v>
      </c>
      <c r="H309" s="37" t="s">
        <v>126</v>
      </c>
      <c r="I309" s="37" t="s">
        <v>127</v>
      </c>
      <c r="J309" s="37" t="s">
        <v>87</v>
      </c>
      <c r="K309" s="37" t="s">
        <v>128</v>
      </c>
      <c r="L309" s="37" t="s">
        <v>129</v>
      </c>
      <c r="M309" s="37" t="s">
        <v>130</v>
      </c>
      <c r="N309" s="113" t="s">
        <v>134</v>
      </c>
    </row>
    <row r="310" spans="7:21" x14ac:dyDescent="0.25">
      <c r="G310" s="94">
        <v>18</v>
      </c>
      <c r="H310" s="27">
        <f>T171</f>
        <v>100.70478900000001</v>
      </c>
      <c r="I310" s="27">
        <f>M226</f>
        <v>82.142339740560004</v>
      </c>
      <c r="J310" s="27">
        <f>S238</f>
        <v>238.65071784535451</v>
      </c>
      <c r="K310" s="45">
        <f>Q292</f>
        <v>691.7399999999999</v>
      </c>
      <c r="L310" s="59">
        <f>M299</f>
        <v>129.39886080000002</v>
      </c>
      <c r="M310" s="45">
        <f>J305</f>
        <v>32.94</v>
      </c>
      <c r="N310" s="51">
        <f>H310+I310+J310+K310+L310+M310</f>
        <v>1275.5767073859145</v>
      </c>
    </row>
    <row r="311" spans="7:21" x14ac:dyDescent="0.25">
      <c r="G311" s="94">
        <v>19</v>
      </c>
      <c r="H311" s="27">
        <f>T178</f>
        <v>92.700369000000023</v>
      </c>
      <c r="I311" s="27">
        <f>M226</f>
        <v>82.142339740560004</v>
      </c>
      <c r="J311" s="27">
        <f>S245</f>
        <v>224.82093179585962</v>
      </c>
      <c r="K311" s="45">
        <f>Q292</f>
        <v>691.7399999999999</v>
      </c>
      <c r="L311" s="59">
        <f>M299</f>
        <v>129.39886080000002</v>
      </c>
      <c r="M311" s="45">
        <f>J305</f>
        <v>32.94</v>
      </c>
      <c r="N311" s="51">
        <f>H311+I311+J311+K311+L311+M311</f>
        <v>1253.7425013364195</v>
      </c>
    </row>
    <row r="312" spans="7:21" x14ac:dyDescent="0.25">
      <c r="G312" s="94">
        <v>20</v>
      </c>
      <c r="H312" s="27">
        <f>T185</f>
        <v>84.695949000000027</v>
      </c>
      <c r="I312" s="27">
        <f>M226</f>
        <v>82.142339740560004</v>
      </c>
      <c r="J312" s="27">
        <f>S252</f>
        <v>210.99114574636471</v>
      </c>
      <c r="K312" s="8">
        <f>Q292</f>
        <v>691.7399999999999</v>
      </c>
      <c r="L312" s="27">
        <f>M299</f>
        <v>129.39886080000002</v>
      </c>
      <c r="M312" s="8">
        <f>J305</f>
        <v>32.94</v>
      </c>
      <c r="N312" s="51">
        <f>H312+I312+J312+K312+L312+M312</f>
        <v>1231.9082952869246</v>
      </c>
    </row>
    <row r="313" spans="7:21" x14ac:dyDescent="0.25">
      <c r="G313" s="94">
        <v>21</v>
      </c>
      <c r="H313" s="27">
        <f>T192</f>
        <v>76.691529000000017</v>
      </c>
      <c r="I313" s="27">
        <f>M226</f>
        <v>82.142339740560004</v>
      </c>
      <c r="J313" s="27">
        <f>S259</f>
        <v>197.16135969686985</v>
      </c>
      <c r="K313" s="8">
        <f>Q292</f>
        <v>691.7399999999999</v>
      </c>
      <c r="L313" s="27">
        <f>M299</f>
        <v>129.39886080000002</v>
      </c>
      <c r="M313" s="8">
        <f>J305</f>
        <v>32.94</v>
      </c>
      <c r="N313" s="51">
        <f>H313+I313+J313+K313+L313+M313</f>
        <v>1210.0740892374297</v>
      </c>
    </row>
    <row r="314" spans="7:21" x14ac:dyDescent="0.25">
      <c r="G314" s="94">
        <v>22</v>
      </c>
      <c r="H314" s="27">
        <f>T199</f>
        <v>68.687109000000021</v>
      </c>
      <c r="I314" s="27">
        <f>M226</f>
        <v>82.142339740560004</v>
      </c>
      <c r="J314" s="27">
        <f>S266</f>
        <v>183.331573647375</v>
      </c>
      <c r="K314" s="8">
        <f>Q292</f>
        <v>691.7399999999999</v>
      </c>
      <c r="L314" s="27">
        <f>M299</f>
        <v>129.39886080000002</v>
      </c>
      <c r="M314" s="8">
        <f>J305</f>
        <v>32.94</v>
      </c>
      <c r="N314" s="51">
        <f>H314+I314+J314+K314+L314+M314</f>
        <v>1188.239883187935</v>
      </c>
    </row>
    <row r="315" spans="7:21" x14ac:dyDescent="0.25">
      <c r="G315" s="94">
        <v>23</v>
      </c>
      <c r="H315" s="27">
        <f>T206</f>
        <v>60.868584000000006</v>
      </c>
      <c r="I315" s="27">
        <f>M226</f>
        <v>82.142339740560004</v>
      </c>
      <c r="J315" s="27">
        <f>S273</f>
        <v>169.50178759788014</v>
      </c>
      <c r="K315" s="8">
        <f>Q292</f>
        <v>691.7399999999999</v>
      </c>
      <c r="L315" s="27">
        <f>M299</f>
        <v>129.39886080000002</v>
      </c>
      <c r="M315" s="8">
        <f>J305</f>
        <v>32.94</v>
      </c>
      <c r="N315" s="51">
        <f t="shared" ref="N315:N316" si="103">H315+I315+J315+K315+L315+M315</f>
        <v>1166.5915721384401</v>
      </c>
    </row>
    <row r="316" spans="7:21" x14ac:dyDescent="0.25">
      <c r="G316" s="94">
        <v>24</v>
      </c>
      <c r="H316" s="27">
        <f>T213</f>
        <v>52.82042400000001</v>
      </c>
      <c r="I316" s="27">
        <f>M226</f>
        <v>82.142339740560004</v>
      </c>
      <c r="J316" s="27">
        <f>S280</f>
        <v>155.67200154838523</v>
      </c>
      <c r="K316" s="8">
        <f>Q292</f>
        <v>691.7399999999999</v>
      </c>
      <c r="L316" s="27">
        <f>M299</f>
        <v>129.39886080000002</v>
      </c>
      <c r="M316" s="8">
        <f>J305</f>
        <v>32.94</v>
      </c>
      <c r="N316" s="51">
        <f t="shared" si="103"/>
        <v>1144.7136260889451</v>
      </c>
    </row>
    <row r="319" spans="7:21" ht="13" thickBot="1" x14ac:dyDescent="0.3"/>
    <row r="320" spans="7:21" ht="15" customHeight="1" x14ac:dyDescent="0.25">
      <c r="G320" s="317" t="s">
        <v>225</v>
      </c>
      <c r="H320" s="318"/>
      <c r="I320" s="318"/>
      <c r="J320" s="318"/>
      <c r="K320" s="318"/>
      <c r="L320" s="318"/>
      <c r="M320" s="318"/>
      <c r="N320" s="318"/>
      <c r="O320" s="318"/>
      <c r="P320" s="318"/>
      <c r="Q320" s="318"/>
      <c r="R320" s="318"/>
      <c r="S320" s="318"/>
      <c r="T320" s="319"/>
      <c r="U320" s="106"/>
    </row>
    <row r="321" spans="7:21" ht="13" customHeight="1" x14ac:dyDescent="0.25">
      <c r="G321" s="320"/>
      <c r="H321" s="321"/>
      <c r="I321" s="321"/>
      <c r="J321" s="321"/>
      <c r="K321" s="321"/>
      <c r="L321" s="321"/>
      <c r="M321" s="321"/>
      <c r="N321" s="321"/>
      <c r="O321" s="321"/>
      <c r="P321" s="321"/>
      <c r="Q321" s="321"/>
      <c r="R321" s="321"/>
      <c r="S321" s="321"/>
      <c r="T321" s="322"/>
      <c r="U321" s="106"/>
    </row>
    <row r="322" spans="7:21" ht="24.65" customHeight="1" x14ac:dyDescent="0.25">
      <c r="G322" s="43" t="s">
        <v>0</v>
      </c>
      <c r="H322" s="42" t="s">
        <v>37</v>
      </c>
      <c r="I322" s="42" t="s">
        <v>36</v>
      </c>
      <c r="J322" s="42" t="s">
        <v>35</v>
      </c>
      <c r="K322" s="42" t="s">
        <v>47</v>
      </c>
      <c r="L322" s="47" t="s">
        <v>56</v>
      </c>
      <c r="M322" s="47" t="s">
        <v>50</v>
      </c>
      <c r="N322" s="47" t="s">
        <v>51</v>
      </c>
      <c r="O322" s="47" t="s">
        <v>48</v>
      </c>
      <c r="P322" s="47" t="s">
        <v>52</v>
      </c>
      <c r="Q322" s="37" t="s">
        <v>53</v>
      </c>
      <c r="R322" s="37" t="s">
        <v>54</v>
      </c>
      <c r="S322" s="37" t="s">
        <v>49</v>
      </c>
      <c r="T322" s="48" t="s">
        <v>55</v>
      </c>
    </row>
    <row r="323" spans="7:21" ht="24.65" customHeight="1" x14ac:dyDescent="0.25">
      <c r="G323" s="2" t="s">
        <v>13</v>
      </c>
      <c r="H323" s="41">
        <v>41.9</v>
      </c>
      <c r="I323" s="41">
        <v>9.8000000000000007</v>
      </c>
      <c r="J323" s="71">
        <f t="shared" ref="J323:J328" si="104">I323/2</f>
        <v>4.9000000000000004</v>
      </c>
      <c r="K323" s="71">
        <f t="shared" ref="K323:K328" si="105">H323-J323</f>
        <v>37</v>
      </c>
      <c r="L323" s="59">
        <f>D$173</f>
        <v>3</v>
      </c>
      <c r="M323" s="45">
        <v>18</v>
      </c>
      <c r="N323" s="45">
        <f t="shared" ref="N323:N328" si="106">25.5-M323</f>
        <v>7.5</v>
      </c>
      <c r="O323" s="45">
        <f t="shared" ref="O323:O328" si="107">K323-29.4</f>
        <v>7.6000000000000014</v>
      </c>
      <c r="P323" s="8">
        <f t="shared" ref="P323:P328" si="108">L323+N323+O323</f>
        <v>18.100000000000001</v>
      </c>
      <c r="Q323" s="8">
        <v>3.75</v>
      </c>
      <c r="R323" s="8">
        <v>1.296</v>
      </c>
      <c r="S323" s="8">
        <f>30*9</f>
        <v>270</v>
      </c>
      <c r="T323" s="40">
        <f t="shared" ref="T323:T328" si="109">(P323*Q323*R323*S323)/1000</f>
        <v>23.750820000000004</v>
      </c>
      <c r="U323" s="128"/>
    </row>
    <row r="324" spans="7:21" ht="24.65" customHeight="1" x14ac:dyDescent="0.25">
      <c r="G324" s="2" t="s">
        <v>24</v>
      </c>
      <c r="H324" s="41">
        <v>36.9</v>
      </c>
      <c r="I324" s="41">
        <v>6.2</v>
      </c>
      <c r="J324" s="71">
        <f t="shared" si="104"/>
        <v>3.1</v>
      </c>
      <c r="K324" s="71">
        <f t="shared" si="105"/>
        <v>33.799999999999997</v>
      </c>
      <c r="L324" s="59">
        <f t="shared" ref="L324:L328" si="110">D$173</f>
        <v>3</v>
      </c>
      <c r="M324" s="45">
        <v>18</v>
      </c>
      <c r="N324" s="45">
        <f t="shared" si="106"/>
        <v>7.5</v>
      </c>
      <c r="O324" s="45">
        <f t="shared" si="107"/>
        <v>4.3999999999999986</v>
      </c>
      <c r="P324" s="8">
        <f t="shared" si="108"/>
        <v>14.899999999999999</v>
      </c>
      <c r="Q324" s="8">
        <v>3.75</v>
      </c>
      <c r="R324" s="8">
        <v>1.296</v>
      </c>
      <c r="S324" s="8">
        <f>31*9</f>
        <v>279</v>
      </c>
      <c r="T324" s="40">
        <f t="shared" si="109"/>
        <v>20.203505999999997</v>
      </c>
      <c r="U324" s="128"/>
    </row>
    <row r="325" spans="7:21" ht="24.65" customHeight="1" x14ac:dyDescent="0.25">
      <c r="G325" s="2" t="s">
        <v>19</v>
      </c>
      <c r="H325" s="41">
        <v>34.1</v>
      </c>
      <c r="I325" s="41">
        <v>5.8</v>
      </c>
      <c r="J325" s="71">
        <f t="shared" si="104"/>
        <v>2.9</v>
      </c>
      <c r="K325" s="71">
        <f t="shared" si="105"/>
        <v>31.200000000000003</v>
      </c>
      <c r="L325" s="59">
        <f t="shared" si="110"/>
        <v>3</v>
      </c>
      <c r="M325" s="45">
        <v>18</v>
      </c>
      <c r="N325" s="45">
        <f t="shared" si="106"/>
        <v>7.5</v>
      </c>
      <c r="O325" s="45">
        <f t="shared" si="107"/>
        <v>1.8000000000000043</v>
      </c>
      <c r="P325" s="8">
        <f t="shared" si="108"/>
        <v>12.300000000000004</v>
      </c>
      <c r="Q325" s="8">
        <v>3.75</v>
      </c>
      <c r="R325" s="8">
        <v>1.296</v>
      </c>
      <c r="S325" s="8">
        <f>31*9</f>
        <v>279</v>
      </c>
      <c r="T325" s="40">
        <f t="shared" si="109"/>
        <v>16.678062000000004</v>
      </c>
      <c r="U325" s="128"/>
    </row>
    <row r="326" spans="7:21" ht="24.65" customHeight="1" x14ac:dyDescent="0.25">
      <c r="G326" s="2" t="s">
        <v>20</v>
      </c>
      <c r="H326" s="41">
        <v>36.1</v>
      </c>
      <c r="I326" s="41">
        <v>7.6</v>
      </c>
      <c r="J326" s="71">
        <f t="shared" si="104"/>
        <v>3.8</v>
      </c>
      <c r="K326" s="71">
        <f t="shared" si="105"/>
        <v>32.300000000000004</v>
      </c>
      <c r="L326" s="59">
        <f t="shared" si="110"/>
        <v>3</v>
      </c>
      <c r="M326" s="45">
        <v>18</v>
      </c>
      <c r="N326" s="45">
        <f t="shared" si="106"/>
        <v>7.5</v>
      </c>
      <c r="O326" s="45">
        <f t="shared" si="107"/>
        <v>2.9000000000000057</v>
      </c>
      <c r="P326" s="8">
        <f t="shared" si="108"/>
        <v>13.400000000000006</v>
      </c>
      <c r="Q326" s="8">
        <v>3.75</v>
      </c>
      <c r="R326" s="8">
        <v>1.296</v>
      </c>
      <c r="S326" s="8">
        <f>30*9</f>
        <v>270</v>
      </c>
      <c r="T326" s="40">
        <f t="shared" si="109"/>
        <v>17.583480000000005</v>
      </c>
      <c r="U326" s="128"/>
    </row>
    <row r="327" spans="7:21" ht="24.65" customHeight="1" x14ac:dyDescent="0.25">
      <c r="G327" s="2" t="s">
        <v>21</v>
      </c>
      <c r="H327" s="41">
        <v>37.799999999999997</v>
      </c>
      <c r="I327" s="41">
        <v>12.8</v>
      </c>
      <c r="J327" s="71">
        <f t="shared" si="104"/>
        <v>6.4</v>
      </c>
      <c r="K327" s="71">
        <f t="shared" si="105"/>
        <v>31.4</v>
      </c>
      <c r="L327" s="59">
        <f t="shared" si="110"/>
        <v>3</v>
      </c>
      <c r="M327" s="45">
        <v>18</v>
      </c>
      <c r="N327" s="45">
        <f t="shared" si="106"/>
        <v>7.5</v>
      </c>
      <c r="O327" s="45">
        <f t="shared" si="107"/>
        <v>2</v>
      </c>
      <c r="P327" s="8">
        <f t="shared" si="108"/>
        <v>12.5</v>
      </c>
      <c r="Q327" s="8">
        <v>3.75</v>
      </c>
      <c r="R327" s="8">
        <v>1.296</v>
      </c>
      <c r="S327" s="8">
        <f>31*9</f>
        <v>279</v>
      </c>
      <c r="T327" s="40">
        <f t="shared" si="109"/>
        <v>16.949249999999999</v>
      </c>
      <c r="U327" s="128"/>
    </row>
    <row r="328" spans="7:21" ht="24.65" customHeight="1" x14ac:dyDescent="0.25">
      <c r="G328" s="2" t="s">
        <v>22</v>
      </c>
      <c r="H328" s="41">
        <v>34.799999999999997</v>
      </c>
      <c r="I328" s="41">
        <v>14.7</v>
      </c>
      <c r="J328" s="71">
        <f t="shared" si="104"/>
        <v>7.35</v>
      </c>
      <c r="K328" s="71">
        <f t="shared" si="105"/>
        <v>27.449999999999996</v>
      </c>
      <c r="L328" s="59">
        <f t="shared" si="110"/>
        <v>3</v>
      </c>
      <c r="M328" s="45">
        <v>18</v>
      </c>
      <c r="N328" s="45">
        <f t="shared" si="106"/>
        <v>7.5</v>
      </c>
      <c r="O328" s="45">
        <f t="shared" si="107"/>
        <v>-1.9500000000000028</v>
      </c>
      <c r="P328" s="8">
        <f t="shared" si="108"/>
        <v>8.5499999999999972</v>
      </c>
      <c r="Q328" s="8">
        <v>3.75</v>
      </c>
      <c r="R328" s="8">
        <v>1.296</v>
      </c>
      <c r="S328" s="8">
        <f>30*9</f>
        <v>270</v>
      </c>
      <c r="T328" s="40">
        <f t="shared" si="109"/>
        <v>11.219309999999997</v>
      </c>
      <c r="U328" s="128"/>
    </row>
    <row r="329" spans="7:21" ht="24.65" customHeight="1" x14ac:dyDescent="0.25">
      <c r="G329" s="303" t="s">
        <v>190</v>
      </c>
      <c r="H329" s="304"/>
      <c r="I329" s="304"/>
      <c r="J329" s="304"/>
      <c r="K329" s="304"/>
      <c r="L329" s="304"/>
      <c r="M329" s="304"/>
      <c r="N329" s="304"/>
      <c r="O329" s="304"/>
      <c r="P329" s="304"/>
      <c r="Q329" s="304"/>
      <c r="R329" s="304"/>
      <c r="S329" s="304"/>
      <c r="T329" s="69">
        <f>SUM(T323:T328)</f>
        <v>106.384428</v>
      </c>
      <c r="U329" s="128"/>
    </row>
    <row r="330" spans="7:21" ht="24.65" customHeight="1" x14ac:dyDescent="0.25">
      <c r="G330" s="2" t="s">
        <v>13</v>
      </c>
      <c r="H330" s="41">
        <v>41.9</v>
      </c>
      <c r="I330" s="41">
        <v>9.8000000000000007</v>
      </c>
      <c r="J330" s="71">
        <f t="shared" ref="J330:J335" si="111">I330/2</f>
        <v>4.9000000000000004</v>
      </c>
      <c r="K330" s="71">
        <f t="shared" ref="K330:K335" si="112">H330-J330</f>
        <v>37</v>
      </c>
      <c r="L330" s="59">
        <f>D$173</f>
        <v>3</v>
      </c>
      <c r="M330" s="45">
        <v>19</v>
      </c>
      <c r="N330" s="45">
        <f t="shared" ref="N330:N335" si="113">25.5-M330</f>
        <v>6.5</v>
      </c>
      <c r="O330" s="45">
        <f t="shared" ref="O330:O335" si="114">K330-29.4</f>
        <v>7.6000000000000014</v>
      </c>
      <c r="P330" s="8">
        <f t="shared" ref="P330:P335" si="115">L330+N330+O330</f>
        <v>17.100000000000001</v>
      </c>
      <c r="Q330" s="8">
        <v>3.75</v>
      </c>
      <c r="R330" s="8">
        <v>1.296</v>
      </c>
      <c r="S330" s="8">
        <f>30*9</f>
        <v>270</v>
      </c>
      <c r="T330" s="40">
        <f t="shared" ref="T330:T335" si="116">(P330*Q330*R330*S330)/1000</f>
        <v>22.438620000000004</v>
      </c>
      <c r="U330" s="128"/>
    </row>
    <row r="331" spans="7:21" ht="24.65" customHeight="1" x14ac:dyDescent="0.25">
      <c r="G331" s="2" t="s">
        <v>24</v>
      </c>
      <c r="H331" s="41">
        <v>36.9</v>
      </c>
      <c r="I331" s="41">
        <v>6.2</v>
      </c>
      <c r="J331" s="71">
        <f t="shared" si="111"/>
        <v>3.1</v>
      </c>
      <c r="K331" s="71">
        <f t="shared" si="112"/>
        <v>33.799999999999997</v>
      </c>
      <c r="L331" s="59">
        <f t="shared" ref="L331:L335" si="117">D$173</f>
        <v>3</v>
      </c>
      <c r="M331" s="45">
        <v>19</v>
      </c>
      <c r="N331" s="45">
        <f t="shared" si="113"/>
        <v>6.5</v>
      </c>
      <c r="O331" s="45">
        <f t="shared" si="114"/>
        <v>4.3999999999999986</v>
      </c>
      <c r="P331" s="8">
        <f t="shared" si="115"/>
        <v>13.899999999999999</v>
      </c>
      <c r="Q331" s="8">
        <v>3.75</v>
      </c>
      <c r="R331" s="8">
        <v>1.296</v>
      </c>
      <c r="S331" s="8">
        <f>31*9</f>
        <v>279</v>
      </c>
      <c r="T331" s="40">
        <f t="shared" si="116"/>
        <v>18.847565999999997</v>
      </c>
      <c r="U331" s="128"/>
    </row>
    <row r="332" spans="7:21" ht="24.65" customHeight="1" x14ac:dyDescent="0.25">
      <c r="G332" s="2" t="s">
        <v>19</v>
      </c>
      <c r="H332" s="41">
        <v>34.1</v>
      </c>
      <c r="I332" s="41">
        <v>5.8</v>
      </c>
      <c r="J332" s="71">
        <f t="shared" si="111"/>
        <v>2.9</v>
      </c>
      <c r="K332" s="71">
        <f t="shared" si="112"/>
        <v>31.200000000000003</v>
      </c>
      <c r="L332" s="59">
        <f t="shared" si="117"/>
        <v>3</v>
      </c>
      <c r="M332" s="45">
        <v>19</v>
      </c>
      <c r="N332" s="45">
        <f t="shared" si="113"/>
        <v>6.5</v>
      </c>
      <c r="O332" s="45">
        <f t="shared" si="114"/>
        <v>1.8000000000000043</v>
      </c>
      <c r="P332" s="8">
        <f t="shared" si="115"/>
        <v>11.300000000000004</v>
      </c>
      <c r="Q332" s="8">
        <v>3.75</v>
      </c>
      <c r="R332" s="8">
        <v>1.296</v>
      </c>
      <c r="S332" s="8">
        <f>31*9</f>
        <v>279</v>
      </c>
      <c r="T332" s="40">
        <f t="shared" si="116"/>
        <v>15.322122000000006</v>
      </c>
      <c r="U332" s="128"/>
    </row>
    <row r="333" spans="7:21" ht="24.65" customHeight="1" x14ac:dyDescent="0.25">
      <c r="G333" s="2" t="s">
        <v>20</v>
      </c>
      <c r="H333" s="41">
        <v>36.1</v>
      </c>
      <c r="I333" s="41">
        <v>7.6</v>
      </c>
      <c r="J333" s="71">
        <f t="shared" si="111"/>
        <v>3.8</v>
      </c>
      <c r="K333" s="71">
        <f t="shared" si="112"/>
        <v>32.300000000000004</v>
      </c>
      <c r="L333" s="59">
        <f t="shared" si="117"/>
        <v>3</v>
      </c>
      <c r="M333" s="45">
        <v>19</v>
      </c>
      <c r="N333" s="45">
        <f t="shared" si="113"/>
        <v>6.5</v>
      </c>
      <c r="O333" s="45">
        <f t="shared" si="114"/>
        <v>2.9000000000000057</v>
      </c>
      <c r="P333" s="8">
        <f t="shared" si="115"/>
        <v>12.400000000000006</v>
      </c>
      <c r="Q333" s="8">
        <v>3.75</v>
      </c>
      <c r="R333" s="8">
        <v>1.296</v>
      </c>
      <c r="S333" s="8">
        <f>30*9</f>
        <v>270</v>
      </c>
      <c r="T333" s="40">
        <f t="shared" si="116"/>
        <v>16.271280000000008</v>
      </c>
      <c r="U333" s="128"/>
    </row>
    <row r="334" spans="7:21" ht="24.65" customHeight="1" x14ac:dyDescent="0.25">
      <c r="G334" s="2" t="s">
        <v>21</v>
      </c>
      <c r="H334" s="41">
        <v>37.799999999999997</v>
      </c>
      <c r="I334" s="41">
        <v>12.8</v>
      </c>
      <c r="J334" s="71">
        <f t="shared" si="111"/>
        <v>6.4</v>
      </c>
      <c r="K334" s="71">
        <f t="shared" si="112"/>
        <v>31.4</v>
      </c>
      <c r="L334" s="59">
        <f t="shared" si="117"/>
        <v>3</v>
      </c>
      <c r="M334" s="45">
        <v>19</v>
      </c>
      <c r="N334" s="45">
        <f t="shared" si="113"/>
        <v>6.5</v>
      </c>
      <c r="O334" s="45">
        <f t="shared" si="114"/>
        <v>2</v>
      </c>
      <c r="P334" s="8">
        <f t="shared" si="115"/>
        <v>11.5</v>
      </c>
      <c r="Q334" s="8">
        <v>3.75</v>
      </c>
      <c r="R334" s="8">
        <v>1.296</v>
      </c>
      <c r="S334" s="8">
        <f>31*9</f>
        <v>279</v>
      </c>
      <c r="T334" s="40">
        <f t="shared" si="116"/>
        <v>15.593309999999999</v>
      </c>
      <c r="U334" s="128"/>
    </row>
    <row r="335" spans="7:21" ht="24.65" customHeight="1" x14ac:dyDescent="0.25">
      <c r="G335" s="2" t="s">
        <v>22</v>
      </c>
      <c r="H335" s="41">
        <v>34.799999999999997</v>
      </c>
      <c r="I335" s="41">
        <v>14.7</v>
      </c>
      <c r="J335" s="71">
        <f t="shared" si="111"/>
        <v>7.35</v>
      </c>
      <c r="K335" s="71">
        <f t="shared" si="112"/>
        <v>27.449999999999996</v>
      </c>
      <c r="L335" s="59">
        <f t="shared" si="117"/>
        <v>3</v>
      </c>
      <c r="M335" s="45">
        <v>19</v>
      </c>
      <c r="N335" s="45">
        <f t="shared" si="113"/>
        <v>6.5</v>
      </c>
      <c r="O335" s="45">
        <f t="shared" si="114"/>
        <v>-1.9500000000000028</v>
      </c>
      <c r="P335" s="8">
        <f t="shared" si="115"/>
        <v>7.5499999999999972</v>
      </c>
      <c r="Q335" s="8">
        <v>3.75</v>
      </c>
      <c r="R335" s="8">
        <v>1.296</v>
      </c>
      <c r="S335" s="8">
        <f>30*9</f>
        <v>270</v>
      </c>
      <c r="T335" s="40">
        <f t="shared" si="116"/>
        <v>9.9071099999999976</v>
      </c>
      <c r="U335" s="128"/>
    </row>
    <row r="336" spans="7:21" ht="24.65" customHeight="1" x14ac:dyDescent="0.25">
      <c r="G336" s="303" t="s">
        <v>191</v>
      </c>
      <c r="H336" s="304"/>
      <c r="I336" s="304"/>
      <c r="J336" s="304"/>
      <c r="K336" s="304"/>
      <c r="L336" s="304"/>
      <c r="M336" s="304"/>
      <c r="N336" s="304"/>
      <c r="O336" s="304"/>
      <c r="P336" s="304"/>
      <c r="Q336" s="304"/>
      <c r="R336" s="304"/>
      <c r="S336" s="304"/>
      <c r="T336" s="69">
        <f>SUM(T330:T335)</f>
        <v>98.380008000000018</v>
      </c>
      <c r="U336" s="128"/>
    </row>
    <row r="337" spans="7:21" ht="18" customHeight="1" x14ac:dyDescent="0.25">
      <c r="G337" s="2" t="s">
        <v>13</v>
      </c>
      <c r="H337" s="41">
        <v>41.9</v>
      </c>
      <c r="I337" s="41">
        <v>9.8000000000000007</v>
      </c>
      <c r="J337" s="71">
        <f t="shared" ref="J337:J342" si="118">I337/2</f>
        <v>4.9000000000000004</v>
      </c>
      <c r="K337" s="71">
        <f t="shared" ref="K337:K342" si="119">H337-J337</f>
        <v>37</v>
      </c>
      <c r="L337" s="59">
        <f t="shared" ref="L337:L342" si="120">D$173</f>
        <v>3</v>
      </c>
      <c r="M337" s="45">
        <v>20</v>
      </c>
      <c r="N337" s="45">
        <f t="shared" ref="N337:N342" si="121">25.5-M337</f>
        <v>5.5</v>
      </c>
      <c r="O337" s="45">
        <f t="shared" ref="O337:O342" si="122">K337-29.4</f>
        <v>7.6000000000000014</v>
      </c>
      <c r="P337" s="8">
        <f t="shared" ref="P337:P342" si="123">L337+N337+O337</f>
        <v>16.100000000000001</v>
      </c>
      <c r="Q337" s="8">
        <v>3.75</v>
      </c>
      <c r="R337" s="8">
        <v>1.296</v>
      </c>
      <c r="S337" s="8">
        <f>30*9</f>
        <v>270</v>
      </c>
      <c r="T337" s="40">
        <f t="shared" ref="T337:T342" si="124">(P337*Q337*R337*S337)/1000</f>
        <v>21.126420000000003</v>
      </c>
    </row>
    <row r="338" spans="7:21" ht="14.5" customHeight="1" x14ac:dyDescent="0.25">
      <c r="G338" s="2" t="s">
        <v>24</v>
      </c>
      <c r="H338" s="41">
        <v>36.9</v>
      </c>
      <c r="I338" s="41">
        <v>6.2</v>
      </c>
      <c r="J338" s="71">
        <f t="shared" si="118"/>
        <v>3.1</v>
      </c>
      <c r="K338" s="71">
        <f t="shared" si="119"/>
        <v>33.799999999999997</v>
      </c>
      <c r="L338" s="59">
        <f t="shared" si="120"/>
        <v>3</v>
      </c>
      <c r="M338" s="45">
        <v>20</v>
      </c>
      <c r="N338" s="45">
        <f t="shared" si="121"/>
        <v>5.5</v>
      </c>
      <c r="O338" s="45">
        <f t="shared" si="122"/>
        <v>4.3999999999999986</v>
      </c>
      <c r="P338" s="8">
        <f t="shared" si="123"/>
        <v>12.899999999999999</v>
      </c>
      <c r="Q338" s="8">
        <v>3.75</v>
      </c>
      <c r="R338" s="8">
        <v>1.296</v>
      </c>
      <c r="S338" s="8">
        <f>31*9</f>
        <v>279</v>
      </c>
      <c r="T338" s="40">
        <f t="shared" si="124"/>
        <v>17.491626</v>
      </c>
    </row>
    <row r="339" spans="7:21" ht="15.65" customHeight="1" x14ac:dyDescent="0.25">
      <c r="G339" s="2" t="s">
        <v>19</v>
      </c>
      <c r="H339" s="41">
        <v>34.1</v>
      </c>
      <c r="I339" s="41">
        <v>5.8</v>
      </c>
      <c r="J339" s="71">
        <f t="shared" si="118"/>
        <v>2.9</v>
      </c>
      <c r="K339" s="71">
        <f t="shared" si="119"/>
        <v>31.200000000000003</v>
      </c>
      <c r="L339" s="59">
        <f t="shared" si="120"/>
        <v>3</v>
      </c>
      <c r="M339" s="45">
        <v>20</v>
      </c>
      <c r="N339" s="45">
        <f t="shared" si="121"/>
        <v>5.5</v>
      </c>
      <c r="O339" s="45">
        <f t="shared" si="122"/>
        <v>1.8000000000000043</v>
      </c>
      <c r="P339" s="8">
        <f t="shared" si="123"/>
        <v>10.300000000000004</v>
      </c>
      <c r="Q339" s="8">
        <v>3.75</v>
      </c>
      <c r="R339" s="8">
        <v>1.296</v>
      </c>
      <c r="S339" s="8">
        <f>31*9</f>
        <v>279</v>
      </c>
      <c r="T339" s="40">
        <f t="shared" si="124"/>
        <v>13.966182000000007</v>
      </c>
    </row>
    <row r="340" spans="7:21" ht="15" customHeight="1" x14ac:dyDescent="0.25">
      <c r="G340" s="2" t="s">
        <v>20</v>
      </c>
      <c r="H340" s="41">
        <v>36.1</v>
      </c>
      <c r="I340" s="41">
        <v>7.6</v>
      </c>
      <c r="J340" s="71">
        <f t="shared" si="118"/>
        <v>3.8</v>
      </c>
      <c r="K340" s="71">
        <f t="shared" si="119"/>
        <v>32.300000000000004</v>
      </c>
      <c r="L340" s="59">
        <f t="shared" si="120"/>
        <v>3</v>
      </c>
      <c r="M340" s="45">
        <v>20</v>
      </c>
      <c r="N340" s="45">
        <f t="shared" si="121"/>
        <v>5.5</v>
      </c>
      <c r="O340" s="45">
        <f t="shared" si="122"/>
        <v>2.9000000000000057</v>
      </c>
      <c r="P340" s="8">
        <f t="shared" si="123"/>
        <v>11.400000000000006</v>
      </c>
      <c r="Q340" s="8">
        <v>3.75</v>
      </c>
      <c r="R340" s="8">
        <v>1.296</v>
      </c>
      <c r="S340" s="8">
        <f>30*9</f>
        <v>270</v>
      </c>
      <c r="T340" s="40">
        <f t="shared" si="124"/>
        <v>14.959080000000009</v>
      </c>
    </row>
    <row r="341" spans="7:21" ht="15" customHeight="1" x14ac:dyDescent="0.25">
      <c r="G341" s="2" t="s">
        <v>21</v>
      </c>
      <c r="H341" s="41">
        <v>37.799999999999997</v>
      </c>
      <c r="I341" s="41">
        <v>12.8</v>
      </c>
      <c r="J341" s="71">
        <f t="shared" si="118"/>
        <v>6.4</v>
      </c>
      <c r="K341" s="71">
        <f t="shared" si="119"/>
        <v>31.4</v>
      </c>
      <c r="L341" s="59">
        <f t="shared" si="120"/>
        <v>3</v>
      </c>
      <c r="M341" s="45">
        <v>20</v>
      </c>
      <c r="N341" s="45">
        <f t="shared" si="121"/>
        <v>5.5</v>
      </c>
      <c r="O341" s="45">
        <f t="shared" si="122"/>
        <v>2</v>
      </c>
      <c r="P341" s="8">
        <f t="shared" si="123"/>
        <v>10.5</v>
      </c>
      <c r="Q341" s="8">
        <v>3.75</v>
      </c>
      <c r="R341" s="8">
        <v>1.296</v>
      </c>
      <c r="S341" s="8">
        <f>31*9</f>
        <v>279</v>
      </c>
      <c r="T341" s="40">
        <f t="shared" si="124"/>
        <v>14.23737</v>
      </c>
    </row>
    <row r="342" spans="7:21" ht="15" customHeight="1" x14ac:dyDescent="0.25">
      <c r="G342" s="2" t="s">
        <v>22</v>
      </c>
      <c r="H342" s="41">
        <v>34.799999999999997</v>
      </c>
      <c r="I342" s="41">
        <v>14.7</v>
      </c>
      <c r="J342" s="71">
        <f t="shared" si="118"/>
        <v>7.35</v>
      </c>
      <c r="K342" s="71">
        <f t="shared" si="119"/>
        <v>27.449999999999996</v>
      </c>
      <c r="L342" s="59">
        <f t="shared" si="120"/>
        <v>3</v>
      </c>
      <c r="M342" s="45">
        <v>20</v>
      </c>
      <c r="N342" s="45">
        <f t="shared" si="121"/>
        <v>5.5</v>
      </c>
      <c r="O342" s="45">
        <f t="shared" si="122"/>
        <v>-1.9500000000000028</v>
      </c>
      <c r="P342" s="8">
        <f t="shared" si="123"/>
        <v>6.5499999999999972</v>
      </c>
      <c r="Q342" s="8">
        <v>3.75</v>
      </c>
      <c r="R342" s="8">
        <v>1.296</v>
      </c>
      <c r="S342" s="8">
        <f>30*9</f>
        <v>270</v>
      </c>
      <c r="T342" s="40">
        <f t="shared" si="124"/>
        <v>8.5949099999999969</v>
      </c>
    </row>
    <row r="343" spans="7:21" ht="15" customHeight="1" x14ac:dyDescent="0.25">
      <c r="G343" s="303" t="s">
        <v>179</v>
      </c>
      <c r="H343" s="304"/>
      <c r="I343" s="304"/>
      <c r="J343" s="304"/>
      <c r="K343" s="304"/>
      <c r="L343" s="304"/>
      <c r="M343" s="304"/>
      <c r="N343" s="304"/>
      <c r="O343" s="304"/>
      <c r="P343" s="304"/>
      <c r="Q343" s="304"/>
      <c r="R343" s="304"/>
      <c r="S343" s="304"/>
      <c r="T343" s="69">
        <f>SUM(T337:T342)</f>
        <v>90.375588000000022</v>
      </c>
      <c r="U343" s="105"/>
    </row>
    <row r="344" spans="7:21" ht="15" customHeight="1" x14ac:dyDescent="0.25">
      <c r="G344" s="2" t="s">
        <v>13</v>
      </c>
      <c r="H344" s="41">
        <v>41.9</v>
      </c>
      <c r="I344" s="41">
        <v>9.8000000000000007</v>
      </c>
      <c r="J344" s="71">
        <f t="shared" ref="J344:J349" si="125">I344/2</f>
        <v>4.9000000000000004</v>
      </c>
      <c r="K344" s="71">
        <f t="shared" ref="K344:K349" si="126">H344-J344</f>
        <v>37</v>
      </c>
      <c r="L344" s="59">
        <f t="shared" ref="L344:L349" si="127">D$173</f>
        <v>3</v>
      </c>
      <c r="M344" s="45">
        <v>21</v>
      </c>
      <c r="N344" s="45">
        <f t="shared" ref="N344:N349" si="128">25.5-M344</f>
        <v>4.5</v>
      </c>
      <c r="O344" s="45">
        <f t="shared" ref="O344:O349" si="129">K344-29.4</f>
        <v>7.6000000000000014</v>
      </c>
      <c r="P344" s="8">
        <f t="shared" ref="P344:P349" si="130">L344+N344+O344</f>
        <v>15.100000000000001</v>
      </c>
      <c r="Q344" s="8">
        <v>3.75</v>
      </c>
      <c r="R344" s="8">
        <v>1.296</v>
      </c>
      <c r="S344" s="8">
        <f>30*9</f>
        <v>270</v>
      </c>
      <c r="T344" s="40">
        <f t="shared" ref="T344:T349" si="131">(P344*Q344*R344*S344)/1000</f>
        <v>19.814220000000002</v>
      </c>
    </row>
    <row r="345" spans="7:21" ht="15" customHeight="1" x14ac:dyDescent="0.25">
      <c r="G345" s="2" t="s">
        <v>24</v>
      </c>
      <c r="H345" s="41">
        <v>36.9</v>
      </c>
      <c r="I345" s="41">
        <v>6.2</v>
      </c>
      <c r="J345" s="71">
        <f t="shared" si="125"/>
        <v>3.1</v>
      </c>
      <c r="K345" s="71">
        <f t="shared" si="126"/>
        <v>33.799999999999997</v>
      </c>
      <c r="L345" s="59">
        <f t="shared" si="127"/>
        <v>3</v>
      </c>
      <c r="M345" s="45">
        <v>21</v>
      </c>
      <c r="N345" s="45">
        <f t="shared" si="128"/>
        <v>4.5</v>
      </c>
      <c r="O345" s="45">
        <f t="shared" si="129"/>
        <v>4.3999999999999986</v>
      </c>
      <c r="P345" s="8">
        <f t="shared" si="130"/>
        <v>11.899999999999999</v>
      </c>
      <c r="Q345" s="8">
        <v>3.75</v>
      </c>
      <c r="R345" s="8">
        <v>1.296</v>
      </c>
      <c r="S345" s="8">
        <f>31*9</f>
        <v>279</v>
      </c>
      <c r="T345" s="40">
        <f t="shared" si="131"/>
        <v>16.135686</v>
      </c>
    </row>
    <row r="346" spans="7:21" ht="15" customHeight="1" x14ac:dyDescent="0.25">
      <c r="G346" s="2" t="s">
        <v>19</v>
      </c>
      <c r="H346" s="41">
        <v>34.1</v>
      </c>
      <c r="I346" s="41">
        <v>5.8</v>
      </c>
      <c r="J346" s="71">
        <f t="shared" si="125"/>
        <v>2.9</v>
      </c>
      <c r="K346" s="71">
        <f t="shared" si="126"/>
        <v>31.200000000000003</v>
      </c>
      <c r="L346" s="59">
        <f t="shared" si="127"/>
        <v>3</v>
      </c>
      <c r="M346" s="45">
        <v>21</v>
      </c>
      <c r="N346" s="45">
        <f t="shared" si="128"/>
        <v>4.5</v>
      </c>
      <c r="O346" s="45">
        <f t="shared" si="129"/>
        <v>1.8000000000000043</v>
      </c>
      <c r="P346" s="8">
        <f t="shared" si="130"/>
        <v>9.3000000000000043</v>
      </c>
      <c r="Q346" s="8">
        <v>3.75</v>
      </c>
      <c r="R346" s="8">
        <v>1.296</v>
      </c>
      <c r="S346" s="8">
        <f>31*9</f>
        <v>279</v>
      </c>
      <c r="T346" s="40">
        <f t="shared" si="131"/>
        <v>12.610242000000005</v>
      </c>
    </row>
    <row r="347" spans="7:21" ht="15" customHeight="1" x14ac:dyDescent="0.25">
      <c r="G347" s="2" t="s">
        <v>20</v>
      </c>
      <c r="H347" s="41">
        <v>36.1</v>
      </c>
      <c r="I347" s="41">
        <v>7.6</v>
      </c>
      <c r="J347" s="71">
        <f t="shared" si="125"/>
        <v>3.8</v>
      </c>
      <c r="K347" s="71">
        <f t="shared" si="126"/>
        <v>32.300000000000004</v>
      </c>
      <c r="L347" s="59">
        <f t="shared" si="127"/>
        <v>3</v>
      </c>
      <c r="M347" s="45">
        <v>21</v>
      </c>
      <c r="N347" s="45">
        <f t="shared" si="128"/>
        <v>4.5</v>
      </c>
      <c r="O347" s="45">
        <f t="shared" si="129"/>
        <v>2.9000000000000057</v>
      </c>
      <c r="P347" s="8">
        <f t="shared" si="130"/>
        <v>10.400000000000006</v>
      </c>
      <c r="Q347" s="8">
        <v>3.75</v>
      </c>
      <c r="R347" s="8">
        <v>1.296</v>
      </c>
      <c r="S347" s="8">
        <f>30*9</f>
        <v>270</v>
      </c>
      <c r="T347" s="40">
        <f t="shared" si="131"/>
        <v>13.646880000000008</v>
      </c>
    </row>
    <row r="348" spans="7:21" ht="15" customHeight="1" x14ac:dyDescent="0.25">
      <c r="G348" s="2" t="s">
        <v>21</v>
      </c>
      <c r="H348" s="41">
        <v>37.799999999999997</v>
      </c>
      <c r="I348" s="41">
        <v>12.8</v>
      </c>
      <c r="J348" s="71">
        <f t="shared" si="125"/>
        <v>6.4</v>
      </c>
      <c r="K348" s="71">
        <f t="shared" si="126"/>
        <v>31.4</v>
      </c>
      <c r="L348" s="59">
        <f t="shared" si="127"/>
        <v>3</v>
      </c>
      <c r="M348" s="45">
        <v>21</v>
      </c>
      <c r="N348" s="45">
        <f t="shared" si="128"/>
        <v>4.5</v>
      </c>
      <c r="O348" s="45">
        <f t="shared" si="129"/>
        <v>2</v>
      </c>
      <c r="P348" s="8">
        <f t="shared" si="130"/>
        <v>9.5</v>
      </c>
      <c r="Q348" s="8">
        <v>3.75</v>
      </c>
      <c r="R348" s="8">
        <v>1.296</v>
      </c>
      <c r="S348" s="8">
        <f>31*9</f>
        <v>279</v>
      </c>
      <c r="T348" s="40">
        <f t="shared" si="131"/>
        <v>12.88143</v>
      </c>
    </row>
    <row r="349" spans="7:21" ht="15" customHeight="1" x14ac:dyDescent="0.25">
      <c r="G349" s="2" t="s">
        <v>22</v>
      </c>
      <c r="H349" s="41">
        <v>34.799999999999997</v>
      </c>
      <c r="I349" s="41">
        <v>14.7</v>
      </c>
      <c r="J349" s="71">
        <f t="shared" si="125"/>
        <v>7.35</v>
      </c>
      <c r="K349" s="71">
        <f t="shared" si="126"/>
        <v>27.449999999999996</v>
      </c>
      <c r="L349" s="59">
        <f t="shared" si="127"/>
        <v>3</v>
      </c>
      <c r="M349" s="45">
        <v>21</v>
      </c>
      <c r="N349" s="45">
        <f t="shared" si="128"/>
        <v>4.5</v>
      </c>
      <c r="O349" s="45">
        <f t="shared" si="129"/>
        <v>-1.9500000000000028</v>
      </c>
      <c r="P349" s="8">
        <f t="shared" si="130"/>
        <v>5.5499999999999972</v>
      </c>
      <c r="Q349" s="8">
        <v>3.75</v>
      </c>
      <c r="R349" s="8">
        <v>1.296</v>
      </c>
      <c r="S349" s="8">
        <f>30*9</f>
        <v>270</v>
      </c>
      <c r="T349" s="40">
        <f t="shared" si="131"/>
        <v>7.2827099999999962</v>
      </c>
    </row>
    <row r="350" spans="7:21" ht="14.15" customHeight="1" x14ac:dyDescent="0.25">
      <c r="G350" s="303" t="s">
        <v>180</v>
      </c>
      <c r="H350" s="304"/>
      <c r="I350" s="304"/>
      <c r="J350" s="304"/>
      <c r="K350" s="304"/>
      <c r="L350" s="304"/>
      <c r="M350" s="304"/>
      <c r="N350" s="304"/>
      <c r="O350" s="304"/>
      <c r="P350" s="304"/>
      <c r="Q350" s="304"/>
      <c r="R350" s="304"/>
      <c r="S350" s="304"/>
      <c r="T350" s="69">
        <f>SUM(T344:T349)</f>
        <v>82.371168000000011</v>
      </c>
      <c r="U350" s="105"/>
    </row>
    <row r="351" spans="7:21" ht="14.15" customHeight="1" x14ac:dyDescent="0.25">
      <c r="G351" s="2" t="s">
        <v>13</v>
      </c>
      <c r="H351" s="41">
        <v>41.9</v>
      </c>
      <c r="I351" s="41">
        <v>9.8000000000000007</v>
      </c>
      <c r="J351" s="71">
        <f t="shared" ref="J351:J356" si="132">I351/2</f>
        <v>4.9000000000000004</v>
      </c>
      <c r="K351" s="71">
        <f t="shared" ref="K351:K356" si="133">H351-J351</f>
        <v>37</v>
      </c>
      <c r="L351" s="59">
        <f>D173</f>
        <v>3</v>
      </c>
      <c r="M351" s="45">
        <v>22</v>
      </c>
      <c r="N351" s="45">
        <f t="shared" ref="N351:N356" si="134">25.5-M351</f>
        <v>3.5</v>
      </c>
      <c r="O351" s="45">
        <f t="shared" ref="O351:O356" si="135">K351-29.4</f>
        <v>7.6000000000000014</v>
      </c>
      <c r="P351" s="8">
        <f t="shared" ref="P351:P356" si="136">L351+N351+O351</f>
        <v>14.100000000000001</v>
      </c>
      <c r="Q351" s="8">
        <v>3.75</v>
      </c>
      <c r="R351" s="8">
        <v>1.296</v>
      </c>
      <c r="S351" s="8">
        <f>30*9</f>
        <v>270</v>
      </c>
      <c r="T351" s="40">
        <f t="shared" ref="T351:T356" si="137">(P351*Q351*R351*S351)/1000</f>
        <v>18.502020000000005</v>
      </c>
    </row>
    <row r="352" spans="7:21" ht="14" x14ac:dyDescent="0.25">
      <c r="G352" s="2" t="s">
        <v>24</v>
      </c>
      <c r="H352" s="41">
        <v>36.9</v>
      </c>
      <c r="I352" s="41">
        <v>6.2</v>
      </c>
      <c r="J352" s="71">
        <f t="shared" si="132"/>
        <v>3.1</v>
      </c>
      <c r="K352" s="71">
        <f t="shared" si="133"/>
        <v>33.799999999999997</v>
      </c>
      <c r="L352" s="59">
        <f>D173</f>
        <v>3</v>
      </c>
      <c r="M352" s="45">
        <v>22</v>
      </c>
      <c r="N352" s="45">
        <f t="shared" si="134"/>
        <v>3.5</v>
      </c>
      <c r="O352" s="45">
        <f t="shared" si="135"/>
        <v>4.3999999999999986</v>
      </c>
      <c r="P352" s="8">
        <f t="shared" si="136"/>
        <v>10.899999999999999</v>
      </c>
      <c r="Q352" s="8">
        <v>3.75</v>
      </c>
      <c r="R352" s="8">
        <v>1.296</v>
      </c>
      <c r="S352" s="8">
        <f>31*9</f>
        <v>279</v>
      </c>
      <c r="T352" s="40">
        <f t="shared" si="137"/>
        <v>14.779745999999998</v>
      </c>
    </row>
    <row r="353" spans="7:21" ht="14" x14ac:dyDescent="0.25">
      <c r="G353" s="2" t="s">
        <v>19</v>
      </c>
      <c r="H353" s="41">
        <v>34.1</v>
      </c>
      <c r="I353" s="41">
        <v>5.8</v>
      </c>
      <c r="J353" s="71">
        <f t="shared" si="132"/>
        <v>2.9</v>
      </c>
      <c r="K353" s="71">
        <f t="shared" si="133"/>
        <v>31.200000000000003</v>
      </c>
      <c r="L353" s="59">
        <f>D173</f>
        <v>3</v>
      </c>
      <c r="M353" s="45">
        <v>22</v>
      </c>
      <c r="N353" s="45">
        <f t="shared" si="134"/>
        <v>3.5</v>
      </c>
      <c r="O353" s="45">
        <f t="shared" si="135"/>
        <v>1.8000000000000043</v>
      </c>
      <c r="P353" s="8">
        <f t="shared" si="136"/>
        <v>8.3000000000000043</v>
      </c>
      <c r="Q353" s="8">
        <v>3.75</v>
      </c>
      <c r="R353" s="8">
        <v>1.296</v>
      </c>
      <c r="S353" s="8">
        <f>31*9</f>
        <v>279</v>
      </c>
      <c r="T353" s="40">
        <f t="shared" si="137"/>
        <v>11.254302000000006</v>
      </c>
    </row>
    <row r="354" spans="7:21" ht="14" x14ac:dyDescent="0.25">
      <c r="G354" s="2" t="s">
        <v>20</v>
      </c>
      <c r="H354" s="41">
        <v>36.1</v>
      </c>
      <c r="I354" s="41">
        <v>7.6</v>
      </c>
      <c r="J354" s="71">
        <f t="shared" si="132"/>
        <v>3.8</v>
      </c>
      <c r="K354" s="71">
        <f t="shared" si="133"/>
        <v>32.300000000000004</v>
      </c>
      <c r="L354" s="59">
        <f>D173</f>
        <v>3</v>
      </c>
      <c r="M354" s="45">
        <v>22</v>
      </c>
      <c r="N354" s="45">
        <f t="shared" si="134"/>
        <v>3.5</v>
      </c>
      <c r="O354" s="45">
        <f t="shared" si="135"/>
        <v>2.9000000000000057</v>
      </c>
      <c r="P354" s="8">
        <f t="shared" si="136"/>
        <v>9.4000000000000057</v>
      </c>
      <c r="Q354" s="8">
        <v>3.75</v>
      </c>
      <c r="R354" s="8">
        <v>1.296</v>
      </c>
      <c r="S354" s="8">
        <f>30*9</f>
        <v>270</v>
      </c>
      <c r="T354" s="40">
        <f t="shared" si="137"/>
        <v>12.334680000000008</v>
      </c>
    </row>
    <row r="355" spans="7:21" ht="14" x14ac:dyDescent="0.25">
      <c r="G355" s="2" t="s">
        <v>21</v>
      </c>
      <c r="H355" s="41">
        <v>37.799999999999997</v>
      </c>
      <c r="I355" s="41">
        <v>12.8</v>
      </c>
      <c r="J355" s="71">
        <f t="shared" si="132"/>
        <v>6.4</v>
      </c>
      <c r="K355" s="71">
        <f t="shared" si="133"/>
        <v>31.4</v>
      </c>
      <c r="L355" s="59">
        <f>D173</f>
        <v>3</v>
      </c>
      <c r="M355" s="45">
        <v>22</v>
      </c>
      <c r="N355" s="45">
        <f t="shared" si="134"/>
        <v>3.5</v>
      </c>
      <c r="O355" s="45">
        <f t="shared" si="135"/>
        <v>2</v>
      </c>
      <c r="P355" s="8">
        <f t="shared" si="136"/>
        <v>8.5</v>
      </c>
      <c r="Q355" s="8">
        <v>3.75</v>
      </c>
      <c r="R355" s="8">
        <v>1.296</v>
      </c>
      <c r="S355" s="8">
        <f>31*9</f>
        <v>279</v>
      </c>
      <c r="T355" s="40">
        <f t="shared" si="137"/>
        <v>11.52549</v>
      </c>
    </row>
    <row r="356" spans="7:21" ht="14" x14ac:dyDescent="0.25">
      <c r="G356" s="2" t="s">
        <v>22</v>
      </c>
      <c r="H356" s="41">
        <v>34.799999999999997</v>
      </c>
      <c r="I356" s="41">
        <v>14.7</v>
      </c>
      <c r="J356" s="71">
        <f t="shared" si="132"/>
        <v>7.35</v>
      </c>
      <c r="K356" s="71">
        <f t="shared" si="133"/>
        <v>27.449999999999996</v>
      </c>
      <c r="L356" s="59">
        <f>D173</f>
        <v>3</v>
      </c>
      <c r="M356" s="45">
        <v>22</v>
      </c>
      <c r="N356" s="45">
        <f t="shared" si="134"/>
        <v>3.5</v>
      </c>
      <c r="O356" s="45">
        <f t="shared" si="135"/>
        <v>-1.9500000000000028</v>
      </c>
      <c r="P356" s="8">
        <f t="shared" si="136"/>
        <v>4.5499999999999972</v>
      </c>
      <c r="Q356" s="8">
        <v>3.75</v>
      </c>
      <c r="R356" s="8">
        <v>1.296</v>
      </c>
      <c r="S356" s="8">
        <f>30*9</f>
        <v>270</v>
      </c>
      <c r="T356" s="40">
        <f t="shared" si="137"/>
        <v>5.9705099999999955</v>
      </c>
    </row>
    <row r="357" spans="7:21" ht="15" x14ac:dyDescent="0.25">
      <c r="G357" s="303" t="s">
        <v>181</v>
      </c>
      <c r="H357" s="304"/>
      <c r="I357" s="304"/>
      <c r="J357" s="304"/>
      <c r="K357" s="304"/>
      <c r="L357" s="304"/>
      <c r="M357" s="304"/>
      <c r="N357" s="304"/>
      <c r="O357" s="304"/>
      <c r="P357" s="304"/>
      <c r="Q357" s="304"/>
      <c r="R357" s="304"/>
      <c r="S357" s="304"/>
      <c r="T357" s="69">
        <f>SUM(T351:T356)</f>
        <v>74.366748000000015</v>
      </c>
      <c r="U357" s="105"/>
    </row>
    <row r="358" spans="7:21" ht="14" x14ac:dyDescent="0.25">
      <c r="G358" s="2" t="s">
        <v>13</v>
      </c>
      <c r="H358" s="41">
        <v>41.9</v>
      </c>
      <c r="I358" s="41">
        <v>9.8000000000000007</v>
      </c>
      <c r="J358" s="71">
        <f t="shared" ref="J358:J363" si="138">I358/2</f>
        <v>4.9000000000000004</v>
      </c>
      <c r="K358" s="71">
        <f t="shared" ref="K358:K363" si="139">H358-J358</f>
        <v>37</v>
      </c>
      <c r="L358" s="59">
        <f>D173</f>
        <v>3</v>
      </c>
      <c r="M358" s="45">
        <v>23</v>
      </c>
      <c r="N358" s="45">
        <f t="shared" ref="N358:N363" si="140">25.5-M358</f>
        <v>2.5</v>
      </c>
      <c r="O358" s="45">
        <f t="shared" ref="O358:O363" si="141">K358-29.4</f>
        <v>7.6000000000000014</v>
      </c>
      <c r="P358" s="8">
        <f t="shared" ref="P358:P363" si="142">L358+N358+O358</f>
        <v>13.100000000000001</v>
      </c>
      <c r="Q358" s="8">
        <v>3.75</v>
      </c>
      <c r="R358" s="8">
        <v>1.296</v>
      </c>
      <c r="S358" s="8">
        <f>30*9</f>
        <v>270</v>
      </c>
      <c r="T358" s="40">
        <f t="shared" ref="T358:T363" si="143">(P358*Q358*R358*S358)/1000</f>
        <v>17.189820000000005</v>
      </c>
    </row>
    <row r="359" spans="7:21" ht="14" x14ac:dyDescent="0.25">
      <c r="G359" s="2" t="s">
        <v>24</v>
      </c>
      <c r="H359" s="41">
        <v>36.9</v>
      </c>
      <c r="I359" s="41">
        <v>6.2</v>
      </c>
      <c r="J359" s="71">
        <f t="shared" si="138"/>
        <v>3.1</v>
      </c>
      <c r="K359" s="71">
        <f t="shared" si="139"/>
        <v>33.799999999999997</v>
      </c>
      <c r="L359" s="59">
        <f>D173</f>
        <v>3</v>
      </c>
      <c r="M359" s="45">
        <v>23</v>
      </c>
      <c r="N359" s="45">
        <f t="shared" si="140"/>
        <v>2.5</v>
      </c>
      <c r="O359" s="45">
        <f t="shared" si="141"/>
        <v>4.3999999999999986</v>
      </c>
      <c r="P359" s="8">
        <f t="shared" si="142"/>
        <v>9.8999999999999986</v>
      </c>
      <c r="Q359" s="8">
        <v>3.75</v>
      </c>
      <c r="R359" s="8">
        <v>1.296</v>
      </c>
      <c r="S359" s="8">
        <f>31*9</f>
        <v>279</v>
      </c>
      <c r="T359" s="40">
        <f t="shared" si="143"/>
        <v>13.423805999999997</v>
      </c>
    </row>
    <row r="360" spans="7:21" ht="14" x14ac:dyDescent="0.25">
      <c r="G360" s="2" t="s">
        <v>19</v>
      </c>
      <c r="H360" s="41">
        <v>34.1</v>
      </c>
      <c r="I360" s="41">
        <v>5.8</v>
      </c>
      <c r="J360" s="71">
        <f t="shared" si="138"/>
        <v>2.9</v>
      </c>
      <c r="K360" s="71">
        <f t="shared" si="139"/>
        <v>31.200000000000003</v>
      </c>
      <c r="L360" s="59">
        <f>D173</f>
        <v>3</v>
      </c>
      <c r="M360" s="45">
        <v>23</v>
      </c>
      <c r="N360" s="45">
        <f t="shared" si="140"/>
        <v>2.5</v>
      </c>
      <c r="O360" s="45">
        <f t="shared" si="141"/>
        <v>1.8000000000000043</v>
      </c>
      <c r="P360" s="8">
        <f t="shared" si="142"/>
        <v>7.3000000000000043</v>
      </c>
      <c r="Q360" s="8">
        <v>3.75</v>
      </c>
      <c r="R360" s="8">
        <v>1.296</v>
      </c>
      <c r="S360" s="8">
        <f>31*9</f>
        <v>279</v>
      </c>
      <c r="T360" s="40">
        <f t="shared" si="143"/>
        <v>9.8983620000000059</v>
      </c>
    </row>
    <row r="361" spans="7:21" ht="14" x14ac:dyDescent="0.25">
      <c r="G361" s="2" t="s">
        <v>20</v>
      </c>
      <c r="H361" s="41">
        <v>36.1</v>
      </c>
      <c r="I361" s="41">
        <v>7.6</v>
      </c>
      <c r="J361" s="71">
        <f t="shared" si="138"/>
        <v>3.8</v>
      </c>
      <c r="K361" s="71">
        <f t="shared" si="139"/>
        <v>32.300000000000004</v>
      </c>
      <c r="L361" s="59">
        <f>D173</f>
        <v>3</v>
      </c>
      <c r="M361" s="45">
        <v>23</v>
      </c>
      <c r="N361" s="45">
        <f t="shared" si="140"/>
        <v>2.5</v>
      </c>
      <c r="O361" s="45">
        <f t="shared" si="141"/>
        <v>2.9000000000000057</v>
      </c>
      <c r="P361" s="8">
        <f t="shared" si="142"/>
        <v>8.4000000000000057</v>
      </c>
      <c r="Q361" s="8">
        <v>3.75</v>
      </c>
      <c r="R361" s="8">
        <v>1.296</v>
      </c>
      <c r="S361" s="8">
        <f>30*9</f>
        <v>270</v>
      </c>
      <c r="T361" s="40">
        <f t="shared" si="143"/>
        <v>11.022480000000007</v>
      </c>
    </row>
    <row r="362" spans="7:21" ht="14" x14ac:dyDescent="0.25">
      <c r="G362" s="2" t="s">
        <v>21</v>
      </c>
      <c r="H362" s="41">
        <v>37.799999999999997</v>
      </c>
      <c r="I362" s="41">
        <v>12.8</v>
      </c>
      <c r="J362" s="71">
        <f t="shared" si="138"/>
        <v>6.4</v>
      </c>
      <c r="K362" s="71">
        <f t="shared" si="139"/>
        <v>31.4</v>
      </c>
      <c r="L362" s="59">
        <f>D173</f>
        <v>3</v>
      </c>
      <c r="M362" s="45">
        <v>23</v>
      </c>
      <c r="N362" s="45">
        <f t="shared" si="140"/>
        <v>2.5</v>
      </c>
      <c r="O362" s="45">
        <f t="shared" si="141"/>
        <v>2</v>
      </c>
      <c r="P362" s="8">
        <f t="shared" si="142"/>
        <v>7.5</v>
      </c>
      <c r="Q362" s="8">
        <v>3.75</v>
      </c>
      <c r="R362" s="8">
        <v>1.296</v>
      </c>
      <c r="S362" s="8">
        <f>31*9</f>
        <v>279</v>
      </c>
      <c r="T362" s="40">
        <f t="shared" si="143"/>
        <v>10.169550000000001</v>
      </c>
    </row>
    <row r="363" spans="7:21" ht="14" x14ac:dyDescent="0.25">
      <c r="G363" s="2" t="s">
        <v>22</v>
      </c>
      <c r="H363" s="41">
        <v>34.799999999999997</v>
      </c>
      <c r="I363" s="41">
        <v>14.7</v>
      </c>
      <c r="J363" s="71">
        <f t="shared" si="138"/>
        <v>7.35</v>
      </c>
      <c r="K363" s="71">
        <f t="shared" si="139"/>
        <v>27.449999999999996</v>
      </c>
      <c r="L363" s="59">
        <f>D173</f>
        <v>3</v>
      </c>
      <c r="M363" s="45">
        <v>23</v>
      </c>
      <c r="N363" s="45">
        <f t="shared" si="140"/>
        <v>2.5</v>
      </c>
      <c r="O363" s="45">
        <f t="shared" si="141"/>
        <v>-1.9500000000000028</v>
      </c>
      <c r="P363" s="8">
        <f t="shared" si="142"/>
        <v>3.5499999999999972</v>
      </c>
      <c r="Q363" s="8">
        <v>3.75</v>
      </c>
      <c r="R363" s="8">
        <v>1.296</v>
      </c>
      <c r="S363" s="8">
        <f>30*9</f>
        <v>270</v>
      </c>
      <c r="T363" s="40">
        <f t="shared" si="143"/>
        <v>4.6583099999999957</v>
      </c>
    </row>
    <row r="364" spans="7:21" ht="15" x14ac:dyDescent="0.25">
      <c r="G364" s="303" t="s">
        <v>149</v>
      </c>
      <c r="H364" s="304"/>
      <c r="I364" s="304"/>
      <c r="J364" s="304"/>
      <c r="K364" s="304"/>
      <c r="L364" s="304"/>
      <c r="M364" s="304"/>
      <c r="N364" s="304"/>
      <c r="O364" s="304"/>
      <c r="P364" s="304"/>
      <c r="Q364" s="304"/>
      <c r="R364" s="304"/>
      <c r="S364" s="304"/>
      <c r="T364" s="69">
        <f>SUM(T358:T363)</f>
        <v>66.362328000000019</v>
      </c>
      <c r="U364" s="105"/>
    </row>
    <row r="365" spans="7:21" ht="14" x14ac:dyDescent="0.25">
      <c r="G365" s="2" t="s">
        <v>13</v>
      </c>
      <c r="H365" s="41">
        <v>41.9</v>
      </c>
      <c r="I365" s="41">
        <v>9.8000000000000007</v>
      </c>
      <c r="J365" s="71">
        <f t="shared" ref="J365:J370" si="144">I365/2</f>
        <v>4.9000000000000004</v>
      </c>
      <c r="K365" s="71">
        <f t="shared" ref="K365:K370" si="145">H365-J365</f>
        <v>37</v>
      </c>
      <c r="L365" s="59">
        <f>D173</f>
        <v>3</v>
      </c>
      <c r="M365" s="45">
        <v>24</v>
      </c>
      <c r="N365" s="45">
        <f t="shared" ref="N365:N370" si="146">25.5-M365</f>
        <v>1.5</v>
      </c>
      <c r="O365" s="45">
        <f t="shared" ref="O365:O370" si="147">K365-29.4</f>
        <v>7.6000000000000014</v>
      </c>
      <c r="P365" s="8">
        <f t="shared" ref="P365:P370" si="148">L365+N365+O365</f>
        <v>12.100000000000001</v>
      </c>
      <c r="Q365" s="8">
        <v>3.75</v>
      </c>
      <c r="R365" s="8">
        <v>1.296</v>
      </c>
      <c r="S365" s="8">
        <f>30*9</f>
        <v>270</v>
      </c>
      <c r="T365" s="40">
        <f t="shared" ref="T365:T370" si="149">(P365*Q365*R365*S365)/1000</f>
        <v>15.877620000000002</v>
      </c>
    </row>
    <row r="366" spans="7:21" ht="14" x14ac:dyDescent="0.25">
      <c r="G366" s="2" t="s">
        <v>24</v>
      </c>
      <c r="H366" s="41">
        <v>36.9</v>
      </c>
      <c r="I366" s="41">
        <v>6.2</v>
      </c>
      <c r="J366" s="71">
        <f t="shared" si="144"/>
        <v>3.1</v>
      </c>
      <c r="K366" s="71">
        <f t="shared" si="145"/>
        <v>33.799999999999997</v>
      </c>
      <c r="L366" s="59">
        <f>D173</f>
        <v>3</v>
      </c>
      <c r="M366" s="45">
        <v>24</v>
      </c>
      <c r="N366" s="72">
        <f t="shared" si="146"/>
        <v>1.5</v>
      </c>
      <c r="O366" s="72">
        <f t="shared" si="147"/>
        <v>4.3999999999999986</v>
      </c>
      <c r="P366" s="8">
        <f t="shared" si="148"/>
        <v>8.8999999999999986</v>
      </c>
      <c r="Q366" s="8">
        <v>3.75</v>
      </c>
      <c r="R366" s="8">
        <v>1.296</v>
      </c>
      <c r="S366" s="8">
        <f>31*9</f>
        <v>279</v>
      </c>
      <c r="T366" s="40">
        <f t="shared" si="149"/>
        <v>12.067865999999999</v>
      </c>
    </row>
    <row r="367" spans="7:21" ht="14" x14ac:dyDescent="0.25">
      <c r="G367" s="2" t="s">
        <v>19</v>
      </c>
      <c r="H367" s="41">
        <v>34.1</v>
      </c>
      <c r="I367" s="41">
        <v>5.8</v>
      </c>
      <c r="J367" s="71">
        <f t="shared" si="144"/>
        <v>2.9</v>
      </c>
      <c r="K367" s="71">
        <f t="shared" si="145"/>
        <v>31.200000000000003</v>
      </c>
      <c r="L367" s="59">
        <f>D173</f>
        <v>3</v>
      </c>
      <c r="M367" s="45">
        <v>24</v>
      </c>
      <c r="N367" s="72">
        <f t="shared" si="146"/>
        <v>1.5</v>
      </c>
      <c r="O367" s="72">
        <f t="shared" si="147"/>
        <v>1.8000000000000043</v>
      </c>
      <c r="P367" s="8">
        <f t="shared" si="148"/>
        <v>6.3000000000000043</v>
      </c>
      <c r="Q367" s="8">
        <v>3.75</v>
      </c>
      <c r="R367" s="8">
        <v>1.296</v>
      </c>
      <c r="S367" s="8">
        <f>31*9</f>
        <v>279</v>
      </c>
      <c r="T367" s="40">
        <f t="shared" si="149"/>
        <v>8.5424220000000055</v>
      </c>
    </row>
    <row r="368" spans="7:21" ht="14" x14ac:dyDescent="0.25">
      <c r="G368" s="2" t="s">
        <v>20</v>
      </c>
      <c r="H368" s="41">
        <v>36.1</v>
      </c>
      <c r="I368" s="41">
        <v>7.6</v>
      </c>
      <c r="J368" s="71">
        <f t="shared" si="144"/>
        <v>3.8</v>
      </c>
      <c r="K368" s="71">
        <f t="shared" si="145"/>
        <v>32.300000000000004</v>
      </c>
      <c r="L368" s="59">
        <f>D173</f>
        <v>3</v>
      </c>
      <c r="M368" s="45">
        <v>24</v>
      </c>
      <c r="N368" s="72">
        <f t="shared" si="146"/>
        <v>1.5</v>
      </c>
      <c r="O368" s="72">
        <f t="shared" si="147"/>
        <v>2.9000000000000057</v>
      </c>
      <c r="P368" s="8">
        <f t="shared" si="148"/>
        <v>7.4000000000000057</v>
      </c>
      <c r="Q368" s="8">
        <v>3.75</v>
      </c>
      <c r="R368" s="8">
        <v>1.296</v>
      </c>
      <c r="S368" s="8">
        <f>30*9</f>
        <v>270</v>
      </c>
      <c r="T368" s="40">
        <f t="shared" si="149"/>
        <v>9.710280000000008</v>
      </c>
    </row>
    <row r="369" spans="7:21" ht="14" x14ac:dyDescent="0.25">
      <c r="G369" s="2" t="s">
        <v>21</v>
      </c>
      <c r="H369" s="41">
        <v>37.799999999999997</v>
      </c>
      <c r="I369" s="41">
        <v>12.8</v>
      </c>
      <c r="J369" s="71">
        <f t="shared" si="144"/>
        <v>6.4</v>
      </c>
      <c r="K369" s="71">
        <f t="shared" si="145"/>
        <v>31.4</v>
      </c>
      <c r="L369" s="59">
        <f>D173</f>
        <v>3</v>
      </c>
      <c r="M369" s="45">
        <v>24</v>
      </c>
      <c r="N369" s="72">
        <f t="shared" si="146"/>
        <v>1.5</v>
      </c>
      <c r="O369" s="72">
        <f t="shared" si="147"/>
        <v>2</v>
      </c>
      <c r="P369" s="8">
        <f t="shared" si="148"/>
        <v>6.5</v>
      </c>
      <c r="Q369" s="8">
        <v>3.75</v>
      </c>
      <c r="R369" s="8">
        <v>1.296</v>
      </c>
      <c r="S369" s="8">
        <f>31*9</f>
        <v>279</v>
      </c>
      <c r="T369" s="40">
        <f t="shared" si="149"/>
        <v>8.8136100000000006</v>
      </c>
    </row>
    <row r="370" spans="7:21" ht="14" x14ac:dyDescent="0.25">
      <c r="G370" s="2" t="s">
        <v>22</v>
      </c>
      <c r="H370" s="41">
        <v>34.799999999999997</v>
      </c>
      <c r="I370" s="41">
        <v>14.7</v>
      </c>
      <c r="J370" s="71">
        <f t="shared" si="144"/>
        <v>7.35</v>
      </c>
      <c r="K370" s="71">
        <f t="shared" si="145"/>
        <v>27.449999999999996</v>
      </c>
      <c r="L370" s="59">
        <f>D173</f>
        <v>3</v>
      </c>
      <c r="M370" s="45">
        <v>24</v>
      </c>
      <c r="N370" s="45">
        <f t="shared" si="146"/>
        <v>1.5</v>
      </c>
      <c r="O370" s="45">
        <f t="shared" si="147"/>
        <v>-1.9500000000000028</v>
      </c>
      <c r="P370" s="8">
        <f t="shared" si="148"/>
        <v>2.5499999999999972</v>
      </c>
      <c r="Q370" s="8">
        <v>3.75</v>
      </c>
      <c r="R370" s="8">
        <v>1.296</v>
      </c>
      <c r="S370" s="8">
        <f>30*9</f>
        <v>270</v>
      </c>
      <c r="T370" s="40">
        <f t="shared" si="149"/>
        <v>3.3461099999999964</v>
      </c>
    </row>
    <row r="371" spans="7:21" ht="15.5" thickBot="1" x14ac:dyDescent="0.3">
      <c r="G371" s="301" t="s">
        <v>150</v>
      </c>
      <c r="H371" s="302"/>
      <c r="I371" s="302"/>
      <c r="J371" s="302"/>
      <c r="K371" s="302"/>
      <c r="L371" s="302"/>
      <c r="M371" s="302"/>
      <c r="N371" s="302"/>
      <c r="O371" s="302"/>
      <c r="P371" s="302"/>
      <c r="Q371" s="302"/>
      <c r="R371" s="302"/>
      <c r="S371" s="302"/>
      <c r="T371" s="70">
        <f>SUM(T365:T370)</f>
        <v>58.357908000000009</v>
      </c>
      <c r="U371" s="105"/>
    </row>
    <row r="374" spans="7:21" ht="13" thickBot="1" x14ac:dyDescent="0.3"/>
    <row r="375" spans="7:21" ht="13" x14ac:dyDescent="0.3">
      <c r="G375" s="295" t="s">
        <v>157</v>
      </c>
      <c r="H375" s="296"/>
      <c r="I375" s="296"/>
      <c r="J375" s="296"/>
      <c r="K375" s="296"/>
      <c r="L375" s="296"/>
      <c r="M375" s="297"/>
    </row>
    <row r="376" spans="7:21" ht="15" x14ac:dyDescent="0.25">
      <c r="G376" s="46" t="s">
        <v>78</v>
      </c>
      <c r="H376" s="37" t="s">
        <v>63</v>
      </c>
      <c r="I376" s="37" t="s">
        <v>64</v>
      </c>
      <c r="J376" s="37" t="s">
        <v>79</v>
      </c>
      <c r="K376" s="37" t="s">
        <v>82</v>
      </c>
      <c r="L376" s="37" t="s">
        <v>57</v>
      </c>
      <c r="M376" s="73" t="s">
        <v>80</v>
      </c>
    </row>
    <row r="377" spans="7:21" x14ac:dyDescent="0.25">
      <c r="G377" s="2" t="s">
        <v>13</v>
      </c>
      <c r="H377" s="8">
        <v>0.55000000000000004</v>
      </c>
      <c r="I377" s="8">
        <v>0.51</v>
      </c>
      <c r="J377" s="118">
        <v>173.5</v>
      </c>
      <c r="K377" s="8">
        <v>1.296</v>
      </c>
      <c r="L377" s="8">
        <f>30*9</f>
        <v>270</v>
      </c>
      <c r="M377" s="40">
        <f t="shared" ref="M377:M382" si="150">(H377*I377*J377*K377*L377)/1000</f>
        <v>17.029469160000005</v>
      </c>
    </row>
    <row r="378" spans="7:21" x14ac:dyDescent="0.25">
      <c r="G378" s="2" t="s">
        <v>24</v>
      </c>
      <c r="H378" s="8">
        <v>0.55000000000000004</v>
      </c>
      <c r="I378" s="8">
        <v>0.51</v>
      </c>
      <c r="J378" s="118">
        <v>141.94999999999999</v>
      </c>
      <c r="K378" s="8">
        <v>1.296</v>
      </c>
      <c r="L378" s="8">
        <f>31*9</f>
        <v>279</v>
      </c>
      <c r="M378" s="40">
        <f t="shared" si="150"/>
        <v>14.397181088399998</v>
      </c>
    </row>
    <row r="379" spans="7:21" x14ac:dyDescent="0.25">
      <c r="G379" s="2" t="s">
        <v>19</v>
      </c>
      <c r="H379" s="8">
        <v>0.55000000000000004</v>
      </c>
      <c r="I379" s="8">
        <v>0.51</v>
      </c>
      <c r="J379" s="118">
        <v>119.87</v>
      </c>
      <c r="K379" s="8">
        <v>1.296</v>
      </c>
      <c r="L379" s="8">
        <f>31*9</f>
        <v>279</v>
      </c>
      <c r="M379" s="40">
        <f t="shared" si="150"/>
        <v>12.157732279440003</v>
      </c>
    </row>
    <row r="380" spans="7:21" x14ac:dyDescent="0.25">
      <c r="G380" s="2" t="s">
        <v>20</v>
      </c>
      <c r="H380" s="8">
        <v>0.55000000000000004</v>
      </c>
      <c r="I380" s="8">
        <v>0.51</v>
      </c>
      <c r="J380" s="118">
        <v>110.41</v>
      </c>
      <c r="K380" s="8">
        <v>1.296</v>
      </c>
      <c r="L380" s="8">
        <f>30*9</f>
        <v>270</v>
      </c>
      <c r="M380" s="40">
        <f t="shared" si="150"/>
        <v>10.837024149599999</v>
      </c>
    </row>
    <row r="381" spans="7:21" x14ac:dyDescent="0.25">
      <c r="G381" s="2" t="s">
        <v>21</v>
      </c>
      <c r="H381" s="8">
        <v>0.55000000000000004</v>
      </c>
      <c r="I381" s="8">
        <v>0.51</v>
      </c>
      <c r="J381" s="118">
        <v>97.79</v>
      </c>
      <c r="K381" s="8">
        <v>1.296</v>
      </c>
      <c r="L381" s="8">
        <f>31*9</f>
        <v>279</v>
      </c>
      <c r="M381" s="40">
        <f t="shared" si="150"/>
        <v>9.9182834704800023</v>
      </c>
    </row>
    <row r="382" spans="7:21" x14ac:dyDescent="0.25">
      <c r="G382" s="2" t="s">
        <v>22</v>
      </c>
      <c r="H382" s="8">
        <v>0.55000000000000004</v>
      </c>
      <c r="I382" s="8">
        <v>0.51</v>
      </c>
      <c r="J382" s="118">
        <v>85.17</v>
      </c>
      <c r="K382" s="8">
        <v>1.296</v>
      </c>
      <c r="L382" s="8">
        <f>30*9</f>
        <v>270</v>
      </c>
      <c r="M382" s="40">
        <f t="shared" si="150"/>
        <v>8.3596535352000014</v>
      </c>
    </row>
    <row r="383" spans="7:21" ht="15.5" thickBot="1" x14ac:dyDescent="0.45">
      <c r="G383" s="310" t="s">
        <v>158</v>
      </c>
      <c r="H383" s="311"/>
      <c r="I383" s="311"/>
      <c r="J383" s="311"/>
      <c r="K383" s="311"/>
      <c r="L383" s="311"/>
      <c r="M383" s="74">
        <f>SUM(M377:M382)</f>
        <v>72.699343683120006</v>
      </c>
    </row>
    <row r="385" spans="7:20" ht="13" thickBot="1" x14ac:dyDescent="0.3"/>
    <row r="386" spans="7:20" ht="13" x14ac:dyDescent="0.3">
      <c r="G386" s="308" t="s">
        <v>151</v>
      </c>
      <c r="H386" s="309"/>
      <c r="I386" s="309"/>
      <c r="J386" s="309"/>
      <c r="K386" s="309"/>
      <c r="L386" s="309"/>
      <c r="M386" s="309"/>
      <c r="N386" s="309"/>
      <c r="O386" s="309"/>
      <c r="P386" s="309"/>
      <c r="Q386" s="309"/>
      <c r="R386" s="309"/>
      <c r="S386" s="309"/>
      <c r="T386" s="135"/>
    </row>
    <row r="387" spans="7:20" ht="15" x14ac:dyDescent="0.25">
      <c r="G387" s="46" t="s">
        <v>0</v>
      </c>
      <c r="H387" s="37" t="s">
        <v>84</v>
      </c>
      <c r="I387" s="37" t="s">
        <v>95</v>
      </c>
      <c r="J387" s="37" t="s">
        <v>96</v>
      </c>
      <c r="K387" s="37" t="s">
        <v>97</v>
      </c>
      <c r="L387" s="37" t="s">
        <v>98</v>
      </c>
      <c r="M387" s="37" t="s">
        <v>99</v>
      </c>
      <c r="N387" s="37" t="s">
        <v>100</v>
      </c>
      <c r="O387" s="37" t="s">
        <v>101</v>
      </c>
      <c r="P387" s="83" t="s">
        <v>85</v>
      </c>
      <c r="Q387" s="37" t="s">
        <v>102</v>
      </c>
      <c r="R387" s="37" t="s">
        <v>86</v>
      </c>
      <c r="S387" s="73" t="s">
        <v>103</v>
      </c>
    </row>
    <row r="388" spans="7:20" ht="14" x14ac:dyDescent="0.25">
      <c r="G388" s="2" t="s">
        <v>13</v>
      </c>
      <c r="H388" s="8">
        <v>0.6</v>
      </c>
      <c r="I388" s="8">
        <v>38.880000000000003</v>
      </c>
      <c r="J388" s="8">
        <v>1.0049999999999999</v>
      </c>
      <c r="K388" s="8">
        <v>1.2929999999999999</v>
      </c>
      <c r="L388" s="41">
        <v>41.9</v>
      </c>
      <c r="M388" s="8">
        <v>18</v>
      </c>
      <c r="N388" s="8">
        <f t="shared" ref="N388:N393" si="151">L388-M388</f>
        <v>23.9</v>
      </c>
      <c r="O388" s="27">
        <f t="shared" ref="O388:O393" si="152">H388*I388*J388*K388*N388</f>
        <v>724.50267652799971</v>
      </c>
      <c r="P388" s="8">
        <v>0.27700000000000002</v>
      </c>
      <c r="Q388" s="27">
        <f t="shared" ref="Q388:Q393" si="153">O388*P388</f>
        <v>200.68724139825594</v>
      </c>
      <c r="R388" s="8">
        <f>30*9</f>
        <v>270</v>
      </c>
      <c r="S388" s="40">
        <f t="shared" ref="S388:S393" si="154">(Q388*R388)/1000</f>
        <v>54.185555177529103</v>
      </c>
    </row>
    <row r="389" spans="7:20" ht="14" x14ac:dyDescent="0.25">
      <c r="G389" s="2" t="s">
        <v>24</v>
      </c>
      <c r="H389" s="8">
        <v>0.6</v>
      </c>
      <c r="I389" s="8">
        <v>38.880000000000003</v>
      </c>
      <c r="J389" s="8">
        <v>1.0049999999999999</v>
      </c>
      <c r="K389" s="8">
        <v>1.2929999999999999</v>
      </c>
      <c r="L389" s="41">
        <v>36.9</v>
      </c>
      <c r="M389" s="8">
        <v>18</v>
      </c>
      <c r="N389" s="8">
        <f t="shared" si="151"/>
        <v>18.899999999999999</v>
      </c>
      <c r="O389" s="27">
        <f t="shared" si="152"/>
        <v>572.93307892799976</v>
      </c>
      <c r="P389" s="8">
        <v>0.27700000000000002</v>
      </c>
      <c r="Q389" s="27">
        <f t="shared" si="153"/>
        <v>158.70246286305596</v>
      </c>
      <c r="R389" s="8">
        <f>31*9</f>
        <v>279</v>
      </c>
      <c r="S389" s="40">
        <f t="shared" si="154"/>
        <v>44.277987138792611</v>
      </c>
    </row>
    <row r="390" spans="7:20" ht="14" x14ac:dyDescent="0.25">
      <c r="G390" s="2" t="s">
        <v>19</v>
      </c>
      <c r="H390" s="8">
        <v>0.6</v>
      </c>
      <c r="I390" s="8">
        <v>38.880000000000003</v>
      </c>
      <c r="J390" s="8">
        <v>1.0049999999999999</v>
      </c>
      <c r="K390" s="8">
        <v>1.2929999999999999</v>
      </c>
      <c r="L390" s="41">
        <v>34.1</v>
      </c>
      <c r="M390" s="8">
        <v>18</v>
      </c>
      <c r="N390" s="8">
        <f t="shared" si="151"/>
        <v>16.100000000000001</v>
      </c>
      <c r="O390" s="27">
        <f t="shared" si="152"/>
        <v>488.0541042719999</v>
      </c>
      <c r="P390" s="8">
        <v>0.27700000000000002</v>
      </c>
      <c r="Q390" s="27">
        <f t="shared" si="153"/>
        <v>135.19098688334398</v>
      </c>
      <c r="R390" s="8">
        <f>31*9</f>
        <v>279</v>
      </c>
      <c r="S390" s="40">
        <f t="shared" si="154"/>
        <v>37.718285340452972</v>
      </c>
    </row>
    <row r="391" spans="7:20" ht="14" x14ac:dyDescent="0.25">
      <c r="G391" s="2" t="s">
        <v>20</v>
      </c>
      <c r="H391" s="8">
        <v>0.6</v>
      </c>
      <c r="I391" s="8">
        <v>38.880000000000003</v>
      </c>
      <c r="J391" s="8">
        <v>1.0049999999999999</v>
      </c>
      <c r="K391" s="8">
        <v>1.2929999999999999</v>
      </c>
      <c r="L391" s="41">
        <v>36.1</v>
      </c>
      <c r="M391" s="8">
        <v>18</v>
      </c>
      <c r="N391" s="8">
        <f t="shared" si="151"/>
        <v>18.100000000000001</v>
      </c>
      <c r="O391" s="27">
        <f t="shared" si="152"/>
        <v>548.68194331199993</v>
      </c>
      <c r="P391" s="8">
        <v>0.27700000000000002</v>
      </c>
      <c r="Q391" s="27">
        <f t="shared" si="153"/>
        <v>151.984898297424</v>
      </c>
      <c r="R391" s="8">
        <f>30*9</f>
        <v>270</v>
      </c>
      <c r="S391" s="40">
        <f t="shared" si="154"/>
        <v>41.035922540304476</v>
      </c>
    </row>
    <row r="392" spans="7:20" ht="14" x14ac:dyDescent="0.25">
      <c r="G392" s="2" t="s">
        <v>21</v>
      </c>
      <c r="H392" s="8">
        <v>0.6</v>
      </c>
      <c r="I392" s="8">
        <v>38.880000000000003</v>
      </c>
      <c r="J392" s="8">
        <v>1.0049999999999999</v>
      </c>
      <c r="K392" s="8">
        <v>1.2929999999999999</v>
      </c>
      <c r="L392" s="41">
        <v>37.799999999999997</v>
      </c>
      <c r="M392" s="8">
        <v>18</v>
      </c>
      <c r="N392" s="8">
        <f t="shared" si="151"/>
        <v>19.799999999999997</v>
      </c>
      <c r="O392" s="27">
        <f t="shared" si="152"/>
        <v>600.21560649599974</v>
      </c>
      <c r="P392" s="8">
        <v>0.27700000000000002</v>
      </c>
      <c r="Q392" s="27">
        <f t="shared" si="153"/>
        <v>166.25972299939195</v>
      </c>
      <c r="R392" s="8">
        <f>31*9</f>
        <v>279</v>
      </c>
      <c r="S392" s="40">
        <f t="shared" si="154"/>
        <v>46.386462716830358</v>
      </c>
    </row>
    <row r="393" spans="7:20" ht="14" x14ac:dyDescent="0.25">
      <c r="G393" s="2" t="s">
        <v>22</v>
      </c>
      <c r="H393" s="8">
        <v>0.6</v>
      </c>
      <c r="I393" s="8">
        <v>38.880000000000003</v>
      </c>
      <c r="J393" s="8">
        <v>1.0049999999999999</v>
      </c>
      <c r="K393" s="8">
        <v>1.2929999999999999</v>
      </c>
      <c r="L393" s="41">
        <v>34.799999999999997</v>
      </c>
      <c r="M393" s="8">
        <v>18</v>
      </c>
      <c r="N393" s="8">
        <f t="shared" si="151"/>
        <v>16.799999999999997</v>
      </c>
      <c r="O393" s="27">
        <f t="shared" si="152"/>
        <v>509.27384793599975</v>
      </c>
      <c r="P393" s="8">
        <v>0.27700000000000002</v>
      </c>
      <c r="Q393" s="27">
        <f t="shared" si="153"/>
        <v>141.06885587827193</v>
      </c>
      <c r="R393" s="8">
        <f>30*9</f>
        <v>270</v>
      </c>
      <c r="S393" s="40">
        <f t="shared" si="154"/>
        <v>38.088591087133423</v>
      </c>
    </row>
    <row r="394" spans="7:20" ht="15" x14ac:dyDescent="0.4">
      <c r="G394" s="305" t="s">
        <v>189</v>
      </c>
      <c r="H394" s="306"/>
      <c r="I394" s="306"/>
      <c r="J394" s="306"/>
      <c r="K394" s="306"/>
      <c r="L394" s="306"/>
      <c r="M394" s="306"/>
      <c r="N394" s="306"/>
      <c r="O394" s="306"/>
      <c r="P394" s="306"/>
      <c r="Q394" s="306"/>
      <c r="R394" s="306"/>
      <c r="S394" s="136">
        <f>SUM(S388:S393)</f>
        <v>261.69280400104293</v>
      </c>
    </row>
    <row r="395" spans="7:20" ht="14" x14ac:dyDescent="0.25">
      <c r="G395" s="2" t="s">
        <v>13</v>
      </c>
      <c r="H395" s="8">
        <v>0.6</v>
      </c>
      <c r="I395" s="8">
        <v>38.880000000000003</v>
      </c>
      <c r="J395" s="8">
        <v>1.0049999999999999</v>
      </c>
      <c r="K395" s="8">
        <v>1.2929999999999999</v>
      </c>
      <c r="L395" s="41">
        <v>41.9</v>
      </c>
      <c r="M395" s="8">
        <v>19</v>
      </c>
      <c r="N395" s="8">
        <f t="shared" ref="N395:N400" si="155">L395-M395</f>
        <v>22.9</v>
      </c>
      <c r="O395" s="27">
        <f t="shared" ref="O395:O400" si="156">H395*I395*J395*K395*N395</f>
        <v>694.18875700799981</v>
      </c>
      <c r="P395" s="8">
        <v>0.27700000000000002</v>
      </c>
      <c r="Q395" s="27">
        <f t="shared" ref="Q395:Q400" si="157">O395*P395</f>
        <v>192.29028569121596</v>
      </c>
      <c r="R395" s="8">
        <f>30*9</f>
        <v>270</v>
      </c>
      <c r="S395" s="40">
        <f t="shared" ref="S395:S400" si="158">(Q395*R395)/1000</f>
        <v>51.918377136628308</v>
      </c>
    </row>
    <row r="396" spans="7:20" ht="14" x14ac:dyDescent="0.25">
      <c r="G396" s="2" t="s">
        <v>24</v>
      </c>
      <c r="H396" s="8">
        <v>0.6</v>
      </c>
      <c r="I396" s="8">
        <v>38.880000000000003</v>
      </c>
      <c r="J396" s="8">
        <v>1.0049999999999999</v>
      </c>
      <c r="K396" s="8">
        <v>1.2929999999999999</v>
      </c>
      <c r="L396" s="41">
        <v>36.9</v>
      </c>
      <c r="M396" s="8">
        <v>19</v>
      </c>
      <c r="N396" s="8">
        <f t="shared" si="155"/>
        <v>17.899999999999999</v>
      </c>
      <c r="O396" s="27">
        <f t="shared" si="156"/>
        <v>542.61915940799986</v>
      </c>
      <c r="P396" s="8">
        <v>0.27700000000000002</v>
      </c>
      <c r="Q396" s="27">
        <f t="shared" si="157"/>
        <v>150.30550715601598</v>
      </c>
      <c r="R396" s="8">
        <f>31*9</f>
        <v>279</v>
      </c>
      <c r="S396" s="40">
        <f t="shared" si="158"/>
        <v>41.935236496528461</v>
      </c>
    </row>
    <row r="397" spans="7:20" ht="14" x14ac:dyDescent="0.25">
      <c r="G397" s="2" t="s">
        <v>19</v>
      </c>
      <c r="H397" s="8">
        <v>0.6</v>
      </c>
      <c r="I397" s="8">
        <v>38.880000000000003</v>
      </c>
      <c r="J397" s="8">
        <v>1.0049999999999999</v>
      </c>
      <c r="K397" s="8">
        <v>1.2929999999999999</v>
      </c>
      <c r="L397" s="41">
        <v>34.1</v>
      </c>
      <c r="M397" s="8">
        <v>19</v>
      </c>
      <c r="N397" s="8">
        <f t="shared" si="155"/>
        <v>15.100000000000001</v>
      </c>
      <c r="O397" s="27">
        <f t="shared" si="156"/>
        <v>457.74018475199989</v>
      </c>
      <c r="P397" s="8">
        <v>0.27700000000000002</v>
      </c>
      <c r="Q397" s="27">
        <f t="shared" si="157"/>
        <v>126.79403117630397</v>
      </c>
      <c r="R397" s="8">
        <f>31*9</f>
        <v>279</v>
      </c>
      <c r="S397" s="40">
        <f t="shared" si="158"/>
        <v>35.375534698188808</v>
      </c>
    </row>
    <row r="398" spans="7:20" ht="14" x14ac:dyDescent="0.25">
      <c r="G398" s="2" t="s">
        <v>20</v>
      </c>
      <c r="H398" s="8">
        <v>0.6</v>
      </c>
      <c r="I398" s="8">
        <v>38.880000000000003</v>
      </c>
      <c r="J398" s="8">
        <v>1.0049999999999999</v>
      </c>
      <c r="K398" s="8">
        <v>1.2929999999999999</v>
      </c>
      <c r="L398" s="41">
        <v>36.1</v>
      </c>
      <c r="M398" s="8">
        <v>19</v>
      </c>
      <c r="N398" s="8">
        <f t="shared" si="155"/>
        <v>17.100000000000001</v>
      </c>
      <c r="O398" s="27">
        <f t="shared" si="156"/>
        <v>518.36802379199992</v>
      </c>
      <c r="P398" s="8">
        <v>0.27700000000000002</v>
      </c>
      <c r="Q398" s="27">
        <f t="shared" si="157"/>
        <v>143.58794259038399</v>
      </c>
      <c r="R398" s="8">
        <f>30*9</f>
        <v>270</v>
      </c>
      <c r="S398" s="40">
        <f t="shared" si="158"/>
        <v>38.768744499403681</v>
      </c>
    </row>
    <row r="399" spans="7:20" ht="14" x14ac:dyDescent="0.25">
      <c r="G399" s="2" t="s">
        <v>21</v>
      </c>
      <c r="H399" s="8">
        <v>0.6</v>
      </c>
      <c r="I399" s="8">
        <v>38.880000000000003</v>
      </c>
      <c r="J399" s="8">
        <v>1.0049999999999999</v>
      </c>
      <c r="K399" s="8">
        <v>1.2929999999999999</v>
      </c>
      <c r="L399" s="41">
        <v>37.799999999999997</v>
      </c>
      <c r="M399" s="8">
        <v>19</v>
      </c>
      <c r="N399" s="8">
        <f t="shared" si="155"/>
        <v>18.799999999999997</v>
      </c>
      <c r="O399" s="27">
        <f t="shared" si="156"/>
        <v>569.90168697599972</v>
      </c>
      <c r="P399" s="8">
        <v>0.27700000000000002</v>
      </c>
      <c r="Q399" s="27">
        <f t="shared" si="157"/>
        <v>157.86276729235195</v>
      </c>
      <c r="R399" s="8">
        <f>31*9</f>
        <v>279</v>
      </c>
      <c r="S399" s="40">
        <f t="shared" si="158"/>
        <v>44.043712074566194</v>
      </c>
    </row>
    <row r="400" spans="7:20" ht="14" x14ac:dyDescent="0.25">
      <c r="G400" s="2" t="s">
        <v>22</v>
      </c>
      <c r="H400" s="8">
        <v>0.6</v>
      </c>
      <c r="I400" s="8">
        <v>38.880000000000003</v>
      </c>
      <c r="J400" s="8">
        <v>1.0049999999999999</v>
      </c>
      <c r="K400" s="8">
        <v>1.2929999999999999</v>
      </c>
      <c r="L400" s="41">
        <v>34.799999999999997</v>
      </c>
      <c r="M400" s="8">
        <v>19</v>
      </c>
      <c r="N400" s="8">
        <f t="shared" si="155"/>
        <v>15.799999999999997</v>
      </c>
      <c r="O400" s="27">
        <f t="shared" si="156"/>
        <v>478.9599284159998</v>
      </c>
      <c r="P400" s="8">
        <v>0.27700000000000002</v>
      </c>
      <c r="Q400" s="27">
        <f t="shared" si="157"/>
        <v>132.67190017123195</v>
      </c>
      <c r="R400" s="8">
        <f>30*9</f>
        <v>270</v>
      </c>
      <c r="S400" s="40">
        <f t="shared" si="158"/>
        <v>35.821413046232628</v>
      </c>
    </row>
    <row r="401" spans="7:20" ht="15" x14ac:dyDescent="0.4">
      <c r="G401" s="305" t="s">
        <v>192</v>
      </c>
      <c r="H401" s="306"/>
      <c r="I401" s="306"/>
      <c r="J401" s="306"/>
      <c r="K401" s="306"/>
      <c r="L401" s="306"/>
      <c r="M401" s="306"/>
      <c r="N401" s="306"/>
      <c r="O401" s="306"/>
      <c r="P401" s="306"/>
      <c r="Q401" s="306"/>
      <c r="R401" s="306"/>
      <c r="S401" s="136">
        <f>SUM(S395:S400)</f>
        <v>247.8630179515481</v>
      </c>
    </row>
    <row r="402" spans="7:20" ht="14" x14ac:dyDescent="0.25">
      <c r="G402" s="2" t="s">
        <v>13</v>
      </c>
      <c r="H402" s="8">
        <v>0.6</v>
      </c>
      <c r="I402" s="8">
        <v>38.880000000000003</v>
      </c>
      <c r="J402" s="8">
        <v>1.0049999999999999</v>
      </c>
      <c r="K402" s="8">
        <v>1.2929999999999999</v>
      </c>
      <c r="L402" s="41">
        <v>41.9</v>
      </c>
      <c r="M402" s="8">
        <v>20</v>
      </c>
      <c r="N402" s="8">
        <f t="shared" ref="N402:N407" si="159">L402-M402</f>
        <v>21.9</v>
      </c>
      <c r="O402" s="27">
        <f t="shared" ref="O402:O407" si="160">H402*I402*J402*K402*N402</f>
        <v>663.8748374879998</v>
      </c>
      <c r="P402" s="8">
        <v>0.27700000000000002</v>
      </c>
      <c r="Q402" s="27">
        <f t="shared" ref="Q402:Q407" si="161">O402*P402</f>
        <v>183.89332998417595</v>
      </c>
      <c r="R402" s="8">
        <f>30*9</f>
        <v>270</v>
      </c>
      <c r="S402" s="40">
        <f t="shared" ref="S402:S407" si="162">(Q402*R402)/1000</f>
        <v>49.651199095727506</v>
      </c>
    </row>
    <row r="403" spans="7:20" ht="14" x14ac:dyDescent="0.25">
      <c r="G403" s="2" t="s">
        <v>24</v>
      </c>
      <c r="H403" s="8">
        <v>0.6</v>
      </c>
      <c r="I403" s="8">
        <v>38.880000000000003</v>
      </c>
      <c r="J403" s="8">
        <v>1.0049999999999999</v>
      </c>
      <c r="K403" s="8">
        <v>1.2929999999999999</v>
      </c>
      <c r="L403" s="41">
        <v>36.9</v>
      </c>
      <c r="M403" s="8">
        <v>20</v>
      </c>
      <c r="N403" s="8">
        <f t="shared" si="159"/>
        <v>16.899999999999999</v>
      </c>
      <c r="O403" s="27">
        <f t="shared" si="160"/>
        <v>512.30523988799985</v>
      </c>
      <c r="P403" s="8">
        <v>0.27700000000000002</v>
      </c>
      <c r="Q403" s="27">
        <f t="shared" si="161"/>
        <v>141.90855144897597</v>
      </c>
      <c r="R403" s="8">
        <f>31*9</f>
        <v>279</v>
      </c>
      <c r="S403" s="40">
        <f t="shared" si="162"/>
        <v>39.592485854264297</v>
      </c>
    </row>
    <row r="404" spans="7:20" ht="14" x14ac:dyDescent="0.25">
      <c r="G404" s="2" t="s">
        <v>19</v>
      </c>
      <c r="H404" s="8">
        <v>0.6</v>
      </c>
      <c r="I404" s="8">
        <v>38.880000000000003</v>
      </c>
      <c r="J404" s="8">
        <v>1.0049999999999999</v>
      </c>
      <c r="K404" s="8">
        <v>1.2929999999999999</v>
      </c>
      <c r="L404" s="41">
        <v>34.1</v>
      </c>
      <c r="M404" s="8">
        <v>20</v>
      </c>
      <c r="N404" s="8">
        <f t="shared" si="159"/>
        <v>14.100000000000001</v>
      </c>
      <c r="O404" s="27">
        <f t="shared" si="160"/>
        <v>427.42626523199993</v>
      </c>
      <c r="P404" s="8">
        <v>0.27700000000000002</v>
      </c>
      <c r="Q404" s="27">
        <f t="shared" si="161"/>
        <v>118.397075469264</v>
      </c>
      <c r="R404" s="8">
        <f>31*9</f>
        <v>279</v>
      </c>
      <c r="S404" s="40">
        <f t="shared" si="162"/>
        <v>33.032784055924651</v>
      </c>
    </row>
    <row r="405" spans="7:20" ht="14" x14ac:dyDescent="0.25">
      <c r="G405" s="2" t="s">
        <v>20</v>
      </c>
      <c r="H405" s="8">
        <v>0.6</v>
      </c>
      <c r="I405" s="8">
        <v>38.880000000000003</v>
      </c>
      <c r="J405" s="8">
        <v>1.0049999999999999</v>
      </c>
      <c r="K405" s="8">
        <v>1.2929999999999999</v>
      </c>
      <c r="L405" s="41">
        <v>36.1</v>
      </c>
      <c r="M405" s="8">
        <v>20</v>
      </c>
      <c r="N405" s="8">
        <f t="shared" si="159"/>
        <v>16.100000000000001</v>
      </c>
      <c r="O405" s="27">
        <f t="shared" si="160"/>
        <v>488.0541042719999</v>
      </c>
      <c r="P405" s="8">
        <v>0.27700000000000002</v>
      </c>
      <c r="Q405" s="27">
        <f t="shared" si="161"/>
        <v>135.19098688334398</v>
      </c>
      <c r="R405" s="8">
        <f>30*9</f>
        <v>270</v>
      </c>
      <c r="S405" s="40">
        <f t="shared" si="162"/>
        <v>36.501566458502872</v>
      </c>
    </row>
    <row r="406" spans="7:20" ht="14" x14ac:dyDescent="0.25">
      <c r="G406" s="2" t="s">
        <v>21</v>
      </c>
      <c r="H406" s="8">
        <v>0.6</v>
      </c>
      <c r="I406" s="8">
        <v>38.880000000000003</v>
      </c>
      <c r="J406" s="8">
        <v>1.0049999999999999</v>
      </c>
      <c r="K406" s="8">
        <v>1.2929999999999999</v>
      </c>
      <c r="L406" s="41">
        <v>37.799999999999997</v>
      </c>
      <c r="M406" s="8">
        <v>20</v>
      </c>
      <c r="N406" s="8">
        <f t="shared" si="159"/>
        <v>17.799999999999997</v>
      </c>
      <c r="O406" s="27">
        <f t="shared" si="160"/>
        <v>539.58776745599982</v>
      </c>
      <c r="P406" s="8">
        <v>0.27700000000000002</v>
      </c>
      <c r="Q406" s="27">
        <f t="shared" si="161"/>
        <v>149.46581158531197</v>
      </c>
      <c r="R406" s="8">
        <f>31*9</f>
        <v>279</v>
      </c>
      <c r="S406" s="40">
        <f t="shared" si="162"/>
        <v>41.700961432302037</v>
      </c>
    </row>
    <row r="407" spans="7:20" ht="14" x14ac:dyDescent="0.25">
      <c r="G407" s="2" t="s">
        <v>22</v>
      </c>
      <c r="H407" s="8">
        <v>0.6</v>
      </c>
      <c r="I407" s="8">
        <v>38.880000000000003</v>
      </c>
      <c r="J407" s="8">
        <v>1.0049999999999999</v>
      </c>
      <c r="K407" s="8">
        <v>1.2929999999999999</v>
      </c>
      <c r="L407" s="41">
        <v>34.799999999999997</v>
      </c>
      <c r="M407" s="8">
        <v>20</v>
      </c>
      <c r="N407" s="8">
        <f t="shared" si="159"/>
        <v>14.799999999999997</v>
      </c>
      <c r="O407" s="27">
        <f t="shared" si="160"/>
        <v>448.64600889599978</v>
      </c>
      <c r="P407" s="8">
        <v>0.27700000000000002</v>
      </c>
      <c r="Q407" s="27">
        <f t="shared" si="161"/>
        <v>124.27494446419195</v>
      </c>
      <c r="R407" s="8">
        <f>30*9</f>
        <v>270</v>
      </c>
      <c r="S407" s="40">
        <f t="shared" si="162"/>
        <v>33.554235005331819</v>
      </c>
    </row>
    <row r="408" spans="7:20" ht="15" x14ac:dyDescent="0.4">
      <c r="G408" s="305" t="s">
        <v>177</v>
      </c>
      <c r="H408" s="306"/>
      <c r="I408" s="306"/>
      <c r="J408" s="306"/>
      <c r="K408" s="306"/>
      <c r="L408" s="306"/>
      <c r="M408" s="306"/>
      <c r="N408" s="306"/>
      <c r="O408" s="306"/>
      <c r="P408" s="306"/>
      <c r="Q408" s="306"/>
      <c r="R408" s="306"/>
      <c r="S408" s="136">
        <f>SUM(S402:S407)</f>
        <v>234.03323190205316</v>
      </c>
      <c r="T408" s="105"/>
    </row>
    <row r="409" spans="7:20" ht="14" x14ac:dyDescent="0.25">
      <c r="G409" s="2" t="s">
        <v>13</v>
      </c>
      <c r="H409" s="8">
        <v>0.6</v>
      </c>
      <c r="I409" s="8">
        <v>38.880000000000003</v>
      </c>
      <c r="J409" s="8">
        <v>1.0049999999999999</v>
      </c>
      <c r="K409" s="8">
        <v>1.2929999999999999</v>
      </c>
      <c r="L409" s="41">
        <v>41.9</v>
      </c>
      <c r="M409" s="8">
        <v>21</v>
      </c>
      <c r="N409" s="8">
        <f t="shared" ref="N409:N414" si="163">L409-M409</f>
        <v>20.9</v>
      </c>
      <c r="O409" s="27">
        <f t="shared" ref="O409:O414" si="164">H409*I409*J409*K409*N409</f>
        <v>633.56091796799979</v>
      </c>
      <c r="P409" s="8">
        <v>0.27700000000000002</v>
      </c>
      <c r="Q409" s="27">
        <f t="shared" ref="Q409:Q414" si="165">O409*P409</f>
        <v>175.49637427713594</v>
      </c>
      <c r="R409" s="8">
        <f>30*9</f>
        <v>270</v>
      </c>
      <c r="S409" s="40">
        <f t="shared" ref="S409:S414" si="166">(Q409*R409)/1000</f>
        <v>47.384021054826704</v>
      </c>
    </row>
    <row r="410" spans="7:20" ht="14" x14ac:dyDescent="0.25">
      <c r="G410" s="2" t="s">
        <v>24</v>
      </c>
      <c r="H410" s="8">
        <v>0.6</v>
      </c>
      <c r="I410" s="8">
        <v>38.880000000000003</v>
      </c>
      <c r="J410" s="8">
        <v>1.0049999999999999</v>
      </c>
      <c r="K410" s="8">
        <v>1.2929999999999999</v>
      </c>
      <c r="L410" s="41">
        <v>36.9</v>
      </c>
      <c r="M410" s="8">
        <v>21</v>
      </c>
      <c r="N410" s="8">
        <f t="shared" si="163"/>
        <v>15.899999999999999</v>
      </c>
      <c r="O410" s="27">
        <f t="shared" si="164"/>
        <v>481.99132036799983</v>
      </c>
      <c r="P410" s="8">
        <v>0.27700000000000002</v>
      </c>
      <c r="Q410" s="27">
        <f t="shared" si="165"/>
        <v>133.51159574193596</v>
      </c>
      <c r="R410" s="8">
        <f>31*9</f>
        <v>279</v>
      </c>
      <c r="S410" s="40">
        <f t="shared" si="166"/>
        <v>37.249735212000132</v>
      </c>
    </row>
    <row r="411" spans="7:20" ht="14" x14ac:dyDescent="0.25">
      <c r="G411" s="2" t="s">
        <v>19</v>
      </c>
      <c r="H411" s="8">
        <v>0.6</v>
      </c>
      <c r="I411" s="8">
        <v>38.880000000000003</v>
      </c>
      <c r="J411" s="8">
        <v>1.0049999999999999</v>
      </c>
      <c r="K411" s="8">
        <v>1.2929999999999999</v>
      </c>
      <c r="L411" s="41">
        <v>34.1</v>
      </c>
      <c r="M411" s="8">
        <v>21</v>
      </c>
      <c r="N411" s="8">
        <f t="shared" si="163"/>
        <v>13.100000000000001</v>
      </c>
      <c r="O411" s="27">
        <f t="shared" si="164"/>
        <v>397.11234571199992</v>
      </c>
      <c r="P411" s="8">
        <v>0.27700000000000002</v>
      </c>
      <c r="Q411" s="27">
        <f t="shared" si="165"/>
        <v>110.00011976222399</v>
      </c>
      <c r="R411" s="8">
        <f>31*9</f>
        <v>279</v>
      </c>
      <c r="S411" s="40">
        <f t="shared" si="166"/>
        <v>30.690033413660494</v>
      </c>
    </row>
    <row r="412" spans="7:20" ht="14" x14ac:dyDescent="0.25">
      <c r="G412" s="2" t="s">
        <v>20</v>
      </c>
      <c r="H412" s="8">
        <v>0.6</v>
      </c>
      <c r="I412" s="8">
        <v>38.880000000000003</v>
      </c>
      <c r="J412" s="8">
        <v>1.0049999999999999</v>
      </c>
      <c r="K412" s="8">
        <v>1.2929999999999999</v>
      </c>
      <c r="L412" s="41">
        <v>36.1</v>
      </c>
      <c r="M412" s="8">
        <v>21</v>
      </c>
      <c r="N412" s="8">
        <f t="shared" si="163"/>
        <v>15.100000000000001</v>
      </c>
      <c r="O412" s="27">
        <f t="shared" si="164"/>
        <v>457.74018475199989</v>
      </c>
      <c r="P412" s="8">
        <v>0.27700000000000002</v>
      </c>
      <c r="Q412" s="27">
        <f t="shared" si="165"/>
        <v>126.79403117630397</v>
      </c>
      <c r="R412" s="8">
        <f>30*9</f>
        <v>270</v>
      </c>
      <c r="S412" s="40">
        <f t="shared" si="166"/>
        <v>34.234388417602069</v>
      </c>
    </row>
    <row r="413" spans="7:20" ht="14" x14ac:dyDescent="0.25">
      <c r="G413" s="2" t="s">
        <v>21</v>
      </c>
      <c r="H413" s="8">
        <v>0.6</v>
      </c>
      <c r="I413" s="8">
        <v>38.880000000000003</v>
      </c>
      <c r="J413" s="8">
        <v>1.0049999999999999</v>
      </c>
      <c r="K413" s="8">
        <v>1.2929999999999999</v>
      </c>
      <c r="L413" s="41">
        <v>37.799999999999997</v>
      </c>
      <c r="M413" s="8">
        <v>21</v>
      </c>
      <c r="N413" s="8">
        <f t="shared" si="163"/>
        <v>16.799999999999997</v>
      </c>
      <c r="O413" s="27">
        <f t="shared" si="164"/>
        <v>509.27384793599975</v>
      </c>
      <c r="P413" s="8">
        <v>0.27700000000000002</v>
      </c>
      <c r="Q413" s="27">
        <f t="shared" si="165"/>
        <v>141.06885587827193</v>
      </c>
      <c r="R413" s="8">
        <f>31*9</f>
        <v>279</v>
      </c>
      <c r="S413" s="40">
        <f t="shared" si="166"/>
        <v>39.358210790037866</v>
      </c>
    </row>
    <row r="414" spans="7:20" ht="14" x14ac:dyDescent="0.25">
      <c r="G414" s="2" t="s">
        <v>22</v>
      </c>
      <c r="H414" s="8">
        <v>0.6</v>
      </c>
      <c r="I414" s="8">
        <v>38.880000000000003</v>
      </c>
      <c r="J414" s="8">
        <v>1.0049999999999999</v>
      </c>
      <c r="K414" s="8">
        <v>1.2929999999999999</v>
      </c>
      <c r="L414" s="41">
        <v>34.799999999999997</v>
      </c>
      <c r="M414" s="8">
        <v>21</v>
      </c>
      <c r="N414" s="8">
        <f t="shared" si="163"/>
        <v>13.799999999999997</v>
      </c>
      <c r="O414" s="27">
        <f t="shared" si="164"/>
        <v>418.33208937599983</v>
      </c>
      <c r="P414" s="8">
        <v>0.27700000000000002</v>
      </c>
      <c r="Q414" s="27">
        <f t="shared" si="165"/>
        <v>115.87798875715197</v>
      </c>
      <c r="R414" s="8">
        <f>30*9</f>
        <v>270</v>
      </c>
      <c r="S414" s="40">
        <f t="shared" si="166"/>
        <v>31.287056964431031</v>
      </c>
    </row>
    <row r="415" spans="7:20" ht="15" x14ac:dyDescent="0.4">
      <c r="G415" s="305" t="s">
        <v>178</v>
      </c>
      <c r="H415" s="306"/>
      <c r="I415" s="306"/>
      <c r="J415" s="306"/>
      <c r="K415" s="306"/>
      <c r="L415" s="306"/>
      <c r="M415" s="306"/>
      <c r="N415" s="306"/>
      <c r="O415" s="306"/>
      <c r="P415" s="306"/>
      <c r="Q415" s="306"/>
      <c r="R415" s="306"/>
      <c r="S415" s="136">
        <f>SUM(S409:S414)</f>
        <v>220.2034458525583</v>
      </c>
      <c r="T415" s="105"/>
    </row>
    <row r="416" spans="7:20" ht="14" x14ac:dyDescent="0.25">
      <c r="G416" s="2" t="s">
        <v>13</v>
      </c>
      <c r="H416" s="8">
        <v>0.6</v>
      </c>
      <c r="I416" s="8">
        <v>38.880000000000003</v>
      </c>
      <c r="J416" s="8">
        <v>1.0049999999999999</v>
      </c>
      <c r="K416" s="8">
        <v>1.2929999999999999</v>
      </c>
      <c r="L416" s="41">
        <v>41.9</v>
      </c>
      <c r="M416" s="8">
        <v>22</v>
      </c>
      <c r="N416" s="8">
        <f t="shared" ref="N416:N421" si="167">L416-M416</f>
        <v>19.899999999999999</v>
      </c>
      <c r="O416" s="27">
        <f t="shared" ref="O416:O421" si="168">H416*I416*J416*K416*N416</f>
        <v>603.24699844799977</v>
      </c>
      <c r="P416" s="8">
        <v>0.27700000000000002</v>
      </c>
      <c r="Q416" s="27">
        <f t="shared" ref="Q416:Q421" si="169">O416*P416</f>
        <v>167.09941857009596</v>
      </c>
      <c r="R416" s="8">
        <f>30*9</f>
        <v>270</v>
      </c>
      <c r="S416" s="40">
        <f t="shared" ref="S416:S421" si="170">(Q416*R416)/1000</f>
        <v>45.116843013925909</v>
      </c>
    </row>
    <row r="417" spans="7:20" ht="14" x14ac:dyDescent="0.25">
      <c r="G417" s="2" t="s">
        <v>24</v>
      </c>
      <c r="H417" s="8">
        <v>0.6</v>
      </c>
      <c r="I417" s="8">
        <v>38.880000000000003</v>
      </c>
      <c r="J417" s="8">
        <v>1.0049999999999999</v>
      </c>
      <c r="K417" s="8">
        <v>1.2929999999999999</v>
      </c>
      <c r="L417" s="41">
        <v>36.9</v>
      </c>
      <c r="M417" s="8">
        <v>22</v>
      </c>
      <c r="N417" s="8">
        <f t="shared" si="167"/>
        <v>14.899999999999999</v>
      </c>
      <c r="O417" s="27">
        <f t="shared" si="168"/>
        <v>451.67740084799982</v>
      </c>
      <c r="P417" s="8">
        <v>0.27700000000000002</v>
      </c>
      <c r="Q417" s="27">
        <f t="shared" si="169"/>
        <v>125.11464003489596</v>
      </c>
      <c r="R417" s="8">
        <f>31*9</f>
        <v>279</v>
      </c>
      <c r="S417" s="40">
        <f t="shared" si="170"/>
        <v>34.906984569735968</v>
      </c>
    </row>
    <row r="418" spans="7:20" ht="14" x14ac:dyDescent="0.25">
      <c r="G418" s="2" t="s">
        <v>19</v>
      </c>
      <c r="H418" s="8">
        <v>0.6</v>
      </c>
      <c r="I418" s="8">
        <v>38.880000000000003</v>
      </c>
      <c r="J418" s="8">
        <v>1.0049999999999999</v>
      </c>
      <c r="K418" s="8">
        <v>1.2929999999999999</v>
      </c>
      <c r="L418" s="41">
        <v>34.1</v>
      </c>
      <c r="M418" s="8">
        <v>22</v>
      </c>
      <c r="N418" s="8">
        <f t="shared" si="167"/>
        <v>12.100000000000001</v>
      </c>
      <c r="O418" s="27">
        <f t="shared" si="168"/>
        <v>366.79842619199997</v>
      </c>
      <c r="P418" s="8">
        <v>0.27700000000000002</v>
      </c>
      <c r="Q418" s="27">
        <f t="shared" si="169"/>
        <v>101.603164055184</v>
      </c>
      <c r="R418" s="8">
        <f>31*9</f>
        <v>279</v>
      </c>
      <c r="S418" s="40">
        <f t="shared" si="170"/>
        <v>28.347282771396333</v>
      </c>
    </row>
    <row r="419" spans="7:20" ht="14" x14ac:dyDescent="0.25">
      <c r="G419" s="2" t="s">
        <v>20</v>
      </c>
      <c r="H419" s="8">
        <v>0.6</v>
      </c>
      <c r="I419" s="8">
        <v>38.880000000000003</v>
      </c>
      <c r="J419" s="8">
        <v>1.0049999999999999</v>
      </c>
      <c r="K419" s="8">
        <v>1.2929999999999999</v>
      </c>
      <c r="L419" s="41">
        <v>36.1</v>
      </c>
      <c r="M419" s="8">
        <v>22</v>
      </c>
      <c r="N419" s="8">
        <f t="shared" si="167"/>
        <v>14.100000000000001</v>
      </c>
      <c r="O419" s="27">
        <f t="shared" si="168"/>
        <v>427.42626523199993</v>
      </c>
      <c r="P419" s="8">
        <v>0.27700000000000002</v>
      </c>
      <c r="Q419" s="27">
        <f t="shared" si="169"/>
        <v>118.397075469264</v>
      </c>
      <c r="R419" s="8">
        <f>30*9</f>
        <v>270</v>
      </c>
      <c r="S419" s="40">
        <f t="shared" si="170"/>
        <v>31.967210376701278</v>
      </c>
    </row>
    <row r="420" spans="7:20" ht="14" x14ac:dyDescent="0.25">
      <c r="G420" s="2" t="s">
        <v>21</v>
      </c>
      <c r="H420" s="8">
        <v>0.6</v>
      </c>
      <c r="I420" s="8">
        <v>38.880000000000003</v>
      </c>
      <c r="J420" s="8">
        <v>1.0049999999999999</v>
      </c>
      <c r="K420" s="8">
        <v>1.2929999999999999</v>
      </c>
      <c r="L420" s="41">
        <v>37.799999999999997</v>
      </c>
      <c r="M420" s="8">
        <v>22</v>
      </c>
      <c r="N420" s="8">
        <f t="shared" si="167"/>
        <v>15.799999999999997</v>
      </c>
      <c r="O420" s="27">
        <f t="shared" si="168"/>
        <v>478.9599284159998</v>
      </c>
      <c r="P420" s="8">
        <v>0.27700000000000002</v>
      </c>
      <c r="Q420" s="27">
        <f t="shared" si="169"/>
        <v>132.67190017123195</v>
      </c>
      <c r="R420" s="8">
        <f>31*9</f>
        <v>279</v>
      </c>
      <c r="S420" s="40">
        <f t="shared" si="170"/>
        <v>37.015460147773716</v>
      </c>
    </row>
    <row r="421" spans="7:20" ht="14" x14ac:dyDescent="0.25">
      <c r="G421" s="2" t="s">
        <v>22</v>
      </c>
      <c r="H421" s="8">
        <v>0.6</v>
      </c>
      <c r="I421" s="8">
        <v>38.880000000000003</v>
      </c>
      <c r="J421" s="8">
        <v>1.0049999999999999</v>
      </c>
      <c r="K421" s="8">
        <v>1.2929999999999999</v>
      </c>
      <c r="L421" s="41">
        <v>34.799999999999997</v>
      </c>
      <c r="M421" s="8">
        <v>22</v>
      </c>
      <c r="N421" s="8">
        <f t="shared" si="167"/>
        <v>12.799999999999997</v>
      </c>
      <c r="O421" s="27">
        <f t="shared" si="168"/>
        <v>388.01816985599982</v>
      </c>
      <c r="P421" s="8">
        <v>0.27700000000000002</v>
      </c>
      <c r="Q421" s="27">
        <f t="shared" si="169"/>
        <v>107.48103305011196</v>
      </c>
      <c r="R421" s="8">
        <f>30*9</f>
        <v>270</v>
      </c>
      <c r="S421" s="40">
        <f t="shared" si="170"/>
        <v>29.019878923530229</v>
      </c>
    </row>
    <row r="422" spans="7:20" ht="15" x14ac:dyDescent="0.4">
      <c r="G422" s="305" t="s">
        <v>133</v>
      </c>
      <c r="H422" s="306"/>
      <c r="I422" s="306"/>
      <c r="J422" s="306"/>
      <c r="K422" s="306"/>
      <c r="L422" s="306"/>
      <c r="M422" s="306"/>
      <c r="N422" s="306"/>
      <c r="O422" s="306"/>
      <c r="P422" s="306"/>
      <c r="Q422" s="306"/>
      <c r="R422" s="306"/>
      <c r="S422" s="136">
        <f>SUM(S416:S421)</f>
        <v>206.37365980306345</v>
      </c>
      <c r="T422" s="105"/>
    </row>
    <row r="423" spans="7:20" ht="14" x14ac:dyDescent="0.25">
      <c r="G423" s="2" t="s">
        <v>13</v>
      </c>
      <c r="H423" s="8">
        <v>0.6</v>
      </c>
      <c r="I423" s="8">
        <v>38.880000000000003</v>
      </c>
      <c r="J423" s="8">
        <v>1.0049999999999999</v>
      </c>
      <c r="K423" s="8">
        <v>1.2929999999999999</v>
      </c>
      <c r="L423" s="41">
        <v>41.9</v>
      </c>
      <c r="M423" s="8">
        <v>23</v>
      </c>
      <c r="N423" s="8">
        <f t="shared" ref="N423:N428" si="171">L423-M423</f>
        <v>18.899999999999999</v>
      </c>
      <c r="O423" s="27">
        <f t="shared" ref="O423:O428" si="172">H423*I423*J423*K423*N423</f>
        <v>572.93307892799976</v>
      </c>
      <c r="P423" s="8">
        <v>0.27700000000000002</v>
      </c>
      <c r="Q423" s="27">
        <f t="shared" ref="Q423:Q428" si="173">O423*P423</f>
        <v>158.70246286305596</v>
      </c>
      <c r="R423" s="8">
        <f>30*9</f>
        <v>270</v>
      </c>
      <c r="S423" s="40">
        <f t="shared" ref="S423:S428" si="174">(Q423*R423)/1000</f>
        <v>42.849664973025106</v>
      </c>
    </row>
    <row r="424" spans="7:20" ht="14" x14ac:dyDescent="0.25">
      <c r="G424" s="2" t="s">
        <v>24</v>
      </c>
      <c r="H424" s="8">
        <v>0.6</v>
      </c>
      <c r="I424" s="8">
        <v>38.880000000000003</v>
      </c>
      <c r="J424" s="8">
        <v>1.0049999999999999</v>
      </c>
      <c r="K424" s="8">
        <v>1.2929999999999999</v>
      </c>
      <c r="L424" s="41">
        <v>36.9</v>
      </c>
      <c r="M424" s="8">
        <v>23</v>
      </c>
      <c r="N424" s="8">
        <f t="shared" si="171"/>
        <v>13.899999999999999</v>
      </c>
      <c r="O424" s="27">
        <f t="shared" si="172"/>
        <v>421.36348132799986</v>
      </c>
      <c r="P424" s="8">
        <v>0.27700000000000002</v>
      </c>
      <c r="Q424" s="27">
        <f t="shared" si="173"/>
        <v>116.71768432785598</v>
      </c>
      <c r="R424" s="8">
        <f>31*9</f>
        <v>279</v>
      </c>
      <c r="S424" s="40">
        <f t="shared" si="174"/>
        <v>32.564233927471818</v>
      </c>
    </row>
    <row r="425" spans="7:20" ht="14" x14ac:dyDescent="0.25">
      <c r="G425" s="2" t="s">
        <v>19</v>
      </c>
      <c r="H425" s="8">
        <v>0.6</v>
      </c>
      <c r="I425" s="8">
        <v>38.880000000000003</v>
      </c>
      <c r="J425" s="8">
        <v>1.0049999999999999</v>
      </c>
      <c r="K425" s="8">
        <v>1.2929999999999999</v>
      </c>
      <c r="L425" s="41">
        <v>34.1</v>
      </c>
      <c r="M425" s="8">
        <v>23</v>
      </c>
      <c r="N425" s="8">
        <f t="shared" si="171"/>
        <v>11.100000000000001</v>
      </c>
      <c r="O425" s="27">
        <f t="shared" si="172"/>
        <v>336.48450667199995</v>
      </c>
      <c r="P425" s="8">
        <v>0.27700000000000002</v>
      </c>
      <c r="Q425" s="27">
        <f t="shared" si="173"/>
        <v>93.206208348143988</v>
      </c>
      <c r="R425" s="8">
        <f>31*9</f>
        <v>279</v>
      </c>
      <c r="S425" s="40">
        <f t="shared" si="174"/>
        <v>26.004532129132173</v>
      </c>
    </row>
    <row r="426" spans="7:20" ht="14" x14ac:dyDescent="0.25">
      <c r="G426" s="2" t="s">
        <v>20</v>
      </c>
      <c r="H426" s="8">
        <v>0.6</v>
      </c>
      <c r="I426" s="8">
        <v>38.880000000000003</v>
      </c>
      <c r="J426" s="8">
        <v>1.0049999999999999</v>
      </c>
      <c r="K426" s="8">
        <v>1.2929999999999999</v>
      </c>
      <c r="L426" s="41">
        <v>36.1</v>
      </c>
      <c r="M426" s="8">
        <v>23</v>
      </c>
      <c r="N426" s="8">
        <f t="shared" si="171"/>
        <v>13.100000000000001</v>
      </c>
      <c r="O426" s="27">
        <f t="shared" si="172"/>
        <v>397.11234571199992</v>
      </c>
      <c r="P426" s="8">
        <v>0.27700000000000002</v>
      </c>
      <c r="Q426" s="27">
        <f t="shared" si="173"/>
        <v>110.00011976222399</v>
      </c>
      <c r="R426" s="8">
        <f>30*9</f>
        <v>270</v>
      </c>
      <c r="S426" s="40">
        <f t="shared" si="174"/>
        <v>29.700032335800476</v>
      </c>
    </row>
    <row r="427" spans="7:20" ht="14" x14ac:dyDescent="0.25">
      <c r="G427" s="2" t="s">
        <v>21</v>
      </c>
      <c r="H427" s="8">
        <v>0.6</v>
      </c>
      <c r="I427" s="8">
        <v>38.880000000000003</v>
      </c>
      <c r="J427" s="8">
        <v>1.0049999999999999</v>
      </c>
      <c r="K427" s="8">
        <v>1.2929999999999999</v>
      </c>
      <c r="L427" s="41">
        <v>37.799999999999997</v>
      </c>
      <c r="M427" s="8">
        <v>23</v>
      </c>
      <c r="N427" s="8">
        <f t="shared" si="171"/>
        <v>14.799999999999997</v>
      </c>
      <c r="O427" s="27">
        <f t="shared" si="172"/>
        <v>448.64600889599978</v>
      </c>
      <c r="P427" s="8">
        <v>0.27700000000000002</v>
      </c>
      <c r="Q427" s="27">
        <f t="shared" si="173"/>
        <v>124.27494446419195</v>
      </c>
      <c r="R427" s="8">
        <f>31*9</f>
        <v>279</v>
      </c>
      <c r="S427" s="40">
        <f t="shared" si="174"/>
        <v>34.672709505509559</v>
      </c>
    </row>
    <row r="428" spans="7:20" ht="14" x14ac:dyDescent="0.25">
      <c r="G428" s="2" t="s">
        <v>22</v>
      </c>
      <c r="H428" s="8">
        <v>0.6</v>
      </c>
      <c r="I428" s="8">
        <v>38.880000000000003</v>
      </c>
      <c r="J428" s="8">
        <v>1.0049999999999999</v>
      </c>
      <c r="K428" s="8">
        <v>1.2929999999999999</v>
      </c>
      <c r="L428" s="41">
        <v>34.799999999999997</v>
      </c>
      <c r="M428" s="8">
        <v>23</v>
      </c>
      <c r="N428" s="8">
        <f t="shared" si="171"/>
        <v>11.799999999999997</v>
      </c>
      <c r="O428" s="27">
        <f t="shared" si="172"/>
        <v>357.7042503359998</v>
      </c>
      <c r="P428" s="8">
        <v>0.27700000000000002</v>
      </c>
      <c r="Q428" s="27">
        <f t="shared" si="173"/>
        <v>99.084077343071954</v>
      </c>
      <c r="R428" s="8">
        <f>30*9</f>
        <v>270</v>
      </c>
      <c r="S428" s="40">
        <f t="shared" si="174"/>
        <v>26.752700882629426</v>
      </c>
    </row>
    <row r="429" spans="7:20" ht="15" x14ac:dyDescent="0.4">
      <c r="G429" s="305" t="s">
        <v>88</v>
      </c>
      <c r="H429" s="306"/>
      <c r="I429" s="306"/>
      <c r="J429" s="306"/>
      <c r="K429" s="306"/>
      <c r="L429" s="306"/>
      <c r="M429" s="306"/>
      <c r="N429" s="306"/>
      <c r="O429" s="306"/>
      <c r="P429" s="306"/>
      <c r="Q429" s="306"/>
      <c r="R429" s="307"/>
      <c r="S429" s="136">
        <f>SUM(S423:S428)</f>
        <v>192.54387375356856</v>
      </c>
      <c r="T429" s="105"/>
    </row>
    <row r="430" spans="7:20" ht="14" x14ac:dyDescent="0.25">
      <c r="G430" s="2" t="s">
        <v>13</v>
      </c>
      <c r="H430" s="8">
        <v>0.6</v>
      </c>
      <c r="I430" s="8">
        <v>38.880000000000003</v>
      </c>
      <c r="J430" s="8">
        <v>1.0049999999999999</v>
      </c>
      <c r="K430" s="8">
        <v>1.2929999999999999</v>
      </c>
      <c r="L430" s="41">
        <v>41.9</v>
      </c>
      <c r="M430" s="8">
        <v>24</v>
      </c>
      <c r="N430" s="8">
        <f t="shared" ref="N430:N435" si="175">L430-M430</f>
        <v>17.899999999999999</v>
      </c>
      <c r="O430" s="27">
        <f t="shared" ref="O430:O435" si="176">H430*I430*J430*K430*N430</f>
        <v>542.61915940799986</v>
      </c>
      <c r="P430" s="8">
        <v>0.27700000000000002</v>
      </c>
      <c r="Q430" s="27">
        <f t="shared" ref="Q430:Q435" si="177">O430*P430</f>
        <v>150.30550715601598</v>
      </c>
      <c r="R430" s="8">
        <f>30*9</f>
        <v>270</v>
      </c>
      <c r="S430" s="40">
        <f t="shared" ref="S430:S435" si="178">(Q430*R430)/1000</f>
        <v>40.582486932124318</v>
      </c>
    </row>
    <row r="431" spans="7:20" ht="14" x14ac:dyDescent="0.25">
      <c r="G431" s="2" t="s">
        <v>24</v>
      </c>
      <c r="H431" s="8">
        <v>0.6</v>
      </c>
      <c r="I431" s="8">
        <v>38.880000000000003</v>
      </c>
      <c r="J431" s="8">
        <v>1.0049999999999999</v>
      </c>
      <c r="K431" s="8">
        <v>1.2929999999999999</v>
      </c>
      <c r="L431" s="41">
        <v>36.9</v>
      </c>
      <c r="M431" s="8">
        <v>24</v>
      </c>
      <c r="N431" s="8">
        <f t="shared" si="175"/>
        <v>12.899999999999999</v>
      </c>
      <c r="O431" s="27">
        <f t="shared" si="176"/>
        <v>391.04956180799985</v>
      </c>
      <c r="P431" s="8">
        <v>0.27700000000000002</v>
      </c>
      <c r="Q431" s="27">
        <f t="shared" si="177"/>
        <v>108.32072862081597</v>
      </c>
      <c r="R431" s="8">
        <f>31*9</f>
        <v>279</v>
      </c>
      <c r="S431" s="40">
        <f t="shared" si="178"/>
        <v>30.221483285207654</v>
      </c>
    </row>
    <row r="432" spans="7:20" ht="14" x14ac:dyDescent="0.25">
      <c r="G432" s="2" t="s">
        <v>19</v>
      </c>
      <c r="H432" s="8">
        <v>0.6</v>
      </c>
      <c r="I432" s="8">
        <v>38.880000000000003</v>
      </c>
      <c r="J432" s="8">
        <v>1.0049999999999999</v>
      </c>
      <c r="K432" s="8">
        <v>1.2929999999999999</v>
      </c>
      <c r="L432" s="41">
        <v>34.1</v>
      </c>
      <c r="M432" s="8">
        <v>24</v>
      </c>
      <c r="N432" s="8">
        <f t="shared" si="175"/>
        <v>10.100000000000001</v>
      </c>
      <c r="O432" s="27">
        <f t="shared" si="176"/>
        <v>306.17058715199994</v>
      </c>
      <c r="P432" s="8">
        <v>0.27700000000000002</v>
      </c>
      <c r="Q432" s="27">
        <f t="shared" si="177"/>
        <v>84.809252641103996</v>
      </c>
      <c r="R432" s="8">
        <f>31*9</f>
        <v>279</v>
      </c>
      <c r="S432" s="40">
        <f t="shared" si="178"/>
        <v>23.661781486868016</v>
      </c>
    </row>
    <row r="433" spans="4:20" ht="14" x14ac:dyDescent="0.25">
      <c r="G433" s="2" t="s">
        <v>20</v>
      </c>
      <c r="H433" s="8">
        <v>0.6</v>
      </c>
      <c r="I433" s="8">
        <v>38.880000000000003</v>
      </c>
      <c r="J433" s="8">
        <v>1.0049999999999999</v>
      </c>
      <c r="K433" s="8">
        <v>1.2929999999999999</v>
      </c>
      <c r="L433" s="41">
        <v>36.1</v>
      </c>
      <c r="M433" s="8">
        <v>24</v>
      </c>
      <c r="N433" s="8">
        <f t="shared" si="175"/>
        <v>12.100000000000001</v>
      </c>
      <c r="O433" s="27">
        <f t="shared" si="176"/>
        <v>366.79842619199997</v>
      </c>
      <c r="P433" s="8">
        <v>0.27700000000000002</v>
      </c>
      <c r="Q433" s="27">
        <f t="shared" si="177"/>
        <v>101.603164055184</v>
      </c>
      <c r="R433" s="8">
        <f>30*9</f>
        <v>270</v>
      </c>
      <c r="S433" s="40">
        <f t="shared" si="178"/>
        <v>27.432854294899681</v>
      </c>
    </row>
    <row r="434" spans="4:20" ht="14" x14ac:dyDescent="0.25">
      <c r="G434" s="2" t="s">
        <v>21</v>
      </c>
      <c r="H434" s="8">
        <v>0.6</v>
      </c>
      <c r="I434" s="8">
        <v>38.880000000000003</v>
      </c>
      <c r="J434" s="8">
        <v>1.0049999999999999</v>
      </c>
      <c r="K434" s="8">
        <v>1.2929999999999999</v>
      </c>
      <c r="L434" s="41">
        <v>37.799999999999997</v>
      </c>
      <c r="M434" s="8">
        <v>24</v>
      </c>
      <c r="N434" s="8">
        <f t="shared" si="175"/>
        <v>13.799999999999997</v>
      </c>
      <c r="O434" s="27">
        <f t="shared" si="176"/>
        <v>418.33208937599983</v>
      </c>
      <c r="P434" s="8">
        <v>0.27700000000000002</v>
      </c>
      <c r="Q434" s="27">
        <f t="shared" si="177"/>
        <v>115.87798875715197</v>
      </c>
      <c r="R434" s="8">
        <f>31*9</f>
        <v>279</v>
      </c>
      <c r="S434" s="40">
        <f t="shared" si="178"/>
        <v>32.329958863245402</v>
      </c>
    </row>
    <row r="435" spans="4:20" ht="14" x14ac:dyDescent="0.25">
      <c r="G435" s="2" t="s">
        <v>22</v>
      </c>
      <c r="H435" s="8">
        <v>0.6</v>
      </c>
      <c r="I435" s="8">
        <v>38.880000000000003</v>
      </c>
      <c r="J435" s="8">
        <v>1.0049999999999999</v>
      </c>
      <c r="K435" s="8">
        <v>1.2929999999999999</v>
      </c>
      <c r="L435" s="41">
        <v>34.799999999999997</v>
      </c>
      <c r="M435" s="8">
        <v>24</v>
      </c>
      <c r="N435" s="8">
        <f t="shared" si="175"/>
        <v>10.799999999999997</v>
      </c>
      <c r="O435" s="27">
        <f t="shared" si="176"/>
        <v>327.39033081599985</v>
      </c>
      <c r="P435" s="8">
        <v>0.27700000000000002</v>
      </c>
      <c r="Q435" s="27">
        <f t="shared" si="177"/>
        <v>90.687121636031961</v>
      </c>
      <c r="R435" s="8">
        <f>30*9</f>
        <v>270</v>
      </c>
      <c r="S435" s="40">
        <f t="shared" si="178"/>
        <v>24.485522841728631</v>
      </c>
    </row>
    <row r="436" spans="4:20" ht="15" x14ac:dyDescent="0.4">
      <c r="G436" s="305" t="s">
        <v>90</v>
      </c>
      <c r="H436" s="306"/>
      <c r="I436" s="306"/>
      <c r="J436" s="306"/>
      <c r="K436" s="306"/>
      <c r="L436" s="306"/>
      <c r="M436" s="306"/>
      <c r="N436" s="306"/>
      <c r="O436" s="306"/>
      <c r="P436" s="306"/>
      <c r="Q436" s="306"/>
      <c r="R436" s="307"/>
      <c r="S436" s="136">
        <f>SUM(S430:S435)</f>
        <v>178.71408770407371</v>
      </c>
      <c r="T436" s="105"/>
    </row>
    <row r="440" spans="4:20" ht="13" thickBot="1" x14ac:dyDescent="0.3"/>
    <row r="441" spans="4:20" ht="13" x14ac:dyDescent="0.3">
      <c r="D441">
        <f>341+6</f>
        <v>347</v>
      </c>
      <c r="G441" s="295" t="s">
        <v>152</v>
      </c>
      <c r="H441" s="296"/>
      <c r="I441" s="296"/>
      <c r="J441" s="296"/>
      <c r="K441" s="296"/>
      <c r="L441" s="296"/>
      <c r="M441" s="296"/>
      <c r="N441" s="297"/>
    </row>
    <row r="442" spans="4:20" ht="13" x14ac:dyDescent="0.25">
      <c r="G442" s="117" t="s">
        <v>125</v>
      </c>
      <c r="H442" s="37" t="s">
        <v>126</v>
      </c>
      <c r="I442" s="37" t="s">
        <v>127</v>
      </c>
      <c r="J442" s="37" t="s">
        <v>87</v>
      </c>
      <c r="K442" s="37" t="s">
        <v>128</v>
      </c>
      <c r="L442" s="37" t="s">
        <v>129</v>
      </c>
      <c r="M442" s="37" t="s">
        <v>130</v>
      </c>
      <c r="N442" s="113" t="s">
        <v>134</v>
      </c>
    </row>
    <row r="443" spans="4:20" x14ac:dyDescent="0.25">
      <c r="G443" s="94">
        <v>18</v>
      </c>
      <c r="H443" s="27">
        <f>T329</f>
        <v>106.384428</v>
      </c>
      <c r="I443" s="27">
        <f>M383</f>
        <v>72.699343683120006</v>
      </c>
      <c r="J443" s="27">
        <f>S394</f>
        <v>261.69280400104293</v>
      </c>
      <c r="K443" s="8">
        <f>Q292</f>
        <v>691.7399999999999</v>
      </c>
      <c r="L443" s="27">
        <f>M299</f>
        <v>129.39886080000002</v>
      </c>
      <c r="M443" s="8">
        <f>J305</f>
        <v>32.94</v>
      </c>
      <c r="N443" s="51">
        <f>H443+I443+J443+K443+L443+M443</f>
        <v>1294.855436484163</v>
      </c>
    </row>
    <row r="444" spans="4:20" x14ac:dyDescent="0.25">
      <c r="G444" s="94">
        <v>19</v>
      </c>
      <c r="H444" s="27">
        <f>T336</f>
        <v>98.380008000000018</v>
      </c>
      <c r="I444" s="27">
        <f>M383</f>
        <v>72.699343683120006</v>
      </c>
      <c r="J444" s="27">
        <f>S401</f>
        <v>247.8630179515481</v>
      </c>
      <c r="K444" s="8">
        <f>Q292</f>
        <v>691.7399999999999</v>
      </c>
      <c r="L444" s="27">
        <f>M299</f>
        <v>129.39886080000002</v>
      </c>
      <c r="M444" s="8">
        <f>J305</f>
        <v>32.94</v>
      </c>
      <c r="N444" s="51">
        <f>H444+I444+J444+K444+L444+M444</f>
        <v>1273.021230434668</v>
      </c>
    </row>
    <row r="445" spans="4:20" x14ac:dyDescent="0.25">
      <c r="G445" s="94">
        <v>20</v>
      </c>
      <c r="H445" s="27">
        <f>T343</f>
        <v>90.375588000000022</v>
      </c>
      <c r="I445" s="27">
        <f>M383</f>
        <v>72.699343683120006</v>
      </c>
      <c r="J445" s="27">
        <f>S408</f>
        <v>234.03323190205316</v>
      </c>
      <c r="K445" s="8">
        <f>Q292</f>
        <v>691.7399999999999</v>
      </c>
      <c r="L445" s="27">
        <f>M299</f>
        <v>129.39886080000002</v>
      </c>
      <c r="M445" s="8">
        <f>J305</f>
        <v>32.94</v>
      </c>
      <c r="N445" s="51">
        <f>H445+I445+J445+K445+L445+M445</f>
        <v>1251.1870243851731</v>
      </c>
    </row>
    <row r="446" spans="4:20" x14ac:dyDescent="0.25">
      <c r="G446" s="94">
        <v>21</v>
      </c>
      <c r="H446" s="27">
        <f>T350</f>
        <v>82.371168000000011</v>
      </c>
      <c r="I446" s="27">
        <f>M383</f>
        <v>72.699343683120006</v>
      </c>
      <c r="J446" s="27">
        <f>S415</f>
        <v>220.2034458525583</v>
      </c>
      <c r="K446" s="8">
        <f>Q292</f>
        <v>691.7399999999999</v>
      </c>
      <c r="L446" s="27">
        <f>M299</f>
        <v>129.39886080000002</v>
      </c>
      <c r="M446" s="8">
        <f>J305</f>
        <v>32.94</v>
      </c>
      <c r="N446" s="51">
        <f>H446+I446+J446+K446+L446+M446</f>
        <v>1229.3528183356782</v>
      </c>
    </row>
    <row r="447" spans="4:20" x14ac:dyDescent="0.25">
      <c r="G447" s="94">
        <v>22</v>
      </c>
      <c r="H447" s="27">
        <f>T357</f>
        <v>74.366748000000015</v>
      </c>
      <c r="I447" s="27">
        <f>M383</f>
        <v>72.699343683120006</v>
      </c>
      <c r="J447" s="27">
        <f>S422</f>
        <v>206.37365980306345</v>
      </c>
      <c r="K447" s="8">
        <f>Q292</f>
        <v>691.7399999999999</v>
      </c>
      <c r="L447" s="27">
        <f>M299</f>
        <v>129.39886080000002</v>
      </c>
      <c r="M447" s="8">
        <f>J305</f>
        <v>32.94</v>
      </c>
      <c r="N447" s="51">
        <f>H447+I447+J447+K447+L447+M447</f>
        <v>1207.5186122861833</v>
      </c>
    </row>
    <row r="448" spans="4:20" x14ac:dyDescent="0.25">
      <c r="G448" s="94">
        <v>23</v>
      </c>
      <c r="H448" s="27">
        <f>T364</f>
        <v>66.362328000000019</v>
      </c>
      <c r="I448" s="27">
        <f>M383</f>
        <v>72.699343683120006</v>
      </c>
      <c r="J448" s="27">
        <f>S429</f>
        <v>192.54387375356856</v>
      </c>
      <c r="K448" s="8">
        <f>Q292</f>
        <v>691.7399999999999</v>
      </c>
      <c r="L448" s="27">
        <f>M299</f>
        <v>129.39886080000002</v>
      </c>
      <c r="M448" s="8">
        <f>J305</f>
        <v>32.94</v>
      </c>
      <c r="N448" s="51">
        <f t="shared" ref="N448:N449" si="179">H448+I448+J448+K448+L448+M448</f>
        <v>1185.6844062366886</v>
      </c>
    </row>
    <row r="449" spans="7:21" x14ac:dyDescent="0.25">
      <c r="G449" s="94">
        <v>24</v>
      </c>
      <c r="H449" s="27">
        <f>T371</f>
        <v>58.357908000000009</v>
      </c>
      <c r="I449" s="27">
        <f>M383</f>
        <v>72.699343683120006</v>
      </c>
      <c r="J449" s="27">
        <f>S436</f>
        <v>178.71408770407371</v>
      </c>
      <c r="K449" s="8">
        <f>Q292</f>
        <v>691.7399999999999</v>
      </c>
      <c r="L449" s="27">
        <f>M299</f>
        <v>129.39886080000002</v>
      </c>
      <c r="M449" s="8">
        <f>J305</f>
        <v>32.94</v>
      </c>
      <c r="N449" s="51">
        <f t="shared" si="179"/>
        <v>1163.8502001871936</v>
      </c>
    </row>
    <row r="453" spans="7:21" ht="13" thickBot="1" x14ac:dyDescent="0.3"/>
    <row r="454" spans="7:21" ht="12.65" customHeight="1" x14ac:dyDescent="0.25">
      <c r="G454" s="317" t="s">
        <v>226</v>
      </c>
      <c r="H454" s="318"/>
      <c r="I454" s="318"/>
      <c r="J454" s="318"/>
      <c r="K454" s="318"/>
      <c r="L454" s="318"/>
      <c r="M454" s="318"/>
      <c r="N454" s="318"/>
      <c r="O454" s="318"/>
      <c r="P454" s="318"/>
      <c r="Q454" s="318"/>
      <c r="R454" s="318"/>
      <c r="S454" s="318"/>
      <c r="T454" s="319"/>
      <c r="U454" s="106"/>
    </row>
    <row r="455" spans="7:21" ht="12.65" customHeight="1" x14ac:dyDescent="0.25">
      <c r="G455" s="320"/>
      <c r="H455" s="321"/>
      <c r="I455" s="321"/>
      <c r="J455" s="321"/>
      <c r="K455" s="321"/>
      <c r="L455" s="321"/>
      <c r="M455" s="321"/>
      <c r="N455" s="321"/>
      <c r="O455" s="321"/>
      <c r="P455" s="321"/>
      <c r="Q455" s="321"/>
      <c r="R455" s="321"/>
      <c r="S455" s="321"/>
      <c r="T455" s="322"/>
      <c r="U455" s="106"/>
    </row>
    <row r="456" spans="7:21" ht="16" x14ac:dyDescent="0.25">
      <c r="G456" s="43" t="s">
        <v>0</v>
      </c>
      <c r="H456" s="42" t="s">
        <v>37</v>
      </c>
      <c r="I456" s="42" t="s">
        <v>36</v>
      </c>
      <c r="J456" s="42" t="s">
        <v>35</v>
      </c>
      <c r="K456" s="42" t="s">
        <v>47</v>
      </c>
      <c r="L456" s="47" t="s">
        <v>56</v>
      </c>
      <c r="M456" s="47" t="s">
        <v>50</v>
      </c>
      <c r="N456" s="47" t="s">
        <v>51</v>
      </c>
      <c r="O456" s="47" t="s">
        <v>48</v>
      </c>
      <c r="P456" s="47" t="s">
        <v>52</v>
      </c>
      <c r="Q456" s="37" t="s">
        <v>53</v>
      </c>
      <c r="R456" s="37" t="s">
        <v>54</v>
      </c>
      <c r="S456" s="37" t="s">
        <v>49</v>
      </c>
      <c r="T456" s="48" t="s">
        <v>55</v>
      </c>
    </row>
    <row r="457" spans="7:21" ht="14" x14ac:dyDescent="0.25">
      <c r="G457" s="2" t="s">
        <v>13</v>
      </c>
      <c r="H457" s="41">
        <v>43.8</v>
      </c>
      <c r="I457" s="41">
        <v>10.1</v>
      </c>
      <c r="J457" s="71">
        <f t="shared" ref="J457:J462" si="180">I457/2</f>
        <v>5.05</v>
      </c>
      <c r="K457" s="71">
        <f t="shared" ref="K457:K462" si="181">H457-J457</f>
        <v>38.75</v>
      </c>
      <c r="L457" s="59">
        <f>D$173</f>
        <v>3</v>
      </c>
      <c r="M457" s="45">
        <v>18</v>
      </c>
      <c r="N457" s="45">
        <v>5.5</v>
      </c>
      <c r="O457" s="45">
        <f t="shared" ref="O457:O462" si="182">K457-29.4</f>
        <v>9.3500000000000014</v>
      </c>
      <c r="P457" s="8">
        <f t="shared" ref="P457:P462" si="183">L457+N457+O457</f>
        <v>17.850000000000001</v>
      </c>
      <c r="Q457" s="8">
        <v>3.75</v>
      </c>
      <c r="R457" s="8">
        <v>1.296</v>
      </c>
      <c r="S457" s="8">
        <f>30*9</f>
        <v>270</v>
      </c>
      <c r="T457" s="40">
        <f t="shared" ref="T457:T462" si="184">(P457*Q457*R457*S457)/1000</f>
        <v>23.42277</v>
      </c>
    </row>
    <row r="458" spans="7:21" ht="14" x14ac:dyDescent="0.25">
      <c r="G458" s="2" t="s">
        <v>24</v>
      </c>
      <c r="H458" s="41">
        <v>39</v>
      </c>
      <c r="I458" s="41">
        <v>7.1</v>
      </c>
      <c r="J458" s="71">
        <f t="shared" si="180"/>
        <v>3.55</v>
      </c>
      <c r="K458" s="71">
        <f t="shared" si="181"/>
        <v>35.450000000000003</v>
      </c>
      <c r="L458" s="59">
        <f t="shared" ref="L458:L462" si="185">D$173</f>
        <v>3</v>
      </c>
      <c r="M458" s="45">
        <v>18</v>
      </c>
      <c r="N458" s="45">
        <v>5.5</v>
      </c>
      <c r="O458" s="45">
        <f t="shared" si="182"/>
        <v>6.0500000000000043</v>
      </c>
      <c r="P458" s="8">
        <f t="shared" si="183"/>
        <v>14.550000000000004</v>
      </c>
      <c r="Q458" s="8">
        <v>3.75</v>
      </c>
      <c r="R458" s="8">
        <v>1.296</v>
      </c>
      <c r="S458" s="8">
        <f>31*9</f>
        <v>279</v>
      </c>
      <c r="T458" s="40">
        <f t="shared" si="184"/>
        <v>19.728927000000006</v>
      </c>
    </row>
    <row r="459" spans="7:21" ht="14" x14ac:dyDescent="0.25">
      <c r="G459" s="2" t="s">
        <v>19</v>
      </c>
      <c r="H459" s="41">
        <v>36.9</v>
      </c>
      <c r="I459" s="41">
        <v>6.8</v>
      </c>
      <c r="J459" s="71">
        <f t="shared" si="180"/>
        <v>3.4</v>
      </c>
      <c r="K459" s="71">
        <f t="shared" si="181"/>
        <v>33.5</v>
      </c>
      <c r="L459" s="59">
        <f t="shared" si="185"/>
        <v>3</v>
      </c>
      <c r="M459" s="45">
        <v>18</v>
      </c>
      <c r="N459" s="45">
        <f t="shared" ref="N459:N462" si="186">25.5-M459</f>
        <v>7.5</v>
      </c>
      <c r="O459" s="45">
        <f t="shared" si="182"/>
        <v>4.1000000000000014</v>
      </c>
      <c r="P459" s="8">
        <f t="shared" si="183"/>
        <v>14.600000000000001</v>
      </c>
      <c r="Q459" s="8">
        <v>3.75</v>
      </c>
      <c r="R459" s="8">
        <v>1.296</v>
      </c>
      <c r="S459" s="8">
        <f>31*9</f>
        <v>279</v>
      </c>
      <c r="T459" s="40">
        <f t="shared" si="184"/>
        <v>19.796724000000005</v>
      </c>
    </row>
    <row r="460" spans="7:21" ht="14" x14ac:dyDescent="0.25">
      <c r="G460" s="2" t="s">
        <v>20</v>
      </c>
      <c r="H460" s="41">
        <v>36.799999999999997</v>
      </c>
      <c r="I460" s="41">
        <v>8.3000000000000007</v>
      </c>
      <c r="J460" s="71">
        <f t="shared" si="180"/>
        <v>4.1500000000000004</v>
      </c>
      <c r="K460" s="71">
        <f t="shared" si="181"/>
        <v>32.65</v>
      </c>
      <c r="L460" s="59">
        <f t="shared" si="185"/>
        <v>3</v>
      </c>
      <c r="M460" s="45">
        <v>18</v>
      </c>
      <c r="N460" s="45">
        <f t="shared" si="186"/>
        <v>7.5</v>
      </c>
      <c r="O460" s="45">
        <f t="shared" si="182"/>
        <v>3.25</v>
      </c>
      <c r="P460" s="8">
        <f t="shared" si="183"/>
        <v>13.75</v>
      </c>
      <c r="Q460" s="8">
        <v>3.75</v>
      </c>
      <c r="R460" s="8">
        <v>1.296</v>
      </c>
      <c r="S460" s="8">
        <f>30*9</f>
        <v>270</v>
      </c>
      <c r="T460" s="40">
        <f t="shared" si="184"/>
        <v>18.042750000000002</v>
      </c>
    </row>
    <row r="461" spans="7:21" ht="14" x14ac:dyDescent="0.25">
      <c r="G461" s="2" t="s">
        <v>21</v>
      </c>
      <c r="H461" s="41">
        <v>35.200000000000003</v>
      </c>
      <c r="I461" s="41">
        <v>11.8</v>
      </c>
      <c r="J461" s="71">
        <f t="shared" si="180"/>
        <v>5.9</v>
      </c>
      <c r="K461" s="71">
        <f t="shared" si="181"/>
        <v>29.300000000000004</v>
      </c>
      <c r="L461" s="59">
        <f t="shared" si="185"/>
        <v>3</v>
      </c>
      <c r="M461" s="45">
        <v>18</v>
      </c>
      <c r="N461" s="45">
        <f t="shared" si="186"/>
        <v>7.5</v>
      </c>
      <c r="O461" s="45">
        <f t="shared" si="182"/>
        <v>-9.9999999999994316E-2</v>
      </c>
      <c r="P461" s="8">
        <f t="shared" si="183"/>
        <v>10.400000000000006</v>
      </c>
      <c r="Q461" s="8">
        <v>3.75</v>
      </c>
      <c r="R461" s="8">
        <v>1.296</v>
      </c>
      <c r="S461" s="8">
        <f>31*9</f>
        <v>279</v>
      </c>
      <c r="T461" s="40">
        <f t="shared" si="184"/>
        <v>14.101776000000008</v>
      </c>
    </row>
    <row r="462" spans="7:21" ht="14" x14ac:dyDescent="0.25">
      <c r="G462" s="2" t="s">
        <v>22</v>
      </c>
      <c r="H462" s="41">
        <v>30.8</v>
      </c>
      <c r="I462" s="41">
        <v>13</v>
      </c>
      <c r="J462" s="71">
        <f t="shared" si="180"/>
        <v>6.5</v>
      </c>
      <c r="K462" s="71">
        <f t="shared" si="181"/>
        <v>24.3</v>
      </c>
      <c r="L462" s="59">
        <f t="shared" si="185"/>
        <v>3</v>
      </c>
      <c r="M462" s="45">
        <v>18</v>
      </c>
      <c r="N462" s="45">
        <f t="shared" si="186"/>
        <v>7.5</v>
      </c>
      <c r="O462" s="45">
        <f t="shared" si="182"/>
        <v>-5.0999999999999979</v>
      </c>
      <c r="P462" s="8">
        <f t="shared" si="183"/>
        <v>5.4000000000000021</v>
      </c>
      <c r="Q462" s="8">
        <v>3.75</v>
      </c>
      <c r="R462" s="8">
        <v>1.296</v>
      </c>
      <c r="S462" s="8">
        <f>30*9</f>
        <v>270</v>
      </c>
      <c r="T462" s="40">
        <f t="shared" si="184"/>
        <v>7.0858800000000031</v>
      </c>
    </row>
    <row r="463" spans="7:21" ht="15" x14ac:dyDescent="0.25">
      <c r="G463" s="303" t="s">
        <v>193</v>
      </c>
      <c r="H463" s="304"/>
      <c r="I463" s="304"/>
      <c r="J463" s="304"/>
      <c r="K463" s="304"/>
      <c r="L463" s="304"/>
      <c r="M463" s="304"/>
      <c r="N463" s="304"/>
      <c r="O463" s="304"/>
      <c r="P463" s="304"/>
      <c r="Q463" s="304"/>
      <c r="R463" s="304"/>
      <c r="S463" s="304"/>
      <c r="T463" s="69">
        <f>SUM(T457:T462)</f>
        <v>102.17882700000001</v>
      </c>
    </row>
    <row r="464" spans="7:21" ht="14" x14ac:dyDescent="0.25">
      <c r="G464" s="2" t="s">
        <v>13</v>
      </c>
      <c r="H464" s="41">
        <v>43.8</v>
      </c>
      <c r="I464" s="41">
        <v>10.1</v>
      </c>
      <c r="J464" s="71">
        <f t="shared" ref="J464:J469" si="187">I464/2</f>
        <v>5.05</v>
      </c>
      <c r="K464" s="71">
        <f t="shared" ref="K464:K469" si="188">H464-J464</f>
        <v>38.75</v>
      </c>
      <c r="L464" s="59">
        <f>D$173</f>
        <v>3</v>
      </c>
      <c r="M464" s="45">
        <v>19</v>
      </c>
      <c r="N464" s="45">
        <v>5.5</v>
      </c>
      <c r="O464" s="45">
        <f t="shared" ref="O464:O469" si="189">K464-29.4</f>
        <v>9.3500000000000014</v>
      </c>
      <c r="P464" s="8">
        <f t="shared" ref="P464:P469" si="190">L464+N464+O464</f>
        <v>17.850000000000001</v>
      </c>
      <c r="Q464" s="8">
        <v>3.75</v>
      </c>
      <c r="R464" s="8">
        <v>1.296</v>
      </c>
      <c r="S464" s="8">
        <f>30*9</f>
        <v>270</v>
      </c>
      <c r="T464" s="40">
        <f t="shared" ref="T464:T469" si="191">(P464*Q464*R464*S464)/1000</f>
        <v>23.42277</v>
      </c>
    </row>
    <row r="465" spans="7:21" ht="14" x14ac:dyDescent="0.25">
      <c r="G465" s="2" t="s">
        <v>24</v>
      </c>
      <c r="H465" s="41">
        <v>39</v>
      </c>
      <c r="I465" s="41">
        <v>7.1</v>
      </c>
      <c r="J465" s="71">
        <f t="shared" si="187"/>
        <v>3.55</v>
      </c>
      <c r="K465" s="71">
        <f t="shared" si="188"/>
        <v>35.450000000000003</v>
      </c>
      <c r="L465" s="59">
        <f t="shared" ref="L465:L469" si="192">D$173</f>
        <v>3</v>
      </c>
      <c r="M465" s="45">
        <v>19</v>
      </c>
      <c r="N465" s="45">
        <v>5.5</v>
      </c>
      <c r="O465" s="45">
        <f t="shared" si="189"/>
        <v>6.0500000000000043</v>
      </c>
      <c r="P465" s="8">
        <f t="shared" si="190"/>
        <v>14.550000000000004</v>
      </c>
      <c r="Q465" s="8">
        <v>3.75</v>
      </c>
      <c r="R465" s="8">
        <v>1.296</v>
      </c>
      <c r="S465" s="8">
        <f>31*9</f>
        <v>279</v>
      </c>
      <c r="T465" s="40">
        <f t="shared" si="191"/>
        <v>19.728927000000006</v>
      </c>
    </row>
    <row r="466" spans="7:21" ht="14" x14ac:dyDescent="0.25">
      <c r="G466" s="2" t="s">
        <v>19</v>
      </c>
      <c r="H466" s="41">
        <v>36.9</v>
      </c>
      <c r="I466" s="41">
        <v>6.8</v>
      </c>
      <c r="J466" s="71">
        <f t="shared" si="187"/>
        <v>3.4</v>
      </c>
      <c r="K466" s="71">
        <f t="shared" si="188"/>
        <v>33.5</v>
      </c>
      <c r="L466" s="59">
        <f t="shared" si="192"/>
        <v>3</v>
      </c>
      <c r="M466" s="45">
        <v>19</v>
      </c>
      <c r="N466" s="45">
        <f t="shared" ref="N466:N469" si="193">25.5-M466</f>
        <v>6.5</v>
      </c>
      <c r="O466" s="45">
        <f t="shared" si="189"/>
        <v>4.1000000000000014</v>
      </c>
      <c r="P466" s="8">
        <f t="shared" si="190"/>
        <v>13.600000000000001</v>
      </c>
      <c r="Q466" s="8">
        <v>3.75</v>
      </c>
      <c r="R466" s="8">
        <v>1.296</v>
      </c>
      <c r="S466" s="8">
        <f>31*9</f>
        <v>279</v>
      </c>
      <c r="T466" s="40">
        <f t="shared" si="191"/>
        <v>18.440784000000004</v>
      </c>
    </row>
    <row r="467" spans="7:21" ht="14" x14ac:dyDescent="0.25">
      <c r="G467" s="2" t="s">
        <v>20</v>
      </c>
      <c r="H467" s="41">
        <v>36.799999999999997</v>
      </c>
      <c r="I467" s="41">
        <v>8.3000000000000007</v>
      </c>
      <c r="J467" s="71">
        <f t="shared" si="187"/>
        <v>4.1500000000000004</v>
      </c>
      <c r="K467" s="71">
        <f t="shared" si="188"/>
        <v>32.65</v>
      </c>
      <c r="L467" s="59">
        <f t="shared" si="192"/>
        <v>3</v>
      </c>
      <c r="M467" s="45">
        <v>19</v>
      </c>
      <c r="N467" s="45">
        <f t="shared" si="193"/>
        <v>6.5</v>
      </c>
      <c r="O467" s="45">
        <f t="shared" si="189"/>
        <v>3.25</v>
      </c>
      <c r="P467" s="8">
        <f t="shared" si="190"/>
        <v>12.75</v>
      </c>
      <c r="Q467" s="8">
        <v>3.75</v>
      </c>
      <c r="R467" s="8">
        <v>1.296</v>
      </c>
      <c r="S467" s="8">
        <f>30*9</f>
        <v>270</v>
      </c>
      <c r="T467" s="40">
        <f t="shared" si="191"/>
        <v>16.730550000000001</v>
      </c>
    </row>
    <row r="468" spans="7:21" ht="14" x14ac:dyDescent="0.25">
      <c r="G468" s="2" t="s">
        <v>21</v>
      </c>
      <c r="H468" s="41">
        <v>35.200000000000003</v>
      </c>
      <c r="I468" s="41">
        <v>11.8</v>
      </c>
      <c r="J468" s="71">
        <f t="shared" si="187"/>
        <v>5.9</v>
      </c>
      <c r="K468" s="71">
        <f t="shared" si="188"/>
        <v>29.300000000000004</v>
      </c>
      <c r="L468" s="59">
        <f t="shared" si="192"/>
        <v>3</v>
      </c>
      <c r="M468" s="45">
        <v>19</v>
      </c>
      <c r="N468" s="45">
        <f t="shared" si="193"/>
        <v>6.5</v>
      </c>
      <c r="O468" s="45">
        <f t="shared" si="189"/>
        <v>-9.9999999999994316E-2</v>
      </c>
      <c r="P468" s="8">
        <f t="shared" si="190"/>
        <v>9.4000000000000057</v>
      </c>
      <c r="Q468" s="8">
        <v>3.75</v>
      </c>
      <c r="R468" s="8">
        <v>1.296</v>
      </c>
      <c r="S468" s="8">
        <f>31*9</f>
        <v>279</v>
      </c>
      <c r="T468" s="40">
        <f t="shared" si="191"/>
        <v>12.745836000000006</v>
      </c>
    </row>
    <row r="469" spans="7:21" ht="14" x14ac:dyDescent="0.25">
      <c r="G469" s="2" t="s">
        <v>22</v>
      </c>
      <c r="H469" s="41">
        <v>30.8</v>
      </c>
      <c r="I469" s="41">
        <v>13</v>
      </c>
      <c r="J469" s="71">
        <f t="shared" si="187"/>
        <v>6.5</v>
      </c>
      <c r="K469" s="71">
        <f t="shared" si="188"/>
        <v>24.3</v>
      </c>
      <c r="L469" s="59">
        <f t="shared" si="192"/>
        <v>3</v>
      </c>
      <c r="M469" s="45">
        <v>19</v>
      </c>
      <c r="N469" s="45">
        <f t="shared" si="193"/>
        <v>6.5</v>
      </c>
      <c r="O469" s="45">
        <f t="shared" si="189"/>
        <v>-5.0999999999999979</v>
      </c>
      <c r="P469" s="8">
        <f t="shared" si="190"/>
        <v>4.4000000000000021</v>
      </c>
      <c r="Q469" s="8">
        <v>3.75</v>
      </c>
      <c r="R469" s="8">
        <v>1.296</v>
      </c>
      <c r="S469" s="8">
        <f>30*9</f>
        <v>270</v>
      </c>
      <c r="T469" s="40">
        <f t="shared" si="191"/>
        <v>5.7736800000000033</v>
      </c>
    </row>
    <row r="470" spans="7:21" ht="15" x14ac:dyDescent="0.25">
      <c r="G470" s="303" t="s">
        <v>194</v>
      </c>
      <c r="H470" s="304"/>
      <c r="I470" s="304"/>
      <c r="J470" s="304"/>
      <c r="K470" s="304"/>
      <c r="L470" s="304"/>
      <c r="M470" s="304"/>
      <c r="N470" s="304"/>
      <c r="O470" s="304"/>
      <c r="P470" s="304"/>
      <c r="Q470" s="304"/>
      <c r="R470" s="304"/>
      <c r="S470" s="304"/>
      <c r="T470" s="69">
        <f>SUM(T464:T469)</f>
        <v>96.842547000000025</v>
      </c>
    </row>
    <row r="471" spans="7:21" ht="14" x14ac:dyDescent="0.25">
      <c r="G471" s="2" t="s">
        <v>13</v>
      </c>
      <c r="H471" s="41">
        <v>43.8</v>
      </c>
      <c r="I471" s="41">
        <v>10.1</v>
      </c>
      <c r="J471" s="71">
        <f t="shared" ref="J471:J476" si="194">I471/2</f>
        <v>5.05</v>
      </c>
      <c r="K471" s="71">
        <f t="shared" ref="K471:K476" si="195">H471-J471</f>
        <v>38.75</v>
      </c>
      <c r="L471" s="59">
        <f t="shared" ref="L471:L476" si="196">D$173</f>
        <v>3</v>
      </c>
      <c r="M471" s="45">
        <v>20</v>
      </c>
      <c r="N471" s="45">
        <v>5.5</v>
      </c>
      <c r="O471" s="45">
        <f t="shared" ref="O471:O476" si="197">K471-29.4</f>
        <v>9.3500000000000014</v>
      </c>
      <c r="P471" s="8">
        <f t="shared" ref="P471:P476" si="198">L471+N471+O471</f>
        <v>17.850000000000001</v>
      </c>
      <c r="Q471" s="8">
        <v>3.75</v>
      </c>
      <c r="R471" s="8">
        <v>1.296</v>
      </c>
      <c r="S471" s="8">
        <f>30*9</f>
        <v>270</v>
      </c>
      <c r="T471" s="40">
        <f t="shared" ref="T471:T476" si="199">(P471*Q471*R471*S471)/1000</f>
        <v>23.42277</v>
      </c>
    </row>
    <row r="472" spans="7:21" ht="14" x14ac:dyDescent="0.25">
      <c r="G472" s="2" t="s">
        <v>24</v>
      </c>
      <c r="H472" s="41">
        <v>39</v>
      </c>
      <c r="I472" s="41">
        <v>7.1</v>
      </c>
      <c r="J472" s="71">
        <f t="shared" si="194"/>
        <v>3.55</v>
      </c>
      <c r="K472" s="71">
        <f t="shared" si="195"/>
        <v>35.450000000000003</v>
      </c>
      <c r="L472" s="59">
        <f t="shared" si="196"/>
        <v>3</v>
      </c>
      <c r="M472" s="45">
        <v>20</v>
      </c>
      <c r="N472" s="45">
        <v>5.5</v>
      </c>
      <c r="O472" s="45">
        <f t="shared" si="197"/>
        <v>6.0500000000000043</v>
      </c>
      <c r="P472" s="8">
        <f t="shared" si="198"/>
        <v>14.550000000000004</v>
      </c>
      <c r="Q472" s="8">
        <v>3.75</v>
      </c>
      <c r="R472" s="8">
        <v>1.296</v>
      </c>
      <c r="S472" s="8">
        <f>31*9</f>
        <v>279</v>
      </c>
      <c r="T472" s="40">
        <f t="shared" si="199"/>
        <v>19.728927000000006</v>
      </c>
    </row>
    <row r="473" spans="7:21" ht="14" x14ac:dyDescent="0.25">
      <c r="G473" s="2" t="s">
        <v>19</v>
      </c>
      <c r="H473" s="41">
        <v>36.9</v>
      </c>
      <c r="I473" s="41">
        <v>6.8</v>
      </c>
      <c r="J473" s="71">
        <f t="shared" si="194"/>
        <v>3.4</v>
      </c>
      <c r="K473" s="71">
        <f t="shared" si="195"/>
        <v>33.5</v>
      </c>
      <c r="L473" s="59">
        <f t="shared" si="196"/>
        <v>3</v>
      </c>
      <c r="M473" s="45">
        <v>20</v>
      </c>
      <c r="N473" s="45">
        <f t="shared" ref="N473:N476" si="200">25.5-M473</f>
        <v>5.5</v>
      </c>
      <c r="O473" s="45">
        <f t="shared" si="197"/>
        <v>4.1000000000000014</v>
      </c>
      <c r="P473" s="8">
        <f t="shared" si="198"/>
        <v>12.600000000000001</v>
      </c>
      <c r="Q473" s="8">
        <v>3.75</v>
      </c>
      <c r="R473" s="8">
        <v>1.296</v>
      </c>
      <c r="S473" s="8">
        <f>31*9</f>
        <v>279</v>
      </c>
      <c r="T473" s="40">
        <f t="shared" si="199"/>
        <v>17.084844000000004</v>
      </c>
    </row>
    <row r="474" spans="7:21" ht="14" x14ac:dyDescent="0.25">
      <c r="G474" s="2" t="s">
        <v>20</v>
      </c>
      <c r="H474" s="41">
        <v>36.799999999999997</v>
      </c>
      <c r="I474" s="41">
        <v>8.3000000000000007</v>
      </c>
      <c r="J474" s="71">
        <f t="shared" si="194"/>
        <v>4.1500000000000004</v>
      </c>
      <c r="K474" s="71">
        <f t="shared" si="195"/>
        <v>32.65</v>
      </c>
      <c r="L474" s="59">
        <f t="shared" si="196"/>
        <v>3</v>
      </c>
      <c r="M474" s="45">
        <v>20</v>
      </c>
      <c r="N474" s="45">
        <f t="shared" si="200"/>
        <v>5.5</v>
      </c>
      <c r="O474" s="45">
        <f t="shared" si="197"/>
        <v>3.25</v>
      </c>
      <c r="P474" s="8">
        <f t="shared" si="198"/>
        <v>11.75</v>
      </c>
      <c r="Q474" s="8">
        <v>3.75</v>
      </c>
      <c r="R474" s="8">
        <v>1.296</v>
      </c>
      <c r="S474" s="8">
        <f>30*9</f>
        <v>270</v>
      </c>
      <c r="T474" s="40">
        <f t="shared" si="199"/>
        <v>15.41835</v>
      </c>
    </row>
    <row r="475" spans="7:21" ht="14" x14ac:dyDescent="0.25">
      <c r="G475" s="2" t="s">
        <v>21</v>
      </c>
      <c r="H475" s="41">
        <v>35.200000000000003</v>
      </c>
      <c r="I475" s="41">
        <v>11.8</v>
      </c>
      <c r="J475" s="71">
        <f t="shared" si="194"/>
        <v>5.9</v>
      </c>
      <c r="K475" s="71">
        <f t="shared" si="195"/>
        <v>29.300000000000004</v>
      </c>
      <c r="L475" s="59">
        <f t="shared" si="196"/>
        <v>3</v>
      </c>
      <c r="M475" s="45">
        <v>20</v>
      </c>
      <c r="N475" s="45">
        <f t="shared" si="200"/>
        <v>5.5</v>
      </c>
      <c r="O475" s="45">
        <f t="shared" si="197"/>
        <v>-9.9999999999994316E-2</v>
      </c>
      <c r="P475" s="8">
        <f t="shared" si="198"/>
        <v>8.4000000000000057</v>
      </c>
      <c r="Q475" s="8">
        <v>3.75</v>
      </c>
      <c r="R475" s="8">
        <v>1.296</v>
      </c>
      <c r="S475" s="8">
        <f>31*9</f>
        <v>279</v>
      </c>
      <c r="T475" s="40">
        <f t="shared" si="199"/>
        <v>11.389896000000007</v>
      </c>
    </row>
    <row r="476" spans="7:21" ht="14" x14ac:dyDescent="0.25">
      <c r="G476" s="2" t="s">
        <v>22</v>
      </c>
      <c r="H476" s="41">
        <v>30.8</v>
      </c>
      <c r="I476" s="41">
        <v>13</v>
      </c>
      <c r="J476" s="71">
        <f t="shared" si="194"/>
        <v>6.5</v>
      </c>
      <c r="K476" s="71">
        <f t="shared" si="195"/>
        <v>24.3</v>
      </c>
      <c r="L476" s="59">
        <f t="shared" si="196"/>
        <v>3</v>
      </c>
      <c r="M476" s="45">
        <v>20</v>
      </c>
      <c r="N476" s="45">
        <f t="shared" si="200"/>
        <v>5.5</v>
      </c>
      <c r="O476" s="45">
        <f t="shared" si="197"/>
        <v>-5.0999999999999979</v>
      </c>
      <c r="P476" s="8">
        <f t="shared" si="198"/>
        <v>3.4000000000000021</v>
      </c>
      <c r="Q476" s="8">
        <v>3.75</v>
      </c>
      <c r="R476" s="8">
        <v>1.296</v>
      </c>
      <c r="S476" s="8">
        <f>30*9</f>
        <v>270</v>
      </c>
      <c r="T476" s="40">
        <f t="shared" si="199"/>
        <v>4.4614800000000026</v>
      </c>
    </row>
    <row r="477" spans="7:21" ht="15" x14ac:dyDescent="0.25">
      <c r="G477" s="303" t="s">
        <v>183</v>
      </c>
      <c r="H477" s="304"/>
      <c r="I477" s="304"/>
      <c r="J477" s="304"/>
      <c r="K477" s="304"/>
      <c r="L477" s="304"/>
      <c r="M477" s="304"/>
      <c r="N477" s="304"/>
      <c r="O477" s="304"/>
      <c r="P477" s="304"/>
      <c r="Q477" s="304"/>
      <c r="R477" s="304"/>
      <c r="S477" s="304"/>
      <c r="T477" s="69">
        <f>SUM(T471:T476)</f>
        <v>91.506267000000022</v>
      </c>
      <c r="U477" s="105"/>
    </row>
    <row r="478" spans="7:21" ht="14" x14ac:dyDescent="0.25">
      <c r="G478" s="2" t="s">
        <v>13</v>
      </c>
      <c r="H478" s="41">
        <v>43.8</v>
      </c>
      <c r="I478" s="41">
        <v>10.1</v>
      </c>
      <c r="J478" s="71">
        <f t="shared" ref="J478:J483" si="201">I478/2</f>
        <v>5.05</v>
      </c>
      <c r="K478" s="71">
        <f t="shared" ref="K478:K483" si="202">H478-J478</f>
        <v>38.75</v>
      </c>
      <c r="L478" s="59">
        <f t="shared" ref="L478:L483" si="203">D$173</f>
        <v>3</v>
      </c>
      <c r="M478" s="45">
        <v>21</v>
      </c>
      <c r="N478" s="45">
        <f t="shared" ref="N478:N483" si="204">25.5-M478</f>
        <v>4.5</v>
      </c>
      <c r="O478" s="45">
        <f t="shared" ref="O478:O483" si="205">K478-29.4</f>
        <v>9.3500000000000014</v>
      </c>
      <c r="P478" s="8">
        <f t="shared" ref="P478:P483" si="206">L478+N478+O478</f>
        <v>16.850000000000001</v>
      </c>
      <c r="Q478" s="8">
        <v>3.75</v>
      </c>
      <c r="R478" s="8">
        <v>1.296</v>
      </c>
      <c r="S478" s="8">
        <f>30*9</f>
        <v>270</v>
      </c>
      <c r="T478" s="40">
        <f t="shared" ref="T478:T483" si="207">(P478*Q478*R478*S478)/1000</f>
        <v>22.110569999999999</v>
      </c>
    </row>
    <row r="479" spans="7:21" ht="14" x14ac:dyDescent="0.25">
      <c r="G479" s="2" t="s">
        <v>24</v>
      </c>
      <c r="H479" s="41">
        <v>39</v>
      </c>
      <c r="I479" s="41">
        <v>7.1</v>
      </c>
      <c r="J479" s="71">
        <f t="shared" si="201"/>
        <v>3.55</v>
      </c>
      <c r="K479" s="71">
        <f t="shared" si="202"/>
        <v>35.450000000000003</v>
      </c>
      <c r="L479" s="59">
        <f t="shared" si="203"/>
        <v>3</v>
      </c>
      <c r="M479" s="45">
        <v>21</v>
      </c>
      <c r="N479" s="45">
        <f t="shared" si="204"/>
        <v>4.5</v>
      </c>
      <c r="O479" s="45">
        <f t="shared" si="205"/>
        <v>6.0500000000000043</v>
      </c>
      <c r="P479" s="8">
        <f t="shared" si="206"/>
        <v>13.550000000000004</v>
      </c>
      <c r="Q479" s="8">
        <v>3.75</v>
      </c>
      <c r="R479" s="8">
        <v>1.296</v>
      </c>
      <c r="S479" s="8">
        <f>31*9</f>
        <v>279</v>
      </c>
      <c r="T479" s="40">
        <f t="shared" si="207"/>
        <v>18.372987000000006</v>
      </c>
    </row>
    <row r="480" spans="7:21" ht="14" x14ac:dyDescent="0.25">
      <c r="G480" s="2" t="s">
        <v>19</v>
      </c>
      <c r="H480" s="41">
        <v>36.9</v>
      </c>
      <c r="I480" s="41">
        <v>6.8</v>
      </c>
      <c r="J480" s="71">
        <f t="shared" si="201"/>
        <v>3.4</v>
      </c>
      <c r="K480" s="71">
        <f t="shared" si="202"/>
        <v>33.5</v>
      </c>
      <c r="L480" s="59">
        <f t="shared" si="203"/>
        <v>3</v>
      </c>
      <c r="M480" s="45">
        <v>21</v>
      </c>
      <c r="N480" s="45">
        <f t="shared" si="204"/>
        <v>4.5</v>
      </c>
      <c r="O480" s="45">
        <f t="shared" si="205"/>
        <v>4.1000000000000014</v>
      </c>
      <c r="P480" s="8">
        <f t="shared" si="206"/>
        <v>11.600000000000001</v>
      </c>
      <c r="Q480" s="8">
        <v>3.75</v>
      </c>
      <c r="R480" s="8">
        <v>1.296</v>
      </c>
      <c r="S480" s="8">
        <f>31*9</f>
        <v>279</v>
      </c>
      <c r="T480" s="40">
        <f t="shared" si="207"/>
        <v>15.728904000000004</v>
      </c>
    </row>
    <row r="481" spans="7:21" ht="14" x14ac:dyDescent="0.25">
      <c r="G481" s="2" t="s">
        <v>20</v>
      </c>
      <c r="H481" s="41">
        <v>36.799999999999997</v>
      </c>
      <c r="I481" s="41">
        <v>8.3000000000000007</v>
      </c>
      <c r="J481" s="71">
        <f t="shared" si="201"/>
        <v>4.1500000000000004</v>
      </c>
      <c r="K481" s="71">
        <f t="shared" si="202"/>
        <v>32.65</v>
      </c>
      <c r="L481" s="59">
        <f t="shared" si="203"/>
        <v>3</v>
      </c>
      <c r="M481" s="45">
        <v>21</v>
      </c>
      <c r="N481" s="45">
        <f t="shared" si="204"/>
        <v>4.5</v>
      </c>
      <c r="O481" s="45">
        <f t="shared" si="205"/>
        <v>3.25</v>
      </c>
      <c r="P481" s="8">
        <f t="shared" si="206"/>
        <v>10.75</v>
      </c>
      <c r="Q481" s="8">
        <v>3.75</v>
      </c>
      <c r="R481" s="8">
        <v>1.296</v>
      </c>
      <c r="S481" s="8">
        <f>30*9</f>
        <v>270</v>
      </c>
      <c r="T481" s="40">
        <f t="shared" si="207"/>
        <v>14.106150000000001</v>
      </c>
    </row>
    <row r="482" spans="7:21" ht="14" x14ac:dyDescent="0.25">
      <c r="G482" s="2" t="s">
        <v>21</v>
      </c>
      <c r="H482" s="41">
        <v>35.200000000000003</v>
      </c>
      <c r="I482" s="41">
        <v>11.8</v>
      </c>
      <c r="J482" s="71">
        <f t="shared" si="201"/>
        <v>5.9</v>
      </c>
      <c r="K482" s="71">
        <f t="shared" si="202"/>
        <v>29.300000000000004</v>
      </c>
      <c r="L482" s="59">
        <f t="shared" si="203"/>
        <v>3</v>
      </c>
      <c r="M482" s="45">
        <v>21</v>
      </c>
      <c r="N482" s="45">
        <f t="shared" si="204"/>
        <v>4.5</v>
      </c>
      <c r="O482" s="45">
        <f t="shared" si="205"/>
        <v>-9.9999999999994316E-2</v>
      </c>
      <c r="P482" s="8">
        <f t="shared" si="206"/>
        <v>7.4000000000000057</v>
      </c>
      <c r="Q482" s="8">
        <v>3.75</v>
      </c>
      <c r="R482" s="8">
        <v>1.296</v>
      </c>
      <c r="S482" s="8">
        <f>31*9</f>
        <v>279</v>
      </c>
      <c r="T482" s="40">
        <f t="shared" si="207"/>
        <v>10.033956000000007</v>
      </c>
    </row>
    <row r="483" spans="7:21" ht="14" x14ac:dyDescent="0.25">
      <c r="G483" s="2" t="s">
        <v>22</v>
      </c>
      <c r="H483" s="41">
        <v>30.8</v>
      </c>
      <c r="I483" s="41">
        <v>13</v>
      </c>
      <c r="J483" s="71">
        <f t="shared" si="201"/>
        <v>6.5</v>
      </c>
      <c r="K483" s="71">
        <f t="shared" si="202"/>
        <v>24.3</v>
      </c>
      <c r="L483" s="59">
        <f t="shared" si="203"/>
        <v>3</v>
      </c>
      <c r="M483" s="45">
        <v>21</v>
      </c>
      <c r="N483" s="45">
        <f t="shared" si="204"/>
        <v>4.5</v>
      </c>
      <c r="O483" s="45">
        <f t="shared" si="205"/>
        <v>-5.0999999999999979</v>
      </c>
      <c r="P483" s="8">
        <f t="shared" si="206"/>
        <v>2.4000000000000021</v>
      </c>
      <c r="Q483" s="8">
        <v>3.75</v>
      </c>
      <c r="R483" s="8">
        <v>1.296</v>
      </c>
      <c r="S483" s="8">
        <f>30*9</f>
        <v>270</v>
      </c>
      <c r="T483" s="40">
        <f t="shared" si="207"/>
        <v>3.1492800000000027</v>
      </c>
    </row>
    <row r="484" spans="7:21" ht="15" x14ac:dyDescent="0.25">
      <c r="G484" s="303" t="s">
        <v>182</v>
      </c>
      <c r="H484" s="304"/>
      <c r="I484" s="304"/>
      <c r="J484" s="304"/>
      <c r="K484" s="304"/>
      <c r="L484" s="304"/>
      <c r="M484" s="304"/>
      <c r="N484" s="304"/>
      <c r="O484" s="304"/>
      <c r="P484" s="304"/>
      <c r="Q484" s="304"/>
      <c r="R484" s="304"/>
      <c r="S484" s="304"/>
      <c r="T484" s="69">
        <f>SUM(T478:T483)</f>
        <v>83.501847000000012</v>
      </c>
      <c r="U484" s="105"/>
    </row>
    <row r="485" spans="7:21" ht="14" x14ac:dyDescent="0.25">
      <c r="G485" s="2" t="s">
        <v>13</v>
      </c>
      <c r="H485" s="41">
        <v>43.8</v>
      </c>
      <c r="I485" s="41">
        <v>10.1</v>
      </c>
      <c r="J485" s="71">
        <f t="shared" ref="J485:J490" si="208">I485/2</f>
        <v>5.05</v>
      </c>
      <c r="K485" s="71">
        <f t="shared" ref="K485:K490" si="209">H485-J485</f>
        <v>38.75</v>
      </c>
      <c r="L485" s="59">
        <f>D173</f>
        <v>3</v>
      </c>
      <c r="M485" s="45">
        <v>22</v>
      </c>
      <c r="N485" s="45">
        <f t="shared" ref="N485:N490" si="210">25.5-M485</f>
        <v>3.5</v>
      </c>
      <c r="O485" s="45">
        <f t="shared" ref="O485:O490" si="211">K485-29.4</f>
        <v>9.3500000000000014</v>
      </c>
      <c r="P485" s="8">
        <f t="shared" ref="P485:P490" si="212">L485+N485+O485</f>
        <v>15.850000000000001</v>
      </c>
      <c r="Q485" s="8">
        <v>3.75</v>
      </c>
      <c r="R485" s="8">
        <v>1.296</v>
      </c>
      <c r="S485" s="8">
        <f>30*9</f>
        <v>270</v>
      </c>
      <c r="T485" s="40">
        <f t="shared" ref="T485:T490" si="213">(P485*Q485*R485*S485)/1000</f>
        <v>20.798370000000002</v>
      </c>
    </row>
    <row r="486" spans="7:21" ht="14" x14ac:dyDescent="0.25">
      <c r="G486" s="2" t="s">
        <v>24</v>
      </c>
      <c r="H486" s="41">
        <v>39</v>
      </c>
      <c r="I486" s="41">
        <v>7.1</v>
      </c>
      <c r="J486" s="71">
        <f t="shared" si="208"/>
        <v>3.55</v>
      </c>
      <c r="K486" s="71">
        <f t="shared" si="209"/>
        <v>35.450000000000003</v>
      </c>
      <c r="L486" s="59">
        <f>D173</f>
        <v>3</v>
      </c>
      <c r="M486" s="45">
        <v>22</v>
      </c>
      <c r="N486" s="45">
        <f t="shared" si="210"/>
        <v>3.5</v>
      </c>
      <c r="O486" s="45">
        <f t="shared" si="211"/>
        <v>6.0500000000000043</v>
      </c>
      <c r="P486" s="8">
        <f t="shared" si="212"/>
        <v>12.550000000000004</v>
      </c>
      <c r="Q486" s="8">
        <v>3.75</v>
      </c>
      <c r="R486" s="8">
        <v>1.296</v>
      </c>
      <c r="S486" s="8">
        <f>31*9</f>
        <v>279</v>
      </c>
      <c r="T486" s="40">
        <f t="shared" si="213"/>
        <v>17.017047000000005</v>
      </c>
    </row>
    <row r="487" spans="7:21" ht="14" x14ac:dyDescent="0.25">
      <c r="G487" s="2" t="s">
        <v>19</v>
      </c>
      <c r="H487" s="41">
        <v>36.9</v>
      </c>
      <c r="I487" s="41">
        <v>6.8</v>
      </c>
      <c r="J487" s="71">
        <f t="shared" si="208"/>
        <v>3.4</v>
      </c>
      <c r="K487" s="71">
        <f t="shared" si="209"/>
        <v>33.5</v>
      </c>
      <c r="L487" s="59">
        <f>D173</f>
        <v>3</v>
      </c>
      <c r="M487" s="45">
        <v>22</v>
      </c>
      <c r="N487" s="45">
        <f t="shared" si="210"/>
        <v>3.5</v>
      </c>
      <c r="O487" s="45">
        <f t="shared" si="211"/>
        <v>4.1000000000000014</v>
      </c>
      <c r="P487" s="8">
        <f t="shared" si="212"/>
        <v>10.600000000000001</v>
      </c>
      <c r="Q487" s="8">
        <v>3.75</v>
      </c>
      <c r="R487" s="8">
        <v>1.296</v>
      </c>
      <c r="S487" s="8">
        <f>31*9</f>
        <v>279</v>
      </c>
      <c r="T487" s="40">
        <f t="shared" si="213"/>
        <v>14.372964000000003</v>
      </c>
    </row>
    <row r="488" spans="7:21" ht="14" x14ac:dyDescent="0.25">
      <c r="G488" s="2" t="s">
        <v>20</v>
      </c>
      <c r="H488" s="41">
        <v>36.799999999999997</v>
      </c>
      <c r="I488" s="41">
        <v>8.3000000000000007</v>
      </c>
      <c r="J488" s="71">
        <f t="shared" si="208"/>
        <v>4.1500000000000004</v>
      </c>
      <c r="K488" s="71">
        <f t="shared" si="209"/>
        <v>32.65</v>
      </c>
      <c r="L488" s="59">
        <f>D173</f>
        <v>3</v>
      </c>
      <c r="M488" s="45">
        <v>22</v>
      </c>
      <c r="N488" s="45">
        <f t="shared" si="210"/>
        <v>3.5</v>
      </c>
      <c r="O488" s="45">
        <f t="shared" si="211"/>
        <v>3.25</v>
      </c>
      <c r="P488" s="8">
        <f t="shared" si="212"/>
        <v>9.75</v>
      </c>
      <c r="Q488" s="8">
        <v>3.75</v>
      </c>
      <c r="R488" s="8">
        <v>1.296</v>
      </c>
      <c r="S488" s="8">
        <f>30*9</f>
        <v>270</v>
      </c>
      <c r="T488" s="40">
        <f t="shared" si="213"/>
        <v>12.793949999999999</v>
      </c>
    </row>
    <row r="489" spans="7:21" ht="14" x14ac:dyDescent="0.25">
      <c r="G489" s="2" t="s">
        <v>21</v>
      </c>
      <c r="H489" s="41">
        <v>35.200000000000003</v>
      </c>
      <c r="I489" s="41">
        <v>11.8</v>
      </c>
      <c r="J489" s="71">
        <f t="shared" si="208"/>
        <v>5.9</v>
      </c>
      <c r="K489" s="71">
        <f t="shared" si="209"/>
        <v>29.300000000000004</v>
      </c>
      <c r="L489" s="59">
        <f>D173</f>
        <v>3</v>
      </c>
      <c r="M489" s="45">
        <v>22</v>
      </c>
      <c r="N489" s="45">
        <f t="shared" si="210"/>
        <v>3.5</v>
      </c>
      <c r="O489" s="45">
        <f t="shared" si="211"/>
        <v>-9.9999999999994316E-2</v>
      </c>
      <c r="P489" s="8">
        <f t="shared" si="212"/>
        <v>6.4000000000000057</v>
      </c>
      <c r="Q489" s="8">
        <v>3.75</v>
      </c>
      <c r="R489" s="8">
        <v>1.296</v>
      </c>
      <c r="S489" s="8">
        <f>31*9</f>
        <v>279</v>
      </c>
      <c r="T489" s="40">
        <f t="shared" si="213"/>
        <v>8.6780160000000066</v>
      </c>
    </row>
    <row r="490" spans="7:21" ht="14" x14ac:dyDescent="0.25">
      <c r="G490" s="2" t="s">
        <v>22</v>
      </c>
      <c r="H490" s="41">
        <v>30.8</v>
      </c>
      <c r="I490" s="41">
        <v>13</v>
      </c>
      <c r="J490" s="71">
        <f t="shared" si="208"/>
        <v>6.5</v>
      </c>
      <c r="K490" s="71">
        <f t="shared" si="209"/>
        <v>24.3</v>
      </c>
      <c r="L490" s="59">
        <f>D173</f>
        <v>3</v>
      </c>
      <c r="M490" s="45">
        <v>22</v>
      </c>
      <c r="N490" s="45">
        <f t="shared" si="210"/>
        <v>3.5</v>
      </c>
      <c r="O490" s="45">
        <f t="shared" si="211"/>
        <v>-5.0999999999999979</v>
      </c>
      <c r="P490" s="8">
        <f t="shared" si="212"/>
        <v>1.4000000000000021</v>
      </c>
      <c r="Q490" s="8">
        <v>3.75</v>
      </c>
      <c r="R490" s="8">
        <v>1.296</v>
      </c>
      <c r="S490" s="8">
        <f>30*9</f>
        <v>270</v>
      </c>
      <c r="T490" s="40">
        <f t="shared" si="213"/>
        <v>1.8370800000000029</v>
      </c>
    </row>
    <row r="491" spans="7:21" ht="15" x14ac:dyDescent="0.25">
      <c r="G491" s="303" t="s">
        <v>184</v>
      </c>
      <c r="H491" s="304"/>
      <c r="I491" s="304"/>
      <c r="J491" s="304"/>
      <c r="K491" s="304"/>
      <c r="L491" s="304"/>
      <c r="M491" s="304"/>
      <c r="N491" s="304"/>
      <c r="O491" s="304"/>
      <c r="P491" s="304"/>
      <c r="Q491" s="304"/>
      <c r="R491" s="304"/>
      <c r="S491" s="304"/>
      <c r="T491" s="69">
        <f>SUM(T485:T490)</f>
        <v>75.49742700000003</v>
      </c>
      <c r="U491" s="105"/>
    </row>
    <row r="492" spans="7:21" ht="14" x14ac:dyDescent="0.25">
      <c r="G492" s="2" t="s">
        <v>13</v>
      </c>
      <c r="H492" s="41">
        <v>43.8</v>
      </c>
      <c r="I492" s="41">
        <v>10.1</v>
      </c>
      <c r="J492" s="71">
        <f t="shared" ref="J492:J497" si="214">I492/2</f>
        <v>5.05</v>
      </c>
      <c r="K492" s="71">
        <f t="shared" ref="K492:K497" si="215">H492-J492</f>
        <v>38.75</v>
      </c>
      <c r="L492" s="59">
        <f>D173</f>
        <v>3</v>
      </c>
      <c r="M492" s="45">
        <v>23</v>
      </c>
      <c r="N492" s="45">
        <f t="shared" ref="N492:N497" si="216">25.5-M492</f>
        <v>2.5</v>
      </c>
      <c r="O492" s="45">
        <f t="shared" ref="O492:O497" si="217">K492-29.4</f>
        <v>9.3500000000000014</v>
      </c>
      <c r="P492" s="8">
        <f t="shared" ref="P492:P497" si="218">L492+N492+O492</f>
        <v>14.850000000000001</v>
      </c>
      <c r="Q492" s="8">
        <v>3.75</v>
      </c>
      <c r="R492" s="8">
        <v>1.296</v>
      </c>
      <c r="S492" s="8">
        <f>30*9</f>
        <v>270</v>
      </c>
      <c r="T492" s="40">
        <f t="shared" ref="T492:T497" si="219">(P492*Q492*R492*S492)/1000</f>
        <v>19.486170000000001</v>
      </c>
    </row>
    <row r="493" spans="7:21" ht="14" x14ac:dyDescent="0.25">
      <c r="G493" s="2" t="s">
        <v>24</v>
      </c>
      <c r="H493" s="41">
        <v>39</v>
      </c>
      <c r="I493" s="41">
        <v>7.1</v>
      </c>
      <c r="J493" s="71">
        <f t="shared" si="214"/>
        <v>3.55</v>
      </c>
      <c r="K493" s="71">
        <f t="shared" si="215"/>
        <v>35.450000000000003</v>
      </c>
      <c r="L493" s="59">
        <f>D173</f>
        <v>3</v>
      </c>
      <c r="M493" s="45">
        <v>23</v>
      </c>
      <c r="N493" s="45">
        <f t="shared" si="216"/>
        <v>2.5</v>
      </c>
      <c r="O493" s="45">
        <f t="shared" si="217"/>
        <v>6.0500000000000043</v>
      </c>
      <c r="P493" s="8">
        <f t="shared" si="218"/>
        <v>11.550000000000004</v>
      </c>
      <c r="Q493" s="8">
        <v>3.75</v>
      </c>
      <c r="R493" s="8">
        <v>1.296</v>
      </c>
      <c r="S493" s="8">
        <f>31*9</f>
        <v>279</v>
      </c>
      <c r="T493" s="40">
        <f t="shared" si="219"/>
        <v>15.661107000000005</v>
      </c>
    </row>
    <row r="494" spans="7:21" ht="14" x14ac:dyDescent="0.25">
      <c r="G494" s="2" t="s">
        <v>19</v>
      </c>
      <c r="H494" s="41">
        <v>36.9</v>
      </c>
      <c r="I494" s="41">
        <v>6.8</v>
      </c>
      <c r="J494" s="71">
        <f t="shared" si="214"/>
        <v>3.4</v>
      </c>
      <c r="K494" s="71">
        <f t="shared" si="215"/>
        <v>33.5</v>
      </c>
      <c r="L494" s="59">
        <f>D173</f>
        <v>3</v>
      </c>
      <c r="M494" s="45">
        <v>23</v>
      </c>
      <c r="N494" s="45">
        <f t="shared" si="216"/>
        <v>2.5</v>
      </c>
      <c r="O494" s="45">
        <f t="shared" si="217"/>
        <v>4.1000000000000014</v>
      </c>
      <c r="P494" s="8">
        <f t="shared" si="218"/>
        <v>9.6000000000000014</v>
      </c>
      <c r="Q494" s="8">
        <v>3.75</v>
      </c>
      <c r="R494" s="8">
        <v>1.296</v>
      </c>
      <c r="S494" s="8">
        <f>31*9</f>
        <v>279</v>
      </c>
      <c r="T494" s="40">
        <f t="shared" si="219"/>
        <v>13.017024000000003</v>
      </c>
    </row>
    <row r="495" spans="7:21" ht="14" x14ac:dyDescent="0.25">
      <c r="G495" s="2" t="s">
        <v>20</v>
      </c>
      <c r="H495" s="41">
        <v>36.799999999999997</v>
      </c>
      <c r="I495" s="41">
        <v>8.3000000000000007</v>
      </c>
      <c r="J495" s="71">
        <f t="shared" si="214"/>
        <v>4.1500000000000004</v>
      </c>
      <c r="K495" s="71">
        <f t="shared" si="215"/>
        <v>32.65</v>
      </c>
      <c r="L495" s="59">
        <f>D173</f>
        <v>3</v>
      </c>
      <c r="M495" s="45">
        <v>23</v>
      </c>
      <c r="N495" s="45">
        <f t="shared" si="216"/>
        <v>2.5</v>
      </c>
      <c r="O495" s="45">
        <f t="shared" si="217"/>
        <v>3.25</v>
      </c>
      <c r="P495" s="8">
        <f t="shared" si="218"/>
        <v>8.75</v>
      </c>
      <c r="Q495" s="8">
        <v>3.75</v>
      </c>
      <c r="R495" s="8">
        <v>1.296</v>
      </c>
      <c r="S495" s="8">
        <f>30*9</f>
        <v>270</v>
      </c>
      <c r="T495" s="40">
        <f t="shared" si="219"/>
        <v>11.48175</v>
      </c>
    </row>
    <row r="496" spans="7:21" ht="14" x14ac:dyDescent="0.25">
      <c r="G496" s="2" t="s">
        <v>21</v>
      </c>
      <c r="H496" s="41">
        <v>35.200000000000003</v>
      </c>
      <c r="I496" s="41">
        <v>11.8</v>
      </c>
      <c r="J496" s="71">
        <f t="shared" si="214"/>
        <v>5.9</v>
      </c>
      <c r="K496" s="71">
        <f t="shared" si="215"/>
        <v>29.300000000000004</v>
      </c>
      <c r="L496" s="59">
        <f>D173</f>
        <v>3</v>
      </c>
      <c r="M496" s="45">
        <v>23</v>
      </c>
      <c r="N496" s="45">
        <f t="shared" si="216"/>
        <v>2.5</v>
      </c>
      <c r="O496" s="45">
        <f t="shared" si="217"/>
        <v>-9.9999999999994316E-2</v>
      </c>
      <c r="P496" s="8">
        <f t="shared" si="218"/>
        <v>5.4000000000000057</v>
      </c>
      <c r="Q496" s="8">
        <v>3.75</v>
      </c>
      <c r="R496" s="8">
        <v>1.296</v>
      </c>
      <c r="S496" s="8">
        <f>31*9</f>
        <v>279</v>
      </c>
      <c r="T496" s="40">
        <f t="shared" si="219"/>
        <v>7.322076000000008</v>
      </c>
    </row>
    <row r="497" spans="7:21" ht="14" x14ac:dyDescent="0.25">
      <c r="G497" s="2" t="s">
        <v>22</v>
      </c>
      <c r="H497" s="41">
        <v>30.8</v>
      </c>
      <c r="I497" s="41">
        <v>13</v>
      </c>
      <c r="J497" s="71">
        <f t="shared" si="214"/>
        <v>6.5</v>
      </c>
      <c r="K497" s="71">
        <f t="shared" si="215"/>
        <v>24.3</v>
      </c>
      <c r="L497" s="59">
        <f>D173</f>
        <v>3</v>
      </c>
      <c r="M497" s="45">
        <v>23</v>
      </c>
      <c r="N497" s="45">
        <f t="shared" si="216"/>
        <v>2.5</v>
      </c>
      <c r="O497" s="45">
        <f t="shared" si="217"/>
        <v>-5.0999999999999979</v>
      </c>
      <c r="P497" s="8">
        <f t="shared" si="218"/>
        <v>0.40000000000000213</v>
      </c>
      <c r="Q497" s="8">
        <v>3.75</v>
      </c>
      <c r="R497" s="8">
        <v>1.296</v>
      </c>
      <c r="S497" s="8">
        <f>30*9</f>
        <v>270</v>
      </c>
      <c r="T497" s="40">
        <f t="shared" si="219"/>
        <v>0.52488000000000279</v>
      </c>
    </row>
    <row r="498" spans="7:21" ht="15" x14ac:dyDescent="0.25">
      <c r="G498" s="303" t="s">
        <v>154</v>
      </c>
      <c r="H498" s="304"/>
      <c r="I498" s="304"/>
      <c r="J498" s="304"/>
      <c r="K498" s="304"/>
      <c r="L498" s="304"/>
      <c r="M498" s="304"/>
      <c r="N498" s="304"/>
      <c r="O498" s="304"/>
      <c r="P498" s="304"/>
      <c r="Q498" s="304"/>
      <c r="R498" s="304"/>
      <c r="S498" s="304"/>
      <c r="T498" s="69">
        <f>SUM(T492:T497)</f>
        <v>67.493007000000006</v>
      </c>
      <c r="U498" s="105"/>
    </row>
    <row r="499" spans="7:21" ht="14" x14ac:dyDescent="0.25">
      <c r="G499" s="2" t="s">
        <v>13</v>
      </c>
      <c r="H499" s="41">
        <v>43.8</v>
      </c>
      <c r="I499" s="41">
        <v>10.1</v>
      </c>
      <c r="J499" s="71">
        <f t="shared" ref="J499:J504" si="220">I499/2</f>
        <v>5.05</v>
      </c>
      <c r="K499" s="71">
        <f t="shared" ref="K499:K504" si="221">H499-J499</f>
        <v>38.75</v>
      </c>
      <c r="L499" s="59">
        <f>D173</f>
        <v>3</v>
      </c>
      <c r="M499" s="45">
        <v>24</v>
      </c>
      <c r="N499" s="45">
        <f t="shared" ref="N499:N504" si="222">25.5-M499</f>
        <v>1.5</v>
      </c>
      <c r="O499" s="45">
        <f t="shared" ref="O499:O504" si="223">K499-29.4</f>
        <v>9.3500000000000014</v>
      </c>
      <c r="P499" s="8">
        <f t="shared" ref="P499:P504" si="224">L499+N499+O499</f>
        <v>13.850000000000001</v>
      </c>
      <c r="Q499" s="8">
        <v>3.75</v>
      </c>
      <c r="R499" s="8">
        <v>1.296</v>
      </c>
      <c r="S499" s="8">
        <f>30*9</f>
        <v>270</v>
      </c>
      <c r="T499" s="40">
        <f t="shared" ref="T499:T504" si="225">(P499*Q499*R499*S499)/1000</f>
        <v>18.173970000000001</v>
      </c>
    </row>
    <row r="500" spans="7:21" ht="14" x14ac:dyDescent="0.25">
      <c r="G500" s="2" t="s">
        <v>24</v>
      </c>
      <c r="H500" s="41">
        <v>39</v>
      </c>
      <c r="I500" s="41">
        <v>7.1</v>
      </c>
      <c r="J500" s="71">
        <f t="shared" si="220"/>
        <v>3.55</v>
      </c>
      <c r="K500" s="71">
        <f t="shared" si="221"/>
        <v>35.450000000000003</v>
      </c>
      <c r="L500" s="59">
        <f>D173</f>
        <v>3</v>
      </c>
      <c r="M500" s="45">
        <v>24</v>
      </c>
      <c r="N500" s="72">
        <f t="shared" si="222"/>
        <v>1.5</v>
      </c>
      <c r="O500" s="72">
        <f t="shared" si="223"/>
        <v>6.0500000000000043</v>
      </c>
      <c r="P500" s="8">
        <f t="shared" si="224"/>
        <v>10.550000000000004</v>
      </c>
      <c r="Q500" s="8">
        <v>3.75</v>
      </c>
      <c r="R500" s="8">
        <v>1.296</v>
      </c>
      <c r="S500" s="8">
        <f>31*9</f>
        <v>279</v>
      </c>
      <c r="T500" s="40">
        <f t="shared" si="225"/>
        <v>14.305167000000004</v>
      </c>
    </row>
    <row r="501" spans="7:21" ht="14" x14ac:dyDescent="0.25">
      <c r="G501" s="2" t="s">
        <v>19</v>
      </c>
      <c r="H501" s="41">
        <v>36.9</v>
      </c>
      <c r="I501" s="41">
        <v>6.8</v>
      </c>
      <c r="J501" s="71">
        <f t="shared" si="220"/>
        <v>3.4</v>
      </c>
      <c r="K501" s="71">
        <f t="shared" si="221"/>
        <v>33.5</v>
      </c>
      <c r="L501" s="59">
        <f>D173</f>
        <v>3</v>
      </c>
      <c r="M501" s="45">
        <v>24</v>
      </c>
      <c r="N501" s="72">
        <f t="shared" si="222"/>
        <v>1.5</v>
      </c>
      <c r="O501" s="72">
        <f t="shared" si="223"/>
        <v>4.1000000000000014</v>
      </c>
      <c r="P501" s="8">
        <f t="shared" si="224"/>
        <v>8.6000000000000014</v>
      </c>
      <c r="Q501" s="8">
        <v>3.75</v>
      </c>
      <c r="R501" s="8">
        <v>1.296</v>
      </c>
      <c r="S501" s="8">
        <f>31*9</f>
        <v>279</v>
      </c>
      <c r="T501" s="40">
        <f t="shared" si="225"/>
        <v>11.661084000000004</v>
      </c>
    </row>
    <row r="502" spans="7:21" ht="14" x14ac:dyDescent="0.25">
      <c r="G502" s="2" t="s">
        <v>20</v>
      </c>
      <c r="H502" s="41">
        <v>36.799999999999997</v>
      </c>
      <c r="I502" s="41">
        <v>8.3000000000000007</v>
      </c>
      <c r="J502" s="71">
        <f t="shared" si="220"/>
        <v>4.1500000000000004</v>
      </c>
      <c r="K502" s="71">
        <f t="shared" si="221"/>
        <v>32.65</v>
      </c>
      <c r="L502" s="59">
        <f>D173</f>
        <v>3</v>
      </c>
      <c r="M502" s="45">
        <v>24</v>
      </c>
      <c r="N502" s="72">
        <f t="shared" si="222"/>
        <v>1.5</v>
      </c>
      <c r="O502" s="72">
        <f t="shared" si="223"/>
        <v>3.25</v>
      </c>
      <c r="P502" s="8">
        <f t="shared" si="224"/>
        <v>7.75</v>
      </c>
      <c r="Q502" s="8">
        <v>3.75</v>
      </c>
      <c r="R502" s="8">
        <v>1.296</v>
      </c>
      <c r="S502" s="8">
        <f>30*9</f>
        <v>270</v>
      </c>
      <c r="T502" s="40">
        <f t="shared" si="225"/>
        <v>10.169549999999999</v>
      </c>
    </row>
    <row r="503" spans="7:21" ht="14" x14ac:dyDescent="0.25">
      <c r="G503" s="2" t="s">
        <v>21</v>
      </c>
      <c r="H503" s="41">
        <v>35.200000000000003</v>
      </c>
      <c r="I503" s="41">
        <v>11.8</v>
      </c>
      <c r="J503" s="71">
        <f t="shared" si="220"/>
        <v>5.9</v>
      </c>
      <c r="K503" s="71">
        <f t="shared" si="221"/>
        <v>29.300000000000004</v>
      </c>
      <c r="L503" s="59">
        <f>D173</f>
        <v>3</v>
      </c>
      <c r="M503" s="45">
        <v>24</v>
      </c>
      <c r="N503" s="72">
        <f t="shared" si="222"/>
        <v>1.5</v>
      </c>
      <c r="O503" s="72">
        <f t="shared" si="223"/>
        <v>-9.9999999999994316E-2</v>
      </c>
      <c r="P503" s="8">
        <f t="shared" si="224"/>
        <v>4.4000000000000057</v>
      </c>
      <c r="Q503" s="8">
        <v>3.75</v>
      </c>
      <c r="R503" s="8">
        <v>1.296</v>
      </c>
      <c r="S503" s="8">
        <f>31*9</f>
        <v>279</v>
      </c>
      <c r="T503" s="40">
        <f t="shared" si="225"/>
        <v>5.9661360000000077</v>
      </c>
    </row>
    <row r="504" spans="7:21" ht="14" x14ac:dyDescent="0.25">
      <c r="G504" s="2" t="s">
        <v>22</v>
      </c>
      <c r="H504" s="41">
        <v>30.8</v>
      </c>
      <c r="I504" s="41">
        <v>13</v>
      </c>
      <c r="J504" s="71">
        <f t="shared" si="220"/>
        <v>6.5</v>
      </c>
      <c r="K504" s="71">
        <f t="shared" si="221"/>
        <v>24.3</v>
      </c>
      <c r="L504" s="59">
        <f>D173</f>
        <v>3</v>
      </c>
      <c r="M504" s="45">
        <v>24</v>
      </c>
      <c r="N504" s="45">
        <f t="shared" si="222"/>
        <v>1.5</v>
      </c>
      <c r="O504" s="45">
        <f t="shared" si="223"/>
        <v>-5.0999999999999979</v>
      </c>
      <c r="P504" s="8">
        <f t="shared" si="224"/>
        <v>-0.59999999999999787</v>
      </c>
      <c r="Q504" s="8">
        <v>3.75</v>
      </c>
      <c r="R504" s="8">
        <v>1.296</v>
      </c>
      <c r="S504" s="8">
        <f>30*9</f>
        <v>270</v>
      </c>
      <c r="T504" s="40">
        <f t="shared" si="225"/>
        <v>-0.78731999999999724</v>
      </c>
    </row>
    <row r="505" spans="7:21" ht="15.5" thickBot="1" x14ac:dyDescent="0.3">
      <c r="G505" s="301" t="s">
        <v>155</v>
      </c>
      <c r="H505" s="302"/>
      <c r="I505" s="302"/>
      <c r="J505" s="302"/>
      <c r="K505" s="302"/>
      <c r="L505" s="302"/>
      <c r="M505" s="302"/>
      <c r="N505" s="302"/>
      <c r="O505" s="302"/>
      <c r="P505" s="302"/>
      <c r="Q505" s="302"/>
      <c r="R505" s="302"/>
      <c r="S505" s="302"/>
      <c r="T505" s="70">
        <f>SUM(T499:T504)</f>
        <v>59.488587000000024</v>
      </c>
      <c r="U505" s="105"/>
    </row>
    <row r="507" spans="7:21" ht="13" thickBot="1" x14ac:dyDescent="0.3"/>
    <row r="508" spans="7:21" ht="13" x14ac:dyDescent="0.3">
      <c r="G508" s="295" t="s">
        <v>166</v>
      </c>
      <c r="H508" s="296"/>
      <c r="I508" s="296"/>
      <c r="J508" s="296"/>
      <c r="K508" s="296"/>
      <c r="L508" s="296"/>
      <c r="M508" s="297"/>
    </row>
    <row r="509" spans="7:21" ht="15" x14ac:dyDescent="0.25">
      <c r="G509" s="46" t="s">
        <v>78</v>
      </c>
      <c r="H509" s="37" t="s">
        <v>63</v>
      </c>
      <c r="I509" s="37" t="s">
        <v>64</v>
      </c>
      <c r="J509" s="37" t="s">
        <v>79</v>
      </c>
      <c r="K509" s="37" t="s">
        <v>82</v>
      </c>
      <c r="L509" s="37" t="s">
        <v>57</v>
      </c>
      <c r="M509" s="73" t="s">
        <v>80</v>
      </c>
    </row>
    <row r="510" spans="7:21" x14ac:dyDescent="0.25">
      <c r="G510" s="2" t="s">
        <v>13</v>
      </c>
      <c r="H510" s="8">
        <v>0.55000000000000004</v>
      </c>
      <c r="I510" s="8">
        <v>0.51</v>
      </c>
      <c r="J510" s="118">
        <v>138.80000000000001</v>
      </c>
      <c r="K510" s="8">
        <v>1.296</v>
      </c>
      <c r="L510" s="8">
        <f>30*9</f>
        <v>270</v>
      </c>
      <c r="M510" s="40">
        <f t="shared" ref="M510:M515" si="226">(H510*I510*J510*K510*L510)/1000</f>
        <v>13.623575328000003</v>
      </c>
    </row>
    <row r="511" spans="7:21" x14ac:dyDescent="0.25">
      <c r="G511" s="2" t="s">
        <v>24</v>
      </c>
      <c r="H511" s="8">
        <v>0.55000000000000004</v>
      </c>
      <c r="I511" s="8">
        <v>0.51</v>
      </c>
      <c r="J511" s="118">
        <v>126.18</v>
      </c>
      <c r="K511" s="8">
        <v>1.296</v>
      </c>
      <c r="L511" s="8">
        <f>31*9</f>
        <v>279</v>
      </c>
      <c r="M511" s="40">
        <f t="shared" si="226"/>
        <v>12.797719688160003</v>
      </c>
    </row>
    <row r="512" spans="7:21" x14ac:dyDescent="0.25">
      <c r="G512" s="2" t="s">
        <v>19</v>
      </c>
      <c r="H512" s="8">
        <v>0.55000000000000004</v>
      </c>
      <c r="I512" s="8">
        <v>0.51</v>
      </c>
      <c r="J512" s="118">
        <v>116.71</v>
      </c>
      <c r="K512" s="8">
        <v>1.296</v>
      </c>
      <c r="L512" s="8">
        <f>31*9</f>
        <v>279</v>
      </c>
      <c r="M512" s="40">
        <f t="shared" si="226"/>
        <v>11.837231453520001</v>
      </c>
    </row>
    <row r="513" spans="7:20" x14ac:dyDescent="0.25">
      <c r="G513" s="2" t="s">
        <v>20</v>
      </c>
      <c r="H513" s="8">
        <v>0.55000000000000004</v>
      </c>
      <c r="I513" s="8">
        <v>0.51</v>
      </c>
      <c r="J513" s="118">
        <v>104.1</v>
      </c>
      <c r="K513" s="8">
        <v>1.296</v>
      </c>
      <c r="L513" s="8">
        <f>30*9</f>
        <v>270</v>
      </c>
      <c r="M513" s="40">
        <f t="shared" si="226"/>
        <v>10.217681495999999</v>
      </c>
    </row>
    <row r="514" spans="7:20" x14ac:dyDescent="0.25">
      <c r="G514" s="2" t="s">
        <v>21</v>
      </c>
      <c r="H514" s="8">
        <v>0.55000000000000004</v>
      </c>
      <c r="I514" s="8">
        <v>0.51</v>
      </c>
      <c r="J514" s="118">
        <v>88.32</v>
      </c>
      <c r="K514" s="8">
        <v>1.296</v>
      </c>
      <c r="L514" s="8">
        <f>31*9</f>
        <v>279</v>
      </c>
      <c r="M514" s="40">
        <f t="shared" si="226"/>
        <v>8.957795235839999</v>
      </c>
    </row>
    <row r="515" spans="7:20" x14ac:dyDescent="0.25">
      <c r="G515" s="2" t="s">
        <v>22</v>
      </c>
      <c r="H515" s="8">
        <v>0.55000000000000004</v>
      </c>
      <c r="I515" s="8">
        <v>0.51</v>
      </c>
      <c r="J515" s="118">
        <v>75.709999999999994</v>
      </c>
      <c r="K515" s="8">
        <v>1.296</v>
      </c>
      <c r="L515" s="8">
        <f>30*9</f>
        <v>270</v>
      </c>
      <c r="M515" s="40">
        <f t="shared" si="226"/>
        <v>7.4311303176000001</v>
      </c>
    </row>
    <row r="516" spans="7:20" ht="15.5" thickBot="1" x14ac:dyDescent="0.45">
      <c r="G516" s="310" t="s">
        <v>158</v>
      </c>
      <c r="H516" s="311"/>
      <c r="I516" s="311"/>
      <c r="J516" s="311"/>
      <c r="K516" s="311"/>
      <c r="L516" s="311"/>
      <c r="M516" s="74">
        <f>SUM(M510:M515)</f>
        <v>64.865133519119993</v>
      </c>
    </row>
    <row r="519" spans="7:20" ht="13" thickBot="1" x14ac:dyDescent="0.3"/>
    <row r="520" spans="7:20" ht="13" x14ac:dyDescent="0.3">
      <c r="G520" s="295" t="s">
        <v>167</v>
      </c>
      <c r="H520" s="296"/>
      <c r="I520" s="296"/>
      <c r="J520" s="296"/>
      <c r="K520" s="296"/>
      <c r="L520" s="296"/>
      <c r="M520" s="296"/>
      <c r="N520" s="296"/>
      <c r="O520" s="296"/>
      <c r="P520" s="296"/>
      <c r="Q520" s="296"/>
      <c r="R520" s="296"/>
      <c r="S520" s="297"/>
      <c r="T520" s="104"/>
    </row>
    <row r="521" spans="7:20" ht="15" x14ac:dyDescent="0.25">
      <c r="G521" s="46" t="s">
        <v>0</v>
      </c>
      <c r="H521" s="37" t="s">
        <v>84</v>
      </c>
      <c r="I521" s="37" t="s">
        <v>95</v>
      </c>
      <c r="J521" s="37" t="s">
        <v>96</v>
      </c>
      <c r="K521" s="37" t="s">
        <v>97</v>
      </c>
      <c r="L521" s="37" t="s">
        <v>98</v>
      </c>
      <c r="M521" s="37" t="s">
        <v>99</v>
      </c>
      <c r="N521" s="37" t="s">
        <v>100</v>
      </c>
      <c r="O521" s="37" t="s">
        <v>101</v>
      </c>
      <c r="P521" s="83" t="s">
        <v>85</v>
      </c>
      <c r="Q521" s="37" t="s">
        <v>102</v>
      </c>
      <c r="R521" s="37" t="s">
        <v>86</v>
      </c>
      <c r="S521" s="73" t="s">
        <v>103</v>
      </c>
    </row>
    <row r="522" spans="7:20" ht="14" x14ac:dyDescent="0.25">
      <c r="G522" s="2" t="s">
        <v>13</v>
      </c>
      <c r="H522" s="8">
        <v>0.6</v>
      </c>
      <c r="I522" s="8">
        <v>38.880000000000003</v>
      </c>
      <c r="J522" s="8">
        <v>1.0049999999999999</v>
      </c>
      <c r="K522" s="8">
        <v>1.2929999999999999</v>
      </c>
      <c r="L522" s="41">
        <v>43.8</v>
      </c>
      <c r="M522" s="8">
        <v>18</v>
      </c>
      <c r="N522" s="8">
        <f t="shared" ref="N522:N527" si="227">L522-M522</f>
        <v>25.799999999999997</v>
      </c>
      <c r="O522" s="27">
        <f t="shared" ref="O522:O527" si="228">H522*I522*J522*K522*N522</f>
        <v>782.0991236159997</v>
      </c>
      <c r="P522" s="8">
        <v>0.27700000000000002</v>
      </c>
      <c r="Q522" s="27">
        <f t="shared" ref="Q522:Q527" si="229">O522*P522</f>
        <v>216.64145724163194</v>
      </c>
      <c r="R522" s="8">
        <f>30*9</f>
        <v>270</v>
      </c>
      <c r="S522" s="40">
        <f t="shared" ref="S522:S527" si="230">(Q522*R522)/1000</f>
        <v>58.493193455240622</v>
      </c>
    </row>
    <row r="523" spans="7:20" ht="14" x14ac:dyDescent="0.25">
      <c r="G523" s="2" t="s">
        <v>24</v>
      </c>
      <c r="H523" s="8">
        <v>0.6</v>
      </c>
      <c r="I523" s="8">
        <v>38.880000000000003</v>
      </c>
      <c r="J523" s="8">
        <v>1.0049999999999999</v>
      </c>
      <c r="K523" s="8">
        <v>1.2929999999999999</v>
      </c>
      <c r="L523" s="41">
        <v>39</v>
      </c>
      <c r="M523" s="8">
        <v>18</v>
      </c>
      <c r="N523" s="8">
        <f t="shared" si="227"/>
        <v>21</v>
      </c>
      <c r="O523" s="27">
        <f t="shared" si="228"/>
        <v>636.59230991999982</v>
      </c>
      <c r="P523" s="8">
        <v>0.27700000000000002</v>
      </c>
      <c r="Q523" s="27">
        <f t="shared" si="229"/>
        <v>176.33606984783998</v>
      </c>
      <c r="R523" s="8">
        <f>31*9</f>
        <v>279</v>
      </c>
      <c r="S523" s="40">
        <f t="shared" si="230"/>
        <v>49.197763487547356</v>
      </c>
    </row>
    <row r="524" spans="7:20" ht="14" x14ac:dyDescent="0.25">
      <c r="G524" s="2" t="s">
        <v>19</v>
      </c>
      <c r="H524" s="8">
        <v>0.6</v>
      </c>
      <c r="I524" s="8">
        <v>38.880000000000003</v>
      </c>
      <c r="J524" s="8">
        <v>1.0049999999999999</v>
      </c>
      <c r="K524" s="8">
        <v>1.2929999999999999</v>
      </c>
      <c r="L524" s="41">
        <v>36.9</v>
      </c>
      <c r="M524" s="8">
        <v>18</v>
      </c>
      <c r="N524" s="8">
        <f t="shared" si="227"/>
        <v>18.899999999999999</v>
      </c>
      <c r="O524" s="27">
        <f t="shared" si="228"/>
        <v>572.93307892799976</v>
      </c>
      <c r="P524" s="8">
        <v>0.27700000000000002</v>
      </c>
      <c r="Q524" s="27">
        <f t="shared" si="229"/>
        <v>158.70246286305596</v>
      </c>
      <c r="R524" s="8">
        <f>31*9</f>
        <v>279</v>
      </c>
      <c r="S524" s="40">
        <f t="shared" si="230"/>
        <v>44.277987138792611</v>
      </c>
    </row>
    <row r="525" spans="7:20" ht="14" x14ac:dyDescent="0.25">
      <c r="G525" s="2" t="s">
        <v>20</v>
      </c>
      <c r="H525" s="8">
        <v>0.6</v>
      </c>
      <c r="I525" s="8">
        <v>38.880000000000003</v>
      </c>
      <c r="J525" s="8">
        <v>1.0049999999999999</v>
      </c>
      <c r="K525" s="8">
        <v>1.2929999999999999</v>
      </c>
      <c r="L525" s="41">
        <v>36.799999999999997</v>
      </c>
      <c r="M525" s="8">
        <v>18</v>
      </c>
      <c r="N525" s="8">
        <f t="shared" si="227"/>
        <v>18.799999999999997</v>
      </c>
      <c r="O525" s="27">
        <f t="shared" si="228"/>
        <v>569.90168697599972</v>
      </c>
      <c r="P525" s="8">
        <v>0.27700000000000002</v>
      </c>
      <c r="Q525" s="27">
        <f t="shared" si="229"/>
        <v>157.86276729235195</v>
      </c>
      <c r="R525" s="8">
        <f>30*9</f>
        <v>270</v>
      </c>
      <c r="S525" s="40">
        <f t="shared" si="230"/>
        <v>42.622947168935028</v>
      </c>
    </row>
    <row r="526" spans="7:20" ht="14" x14ac:dyDescent="0.25">
      <c r="G526" s="2" t="s">
        <v>21</v>
      </c>
      <c r="H526" s="8">
        <v>0.6</v>
      </c>
      <c r="I526" s="8">
        <v>38.880000000000003</v>
      </c>
      <c r="J526" s="8">
        <v>1.0049999999999999</v>
      </c>
      <c r="K526" s="8">
        <v>1.2929999999999999</v>
      </c>
      <c r="L526" s="41">
        <v>35.200000000000003</v>
      </c>
      <c r="M526" s="8">
        <v>18</v>
      </c>
      <c r="N526" s="8">
        <f t="shared" si="227"/>
        <v>17.200000000000003</v>
      </c>
      <c r="O526" s="27">
        <f t="shared" si="228"/>
        <v>521.39941574399995</v>
      </c>
      <c r="P526" s="8">
        <v>0.27700000000000002</v>
      </c>
      <c r="Q526" s="27">
        <f t="shared" si="229"/>
        <v>144.427638161088</v>
      </c>
      <c r="R526" s="8">
        <f>31*9</f>
        <v>279</v>
      </c>
      <c r="S526" s="40">
        <f t="shared" si="230"/>
        <v>40.295311046943546</v>
      </c>
    </row>
    <row r="527" spans="7:20" ht="14" x14ac:dyDescent="0.25">
      <c r="G527" s="2" t="s">
        <v>22</v>
      </c>
      <c r="H527" s="8">
        <v>0.6</v>
      </c>
      <c r="I527" s="8">
        <v>38.880000000000003</v>
      </c>
      <c r="J527" s="8">
        <v>1.0049999999999999</v>
      </c>
      <c r="K527" s="8">
        <v>1.2929999999999999</v>
      </c>
      <c r="L527" s="41">
        <v>30.8</v>
      </c>
      <c r="M527" s="8">
        <v>18</v>
      </c>
      <c r="N527" s="8">
        <f t="shared" si="227"/>
        <v>12.8</v>
      </c>
      <c r="O527" s="27">
        <f t="shared" si="228"/>
        <v>388.01816985599993</v>
      </c>
      <c r="P527" s="8">
        <v>0.27700000000000002</v>
      </c>
      <c r="Q527" s="27">
        <f t="shared" si="229"/>
        <v>107.48103305011199</v>
      </c>
      <c r="R527" s="8">
        <f>30*9</f>
        <v>270</v>
      </c>
      <c r="S527" s="40">
        <f t="shared" si="230"/>
        <v>29.019878923530236</v>
      </c>
    </row>
    <row r="528" spans="7:20" ht="15" x14ac:dyDescent="0.4">
      <c r="G528" s="314" t="s">
        <v>189</v>
      </c>
      <c r="H528" s="315"/>
      <c r="I528" s="315"/>
      <c r="J528" s="315"/>
      <c r="K528" s="315"/>
      <c r="L528" s="315"/>
      <c r="M528" s="315"/>
      <c r="N528" s="315"/>
      <c r="O528" s="315"/>
      <c r="P528" s="315"/>
      <c r="Q528" s="315"/>
      <c r="R528" s="315"/>
      <c r="S528" s="84">
        <f>SUM(S522:S527)</f>
        <v>263.90708122098943</v>
      </c>
    </row>
    <row r="529" spans="7:20" ht="14" x14ac:dyDescent="0.25">
      <c r="G529" s="2" t="s">
        <v>13</v>
      </c>
      <c r="H529" s="8">
        <v>0.6</v>
      </c>
      <c r="I529" s="8">
        <v>38.880000000000003</v>
      </c>
      <c r="J529" s="8">
        <v>1.0049999999999999</v>
      </c>
      <c r="K529" s="8">
        <v>1.2929999999999999</v>
      </c>
      <c r="L529" s="41">
        <v>43.8</v>
      </c>
      <c r="M529" s="8">
        <v>19</v>
      </c>
      <c r="N529" s="8">
        <f t="shared" ref="N529:N534" si="231">L529-M529</f>
        <v>24.799999999999997</v>
      </c>
      <c r="O529" s="27">
        <f t="shared" ref="O529:O534" si="232">H529*I529*J529*K529*N529</f>
        <v>751.78520409599969</v>
      </c>
      <c r="P529" s="8">
        <v>0.27700000000000002</v>
      </c>
      <c r="Q529" s="27">
        <f t="shared" ref="Q529:Q534" si="233">O529*P529</f>
        <v>208.24450153459193</v>
      </c>
      <c r="R529" s="8">
        <f>30*9</f>
        <v>270</v>
      </c>
      <c r="S529" s="40">
        <f t="shared" ref="S529:S534" si="234">(Q529*R529)/1000</f>
        <v>56.226015414339827</v>
      </c>
    </row>
    <row r="530" spans="7:20" ht="14" x14ac:dyDescent="0.25">
      <c r="G530" s="2" t="s">
        <v>24</v>
      </c>
      <c r="H530" s="8">
        <v>0.6</v>
      </c>
      <c r="I530" s="8">
        <v>38.880000000000003</v>
      </c>
      <c r="J530" s="8">
        <v>1.0049999999999999</v>
      </c>
      <c r="K530" s="8">
        <v>1.2929999999999999</v>
      </c>
      <c r="L530" s="41">
        <v>39</v>
      </c>
      <c r="M530" s="8">
        <v>19</v>
      </c>
      <c r="N530" s="8">
        <f t="shared" si="231"/>
        <v>20</v>
      </c>
      <c r="O530" s="27">
        <f t="shared" si="232"/>
        <v>606.27839039999981</v>
      </c>
      <c r="P530" s="8">
        <v>0.27700000000000002</v>
      </c>
      <c r="Q530" s="27">
        <f t="shared" si="233"/>
        <v>167.93911414079997</v>
      </c>
      <c r="R530" s="8">
        <f>31*9</f>
        <v>279</v>
      </c>
      <c r="S530" s="40">
        <f t="shared" si="234"/>
        <v>46.855012845283191</v>
      </c>
    </row>
    <row r="531" spans="7:20" ht="14" x14ac:dyDescent="0.25">
      <c r="G531" s="2" t="s">
        <v>19</v>
      </c>
      <c r="H531" s="8">
        <v>0.6</v>
      </c>
      <c r="I531" s="8">
        <v>38.880000000000003</v>
      </c>
      <c r="J531" s="8">
        <v>1.0049999999999999</v>
      </c>
      <c r="K531" s="8">
        <v>1.2929999999999999</v>
      </c>
      <c r="L531" s="41">
        <v>36.9</v>
      </c>
      <c r="M531" s="8">
        <v>19</v>
      </c>
      <c r="N531" s="8">
        <f t="shared" si="231"/>
        <v>17.899999999999999</v>
      </c>
      <c r="O531" s="27">
        <f t="shared" si="232"/>
        <v>542.61915940799986</v>
      </c>
      <c r="P531" s="8">
        <v>0.27700000000000002</v>
      </c>
      <c r="Q531" s="27">
        <f t="shared" si="233"/>
        <v>150.30550715601598</v>
      </c>
      <c r="R531" s="8">
        <f>31*9</f>
        <v>279</v>
      </c>
      <c r="S531" s="40">
        <f t="shared" si="234"/>
        <v>41.935236496528461</v>
      </c>
    </row>
    <row r="532" spans="7:20" ht="14" x14ac:dyDescent="0.25">
      <c r="G532" s="2" t="s">
        <v>20</v>
      </c>
      <c r="H532" s="8">
        <v>0.6</v>
      </c>
      <c r="I532" s="8">
        <v>38.880000000000003</v>
      </c>
      <c r="J532" s="8">
        <v>1.0049999999999999</v>
      </c>
      <c r="K532" s="8">
        <v>1.2929999999999999</v>
      </c>
      <c r="L532" s="41">
        <v>36.799999999999997</v>
      </c>
      <c r="M532" s="8">
        <v>19</v>
      </c>
      <c r="N532" s="8">
        <f t="shared" si="231"/>
        <v>17.799999999999997</v>
      </c>
      <c r="O532" s="27">
        <f t="shared" si="232"/>
        <v>539.58776745599982</v>
      </c>
      <c r="P532" s="8">
        <v>0.27700000000000002</v>
      </c>
      <c r="Q532" s="27">
        <f t="shared" si="233"/>
        <v>149.46581158531197</v>
      </c>
      <c r="R532" s="8">
        <f>30*9</f>
        <v>270</v>
      </c>
      <c r="S532" s="40">
        <f t="shared" si="234"/>
        <v>40.355769128034233</v>
      </c>
    </row>
    <row r="533" spans="7:20" ht="14" x14ac:dyDescent="0.25">
      <c r="G533" s="2" t="s">
        <v>21</v>
      </c>
      <c r="H533" s="8">
        <v>0.6</v>
      </c>
      <c r="I533" s="8">
        <v>38.880000000000003</v>
      </c>
      <c r="J533" s="8">
        <v>1.0049999999999999</v>
      </c>
      <c r="K533" s="8">
        <v>1.2929999999999999</v>
      </c>
      <c r="L533" s="41">
        <v>35.200000000000003</v>
      </c>
      <c r="M533" s="8">
        <v>19</v>
      </c>
      <c r="N533" s="8">
        <f t="shared" si="231"/>
        <v>16.200000000000003</v>
      </c>
      <c r="O533" s="27">
        <f t="shared" si="232"/>
        <v>491.08549622399994</v>
      </c>
      <c r="P533" s="8">
        <v>0.27700000000000002</v>
      </c>
      <c r="Q533" s="27">
        <f t="shared" si="233"/>
        <v>136.03068245404799</v>
      </c>
      <c r="R533" s="8">
        <f>31*9</f>
        <v>279</v>
      </c>
      <c r="S533" s="40">
        <f t="shared" si="234"/>
        <v>37.952560404679389</v>
      </c>
    </row>
    <row r="534" spans="7:20" ht="14" x14ac:dyDescent="0.25">
      <c r="G534" s="2" t="s">
        <v>22</v>
      </c>
      <c r="H534" s="8">
        <v>0.6</v>
      </c>
      <c r="I534" s="8">
        <v>38.880000000000003</v>
      </c>
      <c r="J534" s="8">
        <v>1.0049999999999999</v>
      </c>
      <c r="K534" s="8">
        <v>1.2929999999999999</v>
      </c>
      <c r="L534" s="41">
        <v>30.8</v>
      </c>
      <c r="M534" s="8">
        <v>19</v>
      </c>
      <c r="N534" s="8">
        <f t="shared" si="231"/>
        <v>11.8</v>
      </c>
      <c r="O534" s="27">
        <f t="shared" si="232"/>
        <v>357.70425033599992</v>
      </c>
      <c r="P534" s="8">
        <v>0.27700000000000002</v>
      </c>
      <c r="Q534" s="27">
        <f t="shared" si="233"/>
        <v>99.084077343071982</v>
      </c>
      <c r="R534" s="8">
        <f>30*9</f>
        <v>270</v>
      </c>
      <c r="S534" s="40">
        <f t="shared" si="234"/>
        <v>26.752700882629437</v>
      </c>
    </row>
    <row r="535" spans="7:20" ht="15" x14ac:dyDescent="0.4">
      <c r="G535" s="314" t="s">
        <v>192</v>
      </c>
      <c r="H535" s="315"/>
      <c r="I535" s="315"/>
      <c r="J535" s="315"/>
      <c r="K535" s="315"/>
      <c r="L535" s="315"/>
      <c r="M535" s="315"/>
      <c r="N535" s="315"/>
      <c r="O535" s="315"/>
      <c r="P535" s="315"/>
      <c r="Q535" s="315"/>
      <c r="R535" s="315"/>
      <c r="S535" s="84">
        <f>SUM(S529:S534)</f>
        <v>250.07729517149454</v>
      </c>
    </row>
    <row r="536" spans="7:20" ht="14" x14ac:dyDescent="0.25">
      <c r="G536" s="2" t="s">
        <v>13</v>
      </c>
      <c r="H536" s="8">
        <v>0.6</v>
      </c>
      <c r="I536" s="8">
        <v>38.880000000000003</v>
      </c>
      <c r="J536" s="8">
        <v>1.0049999999999999</v>
      </c>
      <c r="K536" s="8">
        <v>1.2929999999999999</v>
      </c>
      <c r="L536" s="41">
        <v>43.8</v>
      </c>
      <c r="M536" s="8">
        <v>20</v>
      </c>
      <c r="N536" s="8">
        <f t="shared" ref="N536:N541" si="235">L536-M536</f>
        <v>23.799999999999997</v>
      </c>
      <c r="O536" s="27">
        <f t="shared" ref="O536:O541" si="236">H536*I536*J536*K536*N536</f>
        <v>721.47128457599968</v>
      </c>
      <c r="P536" s="8">
        <v>0.27700000000000002</v>
      </c>
      <c r="Q536" s="27">
        <f t="shared" ref="Q536:Q541" si="237">O536*P536</f>
        <v>199.84754582755193</v>
      </c>
      <c r="R536" s="8">
        <f>30*9</f>
        <v>270</v>
      </c>
      <c r="S536" s="40">
        <f t="shared" ref="S536:S541" si="238">(Q536*R536)/1000</f>
        <v>53.958837373439017</v>
      </c>
    </row>
    <row r="537" spans="7:20" ht="14" x14ac:dyDescent="0.25">
      <c r="G537" s="2" t="s">
        <v>24</v>
      </c>
      <c r="H537" s="8">
        <v>0.6</v>
      </c>
      <c r="I537" s="8">
        <v>38.880000000000003</v>
      </c>
      <c r="J537" s="8">
        <v>1.0049999999999999</v>
      </c>
      <c r="K537" s="8">
        <v>1.2929999999999999</v>
      </c>
      <c r="L537" s="41">
        <v>39</v>
      </c>
      <c r="M537" s="8">
        <v>20</v>
      </c>
      <c r="N537" s="8">
        <f t="shared" si="235"/>
        <v>19</v>
      </c>
      <c r="O537" s="27">
        <f t="shared" si="236"/>
        <v>575.96447087999979</v>
      </c>
      <c r="P537" s="8">
        <v>0.27700000000000002</v>
      </c>
      <c r="Q537" s="27">
        <f t="shared" si="237"/>
        <v>159.54215843375997</v>
      </c>
      <c r="R537" s="8">
        <f>31*9</f>
        <v>279</v>
      </c>
      <c r="S537" s="40">
        <f t="shared" si="238"/>
        <v>44.512262203019034</v>
      </c>
    </row>
    <row r="538" spans="7:20" ht="14" x14ac:dyDescent="0.25">
      <c r="G538" s="2" t="s">
        <v>19</v>
      </c>
      <c r="H538" s="8">
        <v>0.6</v>
      </c>
      <c r="I538" s="8">
        <v>38.880000000000003</v>
      </c>
      <c r="J538" s="8">
        <v>1.0049999999999999</v>
      </c>
      <c r="K538" s="8">
        <v>1.2929999999999999</v>
      </c>
      <c r="L538" s="41">
        <v>36.9</v>
      </c>
      <c r="M538" s="8">
        <v>20</v>
      </c>
      <c r="N538" s="8">
        <f t="shared" si="235"/>
        <v>16.899999999999999</v>
      </c>
      <c r="O538" s="27">
        <f t="shared" si="236"/>
        <v>512.30523988799985</v>
      </c>
      <c r="P538" s="8">
        <v>0.27700000000000002</v>
      </c>
      <c r="Q538" s="27">
        <f t="shared" si="237"/>
        <v>141.90855144897597</v>
      </c>
      <c r="R538" s="8">
        <f>31*9</f>
        <v>279</v>
      </c>
      <c r="S538" s="40">
        <f t="shared" si="238"/>
        <v>39.592485854264297</v>
      </c>
    </row>
    <row r="539" spans="7:20" ht="14" x14ac:dyDescent="0.25">
      <c r="G539" s="2" t="s">
        <v>20</v>
      </c>
      <c r="H539" s="8">
        <v>0.6</v>
      </c>
      <c r="I539" s="8">
        <v>38.880000000000003</v>
      </c>
      <c r="J539" s="8">
        <v>1.0049999999999999</v>
      </c>
      <c r="K539" s="8">
        <v>1.2929999999999999</v>
      </c>
      <c r="L539" s="41">
        <v>36.799999999999997</v>
      </c>
      <c r="M539" s="8">
        <v>20</v>
      </c>
      <c r="N539" s="8">
        <f t="shared" si="235"/>
        <v>16.799999999999997</v>
      </c>
      <c r="O539" s="27">
        <f t="shared" si="236"/>
        <v>509.27384793599975</v>
      </c>
      <c r="P539" s="8">
        <v>0.27700000000000002</v>
      </c>
      <c r="Q539" s="27">
        <f t="shared" si="237"/>
        <v>141.06885587827193</v>
      </c>
      <c r="R539" s="8">
        <f>30*9</f>
        <v>270</v>
      </c>
      <c r="S539" s="40">
        <f t="shared" si="238"/>
        <v>38.088591087133423</v>
      </c>
    </row>
    <row r="540" spans="7:20" ht="14" x14ac:dyDescent="0.25">
      <c r="G540" s="2" t="s">
        <v>21</v>
      </c>
      <c r="H540" s="8">
        <v>0.6</v>
      </c>
      <c r="I540" s="8">
        <v>38.880000000000003</v>
      </c>
      <c r="J540" s="8">
        <v>1.0049999999999999</v>
      </c>
      <c r="K540" s="8">
        <v>1.2929999999999999</v>
      </c>
      <c r="L540" s="41">
        <v>35.200000000000003</v>
      </c>
      <c r="M540" s="8">
        <v>20</v>
      </c>
      <c r="N540" s="8">
        <f t="shared" si="235"/>
        <v>15.200000000000003</v>
      </c>
      <c r="O540" s="27">
        <f t="shared" si="236"/>
        <v>460.77157670399998</v>
      </c>
      <c r="P540" s="8">
        <v>0.27700000000000002</v>
      </c>
      <c r="Q540" s="27">
        <f t="shared" si="237"/>
        <v>127.63372674700801</v>
      </c>
      <c r="R540" s="8">
        <f>31*9</f>
        <v>279</v>
      </c>
      <c r="S540" s="40">
        <f t="shared" si="238"/>
        <v>35.609809762415239</v>
      </c>
    </row>
    <row r="541" spans="7:20" ht="14" x14ac:dyDescent="0.25">
      <c r="G541" s="2" t="s">
        <v>22</v>
      </c>
      <c r="H541" s="8">
        <v>0.6</v>
      </c>
      <c r="I541" s="8">
        <v>38.880000000000003</v>
      </c>
      <c r="J541" s="8">
        <v>1.0049999999999999</v>
      </c>
      <c r="K541" s="8">
        <v>1.2929999999999999</v>
      </c>
      <c r="L541" s="41">
        <v>30.8</v>
      </c>
      <c r="M541" s="8">
        <v>20</v>
      </c>
      <c r="N541" s="8">
        <f t="shared" si="235"/>
        <v>10.8</v>
      </c>
      <c r="O541" s="27">
        <f t="shared" si="236"/>
        <v>327.39033081599996</v>
      </c>
      <c r="P541" s="8">
        <v>0.27700000000000002</v>
      </c>
      <c r="Q541" s="27">
        <f t="shared" si="237"/>
        <v>90.687121636032003</v>
      </c>
      <c r="R541" s="8">
        <f>30*9</f>
        <v>270</v>
      </c>
      <c r="S541" s="40">
        <f t="shared" si="238"/>
        <v>24.485522841728642</v>
      </c>
    </row>
    <row r="542" spans="7:20" ht="15" x14ac:dyDescent="0.4">
      <c r="G542" s="314" t="s">
        <v>177</v>
      </c>
      <c r="H542" s="315"/>
      <c r="I542" s="315"/>
      <c r="J542" s="315"/>
      <c r="K542" s="315"/>
      <c r="L542" s="315"/>
      <c r="M542" s="315"/>
      <c r="N542" s="315"/>
      <c r="O542" s="315"/>
      <c r="P542" s="315"/>
      <c r="Q542" s="315"/>
      <c r="R542" s="315"/>
      <c r="S542" s="84">
        <f>SUM(S536:S541)</f>
        <v>236.24750912199966</v>
      </c>
      <c r="T542" s="105"/>
    </row>
    <row r="543" spans="7:20" ht="14" x14ac:dyDescent="0.25">
      <c r="G543" s="2" t="s">
        <v>13</v>
      </c>
      <c r="H543" s="8">
        <v>0.6</v>
      </c>
      <c r="I543" s="8">
        <v>38.880000000000003</v>
      </c>
      <c r="J543" s="8">
        <v>1.0049999999999999</v>
      </c>
      <c r="K543" s="8">
        <v>1.2929999999999999</v>
      </c>
      <c r="L543" s="41">
        <v>43.8</v>
      </c>
      <c r="M543" s="8">
        <v>21</v>
      </c>
      <c r="N543" s="8">
        <f t="shared" ref="N543:N548" si="239">L543-M543</f>
        <v>22.799999999999997</v>
      </c>
      <c r="O543" s="27">
        <f t="shared" ref="O543:O548" si="240">H543*I543*J543*K543*N543</f>
        <v>691.15736505599978</v>
      </c>
      <c r="P543" s="8">
        <v>0.27700000000000002</v>
      </c>
      <c r="Q543" s="27">
        <f t="shared" ref="Q543:Q548" si="241">O543*P543</f>
        <v>191.45059012051195</v>
      </c>
      <c r="R543" s="8">
        <f>30*9</f>
        <v>270</v>
      </c>
      <c r="S543" s="40">
        <f t="shared" ref="S543:S548" si="242">(Q543*R543)/1000</f>
        <v>51.691659332538229</v>
      </c>
    </row>
    <row r="544" spans="7:20" ht="14" x14ac:dyDescent="0.25">
      <c r="G544" s="2" t="s">
        <v>24</v>
      </c>
      <c r="H544" s="8">
        <v>0.6</v>
      </c>
      <c r="I544" s="8">
        <v>38.880000000000003</v>
      </c>
      <c r="J544" s="8">
        <v>1.0049999999999999</v>
      </c>
      <c r="K544" s="8">
        <v>1.2929999999999999</v>
      </c>
      <c r="L544" s="41">
        <v>39</v>
      </c>
      <c r="M544" s="8">
        <v>21</v>
      </c>
      <c r="N544" s="8">
        <f t="shared" si="239"/>
        <v>18</v>
      </c>
      <c r="O544" s="27">
        <f t="shared" si="240"/>
        <v>545.65055135999989</v>
      </c>
      <c r="P544" s="8">
        <v>0.27700000000000002</v>
      </c>
      <c r="Q544" s="27">
        <f t="shared" si="241"/>
        <v>151.14520272671999</v>
      </c>
      <c r="R544" s="8">
        <f>31*9</f>
        <v>279</v>
      </c>
      <c r="S544" s="40">
        <f t="shared" si="242"/>
        <v>42.169511560754877</v>
      </c>
    </row>
    <row r="545" spans="7:20" ht="14" x14ac:dyDescent="0.25">
      <c r="G545" s="2" t="s">
        <v>19</v>
      </c>
      <c r="H545" s="8">
        <v>0.6</v>
      </c>
      <c r="I545" s="8">
        <v>38.880000000000003</v>
      </c>
      <c r="J545" s="8">
        <v>1.0049999999999999</v>
      </c>
      <c r="K545" s="8">
        <v>1.2929999999999999</v>
      </c>
      <c r="L545" s="41">
        <v>36.9</v>
      </c>
      <c r="M545" s="8">
        <v>21</v>
      </c>
      <c r="N545" s="8">
        <f t="shared" si="239"/>
        <v>15.899999999999999</v>
      </c>
      <c r="O545" s="27">
        <f t="shared" si="240"/>
        <v>481.99132036799983</v>
      </c>
      <c r="P545" s="8">
        <v>0.27700000000000002</v>
      </c>
      <c r="Q545" s="27">
        <f t="shared" si="241"/>
        <v>133.51159574193596</v>
      </c>
      <c r="R545" s="8">
        <f>31*9</f>
        <v>279</v>
      </c>
      <c r="S545" s="40">
        <f t="shared" si="242"/>
        <v>37.249735212000132</v>
      </c>
    </row>
    <row r="546" spans="7:20" ht="14" x14ac:dyDescent="0.25">
      <c r="G546" s="2" t="s">
        <v>20</v>
      </c>
      <c r="H546" s="8">
        <v>0.6</v>
      </c>
      <c r="I546" s="8">
        <v>38.880000000000003</v>
      </c>
      <c r="J546" s="8">
        <v>1.0049999999999999</v>
      </c>
      <c r="K546" s="8">
        <v>1.2929999999999999</v>
      </c>
      <c r="L546" s="41">
        <v>36.799999999999997</v>
      </c>
      <c r="M546" s="8">
        <v>21</v>
      </c>
      <c r="N546" s="8">
        <f t="shared" si="239"/>
        <v>15.799999999999997</v>
      </c>
      <c r="O546" s="27">
        <f t="shared" si="240"/>
        <v>478.9599284159998</v>
      </c>
      <c r="P546" s="8">
        <v>0.27700000000000002</v>
      </c>
      <c r="Q546" s="27">
        <f t="shared" si="241"/>
        <v>132.67190017123195</v>
      </c>
      <c r="R546" s="8">
        <f>30*9</f>
        <v>270</v>
      </c>
      <c r="S546" s="40">
        <f t="shared" si="242"/>
        <v>35.821413046232628</v>
      </c>
    </row>
    <row r="547" spans="7:20" ht="14" x14ac:dyDescent="0.25">
      <c r="G547" s="2" t="s">
        <v>21</v>
      </c>
      <c r="H547" s="8">
        <v>0.6</v>
      </c>
      <c r="I547" s="8">
        <v>38.880000000000003</v>
      </c>
      <c r="J547" s="8">
        <v>1.0049999999999999</v>
      </c>
      <c r="K547" s="8">
        <v>1.2929999999999999</v>
      </c>
      <c r="L547" s="41">
        <v>35.200000000000003</v>
      </c>
      <c r="M547" s="8">
        <v>21</v>
      </c>
      <c r="N547" s="8">
        <f t="shared" si="239"/>
        <v>14.200000000000003</v>
      </c>
      <c r="O547" s="27">
        <f t="shared" si="240"/>
        <v>430.45765718399997</v>
      </c>
      <c r="P547" s="8">
        <v>0.27700000000000002</v>
      </c>
      <c r="Q547" s="27">
        <f t="shared" si="241"/>
        <v>119.236771039968</v>
      </c>
      <c r="R547" s="8">
        <f>31*9</f>
        <v>279</v>
      </c>
      <c r="S547" s="40">
        <f t="shared" si="242"/>
        <v>33.267059120151075</v>
      </c>
    </row>
    <row r="548" spans="7:20" ht="14" x14ac:dyDescent="0.25">
      <c r="G548" s="2" t="s">
        <v>22</v>
      </c>
      <c r="H548" s="8">
        <v>0.6</v>
      </c>
      <c r="I548" s="8">
        <v>38.880000000000003</v>
      </c>
      <c r="J548" s="8">
        <v>1.0049999999999999</v>
      </c>
      <c r="K548" s="8">
        <v>1.2929999999999999</v>
      </c>
      <c r="L548" s="41">
        <v>30.8</v>
      </c>
      <c r="M548" s="8">
        <v>21</v>
      </c>
      <c r="N548" s="8">
        <f t="shared" si="239"/>
        <v>9.8000000000000007</v>
      </c>
      <c r="O548" s="27">
        <f t="shared" si="240"/>
        <v>297.07641129599995</v>
      </c>
      <c r="P548" s="8">
        <v>0.27700000000000002</v>
      </c>
      <c r="Q548" s="27">
        <f t="shared" si="241"/>
        <v>82.290165928991996</v>
      </c>
      <c r="R548" s="8">
        <f>30*9</f>
        <v>270</v>
      </c>
      <c r="S548" s="40">
        <f t="shared" si="242"/>
        <v>22.21834480082784</v>
      </c>
    </row>
    <row r="549" spans="7:20" ht="15" x14ac:dyDescent="0.4">
      <c r="G549" s="314" t="s">
        <v>178</v>
      </c>
      <c r="H549" s="315"/>
      <c r="I549" s="315"/>
      <c r="J549" s="315"/>
      <c r="K549" s="315"/>
      <c r="L549" s="315"/>
      <c r="M549" s="315"/>
      <c r="N549" s="315"/>
      <c r="O549" s="315"/>
      <c r="P549" s="315"/>
      <c r="Q549" s="315"/>
      <c r="R549" s="315"/>
      <c r="S549" s="84">
        <f>SUM(S543:S548)</f>
        <v>222.4177230725048</v>
      </c>
      <c r="T549" s="105"/>
    </row>
    <row r="550" spans="7:20" ht="14" x14ac:dyDescent="0.25">
      <c r="G550" s="2" t="s">
        <v>13</v>
      </c>
      <c r="H550" s="8">
        <v>0.6</v>
      </c>
      <c r="I550" s="8">
        <v>38.880000000000003</v>
      </c>
      <c r="J550" s="8">
        <v>1.0049999999999999</v>
      </c>
      <c r="K550" s="8">
        <v>1.2929999999999999</v>
      </c>
      <c r="L550" s="41">
        <v>43.8</v>
      </c>
      <c r="M550" s="8">
        <v>22</v>
      </c>
      <c r="N550" s="8">
        <f t="shared" ref="N550:N555" si="243">L550-M550</f>
        <v>21.799999999999997</v>
      </c>
      <c r="O550" s="27">
        <f t="shared" ref="O550:O555" si="244">H550*I550*J550*K550*N550</f>
        <v>660.84344553599976</v>
      </c>
      <c r="P550" s="8">
        <v>0.27700000000000002</v>
      </c>
      <c r="Q550" s="27">
        <f t="shared" ref="Q550:Q555" si="245">O550*P550</f>
        <v>183.05363441347194</v>
      </c>
      <c r="R550" s="8">
        <f>30*9</f>
        <v>270</v>
      </c>
      <c r="S550" s="40">
        <f t="shared" ref="S550:S555" si="246">(Q550*R550)/1000</f>
        <v>49.42448129163742</v>
      </c>
    </row>
    <row r="551" spans="7:20" ht="14" x14ac:dyDescent="0.25">
      <c r="G551" s="2" t="s">
        <v>24</v>
      </c>
      <c r="H551" s="8">
        <v>0.6</v>
      </c>
      <c r="I551" s="8">
        <v>38.880000000000003</v>
      </c>
      <c r="J551" s="8">
        <v>1.0049999999999999</v>
      </c>
      <c r="K551" s="8">
        <v>1.2929999999999999</v>
      </c>
      <c r="L551" s="41">
        <v>39</v>
      </c>
      <c r="M551" s="8">
        <v>22</v>
      </c>
      <c r="N551" s="8">
        <f t="shared" si="243"/>
        <v>17</v>
      </c>
      <c r="O551" s="27">
        <f t="shared" si="244"/>
        <v>515.33663183999988</v>
      </c>
      <c r="P551" s="8">
        <v>0.27700000000000002</v>
      </c>
      <c r="Q551" s="27">
        <f t="shared" si="245"/>
        <v>142.74824701967998</v>
      </c>
      <c r="R551" s="8">
        <f>31*9</f>
        <v>279</v>
      </c>
      <c r="S551" s="40">
        <f t="shared" si="246"/>
        <v>39.826760918490713</v>
      </c>
    </row>
    <row r="552" spans="7:20" ht="14" x14ac:dyDescent="0.25">
      <c r="G552" s="2" t="s">
        <v>19</v>
      </c>
      <c r="H552" s="8">
        <v>0.6</v>
      </c>
      <c r="I552" s="8">
        <v>38.880000000000003</v>
      </c>
      <c r="J552" s="8">
        <v>1.0049999999999999</v>
      </c>
      <c r="K552" s="8">
        <v>1.2929999999999999</v>
      </c>
      <c r="L552" s="41">
        <v>36.9</v>
      </c>
      <c r="M552" s="8">
        <v>22</v>
      </c>
      <c r="N552" s="8">
        <f t="shared" si="243"/>
        <v>14.899999999999999</v>
      </c>
      <c r="O552" s="27">
        <f t="shared" si="244"/>
        <v>451.67740084799982</v>
      </c>
      <c r="P552" s="8">
        <v>0.27700000000000002</v>
      </c>
      <c r="Q552" s="27">
        <f t="shared" si="245"/>
        <v>125.11464003489596</v>
      </c>
      <c r="R552" s="8">
        <f>31*9</f>
        <v>279</v>
      </c>
      <c r="S552" s="40">
        <f t="shared" si="246"/>
        <v>34.906984569735968</v>
      </c>
    </row>
    <row r="553" spans="7:20" ht="14" x14ac:dyDescent="0.25">
      <c r="G553" s="2" t="s">
        <v>20</v>
      </c>
      <c r="H553" s="8">
        <v>0.6</v>
      </c>
      <c r="I553" s="8">
        <v>38.880000000000003</v>
      </c>
      <c r="J553" s="8">
        <v>1.0049999999999999</v>
      </c>
      <c r="K553" s="8">
        <v>1.2929999999999999</v>
      </c>
      <c r="L553" s="41">
        <v>36.799999999999997</v>
      </c>
      <c r="M553" s="8">
        <v>22</v>
      </c>
      <c r="N553" s="8">
        <f t="shared" si="243"/>
        <v>14.799999999999997</v>
      </c>
      <c r="O553" s="27">
        <f t="shared" si="244"/>
        <v>448.64600889599978</v>
      </c>
      <c r="P553" s="8">
        <v>0.27700000000000002</v>
      </c>
      <c r="Q553" s="27">
        <f t="shared" si="245"/>
        <v>124.27494446419195</v>
      </c>
      <c r="R553" s="8">
        <f>30*9</f>
        <v>270</v>
      </c>
      <c r="S553" s="40">
        <f t="shared" si="246"/>
        <v>33.554235005331819</v>
      </c>
    </row>
    <row r="554" spans="7:20" ht="14" x14ac:dyDescent="0.25">
      <c r="G554" s="2" t="s">
        <v>21</v>
      </c>
      <c r="H554" s="8">
        <v>0.6</v>
      </c>
      <c r="I554" s="8">
        <v>38.880000000000003</v>
      </c>
      <c r="J554" s="8">
        <v>1.0049999999999999</v>
      </c>
      <c r="K554" s="8">
        <v>1.2929999999999999</v>
      </c>
      <c r="L554" s="41">
        <v>35.200000000000003</v>
      </c>
      <c r="M554" s="8">
        <v>22</v>
      </c>
      <c r="N554" s="8">
        <f t="shared" si="243"/>
        <v>13.200000000000003</v>
      </c>
      <c r="O554" s="27">
        <f t="shared" si="244"/>
        <v>400.14373766399996</v>
      </c>
      <c r="P554" s="8">
        <v>0.27700000000000002</v>
      </c>
      <c r="Q554" s="27">
        <f t="shared" si="245"/>
        <v>110.839815332928</v>
      </c>
      <c r="R554" s="8">
        <f>31*9</f>
        <v>279</v>
      </c>
      <c r="S554" s="40">
        <f t="shared" si="246"/>
        <v>30.924308477886914</v>
      </c>
    </row>
    <row r="555" spans="7:20" ht="14" x14ac:dyDescent="0.25">
      <c r="G555" s="2" t="s">
        <v>22</v>
      </c>
      <c r="H555" s="8">
        <v>0.6</v>
      </c>
      <c r="I555" s="8">
        <v>38.880000000000003</v>
      </c>
      <c r="J555" s="8">
        <v>1.0049999999999999</v>
      </c>
      <c r="K555" s="8">
        <v>1.2929999999999999</v>
      </c>
      <c r="L555" s="41">
        <v>30.8</v>
      </c>
      <c r="M555" s="8">
        <v>22</v>
      </c>
      <c r="N555" s="8">
        <f t="shared" si="243"/>
        <v>8.8000000000000007</v>
      </c>
      <c r="O555" s="27">
        <f t="shared" si="244"/>
        <v>266.76249177599993</v>
      </c>
      <c r="P555" s="8">
        <v>0.27700000000000002</v>
      </c>
      <c r="Q555" s="27">
        <f t="shared" si="245"/>
        <v>73.893210221951989</v>
      </c>
      <c r="R555" s="8">
        <f>30*9</f>
        <v>270</v>
      </c>
      <c r="S555" s="40">
        <f t="shared" si="246"/>
        <v>19.951166759927037</v>
      </c>
    </row>
    <row r="556" spans="7:20" ht="15" x14ac:dyDescent="0.4">
      <c r="G556" s="314" t="s">
        <v>133</v>
      </c>
      <c r="H556" s="315"/>
      <c r="I556" s="315"/>
      <c r="J556" s="315"/>
      <c r="K556" s="315"/>
      <c r="L556" s="315"/>
      <c r="M556" s="315"/>
      <c r="N556" s="315"/>
      <c r="O556" s="315"/>
      <c r="P556" s="315"/>
      <c r="Q556" s="315"/>
      <c r="R556" s="315"/>
      <c r="S556" s="84">
        <f>SUM(S550:S555)</f>
        <v>208.58793702300989</v>
      </c>
      <c r="T556" s="105"/>
    </row>
    <row r="557" spans="7:20" ht="14" x14ac:dyDescent="0.25">
      <c r="G557" s="2" t="s">
        <v>13</v>
      </c>
      <c r="H557" s="8">
        <v>0.6</v>
      </c>
      <c r="I557" s="8">
        <v>38.880000000000003</v>
      </c>
      <c r="J557" s="8">
        <v>1.0049999999999999</v>
      </c>
      <c r="K557" s="8">
        <v>1.2929999999999999</v>
      </c>
      <c r="L557" s="41">
        <v>43.8</v>
      </c>
      <c r="M557" s="8">
        <v>22</v>
      </c>
      <c r="N557" s="8">
        <f t="shared" ref="N557:N562" si="247">L557-M557</f>
        <v>21.799999999999997</v>
      </c>
      <c r="O557" s="27">
        <f t="shared" ref="O557:O562" si="248">H557*I557*J557*K557*N557</f>
        <v>660.84344553599976</v>
      </c>
      <c r="P557" s="8">
        <v>0.27700000000000002</v>
      </c>
      <c r="Q557" s="27">
        <f t="shared" ref="Q557:Q562" si="249">O557*P557</f>
        <v>183.05363441347194</v>
      </c>
      <c r="R557" s="8">
        <f>30*9</f>
        <v>270</v>
      </c>
      <c r="S557" s="40">
        <f t="shared" ref="S557:S562" si="250">(Q557*R557)/1000</f>
        <v>49.42448129163742</v>
      </c>
    </row>
    <row r="558" spans="7:20" ht="14" x14ac:dyDescent="0.25">
      <c r="G558" s="2" t="s">
        <v>24</v>
      </c>
      <c r="H558" s="8">
        <v>0.6</v>
      </c>
      <c r="I558" s="8">
        <v>38.880000000000003</v>
      </c>
      <c r="J558" s="8">
        <v>1.0049999999999999</v>
      </c>
      <c r="K558" s="8">
        <v>1.2929999999999999</v>
      </c>
      <c r="L558" s="41">
        <v>39</v>
      </c>
      <c r="M558" s="8">
        <v>23</v>
      </c>
      <c r="N558" s="8">
        <f t="shared" si="247"/>
        <v>16</v>
      </c>
      <c r="O558" s="27">
        <f t="shared" si="248"/>
        <v>485.02271231999987</v>
      </c>
      <c r="P558" s="8">
        <v>0.27700000000000002</v>
      </c>
      <c r="Q558" s="27">
        <f t="shared" si="249"/>
        <v>134.35129131263997</v>
      </c>
      <c r="R558" s="8">
        <f>31*9</f>
        <v>279</v>
      </c>
      <c r="S558" s="40">
        <f t="shared" si="250"/>
        <v>37.484010276226556</v>
      </c>
    </row>
    <row r="559" spans="7:20" ht="14" x14ac:dyDescent="0.25">
      <c r="G559" s="2" t="s">
        <v>19</v>
      </c>
      <c r="H559" s="8">
        <v>0.6</v>
      </c>
      <c r="I559" s="8">
        <v>38.880000000000003</v>
      </c>
      <c r="J559" s="8">
        <v>1.0049999999999999</v>
      </c>
      <c r="K559" s="8">
        <v>1.2929999999999999</v>
      </c>
      <c r="L559" s="41">
        <v>36.9</v>
      </c>
      <c r="M559" s="8">
        <v>23</v>
      </c>
      <c r="N559" s="8">
        <f t="shared" si="247"/>
        <v>13.899999999999999</v>
      </c>
      <c r="O559" s="27">
        <f t="shared" si="248"/>
        <v>421.36348132799986</v>
      </c>
      <c r="P559" s="8">
        <v>0.27700000000000002</v>
      </c>
      <c r="Q559" s="27">
        <f t="shared" si="249"/>
        <v>116.71768432785598</v>
      </c>
      <c r="R559" s="8">
        <f>31*9</f>
        <v>279</v>
      </c>
      <c r="S559" s="40">
        <f t="shared" si="250"/>
        <v>32.564233927471818</v>
      </c>
    </row>
    <row r="560" spans="7:20" ht="14" x14ac:dyDescent="0.25">
      <c r="G560" s="2" t="s">
        <v>20</v>
      </c>
      <c r="H560" s="8">
        <v>0.6</v>
      </c>
      <c r="I560" s="8">
        <v>38.880000000000003</v>
      </c>
      <c r="J560" s="8">
        <v>1.0049999999999999</v>
      </c>
      <c r="K560" s="8">
        <v>1.2929999999999999</v>
      </c>
      <c r="L560" s="41">
        <v>36.799999999999997</v>
      </c>
      <c r="M560" s="8">
        <v>23</v>
      </c>
      <c r="N560" s="8">
        <f t="shared" si="247"/>
        <v>13.799999999999997</v>
      </c>
      <c r="O560" s="27">
        <f t="shared" si="248"/>
        <v>418.33208937599983</v>
      </c>
      <c r="P560" s="8">
        <v>0.27700000000000002</v>
      </c>
      <c r="Q560" s="27">
        <f t="shared" si="249"/>
        <v>115.87798875715197</v>
      </c>
      <c r="R560" s="8">
        <f>30*9</f>
        <v>270</v>
      </c>
      <c r="S560" s="40">
        <f t="shared" si="250"/>
        <v>31.287056964431031</v>
      </c>
    </row>
    <row r="561" spans="7:20" ht="14" x14ac:dyDescent="0.25">
      <c r="G561" s="2" t="s">
        <v>21</v>
      </c>
      <c r="H561" s="8">
        <v>0.6</v>
      </c>
      <c r="I561" s="8">
        <v>38.880000000000003</v>
      </c>
      <c r="J561" s="8">
        <v>1.0049999999999999</v>
      </c>
      <c r="K561" s="8">
        <v>1.2929999999999999</v>
      </c>
      <c r="L561" s="41">
        <v>35.200000000000003</v>
      </c>
      <c r="M561" s="8">
        <v>23</v>
      </c>
      <c r="N561" s="8">
        <f t="shared" si="247"/>
        <v>12.200000000000003</v>
      </c>
      <c r="O561" s="27">
        <f t="shared" si="248"/>
        <v>369.829818144</v>
      </c>
      <c r="P561" s="8">
        <v>0.27700000000000002</v>
      </c>
      <c r="Q561" s="27">
        <f t="shared" si="249"/>
        <v>102.442859625888</v>
      </c>
      <c r="R561" s="8">
        <f>31*9</f>
        <v>279</v>
      </c>
      <c r="S561" s="40">
        <f t="shared" si="250"/>
        <v>28.581557835622753</v>
      </c>
    </row>
    <row r="562" spans="7:20" ht="14" x14ac:dyDescent="0.25">
      <c r="G562" s="2" t="s">
        <v>22</v>
      </c>
      <c r="H562" s="8">
        <v>0.6</v>
      </c>
      <c r="I562" s="8">
        <v>38.880000000000003</v>
      </c>
      <c r="J562" s="8">
        <v>1.0049999999999999</v>
      </c>
      <c r="K562" s="8">
        <v>1.2929999999999999</v>
      </c>
      <c r="L562" s="41">
        <v>30.8</v>
      </c>
      <c r="M562" s="8">
        <v>22</v>
      </c>
      <c r="N562" s="8">
        <f t="shared" si="247"/>
        <v>8.8000000000000007</v>
      </c>
      <c r="O562" s="27">
        <f t="shared" si="248"/>
        <v>266.76249177599993</v>
      </c>
      <c r="P562" s="8">
        <v>0.27700000000000002</v>
      </c>
      <c r="Q562" s="27">
        <f t="shared" si="249"/>
        <v>73.893210221951989</v>
      </c>
      <c r="R562" s="8">
        <f>30*9</f>
        <v>270</v>
      </c>
      <c r="S562" s="40">
        <f t="shared" si="250"/>
        <v>19.951166759927037</v>
      </c>
    </row>
    <row r="563" spans="7:20" ht="15" x14ac:dyDescent="0.4">
      <c r="G563" s="314" t="s">
        <v>88</v>
      </c>
      <c r="H563" s="315"/>
      <c r="I563" s="315"/>
      <c r="J563" s="315"/>
      <c r="K563" s="315"/>
      <c r="L563" s="315"/>
      <c r="M563" s="315"/>
      <c r="N563" s="315"/>
      <c r="O563" s="315"/>
      <c r="P563" s="315"/>
      <c r="Q563" s="315"/>
      <c r="R563" s="315"/>
      <c r="S563" s="84">
        <f>SUM(S557:S562)</f>
        <v>199.29250705531663</v>
      </c>
      <c r="T563" s="105"/>
    </row>
    <row r="564" spans="7:20" ht="14" x14ac:dyDescent="0.25">
      <c r="G564" s="2" t="s">
        <v>13</v>
      </c>
      <c r="H564" s="8">
        <v>0.6</v>
      </c>
      <c r="I564" s="8">
        <v>38.880000000000003</v>
      </c>
      <c r="J564" s="8">
        <v>1.0049999999999999</v>
      </c>
      <c r="K564" s="8">
        <v>1.2929999999999999</v>
      </c>
      <c r="L564" s="41">
        <v>43.8</v>
      </c>
      <c r="M564" s="8">
        <v>22</v>
      </c>
      <c r="N564" s="8">
        <f t="shared" ref="N564:N569" si="251">L564-M564</f>
        <v>21.799999999999997</v>
      </c>
      <c r="O564" s="27">
        <f t="shared" ref="O564:O569" si="252">H564*I564*J564*K564*N564</f>
        <v>660.84344553599976</v>
      </c>
      <c r="P564" s="8">
        <v>0.27700000000000002</v>
      </c>
      <c r="Q564" s="27">
        <f t="shared" ref="Q564:Q569" si="253">O564*P564</f>
        <v>183.05363441347194</v>
      </c>
      <c r="R564" s="8">
        <f>30*9</f>
        <v>270</v>
      </c>
      <c r="S564" s="40">
        <f t="shared" ref="S564:S569" si="254">(Q564*R564)/1000</f>
        <v>49.42448129163742</v>
      </c>
    </row>
    <row r="565" spans="7:20" ht="14" x14ac:dyDescent="0.25">
      <c r="G565" s="2" t="s">
        <v>24</v>
      </c>
      <c r="H565" s="8">
        <v>0.6</v>
      </c>
      <c r="I565" s="8">
        <v>38.880000000000003</v>
      </c>
      <c r="J565" s="8">
        <v>1.0049999999999999</v>
      </c>
      <c r="K565" s="8">
        <v>1.2929999999999999</v>
      </c>
      <c r="L565" s="41">
        <v>39</v>
      </c>
      <c r="M565" s="8">
        <v>24</v>
      </c>
      <c r="N565" s="8">
        <f t="shared" si="251"/>
        <v>15</v>
      </c>
      <c r="O565" s="27">
        <f t="shared" si="252"/>
        <v>454.70879279999986</v>
      </c>
      <c r="P565" s="8">
        <v>0.27700000000000002</v>
      </c>
      <c r="Q565" s="27">
        <f t="shared" si="253"/>
        <v>125.95433560559997</v>
      </c>
      <c r="R565" s="8">
        <f>31*9</f>
        <v>279</v>
      </c>
      <c r="S565" s="40">
        <f t="shared" si="254"/>
        <v>35.141259633962392</v>
      </c>
    </row>
    <row r="566" spans="7:20" ht="14" x14ac:dyDescent="0.25">
      <c r="G566" s="2" t="s">
        <v>19</v>
      </c>
      <c r="H566" s="8">
        <v>0.6</v>
      </c>
      <c r="I566" s="8">
        <v>38.880000000000003</v>
      </c>
      <c r="J566" s="8">
        <v>1.0049999999999999</v>
      </c>
      <c r="K566" s="8">
        <v>1.2929999999999999</v>
      </c>
      <c r="L566" s="41">
        <v>36.9</v>
      </c>
      <c r="M566" s="8">
        <v>24</v>
      </c>
      <c r="N566" s="8">
        <f t="shared" si="251"/>
        <v>12.899999999999999</v>
      </c>
      <c r="O566" s="27">
        <f t="shared" si="252"/>
        <v>391.04956180799985</v>
      </c>
      <c r="P566" s="8">
        <v>0.27700000000000002</v>
      </c>
      <c r="Q566" s="27">
        <f t="shared" si="253"/>
        <v>108.32072862081597</v>
      </c>
      <c r="R566" s="8">
        <f>31*9</f>
        <v>279</v>
      </c>
      <c r="S566" s="40">
        <f t="shared" si="254"/>
        <v>30.221483285207654</v>
      </c>
    </row>
    <row r="567" spans="7:20" ht="14" x14ac:dyDescent="0.25">
      <c r="G567" s="2" t="s">
        <v>20</v>
      </c>
      <c r="H567" s="8">
        <v>0.6</v>
      </c>
      <c r="I567" s="8">
        <v>38.880000000000003</v>
      </c>
      <c r="J567" s="8">
        <v>1.0049999999999999</v>
      </c>
      <c r="K567" s="8">
        <v>1.2929999999999999</v>
      </c>
      <c r="L567" s="41">
        <v>36.799999999999997</v>
      </c>
      <c r="M567" s="8">
        <v>24</v>
      </c>
      <c r="N567" s="8">
        <f t="shared" si="251"/>
        <v>12.799999999999997</v>
      </c>
      <c r="O567" s="27">
        <f t="shared" si="252"/>
        <v>388.01816985599982</v>
      </c>
      <c r="P567" s="8">
        <v>0.27700000000000002</v>
      </c>
      <c r="Q567" s="27">
        <f t="shared" si="253"/>
        <v>107.48103305011196</v>
      </c>
      <c r="R567" s="8">
        <f>30*9</f>
        <v>270</v>
      </c>
      <c r="S567" s="40">
        <f t="shared" si="254"/>
        <v>29.019878923530229</v>
      </c>
    </row>
    <row r="568" spans="7:20" ht="14" x14ac:dyDescent="0.25">
      <c r="G568" s="2" t="s">
        <v>21</v>
      </c>
      <c r="H568" s="8">
        <v>0.6</v>
      </c>
      <c r="I568" s="8">
        <v>38.880000000000003</v>
      </c>
      <c r="J568" s="8">
        <v>1.0049999999999999</v>
      </c>
      <c r="K568" s="8">
        <v>1.2929999999999999</v>
      </c>
      <c r="L568" s="41">
        <v>35.200000000000003</v>
      </c>
      <c r="M568" s="8">
        <v>24</v>
      </c>
      <c r="N568" s="8">
        <f t="shared" si="251"/>
        <v>11.200000000000003</v>
      </c>
      <c r="O568" s="27">
        <f t="shared" si="252"/>
        <v>339.51589862399999</v>
      </c>
      <c r="P568" s="8">
        <v>0.27700000000000002</v>
      </c>
      <c r="Q568" s="27">
        <f t="shared" si="253"/>
        <v>94.045903918847998</v>
      </c>
      <c r="R568" s="8">
        <f>31*9</f>
        <v>279</v>
      </c>
      <c r="S568" s="40">
        <f t="shared" si="254"/>
        <v>26.238807193358593</v>
      </c>
    </row>
    <row r="569" spans="7:20" ht="14" x14ac:dyDescent="0.25">
      <c r="G569" s="2" t="s">
        <v>22</v>
      </c>
      <c r="H569" s="8">
        <v>0.6</v>
      </c>
      <c r="I569" s="8">
        <v>38.880000000000003</v>
      </c>
      <c r="J569" s="8">
        <v>1.0049999999999999</v>
      </c>
      <c r="K569" s="8">
        <v>1.2929999999999999</v>
      </c>
      <c r="L569" s="41">
        <v>30.8</v>
      </c>
      <c r="M569" s="8">
        <v>22</v>
      </c>
      <c r="N569" s="8">
        <f t="shared" si="251"/>
        <v>8.8000000000000007</v>
      </c>
      <c r="O569" s="27">
        <f t="shared" si="252"/>
        <v>266.76249177599993</v>
      </c>
      <c r="P569" s="8">
        <v>0.27700000000000002</v>
      </c>
      <c r="Q569" s="27">
        <f t="shared" si="253"/>
        <v>73.893210221951989</v>
      </c>
      <c r="R569" s="8">
        <f>30*9</f>
        <v>270</v>
      </c>
      <c r="S569" s="40">
        <f t="shared" si="254"/>
        <v>19.951166759927037</v>
      </c>
    </row>
    <row r="570" spans="7:20" ht="15.5" thickBot="1" x14ac:dyDescent="0.45">
      <c r="G570" s="312" t="s">
        <v>90</v>
      </c>
      <c r="H570" s="313"/>
      <c r="I570" s="313"/>
      <c r="J570" s="313"/>
      <c r="K570" s="313"/>
      <c r="L570" s="313"/>
      <c r="M570" s="313"/>
      <c r="N570" s="313"/>
      <c r="O570" s="313"/>
      <c r="P570" s="313"/>
      <c r="Q570" s="313"/>
      <c r="R570" s="313"/>
      <c r="S570" s="74">
        <f>SUM(S564:S569)</f>
        <v>189.99707708762332</v>
      </c>
      <c r="T570" s="105"/>
    </row>
    <row r="574" spans="7:20" ht="13" thickBot="1" x14ac:dyDescent="0.3"/>
    <row r="575" spans="7:20" ht="13" x14ac:dyDescent="0.3">
      <c r="G575" s="295" t="s">
        <v>160</v>
      </c>
      <c r="H575" s="296"/>
      <c r="I575" s="296"/>
      <c r="J575" s="296"/>
      <c r="K575" s="296"/>
      <c r="L575" s="296"/>
      <c r="M575" s="296"/>
      <c r="N575" s="297"/>
    </row>
    <row r="576" spans="7:20" ht="13" x14ac:dyDescent="0.25">
      <c r="G576" s="117" t="s">
        <v>125</v>
      </c>
      <c r="H576" s="37" t="s">
        <v>126</v>
      </c>
      <c r="I576" s="37" t="s">
        <v>127</v>
      </c>
      <c r="J576" s="37" t="s">
        <v>87</v>
      </c>
      <c r="K576" s="37" t="s">
        <v>128</v>
      </c>
      <c r="L576" s="37" t="s">
        <v>129</v>
      </c>
      <c r="M576" s="37" t="s">
        <v>130</v>
      </c>
      <c r="N576" s="113" t="s">
        <v>134</v>
      </c>
    </row>
    <row r="577" spans="7:14" ht="13" x14ac:dyDescent="0.25">
      <c r="G577" s="117">
        <v>18</v>
      </c>
      <c r="H577" s="137">
        <f>T463</f>
        <v>102.17882700000001</v>
      </c>
      <c r="I577" s="137">
        <f>M516</f>
        <v>64.865133519119993</v>
      </c>
      <c r="J577" s="137">
        <f>S528</f>
        <v>263.90708122098943</v>
      </c>
      <c r="K577" s="37">
        <f>Q292</f>
        <v>691.7399999999999</v>
      </c>
      <c r="L577" s="137">
        <f>M299</f>
        <v>129.39886080000002</v>
      </c>
      <c r="M577" s="37">
        <f>J305</f>
        <v>32.94</v>
      </c>
      <c r="N577" s="51">
        <f>H577+I577+J577+K577+L577+M577</f>
        <v>1285.0299025401093</v>
      </c>
    </row>
    <row r="578" spans="7:14" ht="13" x14ac:dyDescent="0.25">
      <c r="G578" s="117">
        <v>19</v>
      </c>
      <c r="H578" s="137">
        <f>T470</f>
        <v>96.842547000000025</v>
      </c>
      <c r="I578" s="137">
        <f>M516</f>
        <v>64.865133519119993</v>
      </c>
      <c r="J578" s="137">
        <f>S535</f>
        <v>250.07729517149454</v>
      </c>
      <c r="K578" s="37">
        <f>Q292</f>
        <v>691.7399999999999</v>
      </c>
      <c r="L578" s="137">
        <f>M299</f>
        <v>129.39886080000002</v>
      </c>
      <c r="M578" s="37">
        <f>J305</f>
        <v>32.94</v>
      </c>
      <c r="N578" s="51">
        <f>H578+I578+J578+K578+L578+M578</f>
        <v>1265.8638364906144</v>
      </c>
    </row>
    <row r="579" spans="7:14" x14ac:dyDescent="0.25">
      <c r="G579" s="94">
        <v>20</v>
      </c>
      <c r="H579" s="27">
        <f>T477</f>
        <v>91.506267000000022</v>
      </c>
      <c r="I579" s="27">
        <f>M516</f>
        <v>64.865133519119993</v>
      </c>
      <c r="J579" s="27">
        <f>S542</f>
        <v>236.24750912199966</v>
      </c>
      <c r="K579" s="8">
        <f>Q292</f>
        <v>691.7399999999999</v>
      </c>
      <c r="L579" s="27">
        <f>M299</f>
        <v>129.39886080000002</v>
      </c>
      <c r="M579" s="8">
        <f>J305</f>
        <v>32.94</v>
      </c>
      <c r="N579" s="51">
        <f>H579+I579+J579+K579+L579+M579</f>
        <v>1246.6977704411197</v>
      </c>
    </row>
    <row r="580" spans="7:14" x14ac:dyDescent="0.25">
      <c r="G580" s="94">
        <v>21</v>
      </c>
      <c r="H580" s="27">
        <f>T484</f>
        <v>83.501847000000012</v>
      </c>
      <c r="I580" s="27">
        <f>M516</f>
        <v>64.865133519119993</v>
      </c>
      <c r="J580" s="27">
        <f>S549</f>
        <v>222.4177230725048</v>
      </c>
      <c r="K580" s="8">
        <f>Q292</f>
        <v>691.7399999999999</v>
      </c>
      <c r="L580" s="27">
        <f>M299</f>
        <v>129.39886080000002</v>
      </c>
      <c r="M580" s="8">
        <f>J305</f>
        <v>32.94</v>
      </c>
      <c r="N580" s="51">
        <f>H580+I580+J580+K580+L580+M580</f>
        <v>1224.8635643916248</v>
      </c>
    </row>
    <row r="581" spans="7:14" x14ac:dyDescent="0.25">
      <c r="G581" s="94">
        <v>22</v>
      </c>
      <c r="H581" s="27">
        <f>T491</f>
        <v>75.49742700000003</v>
      </c>
      <c r="I581" s="27">
        <f>M516</f>
        <v>64.865133519119993</v>
      </c>
      <c r="J581" s="27">
        <f>S556</f>
        <v>208.58793702300989</v>
      </c>
      <c r="K581" s="8">
        <f>Q292</f>
        <v>691.7399999999999</v>
      </c>
      <c r="L581" s="27">
        <f>M299</f>
        <v>129.39886080000002</v>
      </c>
      <c r="M581" s="8">
        <f>J305</f>
        <v>32.94</v>
      </c>
      <c r="N581" s="51">
        <f>H581+I581+J581+K581+L581+M581</f>
        <v>1203.0293583421299</v>
      </c>
    </row>
    <row r="582" spans="7:14" x14ac:dyDescent="0.25">
      <c r="G582" s="94">
        <v>23</v>
      </c>
      <c r="H582" s="27">
        <f>T498</f>
        <v>67.493007000000006</v>
      </c>
      <c r="I582" s="27">
        <f>M516</f>
        <v>64.865133519119993</v>
      </c>
      <c r="J582" s="27">
        <f>S563</f>
        <v>199.29250705531663</v>
      </c>
      <c r="K582" s="8">
        <f>Q292</f>
        <v>691.7399999999999</v>
      </c>
      <c r="L582" s="27">
        <f>M299</f>
        <v>129.39886080000002</v>
      </c>
      <c r="M582" s="8">
        <f>J305</f>
        <v>32.94</v>
      </c>
      <c r="N582" s="51">
        <f t="shared" ref="N582:N583" si="255">H582+I582+J582+K582+L582+M582</f>
        <v>1185.7295083744366</v>
      </c>
    </row>
    <row r="583" spans="7:14" x14ac:dyDescent="0.25">
      <c r="G583" s="94">
        <v>24</v>
      </c>
      <c r="H583" s="27">
        <f>T505</f>
        <v>59.488587000000024</v>
      </c>
      <c r="I583" s="27">
        <f>M516</f>
        <v>64.865133519119993</v>
      </c>
      <c r="J583" s="27">
        <f>S570</f>
        <v>189.99707708762332</v>
      </c>
      <c r="K583" s="8">
        <f>Q292</f>
        <v>691.7399999999999</v>
      </c>
      <c r="L583" s="27">
        <f>M299</f>
        <v>129.39886080000002</v>
      </c>
      <c r="M583" s="8">
        <f>J305</f>
        <v>32.94</v>
      </c>
      <c r="N583" s="51">
        <f t="shared" si="255"/>
        <v>1168.4296584067433</v>
      </c>
    </row>
  </sheetData>
  <mergeCells count="93">
    <mergeCell ref="H158:P158"/>
    <mergeCell ref="G159:AK159"/>
    <mergeCell ref="G484:S484"/>
    <mergeCell ref="G477:S477"/>
    <mergeCell ref="G454:T455"/>
    <mergeCell ref="G463:S463"/>
    <mergeCell ref="G470:S470"/>
    <mergeCell ref="G252:R252"/>
    <mergeCell ref="G259:R259"/>
    <mergeCell ref="G266:R266"/>
    <mergeCell ref="G206:S206"/>
    <mergeCell ref="G213:S213"/>
    <mergeCell ref="G273:R273"/>
    <mergeCell ref="G280:R280"/>
    <mergeCell ref="G357:S357"/>
    <mergeCell ref="G364:S364"/>
    <mergeCell ref="H130:P130"/>
    <mergeCell ref="H137:P137"/>
    <mergeCell ref="H123:P123"/>
    <mergeCell ref="H144:P144"/>
    <mergeCell ref="H151:P151"/>
    <mergeCell ref="I64:P64"/>
    <mergeCell ref="G55:AK55"/>
    <mergeCell ref="H85:P85"/>
    <mergeCell ref="H78:P78"/>
    <mergeCell ref="H116:P116"/>
    <mergeCell ref="G3:AL3"/>
    <mergeCell ref="G4:AL4"/>
    <mergeCell ref="G56:AL56"/>
    <mergeCell ref="G108:AL108"/>
    <mergeCell ref="H99:P99"/>
    <mergeCell ref="H12:P12"/>
    <mergeCell ref="H19:P19"/>
    <mergeCell ref="H26:P26"/>
    <mergeCell ref="H33:P33"/>
    <mergeCell ref="H71:P71"/>
    <mergeCell ref="H92:P92"/>
    <mergeCell ref="H106:P106"/>
    <mergeCell ref="G107:AK107"/>
    <mergeCell ref="H40:P40"/>
    <mergeCell ref="H47:P47"/>
    <mergeCell ref="H54:P54"/>
    <mergeCell ref="C162:D163"/>
    <mergeCell ref="G218:M218"/>
    <mergeCell ref="G226:L226"/>
    <mergeCell ref="G299:L299"/>
    <mergeCell ref="G302:J302"/>
    <mergeCell ref="G199:S199"/>
    <mergeCell ref="G171:S171"/>
    <mergeCell ref="G178:S178"/>
    <mergeCell ref="G162:T163"/>
    <mergeCell ref="G185:S185"/>
    <mergeCell ref="G192:S192"/>
    <mergeCell ref="G230:S230"/>
    <mergeCell ref="G238:R238"/>
    <mergeCell ref="G245:R245"/>
    <mergeCell ref="G320:T321"/>
    <mergeCell ref="G329:S329"/>
    <mergeCell ref="G343:S343"/>
    <mergeCell ref="G336:S336"/>
    <mergeCell ref="G350:S350"/>
    <mergeCell ref="G305:I305"/>
    <mergeCell ref="G308:N308"/>
    <mergeCell ref="G284:Q284"/>
    <mergeCell ref="G292:O292"/>
    <mergeCell ref="G296:M296"/>
    <mergeCell ref="G575:N575"/>
    <mergeCell ref="G508:M508"/>
    <mergeCell ref="G516:L516"/>
    <mergeCell ref="G570:R570"/>
    <mergeCell ref="G563:R563"/>
    <mergeCell ref="G556:R556"/>
    <mergeCell ref="G549:R549"/>
    <mergeCell ref="G542:R542"/>
    <mergeCell ref="G520:S520"/>
    <mergeCell ref="G528:R528"/>
    <mergeCell ref="G535:R535"/>
    <mergeCell ref="AQ4:AS4"/>
    <mergeCell ref="G505:S505"/>
    <mergeCell ref="G498:S498"/>
    <mergeCell ref="G491:S491"/>
    <mergeCell ref="G441:N441"/>
    <mergeCell ref="G371:S371"/>
    <mergeCell ref="G436:R436"/>
    <mergeCell ref="G429:R429"/>
    <mergeCell ref="G422:R422"/>
    <mergeCell ref="G415:R415"/>
    <mergeCell ref="G408:R408"/>
    <mergeCell ref="G386:S386"/>
    <mergeCell ref="G394:R394"/>
    <mergeCell ref="G401:R401"/>
    <mergeCell ref="G375:M375"/>
    <mergeCell ref="G383:L383"/>
  </mergeCells>
  <phoneticPr fontId="1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92D7E-3D56-4997-8545-65FD4026D0BA}">
  <dimension ref="B2:AU590"/>
  <sheetViews>
    <sheetView topLeftCell="G1" zoomScale="80" zoomScaleNormal="80" workbookViewId="0">
      <selection activeCell="G284" sqref="A284:XFD285"/>
    </sheetView>
  </sheetViews>
  <sheetFormatPr defaultColWidth="9.1796875" defaultRowHeight="12.5" x14ac:dyDescent="0.25"/>
  <cols>
    <col min="1" max="1" width="0" style="183" hidden="1" customWidth="1"/>
    <col min="2" max="2" width="10.1796875" style="183" hidden="1" customWidth="1"/>
    <col min="3" max="3" width="15" style="183" hidden="1" customWidth="1"/>
    <col min="4" max="4" width="13.7265625" style="183" hidden="1" customWidth="1"/>
    <col min="5" max="6" width="0" style="183" hidden="1" customWidth="1"/>
    <col min="7" max="7" width="13.54296875" style="183" customWidth="1"/>
    <col min="8" max="8" width="11.1796875" style="184" customWidth="1"/>
    <col min="9" max="9" width="9" style="183" customWidth="1"/>
    <col min="10" max="10" width="11.54296875" style="183" customWidth="1"/>
    <col min="11" max="11" width="16.54296875" style="183" customWidth="1"/>
    <col min="12" max="12" width="14.54296875" style="183" customWidth="1"/>
    <col min="13" max="13" width="10.54296875" style="183" customWidth="1"/>
    <col min="14" max="14" width="16.1796875" style="183" customWidth="1"/>
    <col min="15" max="15" width="11.54296875" style="183" customWidth="1"/>
    <col min="16" max="16" width="10.54296875" style="184" customWidth="1"/>
    <col min="17" max="17" width="13.453125" style="183" customWidth="1"/>
    <col min="18" max="18" width="17.1796875" style="183" customWidth="1"/>
    <col min="19" max="20" width="19" style="183" customWidth="1"/>
    <col min="21" max="21" width="19.81640625" style="183" customWidth="1"/>
    <col min="22" max="22" width="11.54296875" style="183" customWidth="1"/>
    <col min="23" max="23" width="9.7265625" style="183" customWidth="1"/>
    <col min="24" max="25" width="9.1796875" style="183"/>
    <col min="26" max="26" width="12" style="183" customWidth="1"/>
    <col min="27" max="29" width="9.1796875" style="183"/>
    <col min="30" max="30" width="11.26953125" style="183" customWidth="1"/>
    <col min="31" max="31" width="10.81640625" style="183" customWidth="1"/>
    <col min="32" max="32" width="17.81640625" style="183" customWidth="1"/>
    <col min="33" max="33" width="15" style="183" customWidth="1"/>
    <col min="34" max="36" width="9.1796875" style="183"/>
    <col min="37" max="37" width="23" style="183" customWidth="1"/>
    <col min="38" max="38" width="20.81640625" style="183" customWidth="1"/>
    <col min="39" max="44" width="9.1796875" style="183"/>
    <col min="45" max="45" width="28.81640625" style="183" customWidth="1"/>
    <col min="46" max="46" width="16.54296875" style="183" customWidth="1"/>
    <col min="47" max="47" width="14.26953125" style="183" customWidth="1"/>
    <col min="48" max="16384" width="9.1796875" style="183"/>
  </cols>
  <sheetData>
    <row r="2" spans="7:47" ht="13" thickBot="1" x14ac:dyDescent="0.3"/>
    <row r="3" spans="7:47" s="184" customFormat="1" ht="13.5" thickBot="1" x14ac:dyDescent="0.35">
      <c r="G3" s="329" t="s">
        <v>165</v>
      </c>
      <c r="H3" s="330"/>
      <c r="I3" s="330"/>
      <c r="J3" s="330"/>
      <c r="K3" s="330"/>
      <c r="L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1"/>
    </row>
    <row r="4" spans="7:47" s="184" customFormat="1" ht="13" x14ac:dyDescent="0.3">
      <c r="G4" s="332" t="s">
        <v>31</v>
      </c>
      <c r="H4" s="333"/>
      <c r="I4" s="333"/>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4"/>
      <c r="AS4" s="317" t="s">
        <v>205</v>
      </c>
      <c r="AT4" s="318"/>
      <c r="AU4" s="319"/>
    </row>
    <row r="5" spans="7:47" s="184" customFormat="1" ht="15" customHeight="1" x14ac:dyDescent="0.4">
      <c r="G5" s="185" t="s">
        <v>0</v>
      </c>
      <c r="H5" s="186"/>
      <c r="I5" s="180"/>
      <c r="J5" s="180"/>
      <c r="K5" s="180"/>
      <c r="L5" s="180"/>
      <c r="M5" s="180"/>
      <c r="N5" s="180"/>
      <c r="O5" s="187" t="s">
        <v>171</v>
      </c>
      <c r="P5" s="186" t="s">
        <v>172</v>
      </c>
      <c r="Q5" s="180" t="s">
        <v>2</v>
      </c>
      <c r="R5" s="180" t="s">
        <v>10</v>
      </c>
      <c r="S5" s="180" t="s">
        <v>11</v>
      </c>
      <c r="T5" s="180"/>
      <c r="U5" s="180"/>
      <c r="V5" s="180" t="s">
        <v>3</v>
      </c>
      <c r="W5" s="180" t="s">
        <v>168</v>
      </c>
      <c r="X5" s="180"/>
      <c r="Y5" s="180"/>
      <c r="Z5" s="180" t="s">
        <v>3</v>
      </c>
      <c r="AA5" s="180" t="s">
        <v>169</v>
      </c>
      <c r="AB5" s="180"/>
      <c r="AC5" s="180"/>
      <c r="AD5" s="180" t="s">
        <v>3</v>
      </c>
      <c r="AE5" s="180" t="s">
        <v>170</v>
      </c>
      <c r="AF5" s="180" t="s">
        <v>4</v>
      </c>
      <c r="AG5" s="180" t="s">
        <v>5</v>
      </c>
      <c r="AH5" s="180" t="s">
        <v>6</v>
      </c>
      <c r="AI5" s="180" t="s">
        <v>162</v>
      </c>
      <c r="AJ5" s="180" t="s">
        <v>7</v>
      </c>
      <c r="AK5" s="180" t="s">
        <v>163</v>
      </c>
      <c r="AL5" s="188" t="s">
        <v>164</v>
      </c>
      <c r="AS5" s="189" t="s">
        <v>195</v>
      </c>
      <c r="AT5" s="177" t="s">
        <v>196</v>
      </c>
      <c r="AU5" s="188" t="s">
        <v>197</v>
      </c>
    </row>
    <row r="6" spans="7:47" s="184" customFormat="1" ht="15" customHeight="1" x14ac:dyDescent="0.25">
      <c r="G6" s="185" t="s">
        <v>13</v>
      </c>
      <c r="H6" s="186">
        <v>18</v>
      </c>
      <c r="I6" s="190">
        <v>75.686529600000014</v>
      </c>
      <c r="J6" s="180">
        <v>420</v>
      </c>
      <c r="K6" s="180">
        <v>118.8</v>
      </c>
      <c r="L6" s="180">
        <v>36</v>
      </c>
      <c r="M6" s="177">
        <v>25.16</v>
      </c>
      <c r="N6" s="177">
        <v>8.4700000000000006</v>
      </c>
      <c r="O6" s="191">
        <f>(H6-((I6+J6+K6+L6)/(M6+N6)))</f>
        <v>-1.3424480999107935</v>
      </c>
      <c r="P6" s="191">
        <v>-1.5</v>
      </c>
      <c r="Q6" s="183">
        <v>1005.5</v>
      </c>
      <c r="R6" s="180"/>
      <c r="S6" s="180"/>
      <c r="T6" s="180"/>
      <c r="U6" s="180"/>
      <c r="V6" s="180"/>
      <c r="W6" s="180"/>
      <c r="X6" s="180"/>
      <c r="Y6" s="180"/>
      <c r="Z6" s="180"/>
      <c r="AA6" s="180"/>
      <c r="AB6" s="180"/>
      <c r="AC6" s="180"/>
      <c r="AD6" s="180"/>
      <c r="AE6" s="180"/>
      <c r="AF6" s="180"/>
      <c r="AG6" s="180"/>
      <c r="AH6" s="180"/>
      <c r="AI6" s="180"/>
      <c r="AJ6" s="180"/>
      <c r="AK6" s="180"/>
      <c r="AL6" s="188"/>
      <c r="AS6" s="189">
        <v>18</v>
      </c>
      <c r="AT6" s="177">
        <v>6</v>
      </c>
      <c r="AU6" s="188">
        <f>AT6/AT13</f>
        <v>9.375E-2</v>
      </c>
    </row>
    <row r="7" spans="7:47" s="184" customFormat="1" ht="15" customHeight="1" x14ac:dyDescent="0.25">
      <c r="G7" s="185" t="s">
        <v>24</v>
      </c>
      <c r="H7" s="186">
        <v>18</v>
      </c>
      <c r="I7" s="190">
        <v>63.072108000000007</v>
      </c>
      <c r="J7" s="180">
        <v>420</v>
      </c>
      <c r="K7" s="180">
        <v>118.8</v>
      </c>
      <c r="L7" s="180">
        <v>36</v>
      </c>
      <c r="M7" s="177">
        <v>25.16</v>
      </c>
      <c r="N7" s="177">
        <v>8.4700000000000006</v>
      </c>
      <c r="O7" s="191">
        <f t="shared" ref="O7:O11" si="0">(H7-((I7+J7+K7+L7)/(M7+N7)))</f>
        <v>-0.96735379125780341</v>
      </c>
      <c r="P7" s="191">
        <v>-1</v>
      </c>
      <c r="Q7" s="183">
        <v>1005.1</v>
      </c>
      <c r="R7" s="180"/>
      <c r="S7" s="180"/>
      <c r="T7" s="180"/>
      <c r="U7" s="180"/>
      <c r="V7" s="180"/>
      <c r="W7" s="180"/>
      <c r="X7" s="180"/>
      <c r="Y7" s="180"/>
      <c r="Z7" s="180"/>
      <c r="AA7" s="180"/>
      <c r="AB7" s="180"/>
      <c r="AC7" s="180"/>
      <c r="AD7" s="180"/>
      <c r="AE7" s="180"/>
      <c r="AF7" s="180"/>
      <c r="AG7" s="180"/>
      <c r="AH7" s="180"/>
      <c r="AI7" s="180"/>
      <c r="AJ7" s="180"/>
      <c r="AK7" s="180"/>
      <c r="AL7" s="188"/>
      <c r="AS7" s="189">
        <v>19</v>
      </c>
      <c r="AT7" s="177">
        <v>1</v>
      </c>
      <c r="AU7" s="188">
        <f>AT7/AT13</f>
        <v>1.5625E-2</v>
      </c>
    </row>
    <row r="8" spans="7:47" s="184" customFormat="1" ht="15" customHeight="1" x14ac:dyDescent="0.25">
      <c r="G8" s="185" t="s">
        <v>19</v>
      </c>
      <c r="H8" s="186">
        <v>18</v>
      </c>
      <c r="I8" s="190">
        <v>47.015076240000013</v>
      </c>
      <c r="J8" s="180">
        <v>420</v>
      </c>
      <c r="K8" s="180">
        <v>118.8</v>
      </c>
      <c r="L8" s="180">
        <v>36</v>
      </c>
      <c r="M8" s="177">
        <v>25.16</v>
      </c>
      <c r="N8" s="177">
        <v>8.4700000000000006</v>
      </c>
      <c r="O8" s="191">
        <f t="shared" si="0"/>
        <v>-0.48989224620873983</v>
      </c>
      <c r="P8" s="191">
        <v>-0.5</v>
      </c>
      <c r="Q8" s="183">
        <v>958.5</v>
      </c>
      <c r="R8" s="180"/>
      <c r="S8" s="180"/>
      <c r="T8" s="180"/>
      <c r="U8" s="180"/>
      <c r="V8" s="180"/>
      <c r="W8" s="180"/>
      <c r="X8" s="180"/>
      <c r="Y8" s="180"/>
      <c r="Z8" s="180"/>
      <c r="AA8" s="180"/>
      <c r="AB8" s="180"/>
      <c r="AC8" s="180"/>
      <c r="AD8" s="180"/>
      <c r="AE8" s="180"/>
      <c r="AF8" s="180"/>
      <c r="AG8" s="180"/>
      <c r="AH8" s="180"/>
      <c r="AI8" s="180"/>
      <c r="AJ8" s="180"/>
      <c r="AK8" s="180"/>
      <c r="AL8" s="188"/>
      <c r="AS8" s="189">
        <v>20</v>
      </c>
      <c r="AT8" s="177">
        <v>7</v>
      </c>
      <c r="AU8" s="188">
        <f>AT8/AT13</f>
        <v>0.109375</v>
      </c>
    </row>
    <row r="9" spans="7:47" s="184" customFormat="1" ht="15" customHeight="1" x14ac:dyDescent="0.25">
      <c r="G9" s="185" t="s">
        <v>20</v>
      </c>
      <c r="H9" s="186">
        <v>18</v>
      </c>
      <c r="I9" s="190">
        <v>41.282239680000004</v>
      </c>
      <c r="J9" s="180">
        <v>420</v>
      </c>
      <c r="K9" s="180">
        <v>118.8</v>
      </c>
      <c r="L9" s="180">
        <v>36</v>
      </c>
      <c r="M9" s="177">
        <v>25.16</v>
      </c>
      <c r="N9" s="177">
        <v>8.4700000000000006</v>
      </c>
      <c r="O9" s="191">
        <f t="shared" si="0"/>
        <v>-0.31942431400534943</v>
      </c>
      <c r="P9" s="191">
        <v>-0.5</v>
      </c>
      <c r="Q9" s="183">
        <v>933.1</v>
      </c>
      <c r="R9" s="180"/>
      <c r="S9" s="180"/>
      <c r="T9" s="180"/>
      <c r="U9" s="180"/>
      <c r="V9" s="180"/>
      <c r="W9" s="180"/>
      <c r="X9" s="180"/>
      <c r="Y9" s="180"/>
      <c r="Z9" s="180"/>
      <c r="AA9" s="180"/>
      <c r="AB9" s="180"/>
      <c r="AC9" s="180"/>
      <c r="AD9" s="180"/>
      <c r="AE9" s="180"/>
      <c r="AF9" s="180"/>
      <c r="AG9" s="180"/>
      <c r="AH9" s="180"/>
      <c r="AI9" s="180"/>
      <c r="AJ9" s="180"/>
      <c r="AK9" s="180"/>
      <c r="AL9" s="188"/>
      <c r="AS9" s="189">
        <v>21</v>
      </c>
      <c r="AT9" s="177">
        <v>4</v>
      </c>
      <c r="AU9" s="188">
        <f>AT9/AT13</f>
        <v>6.25E-2</v>
      </c>
    </row>
    <row r="10" spans="7:47" s="184" customFormat="1" ht="15" customHeight="1" x14ac:dyDescent="0.25">
      <c r="G10" s="185" t="s">
        <v>21</v>
      </c>
      <c r="H10" s="186">
        <v>18</v>
      </c>
      <c r="I10" s="190">
        <v>37.843264800000007</v>
      </c>
      <c r="J10" s="180">
        <v>420</v>
      </c>
      <c r="K10" s="180">
        <v>118.8</v>
      </c>
      <c r="L10" s="180">
        <v>36</v>
      </c>
      <c r="M10" s="177">
        <v>25.16</v>
      </c>
      <c r="N10" s="177">
        <v>8.4700000000000006</v>
      </c>
      <c r="O10" s="191">
        <f t="shared" si="0"/>
        <v>-0.21716517395182677</v>
      </c>
      <c r="P10" s="191">
        <v>0</v>
      </c>
      <c r="Q10" s="183">
        <v>911.7</v>
      </c>
      <c r="R10" s="180"/>
      <c r="S10" s="180"/>
      <c r="T10" s="180"/>
      <c r="U10" s="180"/>
      <c r="V10" s="180"/>
      <c r="W10" s="180"/>
      <c r="X10" s="180"/>
      <c r="Y10" s="180"/>
      <c r="Z10" s="180"/>
      <c r="AA10" s="180"/>
      <c r="AB10" s="180"/>
      <c r="AC10" s="180"/>
      <c r="AD10" s="180"/>
      <c r="AE10" s="180"/>
      <c r="AF10" s="180"/>
      <c r="AG10" s="180"/>
      <c r="AH10" s="180"/>
      <c r="AI10" s="180"/>
      <c r="AJ10" s="180"/>
      <c r="AK10" s="180"/>
      <c r="AL10" s="188"/>
      <c r="AS10" s="189">
        <v>22</v>
      </c>
      <c r="AT10" s="177">
        <v>16</v>
      </c>
      <c r="AU10" s="188">
        <f>AT10/AT13</f>
        <v>0.25</v>
      </c>
    </row>
    <row r="11" spans="7:47" s="184" customFormat="1" ht="15" customHeight="1" x14ac:dyDescent="0.25">
      <c r="G11" s="185" t="s">
        <v>22</v>
      </c>
      <c r="H11" s="186">
        <v>18</v>
      </c>
      <c r="I11" s="190">
        <v>34.400654639999999</v>
      </c>
      <c r="J11" s="180">
        <v>420</v>
      </c>
      <c r="K11" s="180">
        <v>118.8</v>
      </c>
      <c r="L11" s="180">
        <v>36</v>
      </c>
      <c r="M11" s="177">
        <v>25.16</v>
      </c>
      <c r="N11" s="177">
        <v>8.4700000000000006</v>
      </c>
      <c r="O11" s="191">
        <f t="shared" si="0"/>
        <v>-0.11479793755574974</v>
      </c>
      <c r="P11" s="191">
        <v>0</v>
      </c>
      <c r="Q11" s="183">
        <v>822.8</v>
      </c>
      <c r="R11" s="180"/>
      <c r="S11" s="180"/>
      <c r="T11" s="180"/>
      <c r="U11" s="180"/>
      <c r="V11" s="180"/>
      <c r="W11" s="180"/>
      <c r="X11" s="180"/>
      <c r="Y11" s="180"/>
      <c r="Z11" s="180"/>
      <c r="AA11" s="180"/>
      <c r="AB11" s="180"/>
      <c r="AC11" s="180"/>
      <c r="AD11" s="180"/>
      <c r="AE11" s="180"/>
      <c r="AF11" s="180"/>
      <c r="AG11" s="180"/>
      <c r="AH11" s="180"/>
      <c r="AI11" s="180"/>
      <c r="AJ11" s="180"/>
      <c r="AK11" s="180"/>
      <c r="AL11" s="188"/>
      <c r="AS11" s="189">
        <v>23</v>
      </c>
      <c r="AT11" s="177">
        <v>10</v>
      </c>
      <c r="AU11" s="188">
        <f>AT11/AT13</f>
        <v>0.15625</v>
      </c>
    </row>
    <row r="12" spans="7:47" s="184" customFormat="1" ht="15" customHeight="1" x14ac:dyDescent="0.3">
      <c r="G12" s="147" t="s">
        <v>185</v>
      </c>
      <c r="H12" s="352"/>
      <c r="I12" s="353"/>
      <c r="J12" s="353"/>
      <c r="K12" s="353"/>
      <c r="L12" s="353"/>
      <c r="M12" s="353"/>
      <c r="N12" s="354"/>
      <c r="O12" s="192"/>
      <c r="P12" s="181"/>
      <c r="Q12" s="178">
        <f>SUM(Q6:Q11)</f>
        <v>5636.7</v>
      </c>
      <c r="R12" s="193">
        <f>9/24</f>
        <v>0.375</v>
      </c>
      <c r="S12" s="193">
        <f>24/1000</f>
        <v>2.4E-2</v>
      </c>
      <c r="T12" s="177">
        <v>0.27600000000000002</v>
      </c>
      <c r="U12" s="177">
        <v>12.96</v>
      </c>
      <c r="V12" s="180">
        <f>Q12</f>
        <v>5636.7</v>
      </c>
      <c r="W12" s="194">
        <f>R12*S12*T12*U12*V12</f>
        <v>181.46025388800004</v>
      </c>
      <c r="X12" s="180">
        <v>0.27800000000000002</v>
      </c>
      <c r="Y12" s="180">
        <v>12.96</v>
      </c>
      <c r="Z12" s="180">
        <f>Q12</f>
        <v>5636.7</v>
      </c>
      <c r="AA12" s="194">
        <f>(R12*S12*X12*Y12*Z12)</f>
        <v>182.77518326400002</v>
      </c>
      <c r="AB12" s="177">
        <v>0.42</v>
      </c>
      <c r="AC12" s="177">
        <v>41.904000000000003</v>
      </c>
      <c r="AD12" s="177">
        <f>Q12</f>
        <v>5636.7</v>
      </c>
      <c r="AE12" s="195">
        <f>(R12*S12*AB12*AC12*AD12)</f>
        <v>892.83704630400018</v>
      </c>
      <c r="AF12" s="196">
        <f>N310</f>
        <v>1237.9802528259145</v>
      </c>
      <c r="AG12" s="50">
        <f>W12+AA12+AE12+AF12</f>
        <v>2495.0527362819148</v>
      </c>
      <c r="AH12" s="180">
        <f>AG12*0.1</f>
        <v>249.5052736281915</v>
      </c>
      <c r="AI12" s="197">
        <f>AG12+AH12</f>
        <v>2744.5580099101062</v>
      </c>
      <c r="AJ12" s="177">
        <v>3.1</v>
      </c>
      <c r="AK12" s="198">
        <f>ROUND((AI12/AJ12),0)</f>
        <v>885</v>
      </c>
      <c r="AL12" s="188"/>
      <c r="AS12" s="189">
        <v>24</v>
      </c>
      <c r="AT12" s="177">
        <v>20</v>
      </c>
      <c r="AU12" s="188">
        <f>AT12/AT13</f>
        <v>0.3125</v>
      </c>
    </row>
    <row r="13" spans="7:47" s="184" customFormat="1" ht="15" customHeight="1" thickBot="1" x14ac:dyDescent="0.3">
      <c r="G13" s="185" t="s">
        <v>13</v>
      </c>
      <c r="H13" s="186">
        <v>19</v>
      </c>
      <c r="I13" s="190">
        <v>75.686529600000014</v>
      </c>
      <c r="J13" s="180">
        <v>420</v>
      </c>
      <c r="K13" s="180">
        <v>118.8</v>
      </c>
      <c r="L13" s="180">
        <v>36</v>
      </c>
      <c r="M13" s="177">
        <v>25.16</v>
      </c>
      <c r="N13" s="177">
        <v>8.4700000000000006</v>
      </c>
      <c r="O13" s="191">
        <f>(H13-((I13+J13+K13+L13)/(M13+N13)))</f>
        <v>-0.3424480999107935</v>
      </c>
      <c r="P13" s="191">
        <v>-0.5</v>
      </c>
      <c r="Q13" s="183">
        <v>975.5</v>
      </c>
      <c r="R13" s="180"/>
      <c r="S13" s="180"/>
      <c r="T13" s="180"/>
      <c r="U13" s="180"/>
      <c r="V13" s="180"/>
      <c r="W13" s="180"/>
      <c r="X13" s="180"/>
      <c r="Y13" s="180"/>
      <c r="Z13" s="180"/>
      <c r="AA13" s="180"/>
      <c r="AB13" s="180"/>
      <c r="AC13" s="180"/>
      <c r="AD13" s="180"/>
      <c r="AE13" s="180"/>
      <c r="AF13" s="180"/>
      <c r="AG13" s="180"/>
      <c r="AH13" s="180"/>
      <c r="AI13" s="180"/>
      <c r="AJ13" s="180"/>
      <c r="AK13" s="180"/>
      <c r="AL13" s="188"/>
      <c r="AS13" s="199"/>
      <c r="AT13" s="200">
        <f>SUM(AT6:AT12)</f>
        <v>64</v>
      </c>
      <c r="AU13" s="201"/>
    </row>
    <row r="14" spans="7:47" s="184" customFormat="1" ht="15" customHeight="1" x14ac:dyDescent="0.25">
      <c r="G14" s="185" t="s">
        <v>24</v>
      </c>
      <c r="H14" s="186">
        <v>19</v>
      </c>
      <c r="I14" s="190">
        <v>63.072108000000007</v>
      </c>
      <c r="J14" s="180">
        <v>420</v>
      </c>
      <c r="K14" s="180">
        <v>118.8</v>
      </c>
      <c r="L14" s="180">
        <v>36</v>
      </c>
      <c r="M14" s="177">
        <v>25.16</v>
      </c>
      <c r="N14" s="177">
        <v>8.4700000000000006</v>
      </c>
      <c r="O14" s="191">
        <f t="shared" ref="O14:O18" si="1">(H14-((I14+J14+K14+L14)/(M14+N14)))</f>
        <v>3.2646208742196592E-2</v>
      </c>
      <c r="P14" s="191">
        <v>0</v>
      </c>
      <c r="Q14" s="183">
        <v>974.1</v>
      </c>
      <c r="R14" s="180"/>
      <c r="S14" s="180"/>
      <c r="T14" s="180"/>
      <c r="U14" s="180"/>
      <c r="V14" s="180"/>
      <c r="W14" s="180"/>
      <c r="X14" s="180"/>
      <c r="Y14" s="180"/>
      <c r="Z14" s="180"/>
      <c r="AA14" s="180"/>
      <c r="AB14" s="180"/>
      <c r="AC14" s="180"/>
      <c r="AD14" s="180"/>
      <c r="AE14" s="180"/>
      <c r="AF14" s="180"/>
      <c r="AG14" s="180"/>
      <c r="AH14" s="180"/>
      <c r="AI14" s="180"/>
      <c r="AJ14" s="180"/>
      <c r="AK14" s="180"/>
      <c r="AL14" s="188"/>
      <c r="AS14" s="202"/>
      <c r="AT14" s="202"/>
      <c r="AU14" s="202"/>
    </row>
    <row r="15" spans="7:47" s="184" customFormat="1" ht="15" customHeight="1" x14ac:dyDescent="0.25">
      <c r="G15" s="185" t="s">
        <v>19</v>
      </c>
      <c r="H15" s="186">
        <v>19</v>
      </c>
      <c r="I15" s="190">
        <v>47.015076240000013</v>
      </c>
      <c r="J15" s="180">
        <v>420</v>
      </c>
      <c r="K15" s="180">
        <v>118.8</v>
      </c>
      <c r="L15" s="180">
        <v>36</v>
      </c>
      <c r="M15" s="177">
        <v>25.16</v>
      </c>
      <c r="N15" s="177">
        <v>8.4700000000000006</v>
      </c>
      <c r="O15" s="191">
        <f t="shared" si="1"/>
        <v>0.51010775379126017</v>
      </c>
      <c r="P15" s="191">
        <v>0.5</v>
      </c>
      <c r="Q15" s="183">
        <v>927.5</v>
      </c>
      <c r="R15" s="180"/>
      <c r="S15" s="180"/>
      <c r="T15" s="180"/>
      <c r="U15" s="180"/>
      <c r="V15" s="180"/>
      <c r="W15" s="180"/>
      <c r="X15" s="180"/>
      <c r="Y15" s="180"/>
      <c r="Z15" s="180"/>
      <c r="AA15" s="180"/>
      <c r="AB15" s="180"/>
      <c r="AC15" s="180"/>
      <c r="AD15" s="180"/>
      <c r="AE15" s="180"/>
      <c r="AF15" s="180"/>
      <c r="AG15" s="180"/>
      <c r="AH15" s="180"/>
      <c r="AI15" s="180"/>
      <c r="AJ15" s="180"/>
      <c r="AK15" s="180"/>
      <c r="AL15" s="188"/>
      <c r="AS15" s="202"/>
      <c r="AT15" s="202"/>
      <c r="AU15" s="202"/>
    </row>
    <row r="16" spans="7:47" s="184" customFormat="1" ht="15" customHeight="1" x14ac:dyDescent="0.25">
      <c r="G16" s="185" t="s">
        <v>20</v>
      </c>
      <c r="H16" s="186">
        <v>19</v>
      </c>
      <c r="I16" s="190">
        <v>41.282239680000004</v>
      </c>
      <c r="J16" s="180">
        <v>420</v>
      </c>
      <c r="K16" s="180">
        <v>118.8</v>
      </c>
      <c r="L16" s="180">
        <v>36</v>
      </c>
      <c r="M16" s="177">
        <v>25.16</v>
      </c>
      <c r="N16" s="177">
        <v>8.4700000000000006</v>
      </c>
      <c r="O16" s="191">
        <f t="shared" si="1"/>
        <v>0.68057568599465057</v>
      </c>
      <c r="P16" s="191">
        <v>0.5</v>
      </c>
      <c r="Q16" s="183">
        <v>903.1</v>
      </c>
      <c r="R16" s="180"/>
      <c r="S16" s="180"/>
      <c r="T16" s="180"/>
      <c r="U16" s="180"/>
      <c r="V16" s="180"/>
      <c r="W16" s="180"/>
      <c r="X16" s="180"/>
      <c r="Y16" s="180"/>
      <c r="Z16" s="180"/>
      <c r="AA16" s="180"/>
      <c r="AB16" s="180"/>
      <c r="AC16" s="180"/>
      <c r="AD16" s="180"/>
      <c r="AE16" s="180"/>
      <c r="AF16" s="180"/>
      <c r="AG16" s="180"/>
      <c r="AH16" s="180"/>
      <c r="AI16" s="180"/>
      <c r="AJ16" s="180"/>
      <c r="AK16" s="180"/>
      <c r="AL16" s="188"/>
      <c r="AS16" s="202"/>
      <c r="AT16" s="202"/>
      <c r="AU16" s="202"/>
    </row>
    <row r="17" spans="7:47" s="184" customFormat="1" ht="15" customHeight="1" x14ac:dyDescent="0.25">
      <c r="G17" s="185" t="s">
        <v>21</v>
      </c>
      <c r="H17" s="186">
        <v>19</v>
      </c>
      <c r="I17" s="190">
        <v>37.843264800000007</v>
      </c>
      <c r="J17" s="180">
        <v>420</v>
      </c>
      <c r="K17" s="180">
        <v>118.8</v>
      </c>
      <c r="L17" s="180">
        <v>36</v>
      </c>
      <c r="M17" s="177">
        <v>25.16</v>
      </c>
      <c r="N17" s="177">
        <v>8.4700000000000006</v>
      </c>
      <c r="O17" s="191">
        <f t="shared" si="1"/>
        <v>0.78283482604817323</v>
      </c>
      <c r="P17" s="191">
        <v>1</v>
      </c>
      <c r="Q17" s="183">
        <v>880.7</v>
      </c>
      <c r="R17" s="180"/>
      <c r="S17" s="180"/>
      <c r="T17" s="180"/>
      <c r="U17" s="180"/>
      <c r="V17" s="180"/>
      <c r="W17" s="180"/>
      <c r="X17" s="180"/>
      <c r="Y17" s="180"/>
      <c r="Z17" s="180"/>
      <c r="AA17" s="180"/>
      <c r="AB17" s="180"/>
      <c r="AC17" s="180"/>
      <c r="AD17" s="180"/>
      <c r="AE17" s="180"/>
      <c r="AF17" s="180"/>
      <c r="AG17" s="180"/>
      <c r="AH17" s="180"/>
      <c r="AI17" s="180"/>
      <c r="AJ17" s="180"/>
      <c r="AK17" s="180"/>
      <c r="AL17" s="188"/>
      <c r="AS17" s="202"/>
      <c r="AT17" s="202"/>
      <c r="AU17" s="202"/>
    </row>
    <row r="18" spans="7:47" s="184" customFormat="1" ht="15" customHeight="1" x14ac:dyDescent="0.25">
      <c r="G18" s="185" t="s">
        <v>22</v>
      </c>
      <c r="H18" s="186">
        <v>19</v>
      </c>
      <c r="I18" s="190">
        <v>34.400654639999999</v>
      </c>
      <c r="J18" s="180">
        <v>420</v>
      </c>
      <c r="K18" s="180">
        <v>118.8</v>
      </c>
      <c r="L18" s="180">
        <v>36</v>
      </c>
      <c r="M18" s="177">
        <v>25.16</v>
      </c>
      <c r="N18" s="177">
        <v>8.4700000000000006</v>
      </c>
      <c r="O18" s="191">
        <f t="shared" si="1"/>
        <v>0.88520206244425026</v>
      </c>
      <c r="P18" s="191">
        <v>1</v>
      </c>
      <c r="Q18" s="183">
        <v>792.8</v>
      </c>
      <c r="R18" s="180"/>
      <c r="S18" s="180"/>
      <c r="T18" s="180"/>
      <c r="U18" s="180"/>
      <c r="V18" s="180"/>
      <c r="W18" s="180"/>
      <c r="X18" s="180"/>
      <c r="Y18" s="180"/>
      <c r="Z18" s="180"/>
      <c r="AA18" s="180"/>
      <c r="AB18" s="180"/>
      <c r="AC18" s="180"/>
      <c r="AD18" s="180"/>
      <c r="AE18" s="180"/>
      <c r="AF18" s="180"/>
      <c r="AG18" s="180"/>
      <c r="AH18" s="180"/>
      <c r="AI18" s="180"/>
      <c r="AJ18" s="180"/>
      <c r="AK18" s="180"/>
      <c r="AL18" s="188"/>
      <c r="AS18" s="202"/>
      <c r="AT18" s="202"/>
      <c r="AU18" s="202"/>
    </row>
    <row r="19" spans="7:47" s="184" customFormat="1" ht="15" customHeight="1" x14ac:dyDescent="0.3">
      <c r="G19" s="147" t="s">
        <v>186</v>
      </c>
      <c r="H19" s="352"/>
      <c r="I19" s="353"/>
      <c r="J19" s="353"/>
      <c r="K19" s="353"/>
      <c r="L19" s="353"/>
      <c r="M19" s="353"/>
      <c r="N19" s="354"/>
      <c r="O19" s="192"/>
      <c r="P19" s="181"/>
      <c r="Q19" s="178">
        <f>SUM(Q13:Q18)</f>
        <v>5453.7</v>
      </c>
      <c r="R19" s="193">
        <f>9/24</f>
        <v>0.375</v>
      </c>
      <c r="S19" s="193">
        <f>24/1000</f>
        <v>2.4E-2</v>
      </c>
      <c r="T19" s="177">
        <v>0.27600000000000002</v>
      </c>
      <c r="U19" s="177">
        <v>12.96</v>
      </c>
      <c r="V19" s="180">
        <f>Q19</f>
        <v>5453.7</v>
      </c>
      <c r="W19" s="194">
        <f>R19*S19*T19*U19*V19</f>
        <v>175.56900076800005</v>
      </c>
      <c r="X19" s="180">
        <v>0.27800000000000002</v>
      </c>
      <c r="Y19" s="180">
        <v>12.96</v>
      </c>
      <c r="Z19" s="180">
        <f>Q19</f>
        <v>5453.7</v>
      </c>
      <c r="AA19" s="194">
        <f>(R19*S19*X19*Y19*Z19)</f>
        <v>176.84123990400002</v>
      </c>
      <c r="AB19" s="177">
        <v>0.42</v>
      </c>
      <c r="AC19" s="177">
        <v>41.904000000000003</v>
      </c>
      <c r="AD19" s="177">
        <f>Q19</f>
        <v>5453.7</v>
      </c>
      <c r="AE19" s="195">
        <f>(R19*S19*AB19*AC19*AD19)</f>
        <v>863.8503733440001</v>
      </c>
      <c r="AF19" s="196">
        <f>N311</f>
        <v>1219.1343635764197</v>
      </c>
      <c r="AG19" s="50">
        <f>W19+AA19+AE19+AF19</f>
        <v>2435.3949775924198</v>
      </c>
      <c r="AH19" s="180">
        <f>AG19*0.1</f>
        <v>243.53949775924198</v>
      </c>
      <c r="AI19" s="197">
        <f>AG19+AH19</f>
        <v>2678.9344753516616</v>
      </c>
      <c r="AJ19" s="177">
        <v>3.1</v>
      </c>
      <c r="AK19" s="198">
        <f>ROUND((AI19/AJ19),0)</f>
        <v>864</v>
      </c>
      <c r="AL19" s="188"/>
      <c r="AS19" s="202"/>
      <c r="AT19" s="202"/>
      <c r="AU19" s="202"/>
    </row>
    <row r="20" spans="7:47" s="184" customFormat="1" ht="15" customHeight="1" x14ac:dyDescent="0.25">
      <c r="G20" s="185" t="s">
        <v>13</v>
      </c>
      <c r="H20" s="186">
        <v>20</v>
      </c>
      <c r="I20" s="190">
        <v>75.686529600000014</v>
      </c>
      <c r="J20" s="180">
        <v>420</v>
      </c>
      <c r="K20" s="180">
        <v>118.8</v>
      </c>
      <c r="L20" s="180">
        <v>36</v>
      </c>
      <c r="M20" s="177">
        <v>25.16</v>
      </c>
      <c r="N20" s="177">
        <v>8.4700000000000006</v>
      </c>
      <c r="O20" s="191">
        <f>(H20-((I20+J20+K20+L20)/(M20+N20)))</f>
        <v>0.6575519000892065</v>
      </c>
      <c r="P20" s="191">
        <v>0.5</v>
      </c>
      <c r="Q20" s="183">
        <v>945.5</v>
      </c>
      <c r="R20" s="180"/>
      <c r="S20" s="180"/>
      <c r="T20" s="180"/>
      <c r="U20" s="180"/>
      <c r="V20" s="180"/>
      <c r="W20" s="180"/>
      <c r="X20" s="180"/>
      <c r="Y20" s="180"/>
      <c r="Z20" s="180"/>
      <c r="AA20" s="180"/>
      <c r="AB20" s="180"/>
      <c r="AC20" s="180"/>
      <c r="AD20" s="180"/>
      <c r="AE20" s="180"/>
      <c r="AF20" s="180"/>
      <c r="AG20" s="180"/>
      <c r="AH20" s="180"/>
      <c r="AI20" s="180"/>
      <c r="AJ20" s="180"/>
      <c r="AK20" s="180"/>
      <c r="AL20" s="188"/>
      <c r="AS20" s="202"/>
      <c r="AT20" s="202"/>
      <c r="AU20" s="202"/>
    </row>
    <row r="21" spans="7:47" s="184" customFormat="1" ht="15" customHeight="1" x14ac:dyDescent="0.25">
      <c r="G21" s="185" t="s">
        <v>24</v>
      </c>
      <c r="H21" s="186">
        <v>20</v>
      </c>
      <c r="I21" s="190">
        <v>63.072108000000007</v>
      </c>
      <c r="J21" s="180">
        <v>420</v>
      </c>
      <c r="K21" s="180">
        <v>118.8</v>
      </c>
      <c r="L21" s="180">
        <v>36</v>
      </c>
      <c r="M21" s="177">
        <v>25.16</v>
      </c>
      <c r="N21" s="177">
        <v>8.4700000000000006</v>
      </c>
      <c r="O21" s="191">
        <f t="shared" ref="O21:O25" si="2">(H21-((I21+J21+K21+L21)/(M21+N21)))</f>
        <v>1.0326462087421966</v>
      </c>
      <c r="P21" s="191">
        <v>1</v>
      </c>
      <c r="Q21" s="183">
        <v>943.1</v>
      </c>
      <c r="R21" s="180"/>
      <c r="S21" s="180"/>
      <c r="T21" s="180"/>
      <c r="U21" s="180"/>
      <c r="V21" s="180"/>
      <c r="W21" s="180"/>
      <c r="X21" s="180"/>
      <c r="Y21" s="180"/>
      <c r="Z21" s="180"/>
      <c r="AA21" s="180"/>
      <c r="AB21" s="180"/>
      <c r="AC21" s="180"/>
      <c r="AD21" s="180"/>
      <c r="AE21" s="180"/>
      <c r="AF21" s="180"/>
      <c r="AG21" s="180"/>
      <c r="AH21" s="180"/>
      <c r="AI21" s="180"/>
      <c r="AJ21" s="180"/>
      <c r="AK21" s="180"/>
      <c r="AL21" s="188"/>
      <c r="AS21" s="202"/>
      <c r="AT21" s="202"/>
      <c r="AU21" s="202"/>
    </row>
    <row r="22" spans="7:47" s="184" customFormat="1" ht="15" customHeight="1" x14ac:dyDescent="0.25">
      <c r="G22" s="185" t="s">
        <v>19</v>
      </c>
      <c r="H22" s="186">
        <v>20</v>
      </c>
      <c r="I22" s="190">
        <v>47.015076240000013</v>
      </c>
      <c r="J22" s="180">
        <v>420</v>
      </c>
      <c r="K22" s="180">
        <v>118.8</v>
      </c>
      <c r="L22" s="180">
        <v>36</v>
      </c>
      <c r="M22" s="177">
        <v>25.16</v>
      </c>
      <c r="N22" s="177">
        <v>8.4700000000000006</v>
      </c>
      <c r="O22" s="191">
        <f t="shared" si="2"/>
        <v>1.5101077537912602</v>
      </c>
      <c r="P22" s="191">
        <v>1.5</v>
      </c>
      <c r="Q22" s="183">
        <v>896.5</v>
      </c>
      <c r="R22" s="180"/>
      <c r="S22" s="180"/>
      <c r="T22" s="180"/>
      <c r="U22" s="180"/>
      <c r="V22" s="180"/>
      <c r="W22" s="180"/>
      <c r="X22" s="180"/>
      <c r="Y22" s="180"/>
      <c r="Z22" s="180"/>
      <c r="AA22" s="180"/>
      <c r="AB22" s="180"/>
      <c r="AC22" s="180"/>
      <c r="AD22" s="180"/>
      <c r="AE22" s="180"/>
      <c r="AF22" s="180"/>
      <c r="AG22" s="180"/>
      <c r="AH22" s="180"/>
      <c r="AI22" s="180"/>
      <c r="AJ22" s="180"/>
      <c r="AK22" s="180"/>
      <c r="AL22" s="188"/>
      <c r="AS22" s="202"/>
      <c r="AT22" s="202"/>
      <c r="AU22" s="202"/>
    </row>
    <row r="23" spans="7:47" s="184" customFormat="1" ht="15" customHeight="1" x14ac:dyDescent="0.25">
      <c r="G23" s="185" t="s">
        <v>20</v>
      </c>
      <c r="H23" s="186">
        <v>20</v>
      </c>
      <c r="I23" s="190">
        <v>41.282239680000004</v>
      </c>
      <c r="J23" s="180">
        <v>420</v>
      </c>
      <c r="K23" s="180">
        <v>118.8</v>
      </c>
      <c r="L23" s="180">
        <v>36</v>
      </c>
      <c r="M23" s="177">
        <v>25.16</v>
      </c>
      <c r="N23" s="177">
        <v>8.4700000000000006</v>
      </c>
      <c r="O23" s="191">
        <f t="shared" si="2"/>
        <v>1.6805756859946506</v>
      </c>
      <c r="P23" s="191">
        <v>1.5</v>
      </c>
      <c r="Q23" s="183">
        <v>873.1</v>
      </c>
      <c r="R23" s="180"/>
      <c r="S23" s="180"/>
      <c r="T23" s="180"/>
      <c r="U23" s="180"/>
      <c r="V23" s="180"/>
      <c r="W23" s="180"/>
      <c r="X23" s="180"/>
      <c r="Y23" s="180"/>
      <c r="Z23" s="180"/>
      <c r="AA23" s="180"/>
      <c r="AB23" s="180"/>
      <c r="AC23" s="180"/>
      <c r="AD23" s="180"/>
      <c r="AE23" s="180"/>
      <c r="AF23" s="180"/>
      <c r="AG23" s="180"/>
      <c r="AH23" s="180"/>
      <c r="AI23" s="180"/>
      <c r="AJ23" s="180"/>
      <c r="AK23" s="180"/>
      <c r="AL23" s="188"/>
      <c r="AS23" s="202"/>
      <c r="AT23" s="202"/>
      <c r="AU23" s="202"/>
    </row>
    <row r="24" spans="7:47" s="184" customFormat="1" ht="15" customHeight="1" x14ac:dyDescent="0.25">
      <c r="G24" s="185" t="s">
        <v>21</v>
      </c>
      <c r="H24" s="186">
        <v>20</v>
      </c>
      <c r="I24" s="190">
        <v>37.843264800000007</v>
      </c>
      <c r="J24" s="180">
        <v>420</v>
      </c>
      <c r="K24" s="180">
        <v>118.8</v>
      </c>
      <c r="L24" s="180">
        <v>36</v>
      </c>
      <c r="M24" s="177">
        <v>25.16</v>
      </c>
      <c r="N24" s="177">
        <v>8.4700000000000006</v>
      </c>
      <c r="O24" s="191">
        <f t="shared" si="2"/>
        <v>1.7828348260481732</v>
      </c>
      <c r="P24" s="191">
        <v>2</v>
      </c>
      <c r="Q24" s="183">
        <v>849.7</v>
      </c>
      <c r="R24" s="180"/>
      <c r="S24" s="180"/>
      <c r="T24" s="180"/>
      <c r="U24" s="180"/>
      <c r="V24" s="180"/>
      <c r="W24" s="180"/>
      <c r="X24" s="180"/>
      <c r="Y24" s="180"/>
      <c r="Z24" s="180"/>
      <c r="AA24" s="180"/>
      <c r="AB24" s="180"/>
      <c r="AC24" s="180"/>
      <c r="AD24" s="180"/>
      <c r="AE24" s="180"/>
      <c r="AF24" s="180"/>
      <c r="AG24" s="180"/>
      <c r="AH24" s="180"/>
      <c r="AI24" s="180"/>
      <c r="AJ24" s="180"/>
      <c r="AK24" s="180"/>
      <c r="AL24" s="188"/>
      <c r="AS24" s="202"/>
      <c r="AT24" s="202"/>
      <c r="AU24" s="202"/>
    </row>
    <row r="25" spans="7:47" s="184" customFormat="1" ht="15" customHeight="1" x14ac:dyDescent="0.25">
      <c r="G25" s="185" t="s">
        <v>22</v>
      </c>
      <c r="H25" s="186">
        <v>20</v>
      </c>
      <c r="I25" s="190">
        <v>34.400654639999999</v>
      </c>
      <c r="J25" s="180">
        <v>420</v>
      </c>
      <c r="K25" s="180">
        <v>118.8</v>
      </c>
      <c r="L25" s="180">
        <v>36</v>
      </c>
      <c r="M25" s="177">
        <v>25.16</v>
      </c>
      <c r="N25" s="177">
        <v>8.4700000000000006</v>
      </c>
      <c r="O25" s="191">
        <f t="shared" si="2"/>
        <v>1.8852020624442503</v>
      </c>
      <c r="P25" s="191">
        <v>2</v>
      </c>
      <c r="Q25" s="183">
        <v>762.8</v>
      </c>
      <c r="R25" s="180"/>
      <c r="S25" s="180"/>
      <c r="T25" s="180"/>
      <c r="U25" s="180"/>
      <c r="V25" s="180"/>
      <c r="W25" s="180"/>
      <c r="X25" s="180"/>
      <c r="Y25" s="180"/>
      <c r="Z25" s="180"/>
      <c r="AA25" s="180"/>
      <c r="AB25" s="180"/>
      <c r="AC25" s="180"/>
      <c r="AD25" s="180"/>
      <c r="AE25" s="180"/>
      <c r="AF25" s="180"/>
      <c r="AG25" s="180"/>
      <c r="AH25" s="180"/>
      <c r="AI25" s="180"/>
      <c r="AJ25" s="180"/>
      <c r="AK25" s="180"/>
      <c r="AL25" s="188"/>
      <c r="AS25" s="202"/>
      <c r="AT25" s="202"/>
      <c r="AU25" s="202"/>
    </row>
    <row r="26" spans="7:47" s="184" customFormat="1" ht="15" customHeight="1" x14ac:dyDescent="0.3">
      <c r="G26" s="147" t="s">
        <v>174</v>
      </c>
      <c r="H26" s="352"/>
      <c r="I26" s="353"/>
      <c r="J26" s="353"/>
      <c r="K26" s="353"/>
      <c r="L26" s="353"/>
      <c r="M26" s="353"/>
      <c r="N26" s="354"/>
      <c r="O26" s="192"/>
      <c r="P26" s="181"/>
      <c r="Q26" s="178">
        <f>SUM(Q20:Q25)</f>
        <v>5270.7</v>
      </c>
      <c r="R26" s="193">
        <f>9/24</f>
        <v>0.375</v>
      </c>
      <c r="S26" s="193">
        <f>24/1000</f>
        <v>2.4E-2</v>
      </c>
      <c r="T26" s="177">
        <v>0.27600000000000002</v>
      </c>
      <c r="U26" s="177">
        <v>12.96</v>
      </c>
      <c r="V26" s="180">
        <f>Q26</f>
        <v>5270.7</v>
      </c>
      <c r="W26" s="194">
        <f>R26*S26*T26*U26*V26</f>
        <v>169.67774764800004</v>
      </c>
      <c r="X26" s="180">
        <v>0.27800000000000002</v>
      </c>
      <c r="Y26" s="180">
        <v>12.96</v>
      </c>
      <c r="Z26" s="180">
        <f>Q26</f>
        <v>5270.7</v>
      </c>
      <c r="AA26" s="194">
        <f>(R26*S26*X26*Y26*Z26)</f>
        <v>170.90729654400002</v>
      </c>
      <c r="AB26" s="177">
        <v>0.42</v>
      </c>
      <c r="AC26" s="177">
        <v>41.904000000000003</v>
      </c>
      <c r="AD26" s="177">
        <f>Q26</f>
        <v>5270.7</v>
      </c>
      <c r="AE26" s="195">
        <f>(R26*S26*AB26*AC26*AD26)</f>
        <v>834.86370038400014</v>
      </c>
      <c r="AF26" s="196">
        <f>N312</f>
        <v>1200.2884743269246</v>
      </c>
      <c r="AG26" s="50">
        <f>W26+AA26+AE26+AF26</f>
        <v>2375.7372189029247</v>
      </c>
      <c r="AH26" s="180">
        <f>AG26*0.1</f>
        <v>237.57372189029249</v>
      </c>
      <c r="AI26" s="197">
        <f>AG26+AH26</f>
        <v>2613.310940793217</v>
      </c>
      <c r="AJ26" s="177">
        <v>3.1</v>
      </c>
      <c r="AK26" s="198">
        <f>ROUND((AI26/AJ26),0)</f>
        <v>843</v>
      </c>
      <c r="AL26" s="188"/>
      <c r="AS26" s="202"/>
      <c r="AT26" s="202"/>
      <c r="AU26" s="202"/>
    </row>
    <row r="27" spans="7:47" s="184" customFormat="1" ht="15" customHeight="1" x14ac:dyDescent="0.25">
      <c r="G27" s="185" t="s">
        <v>13</v>
      </c>
      <c r="H27" s="186">
        <v>21</v>
      </c>
      <c r="I27" s="190">
        <v>75.686529600000014</v>
      </c>
      <c r="J27" s="180">
        <v>420</v>
      </c>
      <c r="K27" s="180">
        <v>118.8</v>
      </c>
      <c r="L27" s="180">
        <v>36</v>
      </c>
      <c r="M27" s="177">
        <v>25.16</v>
      </c>
      <c r="N27" s="177">
        <v>8.4700000000000006</v>
      </c>
      <c r="O27" s="191">
        <f>(H27-((I27+J27+K27+L27)/(M27+N27)))</f>
        <v>1.6575519000892065</v>
      </c>
      <c r="P27" s="191">
        <v>1.5</v>
      </c>
      <c r="Q27" s="183">
        <v>915.5</v>
      </c>
      <c r="R27" s="180"/>
      <c r="S27" s="180"/>
      <c r="T27" s="180"/>
      <c r="U27" s="180"/>
      <c r="V27" s="180"/>
      <c r="W27" s="180"/>
      <c r="X27" s="180"/>
      <c r="Y27" s="180"/>
      <c r="Z27" s="180"/>
      <c r="AA27" s="180"/>
      <c r="AB27" s="180"/>
      <c r="AC27" s="180"/>
      <c r="AD27" s="180"/>
      <c r="AE27" s="180"/>
      <c r="AF27" s="180"/>
      <c r="AG27" s="180"/>
      <c r="AH27" s="180"/>
      <c r="AI27" s="180"/>
      <c r="AJ27" s="180"/>
      <c r="AK27" s="180"/>
      <c r="AL27" s="188"/>
      <c r="AS27" s="202"/>
      <c r="AT27" s="202"/>
      <c r="AU27" s="202"/>
    </row>
    <row r="28" spans="7:47" s="184" customFormat="1" ht="15" customHeight="1" x14ac:dyDescent="0.25">
      <c r="G28" s="185" t="s">
        <v>24</v>
      </c>
      <c r="H28" s="186">
        <v>21</v>
      </c>
      <c r="I28" s="190">
        <v>63.072108000000007</v>
      </c>
      <c r="J28" s="180">
        <v>420</v>
      </c>
      <c r="K28" s="180">
        <v>118.8</v>
      </c>
      <c r="L28" s="180">
        <v>36</v>
      </c>
      <c r="M28" s="177">
        <v>25.16</v>
      </c>
      <c r="N28" s="177">
        <v>8.4700000000000006</v>
      </c>
      <c r="O28" s="191">
        <f t="shared" ref="O28:O32" si="3">(H28-((I28+J28+K28+L28)/(M28+N28)))</f>
        <v>2.0326462087421966</v>
      </c>
      <c r="P28" s="191">
        <v>2</v>
      </c>
      <c r="Q28" s="183">
        <v>912.1</v>
      </c>
      <c r="R28" s="180"/>
      <c r="S28" s="180"/>
      <c r="T28" s="180"/>
      <c r="U28" s="180"/>
      <c r="V28" s="180"/>
      <c r="W28" s="180"/>
      <c r="X28" s="180"/>
      <c r="Y28" s="180"/>
      <c r="Z28" s="180"/>
      <c r="AA28" s="180"/>
      <c r="AB28" s="180"/>
      <c r="AC28" s="180"/>
      <c r="AD28" s="180"/>
      <c r="AE28" s="180"/>
      <c r="AF28" s="180"/>
      <c r="AG28" s="180"/>
      <c r="AH28" s="180"/>
      <c r="AI28" s="180"/>
      <c r="AJ28" s="180"/>
      <c r="AK28" s="180"/>
      <c r="AL28" s="188"/>
      <c r="AS28" s="202"/>
      <c r="AT28" s="202"/>
      <c r="AU28" s="202"/>
    </row>
    <row r="29" spans="7:47" s="184" customFormat="1" ht="15" customHeight="1" x14ac:dyDescent="0.25">
      <c r="G29" s="185" t="s">
        <v>19</v>
      </c>
      <c r="H29" s="186">
        <v>21</v>
      </c>
      <c r="I29" s="190">
        <v>47.015076240000013</v>
      </c>
      <c r="J29" s="180">
        <v>420</v>
      </c>
      <c r="K29" s="180">
        <v>118.8</v>
      </c>
      <c r="L29" s="180">
        <v>36</v>
      </c>
      <c r="M29" s="177">
        <v>25.16</v>
      </c>
      <c r="N29" s="177">
        <v>8.4700000000000006</v>
      </c>
      <c r="O29" s="191">
        <f t="shared" si="3"/>
        <v>2.5101077537912602</v>
      </c>
      <c r="P29" s="191">
        <v>2.5</v>
      </c>
      <c r="Q29" s="183">
        <v>865.5</v>
      </c>
      <c r="R29" s="180"/>
      <c r="S29" s="180"/>
      <c r="T29" s="180"/>
      <c r="U29" s="180"/>
      <c r="V29" s="180"/>
      <c r="W29" s="180"/>
      <c r="X29" s="180"/>
      <c r="Y29" s="180"/>
      <c r="Z29" s="180"/>
      <c r="AA29" s="180"/>
      <c r="AB29" s="180"/>
      <c r="AC29" s="180"/>
      <c r="AD29" s="180"/>
      <c r="AE29" s="180"/>
      <c r="AF29" s="180"/>
      <c r="AG29" s="180"/>
      <c r="AH29" s="180"/>
      <c r="AI29" s="180"/>
      <c r="AJ29" s="180"/>
      <c r="AK29" s="180"/>
      <c r="AL29" s="188"/>
      <c r="AS29" s="202"/>
      <c r="AT29" s="202"/>
      <c r="AU29" s="202"/>
    </row>
    <row r="30" spans="7:47" s="184" customFormat="1" ht="15" customHeight="1" x14ac:dyDescent="0.25">
      <c r="G30" s="185" t="s">
        <v>20</v>
      </c>
      <c r="H30" s="186">
        <v>21</v>
      </c>
      <c r="I30" s="190">
        <v>41.282239680000004</v>
      </c>
      <c r="J30" s="180">
        <v>420</v>
      </c>
      <c r="K30" s="180">
        <v>118.8</v>
      </c>
      <c r="L30" s="180">
        <v>36</v>
      </c>
      <c r="M30" s="177">
        <v>25.16</v>
      </c>
      <c r="N30" s="177">
        <v>8.4700000000000006</v>
      </c>
      <c r="O30" s="191">
        <f t="shared" si="3"/>
        <v>2.6805756859946506</v>
      </c>
      <c r="P30" s="191">
        <v>2.5</v>
      </c>
      <c r="Q30" s="183">
        <v>843.1</v>
      </c>
      <c r="R30" s="180"/>
      <c r="S30" s="180"/>
      <c r="T30" s="180"/>
      <c r="U30" s="180"/>
      <c r="V30" s="180"/>
      <c r="W30" s="180"/>
      <c r="X30" s="180"/>
      <c r="Y30" s="180"/>
      <c r="Z30" s="180"/>
      <c r="AA30" s="180"/>
      <c r="AB30" s="180"/>
      <c r="AC30" s="180"/>
      <c r="AD30" s="180"/>
      <c r="AE30" s="180"/>
      <c r="AF30" s="180"/>
      <c r="AG30" s="180"/>
      <c r="AH30" s="180"/>
      <c r="AI30" s="180"/>
      <c r="AJ30" s="180"/>
      <c r="AK30" s="180"/>
      <c r="AL30" s="188"/>
      <c r="AS30" s="202"/>
      <c r="AT30" s="202"/>
      <c r="AU30" s="202"/>
    </row>
    <row r="31" spans="7:47" s="184" customFormat="1" ht="15" customHeight="1" x14ac:dyDescent="0.25">
      <c r="G31" s="185" t="s">
        <v>21</v>
      </c>
      <c r="H31" s="186">
        <v>21</v>
      </c>
      <c r="I31" s="190">
        <v>37.843264800000007</v>
      </c>
      <c r="J31" s="180">
        <v>420</v>
      </c>
      <c r="K31" s="180">
        <v>118.8</v>
      </c>
      <c r="L31" s="180">
        <v>36</v>
      </c>
      <c r="M31" s="177">
        <v>25.16</v>
      </c>
      <c r="N31" s="177">
        <v>8.4700000000000006</v>
      </c>
      <c r="O31" s="191">
        <f t="shared" si="3"/>
        <v>2.7828348260481732</v>
      </c>
      <c r="P31" s="191">
        <v>3</v>
      </c>
      <c r="Q31" s="183">
        <v>818.7</v>
      </c>
      <c r="R31" s="180"/>
      <c r="S31" s="180"/>
      <c r="T31" s="180"/>
      <c r="U31" s="180"/>
      <c r="V31" s="180"/>
      <c r="W31" s="180"/>
      <c r="X31" s="180"/>
      <c r="Y31" s="180"/>
      <c r="Z31" s="180"/>
      <c r="AA31" s="180"/>
      <c r="AB31" s="180"/>
      <c r="AC31" s="180"/>
      <c r="AD31" s="180"/>
      <c r="AE31" s="180"/>
      <c r="AF31" s="180"/>
      <c r="AG31" s="180"/>
      <c r="AH31" s="180"/>
      <c r="AI31" s="180"/>
      <c r="AJ31" s="180"/>
      <c r="AK31" s="180"/>
      <c r="AL31" s="188"/>
      <c r="AS31" s="202"/>
      <c r="AT31" s="202"/>
      <c r="AU31" s="202"/>
    </row>
    <row r="32" spans="7:47" s="184" customFormat="1" ht="15" customHeight="1" x14ac:dyDescent="0.25">
      <c r="G32" s="185" t="s">
        <v>22</v>
      </c>
      <c r="H32" s="186">
        <v>21</v>
      </c>
      <c r="I32" s="190">
        <v>34.400654639999999</v>
      </c>
      <c r="J32" s="180">
        <v>420</v>
      </c>
      <c r="K32" s="180">
        <v>118.8</v>
      </c>
      <c r="L32" s="180">
        <v>36</v>
      </c>
      <c r="M32" s="177">
        <v>25.16</v>
      </c>
      <c r="N32" s="177">
        <v>8.4700000000000006</v>
      </c>
      <c r="O32" s="191">
        <f t="shared" si="3"/>
        <v>2.8852020624442503</v>
      </c>
      <c r="P32" s="191">
        <v>3</v>
      </c>
      <c r="Q32" s="183">
        <v>732.8</v>
      </c>
      <c r="R32" s="180"/>
      <c r="S32" s="180"/>
      <c r="T32" s="180"/>
      <c r="U32" s="180"/>
      <c r="V32" s="180"/>
      <c r="W32" s="180"/>
      <c r="X32" s="180"/>
      <c r="Y32" s="180"/>
      <c r="Z32" s="180"/>
      <c r="AA32" s="180"/>
      <c r="AB32" s="180"/>
      <c r="AC32" s="180"/>
      <c r="AD32" s="180"/>
      <c r="AE32" s="180"/>
      <c r="AF32" s="180"/>
      <c r="AG32" s="180"/>
      <c r="AH32" s="180"/>
      <c r="AI32" s="180"/>
      <c r="AJ32" s="180"/>
      <c r="AK32" s="180"/>
      <c r="AL32" s="188"/>
      <c r="AS32" s="202"/>
      <c r="AT32" s="202"/>
      <c r="AU32" s="202"/>
    </row>
    <row r="33" spans="3:47" s="184" customFormat="1" ht="15" customHeight="1" x14ac:dyDescent="0.3">
      <c r="G33" s="147" t="s">
        <v>173</v>
      </c>
      <c r="H33" s="352"/>
      <c r="I33" s="353"/>
      <c r="J33" s="353"/>
      <c r="K33" s="353"/>
      <c r="L33" s="353"/>
      <c r="M33" s="353"/>
      <c r="N33" s="354"/>
      <c r="O33" s="192"/>
      <c r="P33" s="181"/>
      <c r="Q33" s="178">
        <f>SUM(Q27:Q32)</f>
        <v>5087.7</v>
      </c>
      <c r="R33" s="193">
        <f>9/24</f>
        <v>0.375</v>
      </c>
      <c r="S33" s="193">
        <f>24/1000</f>
        <v>2.4E-2</v>
      </c>
      <c r="T33" s="177">
        <v>0.27600000000000002</v>
      </c>
      <c r="U33" s="177">
        <v>12.96</v>
      </c>
      <c r="V33" s="180">
        <f>Q33</f>
        <v>5087.7</v>
      </c>
      <c r="W33" s="194">
        <f>R33*S33*T33*U33*V33</f>
        <v>163.78649452800005</v>
      </c>
      <c r="X33" s="180">
        <v>0.27800000000000002</v>
      </c>
      <c r="Y33" s="180">
        <v>12.96</v>
      </c>
      <c r="Z33" s="180">
        <f>Q33</f>
        <v>5087.7</v>
      </c>
      <c r="AA33" s="194">
        <f>(R33*S33*X33*Y33*Z33)</f>
        <v>164.97335318400002</v>
      </c>
      <c r="AB33" s="177">
        <v>0.42</v>
      </c>
      <c r="AC33" s="177">
        <v>41.904000000000003</v>
      </c>
      <c r="AD33" s="177">
        <f>Q33</f>
        <v>5087.7</v>
      </c>
      <c r="AE33" s="195">
        <f>(R33*S33*AB33*AC33*AD33)</f>
        <v>805.87702742400018</v>
      </c>
      <c r="AF33" s="196">
        <f>N313</f>
        <v>1181.4425850774298</v>
      </c>
      <c r="AG33" s="50">
        <f>W33+AA33+AE33+AF33</f>
        <v>2316.0794602134301</v>
      </c>
      <c r="AH33" s="180">
        <f>AG33*0.1</f>
        <v>231.60794602134303</v>
      </c>
      <c r="AI33" s="197">
        <f>AG33+AH33</f>
        <v>2547.6874062347733</v>
      </c>
      <c r="AJ33" s="177">
        <v>3.1</v>
      </c>
      <c r="AK33" s="198">
        <f>ROUND((AI33/AJ33),0)</f>
        <v>822</v>
      </c>
      <c r="AL33" s="188"/>
      <c r="AS33" s="202"/>
      <c r="AT33" s="202"/>
      <c r="AU33" s="202"/>
    </row>
    <row r="34" spans="3:47" s="184" customFormat="1" ht="15" customHeight="1" x14ac:dyDescent="0.25">
      <c r="C34" s="202"/>
      <c r="G34" s="185" t="s">
        <v>13</v>
      </c>
      <c r="H34" s="186">
        <v>22</v>
      </c>
      <c r="I34" s="190">
        <v>75.686529600000014</v>
      </c>
      <c r="J34" s="180">
        <v>420</v>
      </c>
      <c r="K34" s="180">
        <v>118.8</v>
      </c>
      <c r="L34" s="180">
        <v>36</v>
      </c>
      <c r="M34" s="177">
        <v>25.16</v>
      </c>
      <c r="N34" s="177">
        <v>8.4700000000000006</v>
      </c>
      <c r="O34" s="191">
        <f>(H34-((I34+J34+K34+L34)/(M34+N34)))</f>
        <v>2.6575519000892065</v>
      </c>
      <c r="P34" s="191">
        <v>2.5</v>
      </c>
      <c r="Q34" s="183">
        <v>885.5</v>
      </c>
      <c r="R34" s="180"/>
      <c r="S34" s="180"/>
      <c r="T34" s="180"/>
      <c r="U34" s="180"/>
      <c r="V34" s="180"/>
      <c r="W34" s="180"/>
      <c r="X34" s="180"/>
      <c r="Y34" s="180"/>
      <c r="Z34" s="180"/>
      <c r="AA34" s="180"/>
      <c r="AB34" s="180"/>
      <c r="AC34" s="180"/>
      <c r="AD34" s="180"/>
      <c r="AE34" s="180"/>
      <c r="AF34" s="180"/>
      <c r="AG34" s="180"/>
      <c r="AH34" s="180"/>
      <c r="AI34" s="180"/>
      <c r="AJ34" s="180"/>
      <c r="AK34" s="180"/>
      <c r="AL34" s="188"/>
    </row>
    <row r="35" spans="3:47" s="184" customFormat="1" ht="15" customHeight="1" x14ac:dyDescent="0.25">
      <c r="C35" s="202"/>
      <c r="G35" s="185" t="s">
        <v>24</v>
      </c>
      <c r="H35" s="186">
        <v>22</v>
      </c>
      <c r="I35" s="190">
        <v>63.072108000000007</v>
      </c>
      <c r="J35" s="180">
        <v>420</v>
      </c>
      <c r="K35" s="180">
        <v>118.8</v>
      </c>
      <c r="L35" s="180">
        <v>36</v>
      </c>
      <c r="M35" s="177">
        <v>25.16</v>
      </c>
      <c r="N35" s="177">
        <v>8.4700000000000006</v>
      </c>
      <c r="O35" s="191">
        <f t="shared" ref="O35:O39" si="4">(H35-((I35+J35+K35+L35)/(M35+N35)))</f>
        <v>3.0326462087421966</v>
      </c>
      <c r="P35" s="191">
        <v>3</v>
      </c>
      <c r="Q35" s="183">
        <v>881.1</v>
      </c>
      <c r="R35" s="180"/>
      <c r="S35" s="180"/>
      <c r="T35" s="180"/>
      <c r="U35" s="180"/>
      <c r="V35" s="180"/>
      <c r="W35" s="180"/>
      <c r="X35" s="180"/>
      <c r="Y35" s="180"/>
      <c r="Z35" s="180"/>
      <c r="AA35" s="180"/>
      <c r="AB35" s="180"/>
      <c r="AC35" s="180"/>
      <c r="AD35" s="180"/>
      <c r="AE35" s="180"/>
      <c r="AF35" s="180"/>
      <c r="AG35" s="180"/>
      <c r="AH35" s="180"/>
      <c r="AI35" s="180"/>
      <c r="AJ35" s="180"/>
      <c r="AK35" s="180"/>
      <c r="AL35" s="188"/>
    </row>
    <row r="36" spans="3:47" s="184" customFormat="1" ht="15" customHeight="1" x14ac:dyDescent="0.25">
      <c r="C36" s="202"/>
      <c r="G36" s="185" t="s">
        <v>19</v>
      </c>
      <c r="H36" s="186">
        <v>22</v>
      </c>
      <c r="I36" s="190">
        <v>47.015076240000013</v>
      </c>
      <c r="J36" s="180">
        <v>420</v>
      </c>
      <c r="K36" s="180">
        <v>118.8</v>
      </c>
      <c r="L36" s="180">
        <v>36</v>
      </c>
      <c r="M36" s="177">
        <v>25.16</v>
      </c>
      <c r="N36" s="177">
        <v>8.4700000000000006</v>
      </c>
      <c r="O36" s="191">
        <f t="shared" si="4"/>
        <v>3.5101077537912602</v>
      </c>
      <c r="P36" s="191">
        <v>3.5</v>
      </c>
      <c r="Q36" s="183">
        <v>834.5</v>
      </c>
      <c r="R36" s="180"/>
      <c r="S36" s="180"/>
      <c r="T36" s="180"/>
      <c r="U36" s="180"/>
      <c r="V36" s="180"/>
      <c r="W36" s="180"/>
      <c r="X36" s="180"/>
      <c r="Y36" s="180"/>
      <c r="Z36" s="180"/>
      <c r="AA36" s="180"/>
      <c r="AB36" s="180"/>
      <c r="AC36" s="180"/>
      <c r="AD36" s="180"/>
      <c r="AE36" s="180"/>
      <c r="AF36" s="180"/>
      <c r="AG36" s="180"/>
      <c r="AH36" s="180"/>
      <c r="AI36" s="180"/>
      <c r="AJ36" s="180"/>
      <c r="AK36" s="180"/>
      <c r="AL36" s="188"/>
    </row>
    <row r="37" spans="3:47" s="184" customFormat="1" ht="15" customHeight="1" x14ac:dyDescent="0.25">
      <c r="C37" s="202"/>
      <c r="G37" s="185" t="s">
        <v>20</v>
      </c>
      <c r="H37" s="186">
        <v>22</v>
      </c>
      <c r="I37" s="190">
        <v>41.282239680000004</v>
      </c>
      <c r="J37" s="180">
        <v>420</v>
      </c>
      <c r="K37" s="180">
        <v>118.8</v>
      </c>
      <c r="L37" s="180">
        <v>36</v>
      </c>
      <c r="M37" s="177">
        <v>25.16</v>
      </c>
      <c r="N37" s="177">
        <v>8.4700000000000006</v>
      </c>
      <c r="O37" s="191">
        <f t="shared" si="4"/>
        <v>3.6805756859946506</v>
      </c>
      <c r="P37" s="191">
        <v>3.5</v>
      </c>
      <c r="Q37" s="183">
        <v>813.1</v>
      </c>
      <c r="R37" s="180"/>
      <c r="S37" s="180"/>
      <c r="T37" s="180"/>
      <c r="U37" s="180"/>
      <c r="V37" s="180"/>
      <c r="W37" s="180"/>
      <c r="X37" s="180"/>
      <c r="Y37" s="180"/>
      <c r="Z37" s="180"/>
      <c r="AA37" s="180"/>
      <c r="AB37" s="180"/>
      <c r="AC37" s="180"/>
      <c r="AD37" s="180"/>
      <c r="AE37" s="180"/>
      <c r="AF37" s="180"/>
      <c r="AG37" s="180"/>
      <c r="AH37" s="180"/>
      <c r="AI37" s="180"/>
      <c r="AJ37" s="180"/>
      <c r="AK37" s="180"/>
      <c r="AL37" s="188"/>
    </row>
    <row r="38" spans="3:47" s="184" customFormat="1" ht="15" customHeight="1" x14ac:dyDescent="0.25">
      <c r="C38" s="202"/>
      <c r="G38" s="185" t="s">
        <v>21</v>
      </c>
      <c r="H38" s="186">
        <v>22</v>
      </c>
      <c r="I38" s="190">
        <v>37.843264800000007</v>
      </c>
      <c r="J38" s="180">
        <v>420</v>
      </c>
      <c r="K38" s="180">
        <v>118.8</v>
      </c>
      <c r="L38" s="180">
        <v>36</v>
      </c>
      <c r="M38" s="177">
        <v>25.16</v>
      </c>
      <c r="N38" s="177">
        <v>8.4700000000000006</v>
      </c>
      <c r="O38" s="191">
        <f t="shared" si="4"/>
        <v>3.7828348260481732</v>
      </c>
      <c r="P38" s="191">
        <v>4</v>
      </c>
      <c r="Q38" s="183">
        <v>787.7</v>
      </c>
      <c r="R38" s="180"/>
      <c r="S38" s="180"/>
      <c r="T38" s="180"/>
      <c r="U38" s="180"/>
      <c r="V38" s="180"/>
      <c r="W38" s="180"/>
      <c r="X38" s="180"/>
      <c r="Y38" s="180"/>
      <c r="Z38" s="180"/>
      <c r="AA38" s="180"/>
      <c r="AB38" s="180"/>
      <c r="AC38" s="180"/>
      <c r="AD38" s="180"/>
      <c r="AE38" s="180"/>
      <c r="AF38" s="180"/>
      <c r="AG38" s="180"/>
      <c r="AH38" s="180"/>
      <c r="AI38" s="180"/>
      <c r="AJ38" s="180"/>
      <c r="AK38" s="180"/>
      <c r="AL38" s="188"/>
    </row>
    <row r="39" spans="3:47" s="184" customFormat="1" ht="15" customHeight="1" x14ac:dyDescent="0.25">
      <c r="C39" s="202"/>
      <c r="G39" s="185" t="s">
        <v>22</v>
      </c>
      <c r="H39" s="186">
        <v>22</v>
      </c>
      <c r="I39" s="190">
        <v>34.400654639999999</v>
      </c>
      <c r="J39" s="180">
        <v>420</v>
      </c>
      <c r="K39" s="180">
        <v>118.8</v>
      </c>
      <c r="L39" s="180">
        <v>36</v>
      </c>
      <c r="M39" s="177">
        <v>25.16</v>
      </c>
      <c r="N39" s="177">
        <v>8.4700000000000006</v>
      </c>
      <c r="O39" s="191">
        <f t="shared" si="4"/>
        <v>3.8852020624442503</v>
      </c>
      <c r="P39" s="191">
        <v>4</v>
      </c>
      <c r="Q39" s="183">
        <v>702.8</v>
      </c>
      <c r="R39" s="180"/>
      <c r="S39" s="180"/>
      <c r="T39" s="180"/>
      <c r="U39" s="180"/>
      <c r="V39" s="180"/>
      <c r="W39" s="180"/>
      <c r="X39" s="180"/>
      <c r="Y39" s="180"/>
      <c r="Z39" s="180"/>
      <c r="AA39" s="180"/>
      <c r="AB39" s="180"/>
      <c r="AC39" s="180"/>
      <c r="AD39" s="180"/>
      <c r="AE39" s="180"/>
      <c r="AF39" s="180"/>
      <c r="AG39" s="180"/>
      <c r="AH39" s="180"/>
      <c r="AI39" s="180"/>
      <c r="AJ39" s="180"/>
      <c r="AK39" s="180"/>
      <c r="AL39" s="188"/>
    </row>
    <row r="40" spans="3:47" s="184" customFormat="1" ht="15" customHeight="1" x14ac:dyDescent="0.3">
      <c r="G40" s="147" t="s">
        <v>140</v>
      </c>
      <c r="H40" s="336"/>
      <c r="I40" s="336"/>
      <c r="J40" s="336"/>
      <c r="K40" s="336"/>
      <c r="L40" s="336"/>
      <c r="M40" s="336"/>
      <c r="N40" s="336"/>
      <c r="O40" s="336"/>
      <c r="P40" s="181"/>
      <c r="Q40" s="178">
        <f>SUM(Q34:Q39)</f>
        <v>4904.7</v>
      </c>
      <c r="R40" s="193">
        <f>9/24</f>
        <v>0.375</v>
      </c>
      <c r="S40" s="193">
        <f>24/1000</f>
        <v>2.4E-2</v>
      </c>
      <c r="T40" s="177">
        <v>0.27600000000000002</v>
      </c>
      <c r="U40" s="177">
        <v>12.96</v>
      </c>
      <c r="V40" s="180">
        <f>Q40</f>
        <v>4904.7</v>
      </c>
      <c r="W40" s="194">
        <f>R40*S40*T40*U40*V40</f>
        <v>157.89524140800003</v>
      </c>
      <c r="X40" s="180">
        <v>0.27800000000000002</v>
      </c>
      <c r="Y40" s="180">
        <v>12.96</v>
      </c>
      <c r="Z40" s="180">
        <f>Q40</f>
        <v>4904.7</v>
      </c>
      <c r="AA40" s="194">
        <f>(R40*S40*X40*Y40*Z40)</f>
        <v>159.03940982400002</v>
      </c>
      <c r="AB40" s="177">
        <v>0.42</v>
      </c>
      <c r="AC40" s="177">
        <v>41.904000000000003</v>
      </c>
      <c r="AD40" s="177">
        <f>Q40</f>
        <v>4904.7</v>
      </c>
      <c r="AE40" s="195">
        <f>(R40*S40*AB40*AC40*AD40)</f>
        <v>776.8903544640001</v>
      </c>
      <c r="AF40" s="196">
        <f>N314</f>
        <v>1162.596695827935</v>
      </c>
      <c r="AG40" s="50">
        <f>W40+AA40+AE40+AF40</f>
        <v>2256.4217015239351</v>
      </c>
      <c r="AH40" s="180">
        <f>AG40*0.1</f>
        <v>225.64217015239353</v>
      </c>
      <c r="AI40" s="197">
        <f>AG40+AH40</f>
        <v>2482.0638716763287</v>
      </c>
      <c r="AJ40" s="177">
        <v>3.1</v>
      </c>
      <c r="AK40" s="198">
        <f>ROUND((AI40/AJ40),0)</f>
        <v>801</v>
      </c>
      <c r="AL40" s="188"/>
    </row>
    <row r="41" spans="3:47" s="184" customFormat="1" ht="15" customHeight="1" x14ac:dyDescent="0.3">
      <c r="G41" s="185" t="s">
        <v>13</v>
      </c>
      <c r="H41" s="186">
        <v>23</v>
      </c>
      <c r="I41" s="190">
        <v>75.686529600000014</v>
      </c>
      <c r="J41" s="180">
        <v>420</v>
      </c>
      <c r="K41" s="180">
        <v>118.8</v>
      </c>
      <c r="L41" s="180">
        <v>36</v>
      </c>
      <c r="M41" s="177">
        <v>25.16</v>
      </c>
      <c r="N41" s="177">
        <v>8.4700000000000006</v>
      </c>
      <c r="O41" s="191">
        <f>(H41-((I41+J41+K41+L41)/(M41+N41)))</f>
        <v>3.6575519000892065</v>
      </c>
      <c r="P41" s="191">
        <v>3.5</v>
      </c>
      <c r="Q41" s="183">
        <v>855.5</v>
      </c>
      <c r="R41" s="203"/>
      <c r="S41" s="203"/>
      <c r="T41" s="177"/>
      <c r="U41" s="177"/>
      <c r="V41" s="180"/>
      <c r="W41" s="194"/>
      <c r="X41" s="180"/>
      <c r="Y41" s="180"/>
      <c r="Z41" s="180"/>
      <c r="AA41" s="194"/>
      <c r="AB41" s="177"/>
      <c r="AC41" s="177"/>
      <c r="AD41" s="177"/>
      <c r="AE41" s="195"/>
      <c r="AF41" s="196"/>
      <c r="AG41" s="50"/>
      <c r="AH41" s="180"/>
      <c r="AI41" s="197"/>
      <c r="AJ41" s="177"/>
      <c r="AK41" s="198"/>
      <c r="AL41" s="188"/>
    </row>
    <row r="42" spans="3:47" x14ac:dyDescent="0.25">
      <c r="G42" s="185" t="s">
        <v>24</v>
      </c>
      <c r="H42" s="186">
        <v>23</v>
      </c>
      <c r="I42" s="190">
        <v>63.072108000000007</v>
      </c>
      <c r="J42" s="180">
        <v>420</v>
      </c>
      <c r="K42" s="180">
        <v>118.8</v>
      </c>
      <c r="L42" s="180">
        <v>36</v>
      </c>
      <c r="M42" s="177">
        <v>25.16</v>
      </c>
      <c r="N42" s="177">
        <v>8.4700000000000006</v>
      </c>
      <c r="O42" s="191">
        <f t="shared" ref="O42:O46" si="5">(H42-((I42+J42+K42+L42)/(M42+N42)))</f>
        <v>4.0326462087421966</v>
      </c>
      <c r="P42" s="191">
        <v>4</v>
      </c>
      <c r="Q42" s="183">
        <v>850.1</v>
      </c>
      <c r="R42" s="204"/>
      <c r="S42" s="204"/>
      <c r="T42" s="180"/>
      <c r="U42" s="180"/>
      <c r="V42" s="180"/>
      <c r="W42" s="180"/>
      <c r="X42" s="180"/>
      <c r="Y42" s="180"/>
      <c r="Z42" s="180"/>
      <c r="AA42" s="180"/>
      <c r="AB42" s="180"/>
      <c r="AC42" s="180"/>
      <c r="AD42" s="180"/>
      <c r="AE42" s="180"/>
      <c r="AF42" s="180"/>
      <c r="AG42" s="180"/>
      <c r="AH42" s="180"/>
      <c r="AI42" s="180"/>
      <c r="AJ42" s="180"/>
      <c r="AK42" s="180"/>
      <c r="AL42" s="205"/>
    </row>
    <row r="43" spans="3:47" x14ac:dyDescent="0.25">
      <c r="G43" s="185" t="s">
        <v>19</v>
      </c>
      <c r="H43" s="186">
        <v>23</v>
      </c>
      <c r="I43" s="190">
        <v>47.015076240000013</v>
      </c>
      <c r="J43" s="180">
        <v>420</v>
      </c>
      <c r="K43" s="180">
        <v>118.8</v>
      </c>
      <c r="L43" s="180">
        <v>36</v>
      </c>
      <c r="M43" s="177">
        <v>25.16</v>
      </c>
      <c r="N43" s="177">
        <v>8.4700000000000006</v>
      </c>
      <c r="O43" s="191">
        <f t="shared" si="5"/>
        <v>4.5101077537912602</v>
      </c>
      <c r="P43" s="191">
        <v>4.5</v>
      </c>
      <c r="Q43" s="183">
        <v>803.5</v>
      </c>
      <c r="R43" s="204"/>
      <c r="S43" s="204"/>
      <c r="T43" s="180"/>
      <c r="U43" s="180"/>
      <c r="V43" s="180"/>
      <c r="W43" s="180"/>
      <c r="X43" s="180"/>
      <c r="Y43" s="180"/>
      <c r="Z43" s="180"/>
      <c r="AA43" s="180"/>
      <c r="AB43" s="180"/>
      <c r="AC43" s="180"/>
      <c r="AD43" s="180"/>
      <c r="AE43" s="180"/>
      <c r="AF43" s="180"/>
      <c r="AG43" s="180"/>
      <c r="AH43" s="180"/>
      <c r="AI43" s="180"/>
      <c r="AJ43" s="180"/>
      <c r="AK43" s="180"/>
      <c r="AL43" s="205"/>
    </row>
    <row r="44" spans="3:47" x14ac:dyDescent="0.25">
      <c r="G44" s="185" t="s">
        <v>20</v>
      </c>
      <c r="H44" s="186">
        <v>23</v>
      </c>
      <c r="I44" s="190">
        <v>41.282239680000004</v>
      </c>
      <c r="J44" s="180">
        <v>420</v>
      </c>
      <c r="K44" s="180">
        <v>118.8</v>
      </c>
      <c r="L44" s="180">
        <v>36</v>
      </c>
      <c r="M44" s="177">
        <v>25.16</v>
      </c>
      <c r="N44" s="177">
        <v>8.4700000000000006</v>
      </c>
      <c r="O44" s="191">
        <f t="shared" si="5"/>
        <v>4.6805756859946506</v>
      </c>
      <c r="P44" s="191">
        <v>4.5</v>
      </c>
      <c r="Q44" s="183">
        <v>783.1</v>
      </c>
      <c r="R44" s="204"/>
      <c r="S44" s="204"/>
      <c r="T44" s="180"/>
      <c r="U44" s="180"/>
      <c r="V44" s="180"/>
      <c r="W44" s="180"/>
      <c r="X44" s="180"/>
      <c r="Y44" s="180"/>
      <c r="Z44" s="180"/>
      <c r="AA44" s="180"/>
      <c r="AB44" s="180"/>
      <c r="AC44" s="180"/>
      <c r="AD44" s="180"/>
      <c r="AE44" s="180"/>
      <c r="AF44" s="180"/>
      <c r="AG44" s="180"/>
      <c r="AH44" s="180"/>
      <c r="AI44" s="180"/>
      <c r="AJ44" s="180"/>
      <c r="AK44" s="180"/>
      <c r="AL44" s="205"/>
    </row>
    <row r="45" spans="3:47" x14ac:dyDescent="0.25">
      <c r="G45" s="185" t="s">
        <v>21</v>
      </c>
      <c r="H45" s="186">
        <v>23</v>
      </c>
      <c r="I45" s="190">
        <v>37.843264800000007</v>
      </c>
      <c r="J45" s="180">
        <v>420</v>
      </c>
      <c r="K45" s="180">
        <v>118.8</v>
      </c>
      <c r="L45" s="180">
        <v>36</v>
      </c>
      <c r="M45" s="177">
        <v>25.16</v>
      </c>
      <c r="N45" s="177">
        <v>8.4700000000000006</v>
      </c>
      <c r="O45" s="191">
        <f t="shared" si="5"/>
        <v>4.7828348260481732</v>
      </c>
      <c r="P45" s="191">
        <v>5</v>
      </c>
      <c r="Q45" s="183">
        <v>756.7</v>
      </c>
      <c r="R45" s="204"/>
      <c r="S45" s="204"/>
      <c r="T45" s="180"/>
      <c r="U45" s="180"/>
      <c r="V45" s="180"/>
      <c r="W45" s="180"/>
      <c r="X45" s="180"/>
      <c r="Y45" s="180"/>
      <c r="Z45" s="180"/>
      <c r="AA45" s="180"/>
      <c r="AB45" s="180"/>
      <c r="AC45" s="180"/>
      <c r="AD45" s="180"/>
      <c r="AE45" s="180"/>
      <c r="AF45" s="180"/>
      <c r="AG45" s="180"/>
      <c r="AH45" s="180"/>
      <c r="AI45" s="180"/>
      <c r="AJ45" s="180"/>
      <c r="AK45" s="180"/>
      <c r="AL45" s="205"/>
    </row>
    <row r="46" spans="3:47" x14ac:dyDescent="0.25">
      <c r="G46" s="185" t="s">
        <v>22</v>
      </c>
      <c r="H46" s="186">
        <v>23</v>
      </c>
      <c r="I46" s="190">
        <v>34.400654639999999</v>
      </c>
      <c r="J46" s="180">
        <v>420</v>
      </c>
      <c r="K46" s="180">
        <v>118.8</v>
      </c>
      <c r="L46" s="180">
        <v>36</v>
      </c>
      <c r="M46" s="177">
        <v>25.16</v>
      </c>
      <c r="N46" s="177">
        <v>8.4700000000000006</v>
      </c>
      <c r="O46" s="191">
        <f t="shared" si="5"/>
        <v>4.8852020624442503</v>
      </c>
      <c r="P46" s="191">
        <v>5</v>
      </c>
      <c r="Q46" s="183">
        <v>672.8</v>
      </c>
      <c r="R46" s="204"/>
      <c r="S46" s="204"/>
      <c r="T46" s="180"/>
      <c r="U46" s="180"/>
      <c r="V46" s="180"/>
      <c r="W46" s="180"/>
      <c r="X46" s="180"/>
      <c r="Y46" s="180"/>
      <c r="Z46" s="180"/>
      <c r="AA46" s="180"/>
      <c r="AB46" s="180"/>
      <c r="AC46" s="180"/>
      <c r="AD46" s="180"/>
      <c r="AE46" s="180"/>
      <c r="AF46" s="180"/>
      <c r="AG46" s="180"/>
      <c r="AH46" s="180"/>
      <c r="AI46" s="180"/>
      <c r="AJ46" s="180"/>
      <c r="AK46" s="180"/>
      <c r="AL46" s="205"/>
    </row>
    <row r="47" spans="3:47" ht="13" x14ac:dyDescent="0.3">
      <c r="G47" s="147" t="s">
        <v>141</v>
      </c>
      <c r="H47" s="339"/>
      <c r="I47" s="339"/>
      <c r="J47" s="339"/>
      <c r="K47" s="339"/>
      <c r="L47" s="339"/>
      <c r="M47" s="339"/>
      <c r="N47" s="339"/>
      <c r="O47" s="339"/>
      <c r="P47" s="177"/>
      <c r="Q47" s="178">
        <f>SUM(Q41:Q46)</f>
        <v>4721.7</v>
      </c>
      <c r="R47" s="193">
        <f>9/24</f>
        <v>0.375</v>
      </c>
      <c r="S47" s="193">
        <f>24/1000</f>
        <v>2.4E-2</v>
      </c>
      <c r="T47" s="177">
        <v>0.27600000000000002</v>
      </c>
      <c r="U47" s="177">
        <v>12.96</v>
      </c>
      <c r="V47" s="180">
        <f>Q47</f>
        <v>4721.7</v>
      </c>
      <c r="W47" s="194">
        <f>R47*S47*T47*U47*V47</f>
        <v>152.00398828800004</v>
      </c>
      <c r="X47" s="180">
        <v>0.27800000000000002</v>
      </c>
      <c r="Y47" s="180">
        <v>12.96</v>
      </c>
      <c r="Z47" s="180">
        <f>Q47</f>
        <v>4721.7</v>
      </c>
      <c r="AA47" s="194">
        <f>(R47*S47*X47*Y47*Z47)</f>
        <v>153.10546646400002</v>
      </c>
      <c r="AB47" s="177">
        <v>0.42</v>
      </c>
      <c r="AC47" s="177">
        <v>41.904000000000003</v>
      </c>
      <c r="AD47" s="177">
        <f>Q47</f>
        <v>4721.7</v>
      </c>
      <c r="AE47" s="195">
        <f>(R47*S47*AB47*AC47*AD47)</f>
        <v>747.90368150400013</v>
      </c>
      <c r="AF47" s="196">
        <f>N315</f>
        <v>1144.1441458184402</v>
      </c>
      <c r="AG47" s="50">
        <f>W47+AA47+AE47+AF47</f>
        <v>2197.1572820744404</v>
      </c>
      <c r="AH47" s="180">
        <f>AG47*0.1</f>
        <v>219.71572820744404</v>
      </c>
      <c r="AI47" s="197">
        <f>AG47+AH47</f>
        <v>2416.8730102818845</v>
      </c>
      <c r="AJ47" s="177">
        <v>3.1</v>
      </c>
      <c r="AK47" s="198">
        <f>ROUND((AI47/AJ47),0)</f>
        <v>780</v>
      </c>
      <c r="AL47" s="205"/>
    </row>
    <row r="48" spans="3:47" ht="13" x14ac:dyDescent="0.3">
      <c r="G48" s="185" t="s">
        <v>13</v>
      </c>
      <c r="H48" s="186">
        <v>24</v>
      </c>
      <c r="I48" s="190">
        <v>75.686529600000014</v>
      </c>
      <c r="J48" s="180">
        <v>420</v>
      </c>
      <c r="K48" s="180">
        <v>118.8</v>
      </c>
      <c r="L48" s="180">
        <v>36</v>
      </c>
      <c r="M48" s="177">
        <v>25.16</v>
      </c>
      <c r="N48" s="177">
        <v>8.4700000000000006</v>
      </c>
      <c r="O48" s="191">
        <f>(H48-((I48+J48+K48+L48)/(M48+N48)))</f>
        <v>4.6575519000892065</v>
      </c>
      <c r="P48" s="191">
        <v>4.5</v>
      </c>
      <c r="Q48" s="183">
        <v>825.5</v>
      </c>
      <c r="R48" s="203"/>
      <c r="S48" s="203"/>
      <c r="T48" s="177"/>
      <c r="U48" s="177"/>
      <c r="V48" s="180"/>
      <c r="W48" s="194"/>
      <c r="X48" s="180"/>
      <c r="Y48" s="180"/>
      <c r="Z48" s="180"/>
      <c r="AA48" s="194"/>
      <c r="AB48" s="177"/>
      <c r="AC48" s="177"/>
      <c r="AD48" s="177"/>
      <c r="AE48" s="195"/>
      <c r="AF48" s="196"/>
      <c r="AG48" s="50"/>
      <c r="AH48" s="180"/>
      <c r="AI48" s="197"/>
      <c r="AJ48" s="177"/>
      <c r="AK48" s="198"/>
      <c r="AL48" s="205"/>
    </row>
    <row r="49" spans="3:38" ht="13" x14ac:dyDescent="0.3">
      <c r="G49" s="185" t="s">
        <v>24</v>
      </c>
      <c r="H49" s="186">
        <v>24</v>
      </c>
      <c r="I49" s="190">
        <v>63.072108000000007</v>
      </c>
      <c r="J49" s="180">
        <v>420</v>
      </c>
      <c r="K49" s="180">
        <v>118.8</v>
      </c>
      <c r="L49" s="180">
        <v>36</v>
      </c>
      <c r="M49" s="177">
        <v>25.16</v>
      </c>
      <c r="N49" s="177">
        <v>8.4700000000000006</v>
      </c>
      <c r="O49" s="191">
        <f t="shared" ref="O49:O53" si="6">(H49-((I49+J49+K49+L49)/(M49+N49)))</f>
        <v>5.0326462087421966</v>
      </c>
      <c r="P49" s="191">
        <v>5</v>
      </c>
      <c r="Q49" s="183">
        <v>819.1</v>
      </c>
      <c r="R49" s="203"/>
      <c r="S49" s="203"/>
      <c r="T49" s="177"/>
      <c r="U49" s="177"/>
      <c r="V49" s="180"/>
      <c r="W49" s="192"/>
      <c r="X49" s="180"/>
      <c r="Y49" s="180"/>
      <c r="Z49" s="180"/>
      <c r="AA49" s="192"/>
      <c r="AB49" s="177"/>
      <c r="AC49" s="177"/>
      <c r="AD49" s="177"/>
      <c r="AE49" s="181"/>
      <c r="AF49" s="181"/>
      <c r="AG49" s="50"/>
      <c r="AH49" s="180"/>
      <c r="AI49" s="203"/>
      <c r="AJ49" s="177"/>
      <c r="AK49" s="206"/>
      <c r="AL49" s="205"/>
    </row>
    <row r="50" spans="3:38" ht="13" x14ac:dyDescent="0.3">
      <c r="G50" s="185" t="s">
        <v>19</v>
      </c>
      <c r="H50" s="186">
        <v>24</v>
      </c>
      <c r="I50" s="190">
        <v>47.015076240000013</v>
      </c>
      <c r="J50" s="180">
        <v>420</v>
      </c>
      <c r="K50" s="180">
        <v>118.8</v>
      </c>
      <c r="L50" s="180">
        <v>36</v>
      </c>
      <c r="M50" s="177">
        <v>25.16</v>
      </c>
      <c r="N50" s="177">
        <v>8.4700000000000006</v>
      </c>
      <c r="O50" s="191">
        <f t="shared" si="6"/>
        <v>5.5101077537912602</v>
      </c>
      <c r="P50" s="191">
        <v>5.5</v>
      </c>
      <c r="Q50" s="183">
        <v>772.5</v>
      </c>
      <c r="R50" s="203"/>
      <c r="S50" s="203"/>
      <c r="T50" s="177"/>
      <c r="U50" s="177"/>
      <c r="V50" s="180"/>
      <c r="W50" s="192"/>
      <c r="X50" s="180"/>
      <c r="Y50" s="180"/>
      <c r="Z50" s="180"/>
      <c r="AA50" s="192"/>
      <c r="AB50" s="177"/>
      <c r="AC50" s="177"/>
      <c r="AD50" s="177"/>
      <c r="AE50" s="181"/>
      <c r="AF50" s="181"/>
      <c r="AG50" s="50"/>
      <c r="AH50" s="180"/>
      <c r="AI50" s="203"/>
      <c r="AJ50" s="177"/>
      <c r="AK50" s="206"/>
      <c r="AL50" s="205"/>
    </row>
    <row r="51" spans="3:38" ht="13" x14ac:dyDescent="0.3">
      <c r="G51" s="185" t="s">
        <v>20</v>
      </c>
      <c r="H51" s="186">
        <v>24</v>
      </c>
      <c r="I51" s="190">
        <v>41.282239680000004</v>
      </c>
      <c r="J51" s="180">
        <v>420</v>
      </c>
      <c r="K51" s="180">
        <v>118.8</v>
      </c>
      <c r="L51" s="180">
        <v>36</v>
      </c>
      <c r="M51" s="177">
        <v>25.16</v>
      </c>
      <c r="N51" s="177">
        <v>8.4700000000000006</v>
      </c>
      <c r="O51" s="191">
        <f t="shared" si="6"/>
        <v>5.6805756859946506</v>
      </c>
      <c r="P51" s="191">
        <v>5.5</v>
      </c>
      <c r="Q51" s="183">
        <v>753.1</v>
      </c>
      <c r="R51" s="203"/>
      <c r="S51" s="203"/>
      <c r="T51" s="177"/>
      <c r="U51" s="177"/>
      <c r="V51" s="180"/>
      <c r="W51" s="192"/>
      <c r="X51" s="180"/>
      <c r="Y51" s="180"/>
      <c r="Z51" s="180"/>
      <c r="AA51" s="192"/>
      <c r="AB51" s="177"/>
      <c r="AC51" s="177"/>
      <c r="AD51" s="177"/>
      <c r="AE51" s="181"/>
      <c r="AF51" s="181"/>
      <c r="AG51" s="50"/>
      <c r="AH51" s="180"/>
      <c r="AI51" s="203"/>
      <c r="AJ51" s="177"/>
      <c r="AK51" s="206"/>
      <c r="AL51" s="205"/>
    </row>
    <row r="52" spans="3:38" ht="13" x14ac:dyDescent="0.3">
      <c r="G52" s="185" t="s">
        <v>21</v>
      </c>
      <c r="H52" s="186">
        <v>24</v>
      </c>
      <c r="I52" s="190">
        <v>37.843264800000007</v>
      </c>
      <c r="J52" s="180">
        <v>420</v>
      </c>
      <c r="K52" s="180">
        <v>118.8</v>
      </c>
      <c r="L52" s="180">
        <v>36</v>
      </c>
      <c r="M52" s="177">
        <v>25.16</v>
      </c>
      <c r="N52" s="177">
        <v>8.4700000000000006</v>
      </c>
      <c r="O52" s="191">
        <f t="shared" si="6"/>
        <v>5.7828348260481732</v>
      </c>
      <c r="P52" s="191">
        <v>6</v>
      </c>
      <c r="Q52" s="183">
        <v>725.7</v>
      </c>
      <c r="R52" s="203"/>
      <c r="S52" s="203"/>
      <c r="T52" s="177"/>
      <c r="U52" s="177"/>
      <c r="V52" s="180"/>
      <c r="W52" s="192"/>
      <c r="X52" s="180"/>
      <c r="Y52" s="180"/>
      <c r="Z52" s="180"/>
      <c r="AA52" s="192"/>
      <c r="AB52" s="177"/>
      <c r="AC52" s="177"/>
      <c r="AD52" s="177"/>
      <c r="AE52" s="181"/>
      <c r="AF52" s="181"/>
      <c r="AG52" s="50"/>
      <c r="AH52" s="180"/>
      <c r="AI52" s="203"/>
      <c r="AJ52" s="177"/>
      <c r="AK52" s="206"/>
      <c r="AL52" s="205"/>
    </row>
    <row r="53" spans="3:38" ht="13" x14ac:dyDescent="0.3">
      <c r="G53" s="185" t="s">
        <v>22</v>
      </c>
      <c r="H53" s="186">
        <v>24</v>
      </c>
      <c r="I53" s="190">
        <v>34.400654639999999</v>
      </c>
      <c r="J53" s="180">
        <v>420</v>
      </c>
      <c r="K53" s="180">
        <v>118.8</v>
      </c>
      <c r="L53" s="180">
        <v>36</v>
      </c>
      <c r="M53" s="177">
        <v>25.16</v>
      </c>
      <c r="N53" s="177">
        <v>8.4700000000000006</v>
      </c>
      <c r="O53" s="191">
        <f t="shared" si="6"/>
        <v>5.8852020624442503</v>
      </c>
      <c r="P53" s="191">
        <v>6</v>
      </c>
      <c r="Q53" s="183">
        <v>642.79999999999995</v>
      </c>
      <c r="R53" s="203"/>
      <c r="S53" s="203"/>
      <c r="T53" s="177"/>
      <c r="U53" s="177"/>
      <c r="V53" s="180"/>
      <c r="W53" s="192"/>
      <c r="X53" s="180"/>
      <c r="Y53" s="180"/>
      <c r="Z53" s="180"/>
      <c r="AA53" s="192"/>
      <c r="AB53" s="177"/>
      <c r="AC53" s="177"/>
      <c r="AD53" s="177"/>
      <c r="AE53" s="181"/>
      <c r="AF53" s="181"/>
      <c r="AG53" s="50"/>
      <c r="AH53" s="180"/>
      <c r="AI53" s="203"/>
      <c r="AJ53" s="177"/>
      <c r="AK53" s="206"/>
      <c r="AL53" s="205"/>
    </row>
    <row r="54" spans="3:38" ht="13" x14ac:dyDescent="0.3">
      <c r="G54" s="147" t="s">
        <v>142</v>
      </c>
      <c r="H54" s="339"/>
      <c r="I54" s="339"/>
      <c r="J54" s="339"/>
      <c r="K54" s="339"/>
      <c r="L54" s="339"/>
      <c r="M54" s="339"/>
      <c r="N54" s="339"/>
      <c r="O54" s="339"/>
      <c r="P54" s="177"/>
      <c r="Q54" s="178">
        <f>SUM(Q48:Q53)</f>
        <v>4538.7</v>
      </c>
      <c r="R54" s="193">
        <f>9/24</f>
        <v>0.375</v>
      </c>
      <c r="S54" s="193">
        <f>24/1000</f>
        <v>2.4E-2</v>
      </c>
      <c r="T54" s="177">
        <v>0.27600000000000002</v>
      </c>
      <c r="U54" s="177">
        <v>12.96</v>
      </c>
      <c r="V54" s="180">
        <f>Q54</f>
        <v>4538.7</v>
      </c>
      <c r="W54" s="194">
        <f>R54*S54*T54*U54*V54</f>
        <v>146.11273516800003</v>
      </c>
      <c r="X54" s="180">
        <v>0.27800000000000002</v>
      </c>
      <c r="Y54" s="180">
        <v>12.96</v>
      </c>
      <c r="Z54" s="180">
        <f>Q54</f>
        <v>4538.7</v>
      </c>
      <c r="AA54" s="194">
        <f>(R54*S54*X54*Y54*Z54)</f>
        <v>147.17152310400002</v>
      </c>
      <c r="AB54" s="177">
        <v>0.42</v>
      </c>
      <c r="AC54" s="177">
        <v>41.904000000000003</v>
      </c>
      <c r="AD54" s="177">
        <f>Q54</f>
        <v>4538.7</v>
      </c>
      <c r="AE54" s="195">
        <f>(R54*S54*AB54*AC54*AD54)</f>
        <v>718.91700854400005</v>
      </c>
      <c r="AF54" s="196">
        <f>N316</f>
        <v>1125.2434357689451</v>
      </c>
      <c r="AG54" s="50">
        <f>W54+AA54+AE54+AF54</f>
        <v>2137.4447025849449</v>
      </c>
      <c r="AH54" s="180">
        <f>AG54*0.1</f>
        <v>213.74447025849452</v>
      </c>
      <c r="AI54" s="197">
        <f>AG54+AH54</f>
        <v>2351.1891728434393</v>
      </c>
      <c r="AJ54" s="177">
        <v>3.1</v>
      </c>
      <c r="AK54" s="198">
        <f>ROUND((AI54/AJ54),0)</f>
        <v>758</v>
      </c>
      <c r="AL54" s="207"/>
    </row>
    <row r="55" spans="3:38" ht="13" x14ac:dyDescent="0.3">
      <c r="G55" s="337" t="s">
        <v>208</v>
      </c>
      <c r="H55" s="338"/>
      <c r="I55" s="338"/>
      <c r="J55" s="338"/>
      <c r="K55" s="338"/>
      <c r="L55" s="338"/>
      <c r="M55" s="338"/>
      <c r="N55" s="338"/>
      <c r="O55" s="338"/>
      <c r="P55" s="338"/>
      <c r="Q55" s="338"/>
      <c r="R55" s="338"/>
      <c r="S55" s="338"/>
      <c r="T55" s="338"/>
      <c r="U55" s="338"/>
      <c r="V55" s="338"/>
      <c r="W55" s="338"/>
      <c r="X55" s="338"/>
      <c r="Y55" s="338"/>
      <c r="Z55" s="338"/>
      <c r="AA55" s="338"/>
      <c r="AB55" s="338"/>
      <c r="AC55" s="338"/>
      <c r="AD55" s="338"/>
      <c r="AE55" s="338"/>
      <c r="AF55" s="338"/>
      <c r="AG55" s="338"/>
      <c r="AH55" s="338"/>
      <c r="AI55" s="338"/>
      <c r="AJ55" s="338"/>
      <c r="AK55" s="338"/>
      <c r="AL55" s="208">
        <f>ROUND((AK12*AU6+AK19*AU7+AK26*AU8+AK33*AU9+AK40*AU10+AK47*AU11+AK54*AU12),0)</f>
        <v>799</v>
      </c>
    </row>
    <row r="56" spans="3:38" ht="13" x14ac:dyDescent="0.3">
      <c r="G56" s="332" t="s">
        <v>32</v>
      </c>
      <c r="H56" s="333"/>
      <c r="I56" s="333"/>
      <c r="J56" s="333"/>
      <c r="K56" s="333"/>
      <c r="L56" s="333"/>
      <c r="M56" s="333"/>
      <c r="N56" s="333"/>
      <c r="O56" s="333"/>
      <c r="P56" s="333"/>
      <c r="Q56" s="333"/>
      <c r="R56" s="333"/>
      <c r="S56" s="333"/>
      <c r="T56" s="333"/>
      <c r="U56" s="333"/>
      <c r="V56" s="333"/>
      <c r="W56" s="333"/>
      <c r="X56" s="333"/>
      <c r="Y56" s="333"/>
      <c r="Z56" s="333"/>
      <c r="AA56" s="333"/>
      <c r="AB56" s="333"/>
      <c r="AC56" s="333"/>
      <c r="AD56" s="333"/>
      <c r="AE56" s="333"/>
      <c r="AF56" s="333"/>
      <c r="AG56" s="333"/>
      <c r="AH56" s="333"/>
      <c r="AI56" s="333"/>
      <c r="AJ56" s="333"/>
      <c r="AK56" s="333"/>
      <c r="AL56" s="334"/>
    </row>
    <row r="57" spans="3:38" ht="15.5" x14ac:dyDescent="0.4">
      <c r="C57" s="209"/>
      <c r="G57" s="185" t="s">
        <v>0</v>
      </c>
      <c r="H57" s="186"/>
      <c r="I57" s="180"/>
      <c r="J57" s="180"/>
      <c r="K57" s="180"/>
      <c r="L57" s="180"/>
      <c r="M57" s="180"/>
      <c r="N57" s="180"/>
      <c r="O57" s="187" t="s">
        <v>171</v>
      </c>
      <c r="P57" s="186" t="s">
        <v>172</v>
      </c>
      <c r="Q57" s="180" t="s">
        <v>2</v>
      </c>
      <c r="R57" s="180"/>
      <c r="S57" s="180"/>
      <c r="T57" s="180"/>
      <c r="U57" s="180"/>
      <c r="V57" s="180"/>
      <c r="W57" s="180"/>
      <c r="X57" s="180"/>
      <c r="Y57" s="180"/>
      <c r="Z57" s="180"/>
      <c r="AA57" s="180"/>
      <c r="AB57" s="180"/>
      <c r="AC57" s="180"/>
      <c r="AD57" s="180"/>
      <c r="AE57" s="180"/>
      <c r="AF57" s="180"/>
      <c r="AG57" s="180"/>
      <c r="AH57" s="180"/>
      <c r="AI57" s="180"/>
      <c r="AJ57" s="180"/>
      <c r="AK57" s="180"/>
      <c r="AL57" s="205"/>
    </row>
    <row r="58" spans="3:38" x14ac:dyDescent="0.25">
      <c r="C58" s="209"/>
      <c r="G58" s="185" t="s">
        <v>13</v>
      </c>
      <c r="H58" s="186">
        <v>18</v>
      </c>
      <c r="I58" s="50">
        <v>63.072108000000007</v>
      </c>
      <c r="J58" s="180">
        <v>420</v>
      </c>
      <c r="K58" s="180">
        <v>118.8</v>
      </c>
      <c r="L58" s="180">
        <v>36</v>
      </c>
      <c r="M58" s="177">
        <v>25.16</v>
      </c>
      <c r="N58" s="177">
        <v>8.4700000000000006</v>
      </c>
      <c r="O58" s="191">
        <f>(H58-((I58+J58+K58+L58)/(M58+N58)))</f>
        <v>-0.96735379125780341</v>
      </c>
      <c r="P58" s="191">
        <v>-1</v>
      </c>
      <c r="Q58" s="183">
        <v>916.9</v>
      </c>
      <c r="R58" s="180"/>
      <c r="S58" s="180"/>
      <c r="T58" s="180"/>
      <c r="U58" s="180"/>
      <c r="V58" s="180"/>
      <c r="W58" s="180"/>
      <c r="X58" s="180"/>
      <c r="Y58" s="180"/>
      <c r="Z58" s="180"/>
      <c r="AA58" s="180"/>
      <c r="AB58" s="180"/>
      <c r="AC58" s="180"/>
      <c r="AD58" s="180"/>
      <c r="AE58" s="180"/>
      <c r="AF58" s="180"/>
      <c r="AG58" s="180"/>
      <c r="AH58" s="180"/>
      <c r="AI58" s="180"/>
      <c r="AJ58" s="180"/>
      <c r="AK58" s="180"/>
      <c r="AL58" s="205"/>
    </row>
    <row r="59" spans="3:38" x14ac:dyDescent="0.25">
      <c r="C59" s="209"/>
      <c r="G59" s="185" t="s">
        <v>24</v>
      </c>
      <c r="H59" s="186">
        <v>18</v>
      </c>
      <c r="I59" s="50">
        <v>51.602799600000004</v>
      </c>
      <c r="J59" s="180">
        <v>420</v>
      </c>
      <c r="K59" s="180">
        <v>118.8</v>
      </c>
      <c r="L59" s="180">
        <v>36</v>
      </c>
      <c r="M59" s="177">
        <v>25.16</v>
      </c>
      <c r="N59" s="177">
        <v>8.4700000000000006</v>
      </c>
      <c r="O59" s="191">
        <f t="shared" ref="O59:O63" si="7">(H59-((I59+J59+K59+L59)/(M59+N59)))</f>
        <v>-0.62630983050847178</v>
      </c>
      <c r="P59" s="191">
        <v>-0.5</v>
      </c>
      <c r="Q59" s="183">
        <v>875</v>
      </c>
      <c r="R59" s="180"/>
      <c r="S59" s="180"/>
      <c r="T59" s="180"/>
      <c r="U59" s="180"/>
      <c r="V59" s="180"/>
      <c r="W59" s="180"/>
      <c r="X59" s="180"/>
      <c r="Y59" s="180"/>
      <c r="Z59" s="180"/>
      <c r="AA59" s="180"/>
      <c r="AB59" s="180"/>
      <c r="AC59" s="180"/>
      <c r="AD59" s="180"/>
      <c r="AE59" s="180"/>
      <c r="AF59" s="180"/>
      <c r="AG59" s="180"/>
      <c r="AH59" s="180"/>
      <c r="AI59" s="180"/>
      <c r="AJ59" s="180"/>
      <c r="AK59" s="180"/>
      <c r="AL59" s="205"/>
    </row>
    <row r="60" spans="3:38" x14ac:dyDescent="0.25">
      <c r="C60" s="209"/>
      <c r="G60" s="185" t="s">
        <v>19</v>
      </c>
      <c r="H60" s="186">
        <v>18</v>
      </c>
      <c r="I60" s="50">
        <v>43.57610136000001</v>
      </c>
      <c r="J60" s="180">
        <v>420</v>
      </c>
      <c r="K60" s="180">
        <v>118.8</v>
      </c>
      <c r="L60" s="180">
        <v>36</v>
      </c>
      <c r="M60" s="177">
        <v>25.16</v>
      </c>
      <c r="N60" s="177">
        <v>8.4700000000000006</v>
      </c>
      <c r="O60" s="191">
        <f t="shared" si="7"/>
        <v>-0.38763310615521718</v>
      </c>
      <c r="P60" s="191">
        <v>-0.5</v>
      </c>
      <c r="Q60" s="183">
        <v>874.2</v>
      </c>
      <c r="R60" s="180"/>
      <c r="S60" s="180"/>
      <c r="T60" s="180"/>
      <c r="U60" s="180"/>
      <c r="V60" s="180"/>
      <c r="W60" s="180"/>
      <c r="X60" s="180"/>
      <c r="Y60" s="180"/>
      <c r="Z60" s="180"/>
      <c r="AA60" s="180"/>
      <c r="AB60" s="180"/>
      <c r="AC60" s="180"/>
      <c r="AD60" s="180"/>
      <c r="AE60" s="180"/>
      <c r="AF60" s="180"/>
      <c r="AG60" s="180"/>
      <c r="AH60" s="180"/>
      <c r="AI60" s="180"/>
      <c r="AJ60" s="180"/>
      <c r="AK60" s="180"/>
      <c r="AL60" s="205"/>
    </row>
    <row r="61" spans="3:38" x14ac:dyDescent="0.25">
      <c r="C61" s="209"/>
      <c r="G61" s="185" t="s">
        <v>20</v>
      </c>
      <c r="H61" s="186">
        <v>18</v>
      </c>
      <c r="I61" s="50">
        <v>40.137126480000006</v>
      </c>
      <c r="J61" s="180">
        <v>420</v>
      </c>
      <c r="K61" s="180">
        <v>118.8</v>
      </c>
      <c r="L61" s="180">
        <v>36</v>
      </c>
      <c r="M61" s="177">
        <v>25.16</v>
      </c>
      <c r="N61" s="177">
        <v>8.4700000000000006</v>
      </c>
      <c r="O61" s="191">
        <f t="shared" si="7"/>
        <v>-0.28537396610169097</v>
      </c>
      <c r="P61" s="191">
        <v>-0.5</v>
      </c>
      <c r="Q61" s="183">
        <v>856.5</v>
      </c>
      <c r="R61" s="180"/>
      <c r="S61" s="180"/>
      <c r="T61" s="180"/>
      <c r="U61" s="180"/>
      <c r="V61" s="180"/>
      <c r="W61" s="180"/>
      <c r="X61" s="180"/>
      <c r="Y61" s="180"/>
      <c r="Z61" s="180"/>
      <c r="AA61" s="180"/>
      <c r="AB61" s="180"/>
      <c r="AC61" s="180"/>
      <c r="AD61" s="180"/>
      <c r="AE61" s="180"/>
      <c r="AF61" s="180"/>
      <c r="AG61" s="180"/>
      <c r="AH61" s="180"/>
      <c r="AI61" s="180"/>
      <c r="AJ61" s="180"/>
      <c r="AK61" s="180"/>
      <c r="AL61" s="205"/>
    </row>
    <row r="62" spans="3:38" x14ac:dyDescent="0.25">
      <c r="C62" s="209"/>
      <c r="G62" s="185" t="s">
        <v>21</v>
      </c>
      <c r="H62" s="186">
        <v>18</v>
      </c>
      <c r="I62" s="50">
        <v>35.549403120000008</v>
      </c>
      <c r="J62" s="180">
        <v>420</v>
      </c>
      <c r="K62" s="180">
        <v>118.8</v>
      </c>
      <c r="L62" s="180">
        <v>36</v>
      </c>
      <c r="M62" s="177">
        <v>25.16</v>
      </c>
      <c r="N62" s="177">
        <v>8.4700000000000006</v>
      </c>
      <c r="O62" s="191">
        <f t="shared" si="7"/>
        <v>-0.14895638180196258</v>
      </c>
      <c r="P62" s="191">
        <v>0</v>
      </c>
      <c r="Q62" s="183">
        <v>902.2</v>
      </c>
      <c r="R62" s="180"/>
      <c r="S62" s="180"/>
      <c r="T62" s="180"/>
      <c r="U62" s="180"/>
      <c r="V62" s="180"/>
      <c r="W62" s="180"/>
      <c r="X62" s="180"/>
      <c r="Y62" s="180"/>
      <c r="Z62" s="180"/>
      <c r="AA62" s="180"/>
      <c r="AB62" s="180"/>
      <c r="AC62" s="180"/>
      <c r="AD62" s="180"/>
      <c r="AE62" s="180"/>
      <c r="AF62" s="180"/>
      <c r="AG62" s="180"/>
      <c r="AH62" s="180"/>
      <c r="AI62" s="180"/>
      <c r="AJ62" s="180"/>
      <c r="AK62" s="180"/>
      <c r="AL62" s="205"/>
    </row>
    <row r="63" spans="3:38" x14ac:dyDescent="0.25">
      <c r="C63" s="209"/>
      <c r="G63" s="185" t="s">
        <v>22</v>
      </c>
      <c r="H63" s="186">
        <v>18</v>
      </c>
      <c r="I63" s="50">
        <v>30.961679760000006</v>
      </c>
      <c r="J63" s="180">
        <v>420</v>
      </c>
      <c r="K63" s="180">
        <v>118.8</v>
      </c>
      <c r="L63" s="180">
        <v>36</v>
      </c>
      <c r="M63" s="177">
        <v>25.16</v>
      </c>
      <c r="N63" s="177">
        <v>8.4700000000000006</v>
      </c>
      <c r="O63" s="191">
        <f t="shared" si="7"/>
        <v>-1.2538797502227084E-2</v>
      </c>
      <c r="P63" s="191">
        <v>0</v>
      </c>
      <c r="Q63" s="183">
        <v>757</v>
      </c>
      <c r="R63" s="180"/>
      <c r="S63" s="180"/>
      <c r="T63" s="180"/>
      <c r="U63" s="180"/>
      <c r="V63" s="180"/>
      <c r="W63" s="180"/>
      <c r="X63" s="180"/>
      <c r="Y63" s="180"/>
      <c r="Z63" s="180"/>
      <c r="AA63" s="180"/>
      <c r="AB63" s="180"/>
      <c r="AC63" s="180"/>
      <c r="AD63" s="180"/>
      <c r="AE63" s="180"/>
      <c r="AF63" s="180"/>
      <c r="AG63" s="180"/>
      <c r="AH63" s="180"/>
      <c r="AI63" s="180"/>
      <c r="AJ63" s="180"/>
      <c r="AK63" s="180"/>
      <c r="AL63" s="205"/>
    </row>
    <row r="64" spans="3:38" ht="13" x14ac:dyDescent="0.3">
      <c r="C64" s="209"/>
      <c r="G64" s="147" t="s">
        <v>185</v>
      </c>
      <c r="H64" s="352"/>
      <c r="I64" s="353"/>
      <c r="J64" s="353"/>
      <c r="K64" s="353"/>
      <c r="L64" s="353"/>
      <c r="M64" s="353"/>
      <c r="N64" s="354"/>
      <c r="O64" s="192"/>
      <c r="P64" s="181"/>
      <c r="Q64" s="178">
        <f>SUM(Q58:Q63)</f>
        <v>5181.8</v>
      </c>
      <c r="R64" s="193">
        <f>9/24</f>
        <v>0.375</v>
      </c>
      <c r="S64" s="193">
        <f>24/1000</f>
        <v>2.4E-2</v>
      </c>
      <c r="T64" s="177">
        <v>0.27600000000000002</v>
      </c>
      <c r="U64" s="177">
        <v>12.96</v>
      </c>
      <c r="V64" s="180">
        <f>Q64</f>
        <v>5181.8</v>
      </c>
      <c r="W64" s="194">
        <f>R64*S64*T64*U64*V64</f>
        <v>166.81582195200005</v>
      </c>
      <c r="X64" s="180">
        <v>0.27800000000000002</v>
      </c>
      <c r="Y64" s="180">
        <v>12.96</v>
      </c>
      <c r="Z64" s="180">
        <f>Q64</f>
        <v>5181.8</v>
      </c>
      <c r="AA64" s="194">
        <f>(R64*S64*X64*Y64*Z64)</f>
        <v>168.02463225600002</v>
      </c>
      <c r="AB64" s="177">
        <v>0.42</v>
      </c>
      <c r="AC64" s="177">
        <v>41.904000000000003</v>
      </c>
      <c r="AD64" s="177">
        <f>Q64</f>
        <v>5181.8</v>
      </c>
      <c r="AE64" s="195">
        <f>(R64*S64*AB64*AC64*AD64)</f>
        <v>820.78219641600015</v>
      </c>
      <c r="AF64" s="196">
        <f>N443</f>
        <v>1255.138583364163</v>
      </c>
      <c r="AG64" s="50">
        <f>W64+AA64+AE64+AF64</f>
        <v>2410.7612339881634</v>
      </c>
      <c r="AH64" s="180">
        <f>AG64*0.1</f>
        <v>241.07612339881635</v>
      </c>
      <c r="AI64" s="197">
        <f>AG64+AH64</f>
        <v>2651.8373573869799</v>
      </c>
      <c r="AJ64" s="177">
        <v>3.1</v>
      </c>
      <c r="AK64" s="198">
        <f>ROUND((AI64/AJ64),0)</f>
        <v>855</v>
      </c>
      <c r="AL64" s="205"/>
    </row>
    <row r="65" spans="3:38" x14ac:dyDescent="0.25">
      <c r="C65" s="209"/>
      <c r="G65" s="185" t="s">
        <v>13</v>
      </c>
      <c r="H65" s="186">
        <v>19</v>
      </c>
      <c r="I65" s="50">
        <v>63.072108000000007</v>
      </c>
      <c r="J65" s="180">
        <v>420</v>
      </c>
      <c r="K65" s="180">
        <v>118.8</v>
      </c>
      <c r="L65" s="180">
        <v>36</v>
      </c>
      <c r="M65" s="177">
        <v>25.16</v>
      </c>
      <c r="N65" s="177">
        <v>8.4700000000000006</v>
      </c>
      <c r="O65" s="191">
        <f>(H65-((I65+J65+K65+L65)/(M65+N65)))</f>
        <v>3.2646208742196592E-2</v>
      </c>
      <c r="P65" s="191">
        <v>0</v>
      </c>
      <c r="Q65" s="183">
        <v>886.9</v>
      </c>
      <c r="R65" s="180"/>
      <c r="S65" s="180"/>
      <c r="T65" s="180"/>
      <c r="U65" s="180"/>
      <c r="V65" s="180"/>
      <c r="W65" s="180"/>
      <c r="X65" s="180"/>
      <c r="Y65" s="180"/>
      <c r="Z65" s="180"/>
      <c r="AA65" s="180"/>
      <c r="AB65" s="180"/>
      <c r="AC65" s="180"/>
      <c r="AD65" s="180"/>
      <c r="AE65" s="180"/>
      <c r="AF65" s="180"/>
      <c r="AG65" s="180"/>
      <c r="AH65" s="180"/>
      <c r="AI65" s="180"/>
      <c r="AJ65" s="180"/>
      <c r="AK65" s="180"/>
      <c r="AL65" s="205"/>
    </row>
    <row r="66" spans="3:38" x14ac:dyDescent="0.25">
      <c r="C66" s="209"/>
      <c r="G66" s="185" t="s">
        <v>24</v>
      </c>
      <c r="H66" s="186">
        <v>19</v>
      </c>
      <c r="I66" s="50">
        <v>51.602799600000004</v>
      </c>
      <c r="J66" s="180">
        <v>420</v>
      </c>
      <c r="K66" s="180">
        <v>118.8</v>
      </c>
      <c r="L66" s="180">
        <v>36</v>
      </c>
      <c r="M66" s="177">
        <v>25.16</v>
      </c>
      <c r="N66" s="177">
        <v>8.4700000000000006</v>
      </c>
      <c r="O66" s="191">
        <f t="shared" ref="O66:O70" si="8">(H66-((I66+J66+K66+L66)/(M66+N66)))</f>
        <v>0.37369016949152822</v>
      </c>
      <c r="P66" s="191">
        <v>0.5</v>
      </c>
      <c r="Q66" s="183">
        <v>844</v>
      </c>
      <c r="R66" s="180"/>
      <c r="S66" s="180"/>
      <c r="T66" s="180"/>
      <c r="U66" s="180"/>
      <c r="V66" s="180"/>
      <c r="W66" s="180"/>
      <c r="X66" s="180"/>
      <c r="Y66" s="180"/>
      <c r="Z66" s="180"/>
      <c r="AA66" s="180"/>
      <c r="AB66" s="180"/>
      <c r="AC66" s="180"/>
      <c r="AD66" s="180"/>
      <c r="AE66" s="180"/>
      <c r="AF66" s="180"/>
      <c r="AG66" s="180"/>
      <c r="AH66" s="180"/>
      <c r="AI66" s="180"/>
      <c r="AJ66" s="180"/>
      <c r="AK66" s="180"/>
      <c r="AL66" s="205"/>
    </row>
    <row r="67" spans="3:38" x14ac:dyDescent="0.25">
      <c r="C67" s="209"/>
      <c r="G67" s="185" t="s">
        <v>19</v>
      </c>
      <c r="H67" s="186">
        <v>19</v>
      </c>
      <c r="I67" s="50">
        <v>43.57610136000001</v>
      </c>
      <c r="J67" s="180">
        <v>420</v>
      </c>
      <c r="K67" s="180">
        <v>118.8</v>
      </c>
      <c r="L67" s="180">
        <v>36</v>
      </c>
      <c r="M67" s="177">
        <v>25.16</v>
      </c>
      <c r="N67" s="177">
        <v>8.4700000000000006</v>
      </c>
      <c r="O67" s="191">
        <f t="shared" si="8"/>
        <v>0.61236689384478282</v>
      </c>
      <c r="P67" s="191">
        <v>0.5</v>
      </c>
      <c r="Q67" s="183">
        <v>843.2</v>
      </c>
      <c r="R67" s="180"/>
      <c r="S67" s="180"/>
      <c r="T67" s="180"/>
      <c r="U67" s="180"/>
      <c r="V67" s="180"/>
      <c r="W67" s="180"/>
      <c r="X67" s="180"/>
      <c r="Y67" s="180"/>
      <c r="Z67" s="180"/>
      <c r="AA67" s="180"/>
      <c r="AB67" s="180"/>
      <c r="AC67" s="180"/>
      <c r="AD67" s="180"/>
      <c r="AE67" s="180"/>
      <c r="AF67" s="180"/>
      <c r="AG67" s="180"/>
      <c r="AH67" s="180"/>
      <c r="AI67" s="180"/>
      <c r="AJ67" s="180"/>
      <c r="AK67" s="180"/>
      <c r="AL67" s="205"/>
    </row>
    <row r="68" spans="3:38" x14ac:dyDescent="0.25">
      <c r="C68" s="209"/>
      <c r="G68" s="185" t="s">
        <v>20</v>
      </c>
      <c r="H68" s="186">
        <v>19</v>
      </c>
      <c r="I68" s="50">
        <v>40.137126480000006</v>
      </c>
      <c r="J68" s="180">
        <v>420</v>
      </c>
      <c r="K68" s="180">
        <v>118.8</v>
      </c>
      <c r="L68" s="180">
        <v>36</v>
      </c>
      <c r="M68" s="177">
        <v>25.16</v>
      </c>
      <c r="N68" s="177">
        <v>8.4700000000000006</v>
      </c>
      <c r="O68" s="191">
        <f t="shared" si="8"/>
        <v>0.71462603389830903</v>
      </c>
      <c r="P68" s="191">
        <v>0.5</v>
      </c>
      <c r="Q68" s="183">
        <v>826.5</v>
      </c>
      <c r="R68" s="180"/>
      <c r="S68" s="180"/>
      <c r="T68" s="180"/>
      <c r="U68" s="180"/>
      <c r="V68" s="180"/>
      <c r="W68" s="180"/>
      <c r="X68" s="180"/>
      <c r="Y68" s="180"/>
      <c r="Z68" s="180"/>
      <c r="AA68" s="180"/>
      <c r="AB68" s="180"/>
      <c r="AC68" s="180"/>
      <c r="AD68" s="180"/>
      <c r="AE68" s="180"/>
      <c r="AF68" s="180"/>
      <c r="AG68" s="180"/>
      <c r="AH68" s="180"/>
      <c r="AI68" s="180"/>
      <c r="AJ68" s="180"/>
      <c r="AK68" s="180"/>
      <c r="AL68" s="205"/>
    </row>
    <row r="69" spans="3:38" x14ac:dyDescent="0.25">
      <c r="C69" s="209"/>
      <c r="G69" s="185" t="s">
        <v>21</v>
      </c>
      <c r="H69" s="186">
        <v>19</v>
      </c>
      <c r="I69" s="50">
        <v>35.549403120000008</v>
      </c>
      <c r="J69" s="180">
        <v>420</v>
      </c>
      <c r="K69" s="180">
        <v>118.8</v>
      </c>
      <c r="L69" s="180">
        <v>36</v>
      </c>
      <c r="M69" s="177">
        <v>25.16</v>
      </c>
      <c r="N69" s="177">
        <v>8.4700000000000006</v>
      </c>
      <c r="O69" s="191">
        <f t="shared" si="8"/>
        <v>0.85104361819803742</v>
      </c>
      <c r="P69" s="191">
        <v>1</v>
      </c>
      <c r="Q69" s="183">
        <v>871.2</v>
      </c>
      <c r="R69" s="180"/>
      <c r="S69" s="180"/>
      <c r="T69" s="180"/>
      <c r="U69" s="180"/>
      <c r="V69" s="180"/>
      <c r="W69" s="180"/>
      <c r="X69" s="180"/>
      <c r="Y69" s="180"/>
      <c r="Z69" s="180"/>
      <c r="AA69" s="180"/>
      <c r="AB69" s="180"/>
      <c r="AC69" s="180"/>
      <c r="AD69" s="180"/>
      <c r="AE69" s="180"/>
      <c r="AF69" s="180"/>
      <c r="AG69" s="180"/>
      <c r="AH69" s="180"/>
      <c r="AI69" s="180"/>
      <c r="AJ69" s="180"/>
      <c r="AK69" s="180"/>
      <c r="AL69" s="205"/>
    </row>
    <row r="70" spans="3:38" x14ac:dyDescent="0.25">
      <c r="C70" s="209"/>
      <c r="G70" s="185" t="s">
        <v>22</v>
      </c>
      <c r="H70" s="186">
        <v>19</v>
      </c>
      <c r="I70" s="50">
        <v>30.961679760000006</v>
      </c>
      <c r="J70" s="180">
        <v>420</v>
      </c>
      <c r="K70" s="180">
        <v>118.8</v>
      </c>
      <c r="L70" s="180">
        <v>36</v>
      </c>
      <c r="M70" s="177">
        <v>25.16</v>
      </c>
      <c r="N70" s="177">
        <v>8.4700000000000006</v>
      </c>
      <c r="O70" s="191">
        <f t="shared" si="8"/>
        <v>0.98746120249777292</v>
      </c>
      <c r="P70" s="191">
        <v>1</v>
      </c>
      <c r="Q70" s="183">
        <v>727</v>
      </c>
      <c r="R70" s="180"/>
      <c r="S70" s="180"/>
      <c r="T70" s="180"/>
      <c r="U70" s="180"/>
      <c r="V70" s="180"/>
      <c r="W70" s="180"/>
      <c r="X70" s="180"/>
      <c r="Y70" s="180"/>
      <c r="Z70" s="180"/>
      <c r="AA70" s="180"/>
      <c r="AB70" s="180"/>
      <c r="AC70" s="180"/>
      <c r="AD70" s="180"/>
      <c r="AE70" s="180"/>
      <c r="AF70" s="180"/>
      <c r="AG70" s="180"/>
      <c r="AH70" s="180"/>
      <c r="AI70" s="180"/>
      <c r="AJ70" s="180"/>
      <c r="AK70" s="180"/>
      <c r="AL70" s="205"/>
    </row>
    <row r="71" spans="3:38" ht="13" x14ac:dyDescent="0.3">
      <c r="C71" s="209"/>
      <c r="G71" s="147" t="s">
        <v>186</v>
      </c>
      <c r="H71" s="352"/>
      <c r="I71" s="353"/>
      <c r="J71" s="353"/>
      <c r="K71" s="353"/>
      <c r="L71" s="353"/>
      <c r="M71" s="353"/>
      <c r="N71" s="354"/>
      <c r="O71" s="192"/>
      <c r="P71" s="181"/>
      <c r="Q71" s="178">
        <f>SUM(Q65:Q70)</f>
        <v>4998.8</v>
      </c>
      <c r="R71" s="193">
        <f>9/24</f>
        <v>0.375</v>
      </c>
      <c r="S71" s="193">
        <f>24/1000</f>
        <v>2.4E-2</v>
      </c>
      <c r="T71" s="177">
        <v>0.27600000000000002</v>
      </c>
      <c r="U71" s="177">
        <v>12.96</v>
      </c>
      <c r="V71" s="180">
        <f>Q71</f>
        <v>4998.8</v>
      </c>
      <c r="W71" s="194">
        <f>R71*S71*T71*U71*V71</f>
        <v>160.92456883200003</v>
      </c>
      <c r="X71" s="180">
        <v>0.27800000000000002</v>
      </c>
      <c r="Y71" s="180">
        <v>12.96</v>
      </c>
      <c r="Z71" s="180">
        <f>Q71</f>
        <v>4998.8</v>
      </c>
      <c r="AA71" s="194">
        <f>(R71*S71*X71*Y71*Z71)</f>
        <v>162.09068889600002</v>
      </c>
      <c r="AB71" s="177">
        <v>0.42</v>
      </c>
      <c r="AC71" s="177">
        <v>41.904000000000003</v>
      </c>
      <c r="AD71" s="177">
        <f>Q71</f>
        <v>4998.8</v>
      </c>
      <c r="AE71" s="195">
        <f>(R71*S71*AB71*AC71*AD71)</f>
        <v>791.79552345600018</v>
      </c>
      <c r="AF71" s="196">
        <f>N444</f>
        <v>1236.2926941146679</v>
      </c>
      <c r="AG71" s="50">
        <f>W71+AA71+AE71+AF71</f>
        <v>2351.1034752986679</v>
      </c>
      <c r="AH71" s="180">
        <f>AG71*0.1</f>
        <v>235.1103475298668</v>
      </c>
      <c r="AI71" s="197">
        <f>AG71+AH71</f>
        <v>2586.2138228285348</v>
      </c>
      <c r="AJ71" s="177">
        <v>3.1</v>
      </c>
      <c r="AK71" s="198">
        <f>ROUND((AI71/AJ71),0)</f>
        <v>834</v>
      </c>
      <c r="AL71" s="205"/>
    </row>
    <row r="72" spans="3:38" x14ac:dyDescent="0.25">
      <c r="C72" s="209"/>
      <c r="G72" s="185" t="s">
        <v>13</v>
      </c>
      <c r="H72" s="186">
        <v>20</v>
      </c>
      <c r="I72" s="50">
        <v>63.072108000000007</v>
      </c>
      <c r="J72" s="180">
        <v>420</v>
      </c>
      <c r="K72" s="180">
        <v>118.8</v>
      </c>
      <c r="L72" s="180">
        <v>36</v>
      </c>
      <c r="M72" s="177">
        <v>25.16</v>
      </c>
      <c r="N72" s="177">
        <v>8.4700000000000006</v>
      </c>
      <c r="O72" s="191">
        <f>(H72-((I72+J72+K72+L72)/(M72+N72)))</f>
        <v>1.0326462087421966</v>
      </c>
      <c r="P72" s="191">
        <v>1</v>
      </c>
      <c r="Q72" s="183">
        <v>828.5</v>
      </c>
      <c r="R72" s="180"/>
      <c r="S72" s="180"/>
      <c r="T72" s="180"/>
      <c r="U72" s="180"/>
      <c r="V72" s="180"/>
      <c r="W72" s="180"/>
      <c r="X72" s="180"/>
      <c r="Y72" s="180"/>
      <c r="Z72" s="180"/>
      <c r="AA72" s="180"/>
      <c r="AB72" s="180"/>
      <c r="AC72" s="180"/>
      <c r="AD72" s="180"/>
      <c r="AE72" s="180"/>
      <c r="AF72" s="180"/>
      <c r="AG72" s="180"/>
      <c r="AH72" s="180"/>
      <c r="AI72" s="180"/>
      <c r="AJ72" s="180"/>
      <c r="AK72" s="180"/>
      <c r="AL72" s="205"/>
    </row>
    <row r="73" spans="3:38" x14ac:dyDescent="0.25">
      <c r="C73" s="209"/>
      <c r="G73" s="185" t="s">
        <v>24</v>
      </c>
      <c r="H73" s="186">
        <v>20</v>
      </c>
      <c r="I73" s="50">
        <v>51.602799600000004</v>
      </c>
      <c r="J73" s="180">
        <v>420</v>
      </c>
      <c r="K73" s="180">
        <v>118.8</v>
      </c>
      <c r="L73" s="180">
        <v>36</v>
      </c>
      <c r="M73" s="177">
        <v>25.16</v>
      </c>
      <c r="N73" s="177">
        <v>8.4700000000000006</v>
      </c>
      <c r="O73" s="191">
        <f t="shared" ref="O73:O77" si="9">(H73-((I73+J73+K73+L73)/(M73+N73)))</f>
        <v>1.3736901694915282</v>
      </c>
      <c r="P73" s="191">
        <v>1.5</v>
      </c>
      <c r="Q73" s="183">
        <v>813</v>
      </c>
      <c r="R73" s="180"/>
      <c r="S73" s="180"/>
      <c r="T73" s="180"/>
      <c r="U73" s="180"/>
      <c r="V73" s="180"/>
      <c r="W73" s="180"/>
      <c r="X73" s="180"/>
      <c r="Y73" s="180"/>
      <c r="Z73" s="180"/>
      <c r="AA73" s="180"/>
      <c r="AB73" s="180"/>
      <c r="AC73" s="180"/>
      <c r="AD73" s="180"/>
      <c r="AE73" s="180"/>
      <c r="AF73" s="180"/>
      <c r="AG73" s="180"/>
      <c r="AH73" s="180"/>
      <c r="AI73" s="180"/>
      <c r="AJ73" s="180"/>
      <c r="AK73" s="180"/>
      <c r="AL73" s="205"/>
    </row>
    <row r="74" spans="3:38" x14ac:dyDescent="0.25">
      <c r="C74" s="209"/>
      <c r="G74" s="185" t="s">
        <v>19</v>
      </c>
      <c r="H74" s="186">
        <v>20</v>
      </c>
      <c r="I74" s="50">
        <v>43.57610136000001</v>
      </c>
      <c r="J74" s="180">
        <v>420</v>
      </c>
      <c r="K74" s="180">
        <v>118.8</v>
      </c>
      <c r="L74" s="180">
        <v>36</v>
      </c>
      <c r="M74" s="177">
        <v>25.16</v>
      </c>
      <c r="N74" s="177">
        <v>8.4700000000000006</v>
      </c>
      <c r="O74" s="191">
        <f t="shared" si="9"/>
        <v>1.6123668938447828</v>
      </c>
      <c r="P74" s="191">
        <v>1.5</v>
      </c>
      <c r="Q74" s="183">
        <v>812.2</v>
      </c>
      <c r="R74" s="180"/>
      <c r="S74" s="180"/>
      <c r="T74" s="180"/>
      <c r="U74" s="180"/>
      <c r="V74" s="180"/>
      <c r="W74" s="180"/>
      <c r="X74" s="180"/>
      <c r="Y74" s="180"/>
      <c r="Z74" s="180"/>
      <c r="AA74" s="180"/>
      <c r="AB74" s="180"/>
      <c r="AC74" s="180"/>
      <c r="AD74" s="180"/>
      <c r="AE74" s="180"/>
      <c r="AF74" s="180"/>
      <c r="AG74" s="180"/>
      <c r="AH74" s="180"/>
      <c r="AI74" s="180"/>
      <c r="AJ74" s="180"/>
      <c r="AK74" s="180"/>
      <c r="AL74" s="205"/>
    </row>
    <row r="75" spans="3:38" x14ac:dyDescent="0.25">
      <c r="C75" s="209"/>
      <c r="G75" s="185" t="s">
        <v>20</v>
      </c>
      <c r="H75" s="186">
        <v>20</v>
      </c>
      <c r="I75" s="50">
        <v>40.137126480000006</v>
      </c>
      <c r="J75" s="180">
        <v>420</v>
      </c>
      <c r="K75" s="180">
        <v>118.8</v>
      </c>
      <c r="L75" s="180">
        <v>36</v>
      </c>
      <c r="M75" s="177">
        <v>25.16</v>
      </c>
      <c r="N75" s="177">
        <v>8.4700000000000006</v>
      </c>
      <c r="O75" s="191">
        <f t="shared" si="9"/>
        <v>1.714626033898309</v>
      </c>
      <c r="P75" s="191">
        <v>1.5</v>
      </c>
      <c r="Q75" s="183">
        <v>796.5</v>
      </c>
      <c r="R75" s="180"/>
      <c r="S75" s="180"/>
      <c r="T75" s="180"/>
      <c r="U75" s="180"/>
      <c r="V75" s="180"/>
      <c r="W75" s="180"/>
      <c r="X75" s="180"/>
      <c r="Y75" s="180"/>
      <c r="Z75" s="180"/>
      <c r="AA75" s="180"/>
      <c r="AB75" s="180"/>
      <c r="AC75" s="180"/>
      <c r="AD75" s="180"/>
      <c r="AE75" s="180"/>
      <c r="AF75" s="180"/>
      <c r="AG75" s="180"/>
      <c r="AH75" s="180"/>
      <c r="AI75" s="180"/>
      <c r="AJ75" s="180"/>
      <c r="AK75" s="180"/>
      <c r="AL75" s="205"/>
    </row>
    <row r="76" spans="3:38" x14ac:dyDescent="0.25">
      <c r="C76" s="209"/>
      <c r="G76" s="185" t="s">
        <v>21</v>
      </c>
      <c r="H76" s="186">
        <v>20</v>
      </c>
      <c r="I76" s="50">
        <v>35.549403120000008</v>
      </c>
      <c r="J76" s="180">
        <v>420</v>
      </c>
      <c r="K76" s="180">
        <v>118.8</v>
      </c>
      <c r="L76" s="180">
        <v>36</v>
      </c>
      <c r="M76" s="177">
        <v>25.16</v>
      </c>
      <c r="N76" s="177">
        <v>8.4700000000000006</v>
      </c>
      <c r="O76" s="191">
        <f t="shared" si="9"/>
        <v>1.8510436181980374</v>
      </c>
      <c r="P76" s="191">
        <v>2</v>
      </c>
      <c r="Q76" s="183">
        <v>840.2</v>
      </c>
      <c r="R76" s="180"/>
      <c r="S76" s="180"/>
      <c r="T76" s="180"/>
      <c r="U76" s="180"/>
      <c r="V76" s="180"/>
      <c r="W76" s="180"/>
      <c r="X76" s="180"/>
      <c r="Y76" s="180"/>
      <c r="Z76" s="180"/>
      <c r="AA76" s="180"/>
      <c r="AB76" s="180"/>
      <c r="AC76" s="180"/>
      <c r="AD76" s="180"/>
      <c r="AE76" s="180"/>
      <c r="AF76" s="180"/>
      <c r="AG76" s="180"/>
      <c r="AH76" s="180"/>
      <c r="AI76" s="180"/>
      <c r="AJ76" s="180"/>
      <c r="AK76" s="180"/>
      <c r="AL76" s="205"/>
    </row>
    <row r="77" spans="3:38" x14ac:dyDescent="0.25">
      <c r="C77" s="209"/>
      <c r="G77" s="185" t="s">
        <v>22</v>
      </c>
      <c r="H77" s="186">
        <v>20</v>
      </c>
      <c r="I77" s="50">
        <v>30.961679760000006</v>
      </c>
      <c r="J77" s="180">
        <v>420</v>
      </c>
      <c r="K77" s="180">
        <v>118.8</v>
      </c>
      <c r="L77" s="180">
        <v>36</v>
      </c>
      <c r="M77" s="177">
        <v>25.16</v>
      </c>
      <c r="N77" s="177">
        <v>8.4700000000000006</v>
      </c>
      <c r="O77" s="191">
        <f t="shared" si="9"/>
        <v>1.9874612024977729</v>
      </c>
      <c r="P77" s="191">
        <v>2</v>
      </c>
      <c r="Q77" s="183">
        <v>697</v>
      </c>
      <c r="R77" s="180"/>
      <c r="S77" s="180"/>
      <c r="T77" s="180"/>
      <c r="U77" s="180"/>
      <c r="V77" s="180"/>
      <c r="W77" s="180"/>
      <c r="X77" s="180"/>
      <c r="Y77" s="180"/>
      <c r="Z77" s="180"/>
      <c r="AA77" s="180"/>
      <c r="AB77" s="180"/>
      <c r="AC77" s="180"/>
      <c r="AD77" s="180"/>
      <c r="AE77" s="180"/>
      <c r="AF77" s="180"/>
      <c r="AG77" s="180"/>
      <c r="AH77" s="180"/>
      <c r="AI77" s="180"/>
      <c r="AJ77" s="180"/>
      <c r="AK77" s="180"/>
      <c r="AL77" s="205"/>
    </row>
    <row r="78" spans="3:38" ht="13" x14ac:dyDescent="0.3">
      <c r="C78" s="209"/>
      <c r="G78" s="147" t="s">
        <v>174</v>
      </c>
      <c r="H78" s="352"/>
      <c r="I78" s="353"/>
      <c r="J78" s="353"/>
      <c r="K78" s="353"/>
      <c r="L78" s="353"/>
      <c r="M78" s="353"/>
      <c r="N78" s="354"/>
      <c r="O78" s="192"/>
      <c r="P78" s="181"/>
      <c r="Q78" s="178">
        <f>SUM(Q72:Q77)</f>
        <v>4787.3999999999996</v>
      </c>
      <c r="R78" s="193">
        <f>9/24</f>
        <v>0.375</v>
      </c>
      <c r="S78" s="193">
        <f>24/1000</f>
        <v>2.4E-2</v>
      </c>
      <c r="T78" s="177">
        <v>0.27600000000000002</v>
      </c>
      <c r="U78" s="177">
        <v>12.96</v>
      </c>
      <c r="V78" s="180">
        <f>Q78</f>
        <v>4787.3999999999996</v>
      </c>
      <c r="W78" s="194">
        <f>R78*S78*T78*U78*V78</f>
        <v>154.11904473600003</v>
      </c>
      <c r="X78" s="180">
        <v>0.27800000000000002</v>
      </c>
      <c r="Y78" s="180">
        <v>12.96</v>
      </c>
      <c r="Z78" s="180">
        <f>Q78</f>
        <v>4787.3999999999996</v>
      </c>
      <c r="AA78" s="194">
        <f>(R78*S78*X78*Y78*Z78)</f>
        <v>155.23584940800001</v>
      </c>
      <c r="AB78" s="177">
        <v>0.42</v>
      </c>
      <c r="AC78" s="177">
        <v>41.904000000000003</v>
      </c>
      <c r="AD78" s="177">
        <f>Q78</f>
        <v>4787.3999999999996</v>
      </c>
      <c r="AE78" s="195">
        <f>(R78*S78*AB78*AC78*AD78)</f>
        <v>758.31037228800005</v>
      </c>
      <c r="AF78" s="196">
        <f>N445</f>
        <v>1217.4468048651731</v>
      </c>
      <c r="AG78" s="50">
        <f>W78+AA78+AE78+AF78</f>
        <v>2285.1120712971733</v>
      </c>
      <c r="AH78" s="180">
        <f>AG78*0.1</f>
        <v>228.51120712971735</v>
      </c>
      <c r="AI78" s="197">
        <f>AG78+AH78</f>
        <v>2513.6232784268905</v>
      </c>
      <c r="AJ78" s="177">
        <v>3.1</v>
      </c>
      <c r="AK78" s="198">
        <f>ROUND((AI78/AJ78),0)</f>
        <v>811</v>
      </c>
      <c r="AL78" s="205"/>
    </row>
    <row r="79" spans="3:38" x14ac:dyDescent="0.25">
      <c r="C79" s="209"/>
      <c r="G79" s="185" t="s">
        <v>13</v>
      </c>
      <c r="H79" s="186">
        <v>21</v>
      </c>
      <c r="I79" s="50">
        <v>63.072108000000007</v>
      </c>
      <c r="J79" s="180">
        <v>420</v>
      </c>
      <c r="K79" s="180">
        <v>118.8</v>
      </c>
      <c r="L79" s="180">
        <v>36</v>
      </c>
      <c r="M79" s="177">
        <v>25.16</v>
      </c>
      <c r="N79" s="177">
        <v>8.4700000000000006</v>
      </c>
      <c r="O79" s="191">
        <f>(H79-((I79+J79+K79+L79)/(M79+N79)))</f>
        <v>2.0326462087421966</v>
      </c>
      <c r="P79" s="191">
        <v>2</v>
      </c>
      <c r="Q79" s="183">
        <v>826.9</v>
      </c>
      <c r="R79" s="180"/>
      <c r="S79" s="180"/>
      <c r="T79" s="180"/>
      <c r="U79" s="180"/>
      <c r="V79" s="180"/>
      <c r="W79" s="180"/>
      <c r="X79" s="180"/>
      <c r="Y79" s="180"/>
      <c r="Z79" s="180"/>
      <c r="AA79" s="180"/>
      <c r="AB79" s="180"/>
      <c r="AC79" s="180"/>
      <c r="AD79" s="180"/>
      <c r="AE79" s="180"/>
      <c r="AF79" s="180"/>
      <c r="AG79" s="180"/>
      <c r="AH79" s="180"/>
      <c r="AI79" s="180"/>
      <c r="AJ79" s="180"/>
      <c r="AK79" s="180"/>
      <c r="AL79" s="205"/>
    </row>
    <row r="80" spans="3:38" x14ac:dyDescent="0.25">
      <c r="C80" s="209"/>
      <c r="G80" s="185" t="s">
        <v>24</v>
      </c>
      <c r="H80" s="186">
        <v>21</v>
      </c>
      <c r="I80" s="50">
        <v>51.602799600000004</v>
      </c>
      <c r="J80" s="180">
        <v>420</v>
      </c>
      <c r="K80" s="180">
        <v>118.8</v>
      </c>
      <c r="L80" s="180">
        <v>36</v>
      </c>
      <c r="M80" s="177">
        <v>25.16</v>
      </c>
      <c r="N80" s="177">
        <v>8.4700000000000006</v>
      </c>
      <c r="O80" s="191">
        <f t="shared" ref="O80:O84" si="10">(H80-((I80+J80+K80+L80)/(M80+N80)))</f>
        <v>2.3736901694915282</v>
      </c>
      <c r="P80" s="191">
        <v>2.5</v>
      </c>
      <c r="Q80" s="183">
        <v>782</v>
      </c>
      <c r="R80" s="180"/>
      <c r="S80" s="180"/>
      <c r="T80" s="180"/>
      <c r="U80" s="180"/>
      <c r="V80" s="180"/>
      <c r="W80" s="180"/>
      <c r="X80" s="180"/>
      <c r="Y80" s="180"/>
      <c r="Z80" s="180"/>
      <c r="AA80" s="180"/>
      <c r="AB80" s="180"/>
      <c r="AC80" s="180"/>
      <c r="AD80" s="180"/>
      <c r="AE80" s="180"/>
      <c r="AF80" s="180"/>
      <c r="AG80" s="180"/>
      <c r="AH80" s="180"/>
      <c r="AI80" s="180"/>
      <c r="AJ80" s="180"/>
      <c r="AK80" s="180"/>
      <c r="AL80" s="205"/>
    </row>
    <row r="81" spans="3:38" x14ac:dyDescent="0.25">
      <c r="C81" s="209"/>
      <c r="G81" s="185" t="s">
        <v>19</v>
      </c>
      <c r="H81" s="186">
        <v>21</v>
      </c>
      <c r="I81" s="50">
        <v>43.57610136000001</v>
      </c>
      <c r="J81" s="180">
        <v>420</v>
      </c>
      <c r="K81" s="180">
        <v>118.8</v>
      </c>
      <c r="L81" s="180">
        <v>36</v>
      </c>
      <c r="M81" s="177">
        <v>25.16</v>
      </c>
      <c r="N81" s="177">
        <v>8.4700000000000006</v>
      </c>
      <c r="O81" s="191">
        <f t="shared" si="10"/>
        <v>2.6123668938447828</v>
      </c>
      <c r="P81" s="191">
        <v>2.5</v>
      </c>
      <c r="Q81" s="183">
        <v>781.2</v>
      </c>
      <c r="R81" s="180"/>
      <c r="S81" s="180"/>
      <c r="T81" s="180"/>
      <c r="U81" s="180"/>
      <c r="V81" s="180"/>
      <c r="W81" s="180"/>
      <c r="X81" s="180"/>
      <c r="Y81" s="180"/>
      <c r="Z81" s="180"/>
      <c r="AA81" s="180"/>
      <c r="AB81" s="180"/>
      <c r="AC81" s="180"/>
      <c r="AD81" s="180"/>
      <c r="AE81" s="180"/>
      <c r="AF81" s="180"/>
      <c r="AG81" s="180"/>
      <c r="AH81" s="180"/>
      <c r="AI81" s="180"/>
      <c r="AJ81" s="180"/>
      <c r="AK81" s="180"/>
      <c r="AL81" s="205"/>
    </row>
    <row r="82" spans="3:38" x14ac:dyDescent="0.25">
      <c r="C82" s="209"/>
      <c r="G82" s="185" t="s">
        <v>20</v>
      </c>
      <c r="H82" s="186">
        <v>21</v>
      </c>
      <c r="I82" s="50">
        <v>40.137126480000006</v>
      </c>
      <c r="J82" s="180">
        <v>420</v>
      </c>
      <c r="K82" s="180">
        <v>118.8</v>
      </c>
      <c r="L82" s="180">
        <v>36</v>
      </c>
      <c r="M82" s="177">
        <v>25.16</v>
      </c>
      <c r="N82" s="177">
        <v>8.4700000000000006</v>
      </c>
      <c r="O82" s="191">
        <f t="shared" si="10"/>
        <v>2.714626033898309</v>
      </c>
      <c r="P82" s="191">
        <v>2.5</v>
      </c>
      <c r="Q82" s="183">
        <v>766.5</v>
      </c>
      <c r="R82" s="180"/>
      <c r="S82" s="180"/>
      <c r="T82" s="180"/>
      <c r="U82" s="180"/>
      <c r="V82" s="180"/>
      <c r="W82" s="180"/>
      <c r="X82" s="180"/>
      <c r="Y82" s="180"/>
      <c r="Z82" s="180"/>
      <c r="AA82" s="180"/>
      <c r="AB82" s="180"/>
      <c r="AC82" s="180"/>
      <c r="AD82" s="180"/>
      <c r="AE82" s="180"/>
      <c r="AF82" s="180"/>
      <c r="AG82" s="180"/>
      <c r="AH82" s="180"/>
      <c r="AI82" s="180"/>
      <c r="AJ82" s="180"/>
      <c r="AK82" s="180"/>
      <c r="AL82" s="205"/>
    </row>
    <row r="83" spans="3:38" x14ac:dyDescent="0.25">
      <c r="C83" s="209"/>
      <c r="G83" s="185" t="s">
        <v>21</v>
      </c>
      <c r="H83" s="186">
        <v>21</v>
      </c>
      <c r="I83" s="50">
        <v>35.549403120000008</v>
      </c>
      <c r="J83" s="180">
        <v>420</v>
      </c>
      <c r="K83" s="180">
        <v>118.8</v>
      </c>
      <c r="L83" s="180">
        <v>36</v>
      </c>
      <c r="M83" s="177">
        <v>25.16</v>
      </c>
      <c r="N83" s="177">
        <v>8.4700000000000006</v>
      </c>
      <c r="O83" s="191">
        <f t="shared" si="10"/>
        <v>2.8510436181980374</v>
      </c>
      <c r="P83" s="191">
        <v>3</v>
      </c>
      <c r="Q83" s="183">
        <v>809.2</v>
      </c>
      <c r="R83" s="180"/>
      <c r="S83" s="180"/>
      <c r="T83" s="180"/>
      <c r="U83" s="180"/>
      <c r="V83" s="180"/>
      <c r="W83" s="180"/>
      <c r="X83" s="180"/>
      <c r="Y83" s="180"/>
      <c r="Z83" s="180"/>
      <c r="AA83" s="180"/>
      <c r="AB83" s="180"/>
      <c r="AC83" s="180"/>
      <c r="AD83" s="180"/>
      <c r="AE83" s="180"/>
      <c r="AF83" s="180"/>
      <c r="AG83" s="180"/>
      <c r="AH83" s="180"/>
      <c r="AI83" s="180"/>
      <c r="AJ83" s="180"/>
      <c r="AK83" s="180"/>
      <c r="AL83" s="205"/>
    </row>
    <row r="84" spans="3:38" x14ac:dyDescent="0.25">
      <c r="C84" s="209"/>
      <c r="G84" s="185" t="s">
        <v>22</v>
      </c>
      <c r="H84" s="186">
        <v>21</v>
      </c>
      <c r="I84" s="50">
        <v>30.961679760000006</v>
      </c>
      <c r="J84" s="180">
        <v>420</v>
      </c>
      <c r="K84" s="180">
        <v>118.8</v>
      </c>
      <c r="L84" s="180">
        <v>36</v>
      </c>
      <c r="M84" s="177">
        <v>25.16</v>
      </c>
      <c r="N84" s="177">
        <v>8.4700000000000006</v>
      </c>
      <c r="O84" s="191">
        <f t="shared" si="10"/>
        <v>2.9874612024977729</v>
      </c>
      <c r="P84" s="191">
        <v>3</v>
      </c>
      <c r="Q84" s="183">
        <v>667</v>
      </c>
      <c r="R84" s="180"/>
      <c r="S84" s="180"/>
      <c r="T84" s="180"/>
      <c r="U84" s="180"/>
      <c r="V84" s="180"/>
      <c r="W84" s="180"/>
      <c r="X84" s="180"/>
      <c r="Y84" s="180"/>
      <c r="Z84" s="180"/>
      <c r="AA84" s="180"/>
      <c r="AB84" s="180"/>
      <c r="AC84" s="180"/>
      <c r="AD84" s="180"/>
      <c r="AE84" s="180"/>
      <c r="AF84" s="180"/>
      <c r="AG84" s="180"/>
      <c r="AH84" s="180"/>
      <c r="AI84" s="180"/>
      <c r="AJ84" s="180"/>
      <c r="AK84" s="180"/>
      <c r="AL84" s="205"/>
    </row>
    <row r="85" spans="3:38" ht="13" x14ac:dyDescent="0.3">
      <c r="C85" s="209"/>
      <c r="G85" s="147" t="s">
        <v>173</v>
      </c>
      <c r="H85" s="352"/>
      <c r="I85" s="353"/>
      <c r="J85" s="353"/>
      <c r="K85" s="353"/>
      <c r="L85" s="353"/>
      <c r="M85" s="353"/>
      <c r="N85" s="354"/>
      <c r="O85" s="192"/>
      <c r="P85" s="181"/>
      <c r="Q85" s="178">
        <f>SUM(Q79:Q84)</f>
        <v>4632.8</v>
      </c>
      <c r="R85" s="193">
        <f>9/24</f>
        <v>0.375</v>
      </c>
      <c r="S85" s="193">
        <f>24/1000</f>
        <v>2.4E-2</v>
      </c>
      <c r="T85" s="177">
        <v>0.27600000000000002</v>
      </c>
      <c r="U85" s="177">
        <v>12.96</v>
      </c>
      <c r="V85" s="180">
        <f>Q85</f>
        <v>4632.8</v>
      </c>
      <c r="W85" s="194">
        <f>R85*S85*T85*U85*V85</f>
        <v>149.14206259200006</v>
      </c>
      <c r="X85" s="180">
        <v>0.27800000000000002</v>
      </c>
      <c r="Y85" s="180">
        <v>12.96</v>
      </c>
      <c r="Z85" s="180">
        <f>Q85</f>
        <v>4632.8</v>
      </c>
      <c r="AA85" s="194">
        <f>(R85*S85*X85*Y85*Z85)</f>
        <v>150.22280217600002</v>
      </c>
      <c r="AB85" s="177">
        <v>0.42</v>
      </c>
      <c r="AC85" s="177">
        <v>41.904000000000003</v>
      </c>
      <c r="AD85" s="177">
        <f>Q85</f>
        <v>4632.8</v>
      </c>
      <c r="AE85" s="195">
        <f>(R85*S85*AB85*AC85*AD85)</f>
        <v>733.82217753600014</v>
      </c>
      <c r="AF85" s="196">
        <f>N446</f>
        <v>1198.6009156156783</v>
      </c>
      <c r="AG85" s="50">
        <f>W85+AA85+AE85+AF85</f>
        <v>2231.7879579196788</v>
      </c>
      <c r="AH85" s="180">
        <f>AG85*0.1</f>
        <v>223.1787957919679</v>
      </c>
      <c r="AI85" s="197">
        <f>AG85+AH85</f>
        <v>2454.9667537116466</v>
      </c>
      <c r="AJ85" s="177">
        <v>3.1</v>
      </c>
      <c r="AK85" s="198">
        <f>ROUND((AI85/AJ85),0)</f>
        <v>792</v>
      </c>
      <c r="AL85" s="205"/>
    </row>
    <row r="86" spans="3:38" x14ac:dyDescent="0.25">
      <c r="C86" s="209"/>
      <c r="G86" s="185" t="s">
        <v>13</v>
      </c>
      <c r="H86" s="186">
        <v>22</v>
      </c>
      <c r="I86" s="50">
        <v>63.072108000000007</v>
      </c>
      <c r="J86" s="180">
        <v>420</v>
      </c>
      <c r="K86" s="180">
        <v>118.8</v>
      </c>
      <c r="L86" s="180">
        <v>36</v>
      </c>
      <c r="M86" s="177">
        <v>25.16</v>
      </c>
      <c r="N86" s="177">
        <v>8.4700000000000006</v>
      </c>
      <c r="O86" s="191">
        <f>(H86-((I86+J86+K86+L86)/(M86+N86)))</f>
        <v>3.0326462087421966</v>
      </c>
      <c r="P86" s="191">
        <v>3</v>
      </c>
      <c r="Q86" s="183">
        <v>796.9</v>
      </c>
      <c r="R86" s="180"/>
      <c r="S86" s="180"/>
      <c r="T86" s="180"/>
      <c r="U86" s="180"/>
      <c r="V86" s="180"/>
      <c r="W86" s="180"/>
      <c r="X86" s="180"/>
      <c r="Y86" s="180"/>
      <c r="Z86" s="180"/>
      <c r="AA86" s="180"/>
      <c r="AB86" s="180"/>
      <c r="AC86" s="180"/>
      <c r="AD86" s="180"/>
      <c r="AE86" s="180"/>
      <c r="AF86" s="180"/>
      <c r="AG86" s="180"/>
      <c r="AH86" s="180"/>
      <c r="AI86" s="180"/>
      <c r="AJ86" s="180"/>
      <c r="AK86" s="180"/>
      <c r="AL86" s="205"/>
    </row>
    <row r="87" spans="3:38" x14ac:dyDescent="0.25">
      <c r="C87" s="209"/>
      <c r="G87" s="185" t="s">
        <v>24</v>
      </c>
      <c r="H87" s="186">
        <v>22</v>
      </c>
      <c r="I87" s="50">
        <v>51.602799600000004</v>
      </c>
      <c r="J87" s="180">
        <v>420</v>
      </c>
      <c r="K87" s="180">
        <v>118.8</v>
      </c>
      <c r="L87" s="180">
        <v>36</v>
      </c>
      <c r="M87" s="177">
        <v>25.16</v>
      </c>
      <c r="N87" s="177">
        <v>8.4700000000000006</v>
      </c>
      <c r="O87" s="191">
        <f t="shared" ref="O87:O91" si="11">(H87-((I87+J87+K87+L87)/(M87+N87)))</f>
        <v>3.3736901694915282</v>
      </c>
      <c r="P87" s="191">
        <v>3.5</v>
      </c>
      <c r="Q87" s="183">
        <v>751</v>
      </c>
      <c r="R87" s="180"/>
      <c r="S87" s="180"/>
      <c r="T87" s="180"/>
      <c r="U87" s="180"/>
      <c r="V87" s="180"/>
      <c r="W87" s="180"/>
      <c r="X87" s="180"/>
      <c r="Y87" s="180"/>
      <c r="Z87" s="180"/>
      <c r="AA87" s="180"/>
      <c r="AB87" s="180"/>
      <c r="AC87" s="180"/>
      <c r="AD87" s="180"/>
      <c r="AE87" s="180"/>
      <c r="AF87" s="180"/>
      <c r="AG87" s="180"/>
      <c r="AH87" s="180"/>
      <c r="AI87" s="180"/>
      <c r="AJ87" s="180"/>
      <c r="AK87" s="180"/>
      <c r="AL87" s="205"/>
    </row>
    <row r="88" spans="3:38" x14ac:dyDescent="0.25">
      <c r="C88" s="209"/>
      <c r="G88" s="185" t="s">
        <v>19</v>
      </c>
      <c r="H88" s="186">
        <v>22</v>
      </c>
      <c r="I88" s="50">
        <v>43.57610136000001</v>
      </c>
      <c r="J88" s="180">
        <v>420</v>
      </c>
      <c r="K88" s="180">
        <v>118.8</v>
      </c>
      <c r="L88" s="180">
        <v>36</v>
      </c>
      <c r="M88" s="177">
        <v>25.16</v>
      </c>
      <c r="N88" s="177">
        <v>8.4700000000000006</v>
      </c>
      <c r="O88" s="191">
        <f t="shared" si="11"/>
        <v>3.6123668938447828</v>
      </c>
      <c r="P88" s="191">
        <v>3.5</v>
      </c>
      <c r="Q88" s="183">
        <v>750.2</v>
      </c>
      <c r="R88" s="180"/>
      <c r="S88" s="180"/>
      <c r="T88" s="180"/>
      <c r="U88" s="180"/>
      <c r="V88" s="180"/>
      <c r="W88" s="180"/>
      <c r="X88" s="180"/>
      <c r="Y88" s="180"/>
      <c r="Z88" s="180"/>
      <c r="AA88" s="180"/>
      <c r="AB88" s="180"/>
      <c r="AC88" s="180"/>
      <c r="AD88" s="180"/>
      <c r="AE88" s="180"/>
      <c r="AF88" s="180"/>
      <c r="AG88" s="180"/>
      <c r="AH88" s="180"/>
      <c r="AI88" s="180"/>
      <c r="AJ88" s="180"/>
      <c r="AK88" s="180"/>
      <c r="AL88" s="205"/>
    </row>
    <row r="89" spans="3:38" x14ac:dyDescent="0.25">
      <c r="C89" s="209"/>
      <c r="G89" s="185" t="s">
        <v>20</v>
      </c>
      <c r="H89" s="186">
        <v>22</v>
      </c>
      <c r="I89" s="50">
        <v>40.137126480000006</v>
      </c>
      <c r="J89" s="180">
        <v>420</v>
      </c>
      <c r="K89" s="180">
        <v>118.8</v>
      </c>
      <c r="L89" s="180">
        <v>36</v>
      </c>
      <c r="M89" s="177">
        <v>25.16</v>
      </c>
      <c r="N89" s="177">
        <v>8.4700000000000006</v>
      </c>
      <c r="O89" s="191">
        <f t="shared" si="11"/>
        <v>3.714626033898309</v>
      </c>
      <c r="P89" s="191">
        <v>3.5</v>
      </c>
      <c r="Q89" s="183">
        <v>736.5</v>
      </c>
      <c r="R89" s="180"/>
      <c r="S89" s="180"/>
      <c r="T89" s="180"/>
      <c r="U89" s="180"/>
      <c r="V89" s="180"/>
      <c r="W89" s="180"/>
      <c r="X89" s="180"/>
      <c r="Y89" s="180"/>
      <c r="Z89" s="180"/>
      <c r="AA89" s="180"/>
      <c r="AB89" s="180"/>
      <c r="AC89" s="180"/>
      <c r="AD89" s="180"/>
      <c r="AE89" s="180"/>
      <c r="AF89" s="180"/>
      <c r="AG89" s="180"/>
      <c r="AH89" s="180"/>
      <c r="AI89" s="180"/>
      <c r="AJ89" s="180"/>
      <c r="AK89" s="180"/>
      <c r="AL89" s="205"/>
    </row>
    <row r="90" spans="3:38" x14ac:dyDescent="0.25">
      <c r="C90" s="209"/>
      <c r="G90" s="185" t="s">
        <v>21</v>
      </c>
      <c r="H90" s="186">
        <v>22</v>
      </c>
      <c r="I90" s="50">
        <v>35.549403120000008</v>
      </c>
      <c r="J90" s="180">
        <v>420</v>
      </c>
      <c r="K90" s="180">
        <v>118.8</v>
      </c>
      <c r="L90" s="180">
        <v>36</v>
      </c>
      <c r="M90" s="177">
        <v>25.16</v>
      </c>
      <c r="N90" s="177">
        <v>8.4700000000000006</v>
      </c>
      <c r="O90" s="191">
        <f t="shared" si="11"/>
        <v>3.8510436181980374</v>
      </c>
      <c r="P90" s="191">
        <v>4</v>
      </c>
      <c r="Q90" s="183">
        <v>778.2</v>
      </c>
      <c r="R90" s="180"/>
      <c r="S90" s="180"/>
      <c r="T90" s="180"/>
      <c r="U90" s="180"/>
      <c r="V90" s="180"/>
      <c r="W90" s="180"/>
      <c r="X90" s="180"/>
      <c r="Y90" s="180"/>
      <c r="Z90" s="180"/>
      <c r="AA90" s="180"/>
      <c r="AB90" s="180"/>
      <c r="AC90" s="180"/>
      <c r="AD90" s="180"/>
      <c r="AE90" s="180"/>
      <c r="AF90" s="180"/>
      <c r="AG90" s="180"/>
      <c r="AH90" s="180"/>
      <c r="AI90" s="180"/>
      <c r="AJ90" s="180"/>
      <c r="AK90" s="180"/>
      <c r="AL90" s="205"/>
    </row>
    <row r="91" spans="3:38" x14ac:dyDescent="0.25">
      <c r="C91" s="209"/>
      <c r="G91" s="185" t="s">
        <v>22</v>
      </c>
      <c r="H91" s="186">
        <v>22</v>
      </c>
      <c r="I91" s="50">
        <v>30.961679760000006</v>
      </c>
      <c r="J91" s="180">
        <v>420</v>
      </c>
      <c r="K91" s="180">
        <v>118.8</v>
      </c>
      <c r="L91" s="180">
        <v>36</v>
      </c>
      <c r="M91" s="177">
        <v>25.16</v>
      </c>
      <c r="N91" s="177">
        <v>8.4700000000000006</v>
      </c>
      <c r="O91" s="191">
        <f t="shared" si="11"/>
        <v>3.9874612024977729</v>
      </c>
      <c r="P91" s="191">
        <v>4</v>
      </c>
      <c r="Q91" s="183">
        <v>637</v>
      </c>
      <c r="R91" s="180"/>
      <c r="S91" s="180"/>
      <c r="T91" s="180"/>
      <c r="U91" s="180"/>
      <c r="V91" s="180"/>
      <c r="W91" s="180"/>
      <c r="X91" s="180"/>
      <c r="Y91" s="180"/>
      <c r="Z91" s="180"/>
      <c r="AA91" s="180"/>
      <c r="AB91" s="180"/>
      <c r="AC91" s="180"/>
      <c r="AD91" s="180"/>
      <c r="AE91" s="180"/>
      <c r="AF91" s="180"/>
      <c r="AG91" s="180"/>
      <c r="AH91" s="180"/>
      <c r="AI91" s="180"/>
      <c r="AJ91" s="180"/>
      <c r="AK91" s="180"/>
      <c r="AL91" s="205"/>
    </row>
    <row r="92" spans="3:38" ht="13" x14ac:dyDescent="0.3">
      <c r="G92" s="147" t="s">
        <v>140</v>
      </c>
      <c r="H92" s="352"/>
      <c r="I92" s="353"/>
      <c r="J92" s="353"/>
      <c r="K92" s="353"/>
      <c r="L92" s="353"/>
      <c r="M92" s="353"/>
      <c r="N92" s="354"/>
      <c r="O92" s="192"/>
      <c r="P92" s="181"/>
      <c r="Q92" s="148">
        <f>SUM(Q86:Q91)</f>
        <v>4449.8</v>
      </c>
      <c r="R92" s="193">
        <f>9/24</f>
        <v>0.375</v>
      </c>
      <c r="S92" s="193">
        <f>24/1000</f>
        <v>2.4E-2</v>
      </c>
      <c r="T92" s="177">
        <v>0.27600000000000002</v>
      </c>
      <c r="U92" s="177">
        <v>12.96</v>
      </c>
      <c r="V92" s="180">
        <f>Q92</f>
        <v>4449.8</v>
      </c>
      <c r="W92" s="194">
        <f>R92*S92*T92*U92*V92</f>
        <v>143.25080947200004</v>
      </c>
      <c r="X92" s="180">
        <v>0.27800000000000002</v>
      </c>
      <c r="Y92" s="180">
        <v>12.96</v>
      </c>
      <c r="Z92" s="180">
        <f>Q92</f>
        <v>4449.8</v>
      </c>
      <c r="AA92" s="194">
        <f>(R92*S92*X92*Y92*Z92)</f>
        <v>144.28885881600002</v>
      </c>
      <c r="AB92" s="177">
        <v>0.42</v>
      </c>
      <c r="AC92" s="177">
        <v>41.904000000000003</v>
      </c>
      <c r="AD92" s="177">
        <f>Q92</f>
        <v>4449.8</v>
      </c>
      <c r="AE92" s="195">
        <f>(R92*S92*AB92*AC92*AD92)</f>
        <v>704.83550457600018</v>
      </c>
      <c r="AF92" s="196">
        <f>N447</f>
        <v>1179.7550263661835</v>
      </c>
      <c r="AG92" s="50">
        <f>W92+AA92+AE92+AF92</f>
        <v>2172.1301992301837</v>
      </c>
      <c r="AH92" s="180">
        <f>AG92*0.1</f>
        <v>217.21301992301838</v>
      </c>
      <c r="AI92" s="197">
        <f>AG92+AH92</f>
        <v>2389.343219153202</v>
      </c>
      <c r="AJ92" s="177">
        <v>3.1</v>
      </c>
      <c r="AK92" s="198">
        <f>ROUND((AI92/AJ92),0)</f>
        <v>771</v>
      </c>
      <c r="AL92" s="205"/>
    </row>
    <row r="93" spans="3:38" ht="13" x14ac:dyDescent="0.3">
      <c r="G93" s="185" t="s">
        <v>13</v>
      </c>
      <c r="H93" s="186">
        <v>23</v>
      </c>
      <c r="I93" s="50">
        <v>63.072108000000007</v>
      </c>
      <c r="J93" s="180">
        <v>420</v>
      </c>
      <c r="K93" s="180">
        <v>118.8</v>
      </c>
      <c r="L93" s="180">
        <v>36</v>
      </c>
      <c r="M93" s="177">
        <v>25.16</v>
      </c>
      <c r="N93" s="177">
        <v>8.4700000000000006</v>
      </c>
      <c r="O93" s="191">
        <f>(H93-((I93+J93+K93+L93)/(M93+N93)))</f>
        <v>4.0326462087421966</v>
      </c>
      <c r="P93" s="191">
        <v>4</v>
      </c>
      <c r="Q93" s="183">
        <v>766.9</v>
      </c>
      <c r="R93" s="203"/>
      <c r="S93" s="203"/>
      <c r="T93" s="177"/>
      <c r="U93" s="177"/>
      <c r="V93" s="180"/>
      <c r="W93" s="194"/>
      <c r="X93" s="180"/>
      <c r="Y93" s="180"/>
      <c r="Z93" s="180"/>
      <c r="AA93" s="194"/>
      <c r="AB93" s="177"/>
      <c r="AC93" s="177"/>
      <c r="AD93" s="177"/>
      <c r="AE93" s="195"/>
      <c r="AF93" s="196"/>
      <c r="AG93" s="50"/>
      <c r="AH93" s="180"/>
      <c r="AI93" s="197"/>
      <c r="AJ93" s="177"/>
      <c r="AK93" s="198"/>
      <c r="AL93" s="205"/>
    </row>
    <row r="94" spans="3:38" x14ac:dyDescent="0.25">
      <c r="G94" s="185" t="s">
        <v>24</v>
      </c>
      <c r="H94" s="186">
        <v>23</v>
      </c>
      <c r="I94" s="50">
        <v>51.602799600000004</v>
      </c>
      <c r="J94" s="180">
        <v>420</v>
      </c>
      <c r="K94" s="180">
        <v>118.8</v>
      </c>
      <c r="L94" s="180">
        <v>36</v>
      </c>
      <c r="M94" s="177">
        <v>25.16</v>
      </c>
      <c r="N94" s="177">
        <v>8.4700000000000006</v>
      </c>
      <c r="O94" s="191">
        <f t="shared" ref="O94:O98" si="12">(H94-((I94+J94+K94+L94)/(M94+N94)))</f>
        <v>4.3736901694915282</v>
      </c>
      <c r="P94" s="191">
        <v>4.5</v>
      </c>
      <c r="Q94" s="183">
        <v>720</v>
      </c>
      <c r="R94" s="180"/>
      <c r="S94" s="180"/>
      <c r="T94" s="180"/>
      <c r="U94" s="180"/>
      <c r="V94" s="180"/>
      <c r="W94" s="180"/>
      <c r="X94" s="180"/>
      <c r="Y94" s="180"/>
      <c r="Z94" s="180"/>
      <c r="AA94" s="180"/>
      <c r="AB94" s="180"/>
      <c r="AC94" s="180"/>
      <c r="AD94" s="180"/>
      <c r="AE94" s="180"/>
      <c r="AF94" s="180"/>
      <c r="AG94" s="180"/>
      <c r="AH94" s="180"/>
      <c r="AI94" s="180"/>
      <c r="AJ94" s="180"/>
      <c r="AK94" s="180"/>
      <c r="AL94" s="205"/>
    </row>
    <row r="95" spans="3:38" x14ac:dyDescent="0.25">
      <c r="G95" s="185" t="s">
        <v>19</v>
      </c>
      <c r="H95" s="186">
        <v>23</v>
      </c>
      <c r="I95" s="50">
        <v>43.57610136000001</v>
      </c>
      <c r="J95" s="180">
        <v>420</v>
      </c>
      <c r="K95" s="180">
        <v>118.8</v>
      </c>
      <c r="L95" s="180">
        <v>36</v>
      </c>
      <c r="M95" s="177">
        <v>25.16</v>
      </c>
      <c r="N95" s="177">
        <v>8.4700000000000006</v>
      </c>
      <c r="O95" s="191">
        <f t="shared" si="12"/>
        <v>4.6123668938447828</v>
      </c>
      <c r="P95" s="191">
        <v>4.5</v>
      </c>
      <c r="Q95" s="183">
        <v>719.2</v>
      </c>
      <c r="R95" s="180"/>
      <c r="S95" s="180"/>
      <c r="T95" s="180"/>
      <c r="U95" s="180"/>
      <c r="V95" s="180"/>
      <c r="W95" s="180"/>
      <c r="X95" s="180"/>
      <c r="Y95" s="180"/>
      <c r="Z95" s="180"/>
      <c r="AA95" s="180"/>
      <c r="AB95" s="180"/>
      <c r="AC95" s="180"/>
      <c r="AD95" s="180"/>
      <c r="AE95" s="180"/>
      <c r="AF95" s="180"/>
      <c r="AG95" s="180"/>
      <c r="AH95" s="180"/>
      <c r="AI95" s="180"/>
      <c r="AJ95" s="180"/>
      <c r="AK95" s="180"/>
      <c r="AL95" s="205"/>
    </row>
    <row r="96" spans="3:38" x14ac:dyDescent="0.25">
      <c r="G96" s="185" t="s">
        <v>20</v>
      </c>
      <c r="H96" s="186">
        <v>23</v>
      </c>
      <c r="I96" s="50">
        <v>40.137126480000006</v>
      </c>
      <c r="J96" s="180">
        <v>420</v>
      </c>
      <c r="K96" s="180">
        <v>118.8</v>
      </c>
      <c r="L96" s="180">
        <v>36</v>
      </c>
      <c r="M96" s="177">
        <v>25.16</v>
      </c>
      <c r="N96" s="177">
        <v>8.4700000000000006</v>
      </c>
      <c r="O96" s="191">
        <f t="shared" si="12"/>
        <v>4.714626033898309</v>
      </c>
      <c r="P96" s="191">
        <v>4.5</v>
      </c>
      <c r="Q96" s="183">
        <v>706.5</v>
      </c>
      <c r="R96" s="180"/>
      <c r="S96" s="180"/>
      <c r="T96" s="180"/>
      <c r="U96" s="180"/>
      <c r="V96" s="180"/>
      <c r="W96" s="180"/>
      <c r="X96" s="180"/>
      <c r="Y96" s="180"/>
      <c r="Z96" s="180"/>
      <c r="AA96" s="180"/>
      <c r="AB96" s="180"/>
      <c r="AC96" s="180"/>
      <c r="AD96" s="180"/>
      <c r="AE96" s="180"/>
      <c r="AF96" s="180"/>
      <c r="AG96" s="180"/>
      <c r="AH96" s="180"/>
      <c r="AI96" s="180"/>
      <c r="AJ96" s="180"/>
      <c r="AK96" s="180"/>
      <c r="AL96" s="205"/>
    </row>
    <row r="97" spans="3:38" x14ac:dyDescent="0.25">
      <c r="G97" s="185" t="s">
        <v>21</v>
      </c>
      <c r="H97" s="186">
        <v>23</v>
      </c>
      <c r="I97" s="50">
        <v>35.549403120000008</v>
      </c>
      <c r="J97" s="180">
        <v>420</v>
      </c>
      <c r="K97" s="180">
        <v>118.8</v>
      </c>
      <c r="L97" s="180">
        <v>36</v>
      </c>
      <c r="M97" s="177">
        <v>25.16</v>
      </c>
      <c r="N97" s="177">
        <v>8.4700000000000006</v>
      </c>
      <c r="O97" s="191">
        <f t="shared" si="12"/>
        <v>4.8510436181980374</v>
      </c>
      <c r="P97" s="191">
        <v>5</v>
      </c>
      <c r="Q97" s="183">
        <v>747.2</v>
      </c>
      <c r="R97" s="180"/>
      <c r="S97" s="180"/>
      <c r="T97" s="180"/>
      <c r="U97" s="180"/>
      <c r="V97" s="180"/>
      <c r="W97" s="180"/>
      <c r="X97" s="180"/>
      <c r="Y97" s="180"/>
      <c r="Z97" s="180"/>
      <c r="AA97" s="180"/>
      <c r="AB97" s="180"/>
      <c r="AC97" s="180"/>
      <c r="AD97" s="180"/>
      <c r="AE97" s="180"/>
      <c r="AF97" s="180"/>
      <c r="AG97" s="180"/>
      <c r="AH97" s="180"/>
      <c r="AI97" s="180"/>
      <c r="AJ97" s="180"/>
      <c r="AK97" s="180"/>
      <c r="AL97" s="205"/>
    </row>
    <row r="98" spans="3:38" x14ac:dyDescent="0.25">
      <c r="G98" s="185" t="s">
        <v>22</v>
      </c>
      <c r="H98" s="186">
        <v>23</v>
      </c>
      <c r="I98" s="50">
        <v>30.961679760000006</v>
      </c>
      <c r="J98" s="180">
        <v>420</v>
      </c>
      <c r="K98" s="180">
        <v>118.8</v>
      </c>
      <c r="L98" s="180">
        <v>36</v>
      </c>
      <c r="M98" s="177">
        <v>25.16</v>
      </c>
      <c r="N98" s="177">
        <v>8.4700000000000006</v>
      </c>
      <c r="O98" s="191">
        <f t="shared" si="12"/>
        <v>4.9874612024977729</v>
      </c>
      <c r="P98" s="191">
        <v>5</v>
      </c>
      <c r="Q98" s="183">
        <v>607</v>
      </c>
      <c r="R98" s="180"/>
      <c r="S98" s="180"/>
      <c r="T98" s="180"/>
      <c r="U98" s="180"/>
      <c r="V98" s="180"/>
      <c r="W98" s="180"/>
      <c r="X98" s="180"/>
      <c r="Y98" s="180"/>
      <c r="Z98" s="180"/>
      <c r="AA98" s="180"/>
      <c r="AB98" s="180"/>
      <c r="AC98" s="180"/>
      <c r="AD98" s="180"/>
      <c r="AE98" s="180"/>
      <c r="AF98" s="180"/>
      <c r="AG98" s="180"/>
      <c r="AH98" s="180"/>
      <c r="AI98" s="180"/>
      <c r="AJ98" s="180"/>
      <c r="AK98" s="180"/>
      <c r="AL98" s="205"/>
    </row>
    <row r="99" spans="3:38" ht="13" x14ac:dyDescent="0.3">
      <c r="G99" s="147" t="s">
        <v>141</v>
      </c>
      <c r="H99" s="335"/>
      <c r="I99" s="335"/>
      <c r="J99" s="335"/>
      <c r="K99" s="335"/>
      <c r="L99" s="335"/>
      <c r="M99" s="335"/>
      <c r="N99" s="335"/>
      <c r="O99" s="335"/>
      <c r="P99" s="179"/>
      <c r="Q99" s="148">
        <f>SUM(Q93:Q98)</f>
        <v>4266.8</v>
      </c>
      <c r="R99" s="193">
        <f>9/24</f>
        <v>0.375</v>
      </c>
      <c r="S99" s="193">
        <f>24/1000</f>
        <v>2.4E-2</v>
      </c>
      <c r="T99" s="177">
        <v>0.27600000000000002</v>
      </c>
      <c r="U99" s="177">
        <v>12.96</v>
      </c>
      <c r="V99" s="180">
        <f>Q99</f>
        <v>4266.8</v>
      </c>
      <c r="W99" s="194">
        <f>R99*S99*T99*U99*V99</f>
        <v>137.35955635200006</v>
      </c>
      <c r="X99" s="180">
        <v>0.27800000000000002</v>
      </c>
      <c r="Y99" s="180">
        <v>12.96</v>
      </c>
      <c r="Z99" s="180">
        <f>Q99</f>
        <v>4266.8</v>
      </c>
      <c r="AA99" s="194">
        <f>(R99*S99*X99*Y99*Z99)</f>
        <v>138.35491545600001</v>
      </c>
      <c r="AB99" s="177">
        <v>0.42</v>
      </c>
      <c r="AC99" s="177">
        <v>41.904000000000003</v>
      </c>
      <c r="AD99" s="177">
        <f>Q99</f>
        <v>4266.8</v>
      </c>
      <c r="AE99" s="195">
        <f>(R99*S99*AB99*AC99*AD99)</f>
        <v>675.84883161600021</v>
      </c>
      <c r="AF99" s="196">
        <f>N448</f>
        <v>1160.9091371166885</v>
      </c>
      <c r="AG99" s="50">
        <f>W99+AA99+AE99+AF99</f>
        <v>2112.4724405406887</v>
      </c>
      <c r="AH99" s="180">
        <f>AG99*0.1</f>
        <v>211.24724405406889</v>
      </c>
      <c r="AI99" s="197">
        <f>AG99+AH99</f>
        <v>2323.7196845947574</v>
      </c>
      <c r="AJ99" s="177">
        <v>3.1</v>
      </c>
      <c r="AK99" s="198">
        <f>ROUND((AI99/AJ99),0)</f>
        <v>750</v>
      </c>
      <c r="AL99" s="205"/>
    </row>
    <row r="100" spans="3:38" ht="13" x14ac:dyDescent="0.3">
      <c r="G100" s="185" t="s">
        <v>13</v>
      </c>
      <c r="H100" s="186">
        <v>24</v>
      </c>
      <c r="I100" s="50">
        <v>63.072108000000007</v>
      </c>
      <c r="J100" s="180">
        <v>420</v>
      </c>
      <c r="K100" s="180">
        <v>118.8</v>
      </c>
      <c r="L100" s="180">
        <v>36</v>
      </c>
      <c r="M100" s="177">
        <v>25.16</v>
      </c>
      <c r="N100" s="177">
        <v>8.4700000000000006</v>
      </c>
      <c r="O100" s="191">
        <f>(H100-((I100+J100+K100+L100)/(M100+N100)))</f>
        <v>5.0326462087421966</v>
      </c>
      <c r="P100" s="191">
        <v>5</v>
      </c>
      <c r="Q100" s="183">
        <v>736.9</v>
      </c>
      <c r="R100" s="203"/>
      <c r="S100" s="203"/>
      <c r="T100" s="177"/>
      <c r="U100" s="177"/>
      <c r="V100" s="180"/>
      <c r="W100" s="194"/>
      <c r="X100" s="180"/>
      <c r="Y100" s="180"/>
      <c r="Z100" s="180"/>
      <c r="AA100" s="194"/>
      <c r="AB100" s="177"/>
      <c r="AC100" s="177"/>
      <c r="AD100" s="177"/>
      <c r="AE100" s="195"/>
      <c r="AF100" s="196"/>
      <c r="AG100" s="50"/>
      <c r="AH100" s="180"/>
      <c r="AI100" s="197"/>
      <c r="AJ100" s="177"/>
      <c r="AK100" s="198"/>
      <c r="AL100" s="205"/>
    </row>
    <row r="101" spans="3:38" ht="13" x14ac:dyDescent="0.3">
      <c r="G101" s="185" t="s">
        <v>24</v>
      </c>
      <c r="H101" s="186">
        <v>24</v>
      </c>
      <c r="I101" s="50">
        <v>51.602799600000004</v>
      </c>
      <c r="J101" s="180">
        <v>420</v>
      </c>
      <c r="K101" s="180">
        <v>118.8</v>
      </c>
      <c r="L101" s="180">
        <v>36</v>
      </c>
      <c r="M101" s="177">
        <v>25.16</v>
      </c>
      <c r="N101" s="177">
        <v>8.4700000000000006</v>
      </c>
      <c r="O101" s="191">
        <f t="shared" ref="O101:O105" si="13">(H101-((I101+J101+K101+L101)/(M101+N101)))</f>
        <v>5.3736901694915282</v>
      </c>
      <c r="P101" s="191">
        <v>5.5</v>
      </c>
      <c r="Q101" s="183">
        <v>689</v>
      </c>
      <c r="R101" s="203"/>
      <c r="S101" s="203"/>
      <c r="T101" s="177"/>
      <c r="U101" s="177"/>
      <c r="V101" s="180"/>
      <c r="W101" s="192"/>
      <c r="X101" s="180"/>
      <c r="Y101" s="180"/>
      <c r="Z101" s="180"/>
      <c r="AA101" s="192"/>
      <c r="AB101" s="177"/>
      <c r="AC101" s="177"/>
      <c r="AD101" s="177"/>
      <c r="AE101" s="181"/>
      <c r="AF101" s="181"/>
      <c r="AG101" s="50"/>
      <c r="AH101" s="180"/>
      <c r="AI101" s="203"/>
      <c r="AJ101" s="177"/>
      <c r="AK101" s="206"/>
      <c r="AL101" s="205"/>
    </row>
    <row r="102" spans="3:38" ht="13" x14ac:dyDescent="0.3">
      <c r="G102" s="185" t="s">
        <v>19</v>
      </c>
      <c r="H102" s="186">
        <v>24</v>
      </c>
      <c r="I102" s="50">
        <v>43.57610136000001</v>
      </c>
      <c r="J102" s="180">
        <v>420</v>
      </c>
      <c r="K102" s="180">
        <v>118.8</v>
      </c>
      <c r="L102" s="180">
        <v>36</v>
      </c>
      <c r="M102" s="177">
        <v>25.16</v>
      </c>
      <c r="N102" s="177">
        <v>8.4700000000000006</v>
      </c>
      <c r="O102" s="191">
        <f t="shared" si="13"/>
        <v>5.6123668938447828</v>
      </c>
      <c r="P102" s="191">
        <v>5.5</v>
      </c>
      <c r="Q102" s="183">
        <v>688.2</v>
      </c>
      <c r="R102" s="203"/>
      <c r="S102" s="203"/>
      <c r="T102" s="177"/>
      <c r="U102" s="177"/>
      <c r="V102" s="180"/>
      <c r="W102" s="192"/>
      <c r="X102" s="180"/>
      <c r="Y102" s="180"/>
      <c r="Z102" s="180"/>
      <c r="AA102" s="192"/>
      <c r="AB102" s="177"/>
      <c r="AC102" s="177"/>
      <c r="AD102" s="177"/>
      <c r="AE102" s="181"/>
      <c r="AF102" s="181"/>
      <c r="AG102" s="50"/>
      <c r="AH102" s="180"/>
      <c r="AI102" s="203"/>
      <c r="AJ102" s="177"/>
      <c r="AK102" s="206"/>
      <c r="AL102" s="205"/>
    </row>
    <row r="103" spans="3:38" ht="13" x14ac:dyDescent="0.3">
      <c r="G103" s="185" t="s">
        <v>20</v>
      </c>
      <c r="H103" s="186">
        <v>24</v>
      </c>
      <c r="I103" s="50">
        <v>40.137126480000006</v>
      </c>
      <c r="J103" s="180">
        <v>420</v>
      </c>
      <c r="K103" s="180">
        <v>118.8</v>
      </c>
      <c r="L103" s="180">
        <v>36</v>
      </c>
      <c r="M103" s="177">
        <v>25.16</v>
      </c>
      <c r="N103" s="177">
        <v>8.4700000000000006</v>
      </c>
      <c r="O103" s="191">
        <f t="shared" si="13"/>
        <v>5.714626033898309</v>
      </c>
      <c r="P103" s="191">
        <v>5.5</v>
      </c>
      <c r="Q103" s="183">
        <v>676.5</v>
      </c>
      <c r="R103" s="203"/>
      <c r="S103" s="203"/>
      <c r="T103" s="177"/>
      <c r="U103" s="177"/>
      <c r="V103" s="180"/>
      <c r="W103" s="192"/>
      <c r="X103" s="180"/>
      <c r="Y103" s="180"/>
      <c r="Z103" s="180"/>
      <c r="AA103" s="192"/>
      <c r="AB103" s="177"/>
      <c r="AC103" s="177"/>
      <c r="AD103" s="177"/>
      <c r="AE103" s="181"/>
      <c r="AF103" s="181"/>
      <c r="AG103" s="50"/>
      <c r="AH103" s="180"/>
      <c r="AI103" s="203"/>
      <c r="AJ103" s="177"/>
      <c r="AK103" s="206"/>
      <c r="AL103" s="205"/>
    </row>
    <row r="104" spans="3:38" ht="13" x14ac:dyDescent="0.3">
      <c r="G104" s="185" t="s">
        <v>21</v>
      </c>
      <c r="H104" s="186">
        <v>24</v>
      </c>
      <c r="I104" s="50">
        <v>35.549403120000008</v>
      </c>
      <c r="J104" s="180">
        <v>420</v>
      </c>
      <c r="K104" s="180">
        <v>118.8</v>
      </c>
      <c r="L104" s="180">
        <v>36</v>
      </c>
      <c r="M104" s="177">
        <v>25.16</v>
      </c>
      <c r="N104" s="177">
        <v>8.4700000000000006</v>
      </c>
      <c r="O104" s="191">
        <f t="shared" si="13"/>
        <v>5.8510436181980374</v>
      </c>
      <c r="P104" s="191">
        <v>6</v>
      </c>
      <c r="Q104" s="183">
        <v>716.2</v>
      </c>
      <c r="R104" s="203"/>
      <c r="S104" s="203"/>
      <c r="T104" s="177"/>
      <c r="U104" s="177"/>
      <c r="V104" s="180"/>
      <c r="W104" s="192"/>
      <c r="X104" s="180"/>
      <c r="Y104" s="180"/>
      <c r="Z104" s="180"/>
      <c r="AA104" s="192"/>
      <c r="AB104" s="177"/>
      <c r="AC104" s="177"/>
      <c r="AD104" s="177"/>
      <c r="AE104" s="181"/>
      <c r="AF104" s="181"/>
      <c r="AG104" s="50"/>
      <c r="AH104" s="180"/>
      <c r="AI104" s="203"/>
      <c r="AJ104" s="177"/>
      <c r="AK104" s="206"/>
      <c r="AL104" s="205"/>
    </row>
    <row r="105" spans="3:38" ht="13" x14ac:dyDescent="0.3">
      <c r="G105" s="185" t="s">
        <v>22</v>
      </c>
      <c r="H105" s="186">
        <v>24</v>
      </c>
      <c r="I105" s="50">
        <v>30.961679760000006</v>
      </c>
      <c r="J105" s="180">
        <v>420</v>
      </c>
      <c r="K105" s="180">
        <v>118.8</v>
      </c>
      <c r="L105" s="180">
        <v>36</v>
      </c>
      <c r="M105" s="177">
        <v>25.16</v>
      </c>
      <c r="N105" s="177">
        <v>8.4700000000000006</v>
      </c>
      <c r="O105" s="191">
        <f t="shared" si="13"/>
        <v>5.9874612024977729</v>
      </c>
      <c r="P105" s="191">
        <v>6</v>
      </c>
      <c r="Q105" s="183">
        <v>577</v>
      </c>
      <c r="R105" s="203"/>
      <c r="S105" s="203"/>
      <c r="T105" s="177"/>
      <c r="U105" s="177"/>
      <c r="V105" s="180"/>
      <c r="W105" s="192"/>
      <c r="X105" s="180"/>
      <c r="Y105" s="180"/>
      <c r="Z105" s="180"/>
      <c r="AA105" s="192"/>
      <c r="AB105" s="177"/>
      <c r="AC105" s="177"/>
      <c r="AD105" s="177"/>
      <c r="AE105" s="181"/>
      <c r="AF105" s="181"/>
      <c r="AG105" s="50"/>
      <c r="AH105" s="180"/>
      <c r="AI105" s="203"/>
      <c r="AJ105" s="177"/>
      <c r="AK105" s="206"/>
      <c r="AL105" s="205"/>
    </row>
    <row r="106" spans="3:38" ht="13" x14ac:dyDescent="0.3">
      <c r="G106" s="147" t="s">
        <v>142</v>
      </c>
      <c r="H106" s="361"/>
      <c r="I106" s="362"/>
      <c r="J106" s="362"/>
      <c r="K106" s="362"/>
      <c r="L106" s="362"/>
      <c r="M106" s="362"/>
      <c r="N106" s="363"/>
      <c r="O106" s="210"/>
      <c r="P106" s="179"/>
      <c r="Q106" s="148">
        <f>SUM(Q100:Q105)</f>
        <v>4083.8</v>
      </c>
      <c r="R106" s="193">
        <f>9/24</f>
        <v>0.375</v>
      </c>
      <c r="S106" s="193">
        <f>24/1000</f>
        <v>2.4E-2</v>
      </c>
      <c r="T106" s="177">
        <v>0.27600000000000002</v>
      </c>
      <c r="U106" s="177">
        <v>12.96</v>
      </c>
      <c r="V106" s="180">
        <f>Q106</f>
        <v>4083.8</v>
      </c>
      <c r="W106" s="194">
        <f>R106*S106*T106*U106*V106</f>
        <v>131.46830323200004</v>
      </c>
      <c r="X106" s="180">
        <v>0.27800000000000002</v>
      </c>
      <c r="Y106" s="180">
        <v>12.96</v>
      </c>
      <c r="Z106" s="180">
        <f>Q106</f>
        <v>4083.8</v>
      </c>
      <c r="AA106" s="194">
        <f>(R106*S106*X106*Y106*Z106)</f>
        <v>132.42097209600001</v>
      </c>
      <c r="AB106" s="177">
        <v>0.42</v>
      </c>
      <c r="AC106" s="177">
        <v>41.904000000000003</v>
      </c>
      <c r="AD106" s="177">
        <f>Q106</f>
        <v>4083.8</v>
      </c>
      <c r="AE106" s="195">
        <f>(R106*S106*AB106*AC106*AD106)</f>
        <v>646.86215865600013</v>
      </c>
      <c r="AF106" s="196">
        <f>N449</f>
        <v>1142.0632478671937</v>
      </c>
      <c r="AG106" s="50">
        <f>W106+AA106+AE106+AF106</f>
        <v>2052.8146818511941</v>
      </c>
      <c r="AH106" s="180">
        <f>AG106*0.1</f>
        <v>205.28146818511942</v>
      </c>
      <c r="AI106" s="197">
        <f>AG106+AH106</f>
        <v>2258.0961500363137</v>
      </c>
      <c r="AJ106" s="177">
        <v>3.1</v>
      </c>
      <c r="AK106" s="198">
        <f>ROUND((AI106/AJ106),0)</f>
        <v>728</v>
      </c>
      <c r="AL106" s="207"/>
    </row>
    <row r="107" spans="3:38" ht="13" x14ac:dyDescent="0.3">
      <c r="G107" s="337" t="s">
        <v>209</v>
      </c>
      <c r="H107" s="338"/>
      <c r="I107" s="338"/>
      <c r="J107" s="338"/>
      <c r="K107" s="338"/>
      <c r="L107" s="338"/>
      <c r="M107" s="338"/>
      <c r="N107" s="338"/>
      <c r="O107" s="338"/>
      <c r="P107" s="338"/>
      <c r="Q107" s="338"/>
      <c r="R107" s="338"/>
      <c r="S107" s="338"/>
      <c r="T107" s="338"/>
      <c r="U107" s="338"/>
      <c r="V107" s="338"/>
      <c r="W107" s="338"/>
      <c r="X107" s="338"/>
      <c r="Y107" s="338"/>
      <c r="Z107" s="338"/>
      <c r="AA107" s="338"/>
      <c r="AB107" s="338"/>
      <c r="AC107" s="338"/>
      <c r="AD107" s="338"/>
      <c r="AE107" s="338"/>
      <c r="AF107" s="338"/>
      <c r="AG107" s="338"/>
      <c r="AH107" s="338"/>
      <c r="AI107" s="338"/>
      <c r="AJ107" s="338"/>
      <c r="AK107" s="338"/>
      <c r="AL107" s="208">
        <f>ROUND((AK64*AU6+AK71*AU7+AK78*AU8+AK85*AU9+AK92*AU10+AK99*AU11+AK106*AU12),0)</f>
        <v>769</v>
      </c>
    </row>
    <row r="108" spans="3:38" ht="13" x14ac:dyDescent="0.3">
      <c r="G108" s="332" t="s">
        <v>33</v>
      </c>
      <c r="H108" s="333"/>
      <c r="I108" s="333"/>
      <c r="J108" s="333"/>
      <c r="K108" s="333"/>
      <c r="L108" s="333"/>
      <c r="M108" s="333"/>
      <c r="N108" s="333"/>
      <c r="O108" s="333"/>
      <c r="P108" s="333"/>
      <c r="Q108" s="333"/>
      <c r="R108" s="333"/>
      <c r="S108" s="333"/>
      <c r="T108" s="333"/>
      <c r="U108" s="333"/>
      <c r="V108" s="333"/>
      <c r="W108" s="333"/>
      <c r="X108" s="333"/>
      <c r="Y108" s="333"/>
      <c r="Z108" s="333"/>
      <c r="AA108" s="333"/>
      <c r="AB108" s="333"/>
      <c r="AC108" s="333"/>
      <c r="AD108" s="333"/>
      <c r="AE108" s="333"/>
      <c r="AF108" s="333"/>
      <c r="AG108" s="333"/>
      <c r="AH108" s="333"/>
      <c r="AI108" s="333"/>
      <c r="AJ108" s="333"/>
      <c r="AK108" s="333"/>
      <c r="AL108" s="334"/>
    </row>
    <row r="109" spans="3:38" ht="15.5" x14ac:dyDescent="0.4">
      <c r="C109" s="209"/>
      <c r="G109" s="185" t="s">
        <v>0</v>
      </c>
      <c r="H109" s="177"/>
      <c r="I109" s="180"/>
      <c r="J109" s="180"/>
      <c r="K109" s="180"/>
      <c r="L109" s="180"/>
      <c r="M109" s="180"/>
      <c r="N109" s="180"/>
      <c r="O109" s="187" t="s">
        <v>171</v>
      </c>
      <c r="P109" s="186" t="s">
        <v>172</v>
      </c>
      <c r="Q109" s="180" t="s">
        <v>2</v>
      </c>
      <c r="R109" s="180"/>
      <c r="S109" s="180"/>
      <c r="T109" s="180"/>
      <c r="U109" s="180"/>
      <c r="V109" s="180"/>
      <c r="W109" s="180"/>
      <c r="X109" s="180"/>
      <c r="Y109" s="180"/>
      <c r="Z109" s="180"/>
      <c r="AA109" s="180"/>
      <c r="AB109" s="180"/>
      <c r="AC109" s="180"/>
      <c r="AD109" s="180"/>
      <c r="AE109" s="180"/>
      <c r="AF109" s="180"/>
      <c r="AG109" s="180"/>
      <c r="AH109" s="180"/>
      <c r="AI109" s="180"/>
      <c r="AJ109" s="180"/>
      <c r="AK109" s="180"/>
      <c r="AL109" s="205"/>
    </row>
    <row r="110" spans="3:38" x14ac:dyDescent="0.25">
      <c r="C110" s="209"/>
      <c r="G110" s="185" t="s">
        <v>13</v>
      </c>
      <c r="H110" s="186">
        <v>18</v>
      </c>
      <c r="I110" s="50">
        <v>50.457686400000007</v>
      </c>
      <c r="J110" s="180">
        <v>420</v>
      </c>
      <c r="K110" s="180">
        <v>118.8</v>
      </c>
      <c r="L110" s="180">
        <v>36</v>
      </c>
      <c r="M110" s="177">
        <v>25.16</v>
      </c>
      <c r="N110" s="177">
        <v>8.4700000000000006</v>
      </c>
      <c r="O110" s="191">
        <f>(H110-((I110+J110+K110+L110)/(M110+N110)))</f>
        <v>-0.59225948260481687</v>
      </c>
      <c r="P110" s="191">
        <v>-0.5</v>
      </c>
      <c r="Q110" s="183">
        <v>980.9</v>
      </c>
      <c r="R110" s="180"/>
      <c r="S110" s="180"/>
      <c r="T110" s="180"/>
      <c r="U110" s="180"/>
      <c r="V110" s="180"/>
      <c r="W110" s="180"/>
      <c r="X110" s="180"/>
      <c r="Y110" s="180"/>
      <c r="Z110" s="180"/>
      <c r="AA110" s="180"/>
      <c r="AB110" s="180"/>
      <c r="AC110" s="180"/>
      <c r="AD110" s="180"/>
      <c r="AE110" s="180"/>
      <c r="AF110" s="180"/>
      <c r="AG110" s="180"/>
      <c r="AH110" s="180"/>
      <c r="AI110" s="180"/>
      <c r="AJ110" s="180"/>
      <c r="AK110" s="180"/>
      <c r="AL110" s="205"/>
    </row>
    <row r="111" spans="3:38" x14ac:dyDescent="0.25">
      <c r="C111" s="209"/>
      <c r="G111" s="185" t="s">
        <v>24</v>
      </c>
      <c r="H111" s="186">
        <v>18</v>
      </c>
      <c r="I111" s="50">
        <v>45.869963040000009</v>
      </c>
      <c r="J111" s="180">
        <v>420</v>
      </c>
      <c r="K111" s="180">
        <v>118.8</v>
      </c>
      <c r="L111" s="180">
        <v>36</v>
      </c>
      <c r="M111" s="177">
        <v>25.16</v>
      </c>
      <c r="N111" s="177">
        <v>8.4700000000000006</v>
      </c>
      <c r="O111" s="191">
        <f t="shared" ref="O111:O115" si="14">(H111-((I111+J111+K111+L111)/(M111+N111)))</f>
        <v>-0.45584189830508137</v>
      </c>
      <c r="P111" s="191">
        <v>-0.5</v>
      </c>
      <c r="Q111" s="183">
        <v>950.8</v>
      </c>
      <c r="R111" s="180"/>
      <c r="S111" s="180"/>
      <c r="T111" s="180"/>
      <c r="U111" s="180"/>
      <c r="V111" s="180"/>
      <c r="W111" s="180"/>
      <c r="X111" s="180"/>
      <c r="Y111" s="180"/>
      <c r="Z111" s="180"/>
      <c r="AA111" s="180"/>
      <c r="AB111" s="180"/>
      <c r="AC111" s="180"/>
      <c r="AD111" s="180"/>
      <c r="AE111" s="180"/>
      <c r="AF111" s="180"/>
      <c r="AG111" s="180"/>
      <c r="AH111" s="180"/>
      <c r="AI111" s="180"/>
      <c r="AJ111" s="180"/>
      <c r="AK111" s="180"/>
      <c r="AL111" s="205"/>
    </row>
    <row r="112" spans="3:38" x14ac:dyDescent="0.25">
      <c r="C112" s="209"/>
      <c r="G112" s="185" t="s">
        <v>19</v>
      </c>
      <c r="H112" s="186">
        <v>18</v>
      </c>
      <c r="I112" s="50">
        <v>42.427352880000001</v>
      </c>
      <c r="J112" s="180">
        <v>420</v>
      </c>
      <c r="K112" s="180">
        <v>118.8</v>
      </c>
      <c r="L112" s="180">
        <v>36</v>
      </c>
      <c r="M112" s="177">
        <v>25.16</v>
      </c>
      <c r="N112" s="177">
        <v>8.4700000000000006</v>
      </c>
      <c r="O112" s="191">
        <f t="shared" si="14"/>
        <v>-0.35347466190900789</v>
      </c>
      <c r="P112" s="191">
        <v>-0.5</v>
      </c>
      <c r="Q112" s="183">
        <v>939.1</v>
      </c>
      <c r="R112" s="180"/>
      <c r="S112" s="180"/>
      <c r="T112" s="180"/>
      <c r="U112" s="180"/>
      <c r="V112" s="180"/>
      <c r="W112" s="180"/>
      <c r="X112" s="180"/>
      <c r="Y112" s="180"/>
      <c r="Z112" s="180"/>
      <c r="AA112" s="180"/>
      <c r="AB112" s="180"/>
      <c r="AC112" s="180"/>
      <c r="AD112" s="180"/>
      <c r="AE112" s="180"/>
      <c r="AF112" s="180"/>
      <c r="AG112" s="180"/>
      <c r="AH112" s="180"/>
      <c r="AI112" s="180"/>
      <c r="AJ112" s="180"/>
      <c r="AK112" s="180"/>
      <c r="AL112" s="205"/>
    </row>
    <row r="113" spans="3:38" x14ac:dyDescent="0.25">
      <c r="C113" s="209"/>
      <c r="G113" s="185" t="s">
        <v>20</v>
      </c>
      <c r="H113" s="186">
        <v>18</v>
      </c>
      <c r="I113" s="50">
        <v>37.843264800000007</v>
      </c>
      <c r="J113" s="180">
        <v>420</v>
      </c>
      <c r="K113" s="180">
        <v>118.8</v>
      </c>
      <c r="L113" s="180">
        <v>36</v>
      </c>
      <c r="M113" s="177">
        <v>25.16</v>
      </c>
      <c r="N113" s="177">
        <v>8.4700000000000006</v>
      </c>
      <c r="O113" s="191">
        <f t="shared" si="14"/>
        <v>-0.21716517395182677</v>
      </c>
      <c r="P113" s="191">
        <v>0</v>
      </c>
      <c r="Q113" s="183">
        <v>870.9</v>
      </c>
      <c r="R113" s="180"/>
      <c r="S113" s="180"/>
      <c r="T113" s="180"/>
      <c r="U113" s="180"/>
      <c r="V113" s="180"/>
      <c r="W113" s="180"/>
      <c r="X113" s="180"/>
      <c r="Y113" s="180"/>
      <c r="Z113" s="180"/>
      <c r="AA113" s="180"/>
      <c r="AB113" s="180"/>
      <c r="AC113" s="180"/>
      <c r="AD113" s="180"/>
      <c r="AE113" s="180"/>
      <c r="AF113" s="180"/>
      <c r="AG113" s="180"/>
      <c r="AH113" s="180"/>
      <c r="AI113" s="180"/>
      <c r="AJ113" s="180"/>
      <c r="AK113" s="180"/>
      <c r="AL113" s="205"/>
    </row>
    <row r="114" spans="3:38" x14ac:dyDescent="0.25">
      <c r="C114" s="209"/>
      <c r="G114" s="185" t="s">
        <v>21</v>
      </c>
      <c r="H114" s="186">
        <v>18</v>
      </c>
      <c r="I114" s="50">
        <v>32.10679296</v>
      </c>
      <c r="J114" s="180">
        <v>420</v>
      </c>
      <c r="K114" s="180">
        <v>118.8</v>
      </c>
      <c r="L114" s="180">
        <v>36</v>
      </c>
      <c r="M114" s="177">
        <v>25.16</v>
      </c>
      <c r="N114" s="177">
        <v>8.4700000000000006</v>
      </c>
      <c r="O114" s="191">
        <f t="shared" si="14"/>
        <v>-4.6589145405885546E-2</v>
      </c>
      <c r="P114" s="191">
        <v>0</v>
      </c>
      <c r="Q114" s="183">
        <v>847.9</v>
      </c>
      <c r="R114" s="180"/>
      <c r="S114" s="180"/>
      <c r="T114" s="180"/>
      <c r="U114" s="180"/>
      <c r="V114" s="180"/>
      <c r="W114" s="180"/>
      <c r="X114" s="180"/>
      <c r="Y114" s="180"/>
      <c r="Z114" s="180"/>
      <c r="AA114" s="180"/>
      <c r="AB114" s="180"/>
      <c r="AC114" s="180"/>
      <c r="AD114" s="180"/>
      <c r="AE114" s="180"/>
      <c r="AF114" s="180"/>
      <c r="AG114" s="180"/>
      <c r="AH114" s="180"/>
      <c r="AI114" s="180"/>
      <c r="AJ114" s="180"/>
      <c r="AK114" s="180"/>
      <c r="AL114" s="205"/>
    </row>
    <row r="115" spans="3:38" x14ac:dyDescent="0.25">
      <c r="C115" s="209"/>
      <c r="G115" s="185" t="s">
        <v>22</v>
      </c>
      <c r="H115" s="186">
        <v>18</v>
      </c>
      <c r="I115" s="50">
        <v>27.522704880000003</v>
      </c>
      <c r="J115" s="180">
        <v>420</v>
      </c>
      <c r="K115" s="180">
        <v>118.8</v>
      </c>
      <c r="L115" s="180">
        <v>36</v>
      </c>
      <c r="M115" s="177">
        <v>25.16</v>
      </c>
      <c r="N115" s="177">
        <v>8.4700000000000006</v>
      </c>
      <c r="O115" s="191">
        <f t="shared" si="14"/>
        <v>8.9720342551295573E-2</v>
      </c>
      <c r="P115" s="191">
        <v>0</v>
      </c>
      <c r="Q115" s="183">
        <v>621.6</v>
      </c>
      <c r="R115" s="180"/>
      <c r="S115" s="180"/>
      <c r="T115" s="180"/>
      <c r="U115" s="180"/>
      <c r="V115" s="180"/>
      <c r="W115" s="180"/>
      <c r="X115" s="180"/>
      <c r="Y115" s="180"/>
      <c r="Z115" s="180"/>
      <c r="AA115" s="180"/>
      <c r="AB115" s="180"/>
      <c r="AC115" s="180"/>
      <c r="AD115" s="180"/>
      <c r="AE115" s="180"/>
      <c r="AF115" s="180"/>
      <c r="AG115" s="180"/>
      <c r="AH115" s="180"/>
      <c r="AI115" s="180"/>
      <c r="AJ115" s="180"/>
      <c r="AK115" s="180"/>
      <c r="AL115" s="205"/>
    </row>
    <row r="116" spans="3:38" ht="13" x14ac:dyDescent="0.3">
      <c r="C116" s="209"/>
      <c r="G116" s="147" t="s">
        <v>185</v>
      </c>
      <c r="H116" s="355"/>
      <c r="I116" s="356"/>
      <c r="J116" s="356"/>
      <c r="K116" s="356"/>
      <c r="L116" s="356"/>
      <c r="M116" s="356"/>
      <c r="N116" s="356"/>
      <c r="O116" s="356"/>
      <c r="P116" s="357"/>
      <c r="Q116" s="148">
        <f>SUM(Q110:Q115)</f>
        <v>5211.2</v>
      </c>
      <c r="R116" s="193">
        <f>9/24</f>
        <v>0.375</v>
      </c>
      <c r="S116" s="193">
        <f>24/1000</f>
        <v>2.4E-2</v>
      </c>
      <c r="T116" s="177">
        <v>0.27600000000000002</v>
      </c>
      <c r="U116" s="177">
        <v>12.96</v>
      </c>
      <c r="V116" s="180">
        <f>Q116</f>
        <v>5211.2</v>
      </c>
      <c r="W116" s="194">
        <f>R116*S116*T116*U116*V116</f>
        <v>167.76228556800004</v>
      </c>
      <c r="X116" s="180">
        <v>0.27800000000000002</v>
      </c>
      <c r="Y116" s="180">
        <v>12.96</v>
      </c>
      <c r="Z116" s="180">
        <f>Q116</f>
        <v>5211.2</v>
      </c>
      <c r="AA116" s="194">
        <f>(R116*S116*X116*Y116*Z116)</f>
        <v>168.97795430400001</v>
      </c>
      <c r="AB116" s="177">
        <v>0.42</v>
      </c>
      <c r="AC116" s="177">
        <v>41.904000000000003</v>
      </c>
      <c r="AD116" s="177">
        <f>Q116</f>
        <v>5211.2</v>
      </c>
      <c r="AE116" s="195">
        <f>(R116*S116*AB116*AC116*AD116)</f>
        <v>825.4390717440001</v>
      </c>
      <c r="AF116" s="196">
        <f>N584</f>
        <v>1162.7141368813384</v>
      </c>
      <c r="AG116" s="50">
        <f>W116+AA116+AE116+AF116</f>
        <v>2324.8934484973388</v>
      </c>
      <c r="AH116" s="180">
        <f>AG116*0.1</f>
        <v>232.4893448497339</v>
      </c>
      <c r="AI116" s="197">
        <f>AG116+AH116</f>
        <v>2557.3827933470725</v>
      </c>
      <c r="AJ116" s="177">
        <v>3.1</v>
      </c>
      <c r="AK116" s="198">
        <f>ROUND((AI116/AJ116),0)</f>
        <v>825</v>
      </c>
      <c r="AL116" s="205"/>
    </row>
    <row r="117" spans="3:38" x14ac:dyDescent="0.25">
      <c r="C117" s="209"/>
      <c r="G117" s="185" t="s">
        <v>13</v>
      </c>
      <c r="H117" s="186">
        <v>19</v>
      </c>
      <c r="I117" s="50">
        <v>50.457686400000007</v>
      </c>
      <c r="J117" s="180">
        <v>420</v>
      </c>
      <c r="K117" s="180">
        <v>118.8</v>
      </c>
      <c r="L117" s="180">
        <v>36</v>
      </c>
      <c r="M117" s="177">
        <v>25.16</v>
      </c>
      <c r="N117" s="177">
        <v>8.4700000000000006</v>
      </c>
      <c r="O117" s="191">
        <f>(H117-((I117+J117+K117+L117)/(M117+N117)))</f>
        <v>0.40774051739518313</v>
      </c>
      <c r="P117" s="191">
        <v>0.5</v>
      </c>
      <c r="Q117" s="183">
        <v>950.9</v>
      </c>
      <c r="R117" s="180"/>
      <c r="S117" s="180"/>
      <c r="T117" s="180"/>
      <c r="U117" s="180"/>
      <c r="V117" s="180"/>
      <c r="W117" s="180"/>
      <c r="X117" s="180"/>
      <c r="Y117" s="180"/>
      <c r="Z117" s="180"/>
      <c r="AA117" s="180"/>
      <c r="AB117" s="180"/>
      <c r="AC117" s="180"/>
      <c r="AD117" s="180"/>
      <c r="AE117" s="180"/>
      <c r="AF117" s="180"/>
      <c r="AG117" s="180"/>
      <c r="AH117" s="180"/>
      <c r="AI117" s="180"/>
      <c r="AJ117" s="180"/>
      <c r="AK117" s="180"/>
      <c r="AL117" s="205"/>
    </row>
    <row r="118" spans="3:38" x14ac:dyDescent="0.25">
      <c r="C118" s="209"/>
      <c r="G118" s="185" t="s">
        <v>24</v>
      </c>
      <c r="H118" s="186">
        <v>19</v>
      </c>
      <c r="I118" s="50">
        <v>45.869963040000009</v>
      </c>
      <c r="J118" s="180">
        <v>420</v>
      </c>
      <c r="K118" s="180">
        <v>118.8</v>
      </c>
      <c r="L118" s="180">
        <v>36</v>
      </c>
      <c r="M118" s="177">
        <v>25.16</v>
      </c>
      <c r="N118" s="177">
        <v>8.4700000000000006</v>
      </c>
      <c r="O118" s="191">
        <f t="shared" ref="O118:O122" si="15">(H118-((I118+J118+K118+L118)/(M118+N118)))</f>
        <v>0.54415810169491863</v>
      </c>
      <c r="P118" s="191">
        <v>0.5</v>
      </c>
      <c r="Q118" s="183">
        <v>919.8</v>
      </c>
      <c r="R118" s="180"/>
      <c r="S118" s="180"/>
      <c r="T118" s="180"/>
      <c r="U118" s="180"/>
      <c r="V118" s="180"/>
      <c r="W118" s="180"/>
      <c r="X118" s="180"/>
      <c r="Y118" s="180"/>
      <c r="Z118" s="180"/>
      <c r="AA118" s="180"/>
      <c r="AB118" s="180"/>
      <c r="AC118" s="180"/>
      <c r="AD118" s="180"/>
      <c r="AE118" s="180"/>
      <c r="AF118" s="180"/>
      <c r="AG118" s="180"/>
      <c r="AH118" s="180"/>
      <c r="AI118" s="180"/>
      <c r="AJ118" s="180"/>
      <c r="AK118" s="180"/>
      <c r="AL118" s="205"/>
    </row>
    <row r="119" spans="3:38" x14ac:dyDescent="0.25">
      <c r="C119" s="209"/>
      <c r="G119" s="185" t="s">
        <v>19</v>
      </c>
      <c r="H119" s="186">
        <v>19</v>
      </c>
      <c r="I119" s="50">
        <v>42.427352880000001</v>
      </c>
      <c r="J119" s="180">
        <v>420</v>
      </c>
      <c r="K119" s="180">
        <v>118.8</v>
      </c>
      <c r="L119" s="180">
        <v>36</v>
      </c>
      <c r="M119" s="177">
        <v>25.16</v>
      </c>
      <c r="N119" s="177">
        <v>8.4700000000000006</v>
      </c>
      <c r="O119" s="191">
        <f t="shared" si="15"/>
        <v>0.64652533809099211</v>
      </c>
      <c r="P119" s="191">
        <v>0.5</v>
      </c>
      <c r="Q119" s="183">
        <v>908.1</v>
      </c>
      <c r="R119" s="180"/>
      <c r="S119" s="180"/>
      <c r="T119" s="180"/>
      <c r="U119" s="180"/>
      <c r="V119" s="180"/>
      <c r="W119" s="180"/>
      <c r="X119" s="180"/>
      <c r="Y119" s="180"/>
      <c r="Z119" s="180"/>
      <c r="AA119" s="180"/>
      <c r="AB119" s="180"/>
      <c r="AC119" s="180"/>
      <c r="AD119" s="180"/>
      <c r="AE119" s="180"/>
      <c r="AF119" s="180"/>
      <c r="AG119" s="180"/>
      <c r="AH119" s="180"/>
      <c r="AI119" s="180"/>
      <c r="AJ119" s="180"/>
      <c r="AK119" s="180"/>
      <c r="AL119" s="205"/>
    </row>
    <row r="120" spans="3:38" x14ac:dyDescent="0.25">
      <c r="C120" s="209"/>
      <c r="G120" s="185" t="s">
        <v>20</v>
      </c>
      <c r="H120" s="186">
        <v>19</v>
      </c>
      <c r="I120" s="50">
        <v>37.843264800000007</v>
      </c>
      <c r="J120" s="180">
        <v>420</v>
      </c>
      <c r="K120" s="180">
        <v>118.8</v>
      </c>
      <c r="L120" s="180">
        <v>36</v>
      </c>
      <c r="M120" s="177">
        <v>25.16</v>
      </c>
      <c r="N120" s="177">
        <v>8.4700000000000006</v>
      </c>
      <c r="O120" s="191">
        <f t="shared" si="15"/>
        <v>0.78283482604817323</v>
      </c>
      <c r="P120" s="191">
        <v>1</v>
      </c>
      <c r="Q120" s="183">
        <v>840.9</v>
      </c>
      <c r="R120" s="180"/>
      <c r="S120" s="180"/>
      <c r="T120" s="180"/>
      <c r="U120" s="180"/>
      <c r="V120" s="180"/>
      <c r="W120" s="180"/>
      <c r="X120" s="180"/>
      <c r="Y120" s="180"/>
      <c r="Z120" s="180"/>
      <c r="AA120" s="180"/>
      <c r="AB120" s="180"/>
      <c r="AC120" s="180"/>
      <c r="AD120" s="180"/>
      <c r="AE120" s="180"/>
      <c r="AF120" s="180"/>
      <c r="AG120" s="180"/>
      <c r="AH120" s="180"/>
      <c r="AI120" s="180"/>
      <c r="AJ120" s="180"/>
      <c r="AK120" s="180"/>
      <c r="AL120" s="205"/>
    </row>
    <row r="121" spans="3:38" x14ac:dyDescent="0.25">
      <c r="C121" s="209"/>
      <c r="G121" s="185" t="s">
        <v>21</v>
      </c>
      <c r="H121" s="186">
        <v>19</v>
      </c>
      <c r="I121" s="50">
        <v>32.10679296</v>
      </c>
      <c r="J121" s="180">
        <v>420</v>
      </c>
      <c r="K121" s="180">
        <v>118.8</v>
      </c>
      <c r="L121" s="180">
        <v>36</v>
      </c>
      <c r="M121" s="177">
        <v>25.16</v>
      </c>
      <c r="N121" s="177">
        <v>8.4700000000000006</v>
      </c>
      <c r="O121" s="191">
        <f t="shared" si="15"/>
        <v>0.95341085459411445</v>
      </c>
      <c r="P121" s="191">
        <v>1</v>
      </c>
      <c r="Q121" s="183">
        <v>816.9</v>
      </c>
      <c r="R121" s="180"/>
      <c r="S121" s="180"/>
      <c r="T121" s="180"/>
      <c r="U121" s="180"/>
      <c r="V121" s="180"/>
      <c r="W121" s="180"/>
      <c r="X121" s="180"/>
      <c r="Y121" s="180"/>
      <c r="Z121" s="180"/>
      <c r="AA121" s="180"/>
      <c r="AB121" s="180"/>
      <c r="AC121" s="180"/>
      <c r="AD121" s="180"/>
      <c r="AE121" s="180"/>
      <c r="AF121" s="180"/>
      <c r="AG121" s="180"/>
      <c r="AH121" s="180"/>
      <c r="AI121" s="180"/>
      <c r="AJ121" s="180"/>
      <c r="AK121" s="180"/>
      <c r="AL121" s="205"/>
    </row>
    <row r="122" spans="3:38" x14ac:dyDescent="0.25">
      <c r="C122" s="209"/>
      <c r="G122" s="185" t="s">
        <v>22</v>
      </c>
      <c r="H122" s="186">
        <v>19</v>
      </c>
      <c r="I122" s="50">
        <v>27.522704880000003</v>
      </c>
      <c r="J122" s="180">
        <v>420</v>
      </c>
      <c r="K122" s="180">
        <v>118.8</v>
      </c>
      <c r="L122" s="180">
        <v>36</v>
      </c>
      <c r="M122" s="177">
        <v>25.16</v>
      </c>
      <c r="N122" s="177">
        <v>8.4700000000000006</v>
      </c>
      <c r="O122" s="191">
        <f t="shared" si="15"/>
        <v>1.0897203425512956</v>
      </c>
      <c r="P122" s="191">
        <v>1</v>
      </c>
      <c r="Q122" s="183">
        <v>591.6</v>
      </c>
      <c r="R122" s="180"/>
      <c r="S122" s="180"/>
      <c r="T122" s="180"/>
      <c r="U122" s="180"/>
      <c r="V122" s="180"/>
      <c r="W122" s="180"/>
      <c r="X122" s="180"/>
      <c r="Y122" s="180"/>
      <c r="Z122" s="180"/>
      <c r="AA122" s="180"/>
      <c r="AB122" s="180"/>
      <c r="AC122" s="180"/>
      <c r="AD122" s="180"/>
      <c r="AE122" s="180"/>
      <c r="AF122" s="180"/>
      <c r="AG122" s="180"/>
      <c r="AH122" s="180"/>
      <c r="AI122" s="180"/>
      <c r="AJ122" s="180"/>
      <c r="AK122" s="180"/>
      <c r="AL122" s="205"/>
    </row>
    <row r="123" spans="3:38" ht="13" x14ac:dyDescent="0.3">
      <c r="C123" s="209"/>
      <c r="G123" s="147" t="s">
        <v>206</v>
      </c>
      <c r="H123" s="355"/>
      <c r="I123" s="356"/>
      <c r="J123" s="356"/>
      <c r="K123" s="356"/>
      <c r="L123" s="356"/>
      <c r="M123" s="356"/>
      <c r="N123" s="356"/>
      <c r="O123" s="356"/>
      <c r="P123" s="357"/>
      <c r="Q123" s="148">
        <f>SUM(Q117:Q122)</f>
        <v>5028.2</v>
      </c>
      <c r="R123" s="193">
        <f>9/24</f>
        <v>0.375</v>
      </c>
      <c r="S123" s="193">
        <f>24/1000</f>
        <v>2.4E-2</v>
      </c>
      <c r="T123" s="177">
        <v>0.27600000000000002</v>
      </c>
      <c r="U123" s="177">
        <v>12.96</v>
      </c>
      <c r="V123" s="180">
        <f>Q123</f>
        <v>5028.2</v>
      </c>
      <c r="W123" s="194">
        <f>R123*S123*T123*U123*V123</f>
        <v>161.87103244800005</v>
      </c>
      <c r="X123" s="180">
        <v>0.27800000000000002</v>
      </c>
      <c r="Y123" s="180">
        <v>12.96</v>
      </c>
      <c r="Z123" s="180">
        <f>Q123</f>
        <v>5028.2</v>
      </c>
      <c r="AA123" s="194">
        <f>(R123*S123*X123*Y123*Z123)</f>
        <v>163.04401094400001</v>
      </c>
      <c r="AB123" s="177">
        <v>0.42</v>
      </c>
      <c r="AC123" s="177">
        <v>41.904000000000003</v>
      </c>
      <c r="AD123" s="177">
        <f>Q123</f>
        <v>5028.2</v>
      </c>
      <c r="AE123" s="195">
        <f>(R123*S123*AB123*AC123*AD123)</f>
        <v>796.45239878400014</v>
      </c>
      <c r="AF123" s="196">
        <f>N585</f>
        <v>1148.4026037136452</v>
      </c>
      <c r="AG123" s="50">
        <f>W123+AA123+AE123+AF123</f>
        <v>2269.7700458896452</v>
      </c>
      <c r="AH123" s="180">
        <f>AG123*0.1</f>
        <v>226.97700458896452</v>
      </c>
      <c r="AI123" s="197">
        <f>AG123+AH123</f>
        <v>2496.7470504786097</v>
      </c>
      <c r="AJ123" s="177">
        <v>3.1</v>
      </c>
      <c r="AK123" s="198">
        <f>ROUND((AI123/AJ123),0)</f>
        <v>805</v>
      </c>
      <c r="AL123" s="205"/>
    </row>
    <row r="124" spans="3:38" x14ac:dyDescent="0.25">
      <c r="C124" s="209"/>
      <c r="G124" s="185" t="s">
        <v>13</v>
      </c>
      <c r="H124" s="186">
        <v>20</v>
      </c>
      <c r="I124" s="50">
        <v>50.457686400000007</v>
      </c>
      <c r="J124" s="180">
        <v>420</v>
      </c>
      <c r="K124" s="180">
        <v>118.8</v>
      </c>
      <c r="L124" s="180">
        <v>36</v>
      </c>
      <c r="M124" s="177">
        <v>25.16</v>
      </c>
      <c r="N124" s="177">
        <v>8.4700000000000006</v>
      </c>
      <c r="O124" s="191">
        <f>(H124-((I124+J124+K124+L124)/(M124+N124)))</f>
        <v>1.4077405173951831</v>
      </c>
      <c r="P124" s="191">
        <v>1.5</v>
      </c>
      <c r="Q124" s="183">
        <v>920.9</v>
      </c>
      <c r="R124" s="180"/>
      <c r="S124" s="180"/>
      <c r="T124" s="180"/>
      <c r="U124" s="180"/>
      <c r="V124" s="180"/>
      <c r="W124" s="180"/>
      <c r="X124" s="180"/>
      <c r="Y124" s="180"/>
      <c r="Z124" s="180"/>
      <c r="AA124" s="180"/>
      <c r="AB124" s="180"/>
      <c r="AC124" s="180"/>
      <c r="AD124" s="180"/>
      <c r="AE124" s="180"/>
      <c r="AF124" s="180"/>
      <c r="AG124" s="180"/>
      <c r="AH124" s="180"/>
      <c r="AI124" s="180"/>
      <c r="AJ124" s="180"/>
      <c r="AK124" s="180"/>
      <c r="AL124" s="205"/>
    </row>
    <row r="125" spans="3:38" x14ac:dyDescent="0.25">
      <c r="C125" s="209"/>
      <c r="G125" s="185" t="s">
        <v>24</v>
      </c>
      <c r="H125" s="186">
        <v>20</v>
      </c>
      <c r="I125" s="50">
        <v>45.869963040000009</v>
      </c>
      <c r="J125" s="180">
        <v>420</v>
      </c>
      <c r="K125" s="180">
        <v>118.8</v>
      </c>
      <c r="L125" s="180">
        <v>36</v>
      </c>
      <c r="M125" s="177">
        <v>25.16</v>
      </c>
      <c r="N125" s="177">
        <v>8.4700000000000006</v>
      </c>
      <c r="O125" s="191">
        <f t="shared" ref="O125:O129" si="16">(H125-((I125+J125+K125+L125)/(M125+N125)))</f>
        <v>1.5441581016949186</v>
      </c>
      <c r="P125" s="191">
        <v>1.5</v>
      </c>
      <c r="Q125" s="183">
        <v>888.8</v>
      </c>
      <c r="R125" s="180"/>
      <c r="S125" s="180"/>
      <c r="T125" s="180"/>
      <c r="U125" s="180"/>
      <c r="V125" s="180"/>
      <c r="W125" s="180"/>
      <c r="X125" s="180"/>
      <c r="Y125" s="180"/>
      <c r="Z125" s="180"/>
      <c r="AA125" s="180"/>
      <c r="AB125" s="180"/>
      <c r="AC125" s="180"/>
      <c r="AD125" s="180"/>
      <c r="AE125" s="180"/>
      <c r="AF125" s="180"/>
      <c r="AG125" s="180"/>
      <c r="AH125" s="180"/>
      <c r="AI125" s="180"/>
      <c r="AJ125" s="180"/>
      <c r="AK125" s="180"/>
      <c r="AL125" s="205"/>
    </row>
    <row r="126" spans="3:38" x14ac:dyDescent="0.25">
      <c r="C126" s="209"/>
      <c r="G126" s="185" t="s">
        <v>19</v>
      </c>
      <c r="H126" s="186">
        <v>20</v>
      </c>
      <c r="I126" s="50">
        <v>42.427352880000001</v>
      </c>
      <c r="J126" s="180">
        <v>420</v>
      </c>
      <c r="K126" s="180">
        <v>118.8</v>
      </c>
      <c r="L126" s="180">
        <v>36</v>
      </c>
      <c r="M126" s="177">
        <v>25.16</v>
      </c>
      <c r="N126" s="177">
        <v>8.4700000000000006</v>
      </c>
      <c r="O126" s="191">
        <f t="shared" si="16"/>
        <v>1.6465253380909921</v>
      </c>
      <c r="P126" s="191">
        <v>1.5</v>
      </c>
      <c r="Q126" s="183">
        <v>877.1</v>
      </c>
      <c r="R126" s="180"/>
      <c r="S126" s="180"/>
      <c r="T126" s="180"/>
      <c r="U126" s="180"/>
      <c r="V126" s="180"/>
      <c r="W126" s="180"/>
      <c r="X126" s="180"/>
      <c r="Y126" s="180"/>
      <c r="Z126" s="180"/>
      <c r="AA126" s="180"/>
      <c r="AB126" s="180"/>
      <c r="AC126" s="180"/>
      <c r="AD126" s="180"/>
      <c r="AE126" s="180"/>
      <c r="AF126" s="180"/>
      <c r="AG126" s="180"/>
      <c r="AH126" s="180"/>
      <c r="AI126" s="180"/>
      <c r="AJ126" s="180"/>
      <c r="AK126" s="180"/>
      <c r="AL126" s="205"/>
    </row>
    <row r="127" spans="3:38" x14ac:dyDescent="0.25">
      <c r="C127" s="209"/>
      <c r="G127" s="185" t="s">
        <v>20</v>
      </c>
      <c r="H127" s="186">
        <v>20</v>
      </c>
      <c r="I127" s="50">
        <v>37.843264800000007</v>
      </c>
      <c r="J127" s="180">
        <v>420</v>
      </c>
      <c r="K127" s="180">
        <v>118.8</v>
      </c>
      <c r="L127" s="180">
        <v>36</v>
      </c>
      <c r="M127" s="177">
        <v>25.16</v>
      </c>
      <c r="N127" s="177">
        <v>8.4700000000000006</v>
      </c>
      <c r="O127" s="191">
        <f t="shared" si="16"/>
        <v>1.7828348260481732</v>
      </c>
      <c r="P127" s="191">
        <v>2</v>
      </c>
      <c r="Q127" s="183">
        <v>810.9</v>
      </c>
      <c r="R127" s="180"/>
      <c r="S127" s="180"/>
      <c r="T127" s="180"/>
      <c r="U127" s="180"/>
      <c r="V127" s="180"/>
      <c r="W127" s="180"/>
      <c r="X127" s="180"/>
      <c r="Y127" s="180"/>
      <c r="Z127" s="180"/>
      <c r="AA127" s="180"/>
      <c r="AB127" s="180"/>
      <c r="AC127" s="180"/>
      <c r="AD127" s="180"/>
      <c r="AE127" s="180"/>
      <c r="AF127" s="180"/>
      <c r="AG127" s="180"/>
      <c r="AH127" s="180"/>
      <c r="AI127" s="180"/>
      <c r="AJ127" s="180"/>
      <c r="AK127" s="180"/>
      <c r="AL127" s="205"/>
    </row>
    <row r="128" spans="3:38" x14ac:dyDescent="0.25">
      <c r="C128" s="209"/>
      <c r="G128" s="185" t="s">
        <v>21</v>
      </c>
      <c r="H128" s="186">
        <v>20</v>
      </c>
      <c r="I128" s="50">
        <v>32.10679296</v>
      </c>
      <c r="J128" s="180">
        <v>420</v>
      </c>
      <c r="K128" s="180">
        <v>118.8</v>
      </c>
      <c r="L128" s="180">
        <v>36</v>
      </c>
      <c r="M128" s="177">
        <v>25.16</v>
      </c>
      <c r="N128" s="177">
        <v>8.4700000000000006</v>
      </c>
      <c r="O128" s="191">
        <f t="shared" si="16"/>
        <v>1.9534108545941145</v>
      </c>
      <c r="P128" s="191">
        <v>2</v>
      </c>
      <c r="Q128" s="183">
        <v>785.9</v>
      </c>
      <c r="R128" s="180"/>
      <c r="S128" s="180"/>
      <c r="T128" s="180"/>
      <c r="U128" s="180"/>
      <c r="V128" s="180"/>
      <c r="W128" s="180"/>
      <c r="X128" s="180"/>
      <c r="Y128" s="180"/>
      <c r="Z128" s="180"/>
      <c r="AA128" s="180"/>
      <c r="AB128" s="180"/>
      <c r="AC128" s="180"/>
      <c r="AD128" s="180"/>
      <c r="AE128" s="180"/>
      <c r="AF128" s="180"/>
      <c r="AG128" s="180"/>
      <c r="AH128" s="180"/>
      <c r="AI128" s="180"/>
      <c r="AJ128" s="180"/>
      <c r="AK128" s="180"/>
      <c r="AL128" s="205"/>
    </row>
    <row r="129" spans="3:38" x14ac:dyDescent="0.25">
      <c r="C129" s="209"/>
      <c r="G129" s="185" t="s">
        <v>22</v>
      </c>
      <c r="H129" s="186">
        <v>20</v>
      </c>
      <c r="I129" s="50">
        <v>27.522704880000003</v>
      </c>
      <c r="J129" s="180">
        <v>420</v>
      </c>
      <c r="K129" s="180">
        <v>118.8</v>
      </c>
      <c r="L129" s="180">
        <v>36</v>
      </c>
      <c r="M129" s="177">
        <v>25.16</v>
      </c>
      <c r="N129" s="177">
        <v>8.4700000000000006</v>
      </c>
      <c r="O129" s="191">
        <f t="shared" si="16"/>
        <v>2.0897203425512956</v>
      </c>
      <c r="P129" s="191">
        <v>2</v>
      </c>
      <c r="Q129" s="183">
        <v>561.6</v>
      </c>
      <c r="R129" s="180"/>
      <c r="S129" s="180"/>
      <c r="T129" s="180"/>
      <c r="U129" s="180"/>
      <c r="V129" s="180"/>
      <c r="W129" s="180"/>
      <c r="X129" s="180"/>
      <c r="Y129" s="180"/>
      <c r="Z129" s="180"/>
      <c r="AA129" s="180"/>
      <c r="AB129" s="180"/>
      <c r="AC129" s="180"/>
      <c r="AD129" s="180"/>
      <c r="AE129" s="180"/>
      <c r="AF129" s="180"/>
      <c r="AG129" s="180"/>
      <c r="AH129" s="180"/>
      <c r="AI129" s="180"/>
      <c r="AJ129" s="180"/>
      <c r="AK129" s="180"/>
      <c r="AL129" s="205"/>
    </row>
    <row r="130" spans="3:38" ht="13" x14ac:dyDescent="0.3">
      <c r="C130" s="209"/>
      <c r="G130" s="147" t="s">
        <v>174</v>
      </c>
      <c r="H130" s="355"/>
      <c r="I130" s="356"/>
      <c r="J130" s="356"/>
      <c r="K130" s="356"/>
      <c r="L130" s="356"/>
      <c r="M130" s="356"/>
      <c r="N130" s="356"/>
      <c r="O130" s="356"/>
      <c r="P130" s="357"/>
      <c r="Q130" s="148">
        <f>SUM(Q124:Q129)</f>
        <v>4845.2</v>
      </c>
      <c r="R130" s="193">
        <f>9/24</f>
        <v>0.375</v>
      </c>
      <c r="S130" s="193">
        <f>24/1000</f>
        <v>2.4E-2</v>
      </c>
      <c r="T130" s="177">
        <v>0.27600000000000002</v>
      </c>
      <c r="U130" s="177">
        <v>12.96</v>
      </c>
      <c r="V130" s="180">
        <f>Q130</f>
        <v>4845.2</v>
      </c>
      <c r="W130" s="194">
        <f>R130*S130*T130*U130*V130</f>
        <v>155.97977932800003</v>
      </c>
      <c r="X130" s="180">
        <v>0.27800000000000002</v>
      </c>
      <c r="Y130" s="180">
        <v>12.96</v>
      </c>
      <c r="Z130" s="180">
        <f>Q130</f>
        <v>4845.2</v>
      </c>
      <c r="AA130" s="194">
        <f>(R130*S130*X130*Y130*Z130)</f>
        <v>157.11006758400001</v>
      </c>
      <c r="AB130" s="177">
        <v>0.42</v>
      </c>
      <c r="AC130" s="177">
        <v>41.904000000000003</v>
      </c>
      <c r="AD130" s="177">
        <f>Q130</f>
        <v>4845.2</v>
      </c>
      <c r="AE130" s="195">
        <f>(R130*S130*AB130*AC130*AD130)</f>
        <v>767.46572582400017</v>
      </c>
      <c r="AF130" s="196">
        <f>N586</f>
        <v>1134.0910705459519</v>
      </c>
      <c r="AG130" s="50">
        <f>W130+AA130+AE130+AF130</f>
        <v>2214.646643281952</v>
      </c>
      <c r="AH130" s="180">
        <f>AG130*0.1</f>
        <v>221.46466432819523</v>
      </c>
      <c r="AI130" s="197">
        <f>AG130+AH130</f>
        <v>2436.1113076101474</v>
      </c>
      <c r="AJ130" s="177">
        <v>3.1</v>
      </c>
      <c r="AK130" s="198">
        <f>ROUND((AI130/AJ130),0)</f>
        <v>786</v>
      </c>
      <c r="AL130" s="205"/>
    </row>
    <row r="131" spans="3:38" x14ac:dyDescent="0.25">
      <c r="C131" s="209"/>
      <c r="G131" s="185" t="s">
        <v>13</v>
      </c>
      <c r="H131" s="186">
        <v>21</v>
      </c>
      <c r="I131" s="50">
        <v>50.457686400000007</v>
      </c>
      <c r="J131" s="180">
        <v>420</v>
      </c>
      <c r="K131" s="180">
        <v>118.8</v>
      </c>
      <c r="L131" s="180">
        <v>36</v>
      </c>
      <c r="M131" s="177">
        <v>25.16</v>
      </c>
      <c r="N131" s="177">
        <v>8.4700000000000006</v>
      </c>
      <c r="O131" s="191">
        <f>(H131-((I131+J131+K131+L131)/(M131+N131)))</f>
        <v>2.4077405173951831</v>
      </c>
      <c r="P131" s="191">
        <v>2.5</v>
      </c>
      <c r="Q131" s="183">
        <v>890.9</v>
      </c>
      <c r="R131" s="180"/>
      <c r="S131" s="180"/>
      <c r="T131" s="180"/>
      <c r="U131" s="180"/>
      <c r="V131" s="180"/>
      <c r="W131" s="180"/>
      <c r="X131" s="180"/>
      <c r="Y131" s="180"/>
      <c r="Z131" s="180"/>
      <c r="AA131" s="180"/>
      <c r="AB131" s="180"/>
      <c r="AC131" s="180"/>
      <c r="AD131" s="180"/>
      <c r="AE131" s="180"/>
      <c r="AF131" s="180"/>
      <c r="AG131" s="180"/>
      <c r="AH131" s="180"/>
      <c r="AI131" s="180"/>
      <c r="AJ131" s="180"/>
      <c r="AK131" s="180"/>
      <c r="AL131" s="205"/>
    </row>
    <row r="132" spans="3:38" x14ac:dyDescent="0.25">
      <c r="C132" s="209"/>
      <c r="G132" s="185" t="s">
        <v>24</v>
      </c>
      <c r="H132" s="186">
        <v>21</v>
      </c>
      <c r="I132" s="50">
        <v>45.869963040000009</v>
      </c>
      <c r="J132" s="180">
        <v>420</v>
      </c>
      <c r="K132" s="180">
        <v>118.8</v>
      </c>
      <c r="L132" s="180">
        <v>36</v>
      </c>
      <c r="M132" s="177">
        <v>25.16</v>
      </c>
      <c r="N132" s="177">
        <v>8.4700000000000006</v>
      </c>
      <c r="O132" s="191">
        <f t="shared" ref="O132:O136" si="17">(H132-((I132+J132+K132+L132)/(M132+N132)))</f>
        <v>2.5441581016949186</v>
      </c>
      <c r="P132" s="191">
        <v>2.5</v>
      </c>
      <c r="Q132" s="183">
        <v>857.8</v>
      </c>
      <c r="R132" s="180"/>
      <c r="S132" s="180"/>
      <c r="T132" s="180"/>
      <c r="U132" s="180"/>
      <c r="V132" s="180"/>
      <c r="W132" s="180"/>
      <c r="X132" s="180"/>
      <c r="Y132" s="180"/>
      <c r="Z132" s="180"/>
      <c r="AA132" s="180"/>
      <c r="AB132" s="180"/>
      <c r="AC132" s="180"/>
      <c r="AD132" s="180"/>
      <c r="AE132" s="180"/>
      <c r="AF132" s="180"/>
      <c r="AG132" s="180"/>
      <c r="AH132" s="180"/>
      <c r="AI132" s="180"/>
      <c r="AJ132" s="180"/>
      <c r="AK132" s="180"/>
      <c r="AL132" s="205"/>
    </row>
    <row r="133" spans="3:38" x14ac:dyDescent="0.25">
      <c r="C133" s="209"/>
      <c r="G133" s="185" t="s">
        <v>19</v>
      </c>
      <c r="H133" s="186">
        <v>21</v>
      </c>
      <c r="I133" s="50">
        <v>42.427352880000001</v>
      </c>
      <c r="J133" s="180">
        <v>420</v>
      </c>
      <c r="K133" s="180">
        <v>118.8</v>
      </c>
      <c r="L133" s="180">
        <v>36</v>
      </c>
      <c r="M133" s="177">
        <v>25.16</v>
      </c>
      <c r="N133" s="177">
        <v>8.4700000000000006</v>
      </c>
      <c r="O133" s="191">
        <f t="shared" si="17"/>
        <v>2.6465253380909921</v>
      </c>
      <c r="P133" s="191">
        <v>2.5</v>
      </c>
      <c r="Q133" s="183">
        <v>846.1</v>
      </c>
      <c r="R133" s="180"/>
      <c r="S133" s="180"/>
      <c r="T133" s="180"/>
      <c r="U133" s="180"/>
      <c r="V133" s="180"/>
      <c r="W133" s="180"/>
      <c r="X133" s="180"/>
      <c r="Y133" s="180"/>
      <c r="Z133" s="180"/>
      <c r="AA133" s="180"/>
      <c r="AB133" s="180"/>
      <c r="AC133" s="180"/>
      <c r="AD133" s="180"/>
      <c r="AE133" s="180"/>
      <c r="AF133" s="180"/>
      <c r="AG133" s="180"/>
      <c r="AH133" s="180"/>
      <c r="AI133" s="180"/>
      <c r="AJ133" s="180"/>
      <c r="AK133" s="180"/>
      <c r="AL133" s="205"/>
    </row>
    <row r="134" spans="3:38" x14ac:dyDescent="0.25">
      <c r="C134" s="209"/>
      <c r="G134" s="185" t="s">
        <v>20</v>
      </c>
      <c r="H134" s="186">
        <v>21</v>
      </c>
      <c r="I134" s="50">
        <v>37.843264800000007</v>
      </c>
      <c r="J134" s="180">
        <v>420</v>
      </c>
      <c r="K134" s="180">
        <v>118.8</v>
      </c>
      <c r="L134" s="180">
        <v>36</v>
      </c>
      <c r="M134" s="177">
        <v>25.16</v>
      </c>
      <c r="N134" s="177">
        <v>8.4700000000000006</v>
      </c>
      <c r="O134" s="191">
        <f t="shared" si="17"/>
        <v>2.7828348260481732</v>
      </c>
      <c r="P134" s="191">
        <v>3</v>
      </c>
      <c r="Q134" s="183">
        <v>780.9</v>
      </c>
      <c r="R134" s="180"/>
      <c r="S134" s="180"/>
      <c r="T134" s="180"/>
      <c r="U134" s="180"/>
      <c r="V134" s="180"/>
      <c r="W134" s="180"/>
      <c r="X134" s="180"/>
      <c r="Y134" s="180"/>
      <c r="Z134" s="180"/>
      <c r="AA134" s="180"/>
      <c r="AB134" s="180"/>
      <c r="AC134" s="180"/>
      <c r="AD134" s="180"/>
      <c r="AE134" s="180"/>
      <c r="AF134" s="180"/>
      <c r="AG134" s="180"/>
      <c r="AH134" s="180"/>
      <c r="AI134" s="180"/>
      <c r="AJ134" s="180"/>
      <c r="AK134" s="180"/>
      <c r="AL134" s="205"/>
    </row>
    <row r="135" spans="3:38" x14ac:dyDescent="0.25">
      <c r="C135" s="209"/>
      <c r="G135" s="185" t="s">
        <v>21</v>
      </c>
      <c r="H135" s="186">
        <v>21</v>
      </c>
      <c r="I135" s="50">
        <v>32.10679296</v>
      </c>
      <c r="J135" s="180">
        <v>420</v>
      </c>
      <c r="K135" s="180">
        <v>118.8</v>
      </c>
      <c r="L135" s="180">
        <v>36</v>
      </c>
      <c r="M135" s="177">
        <v>25.16</v>
      </c>
      <c r="N135" s="177">
        <v>8.4700000000000006</v>
      </c>
      <c r="O135" s="191">
        <f t="shared" si="17"/>
        <v>2.9534108545941145</v>
      </c>
      <c r="P135" s="191">
        <v>3</v>
      </c>
      <c r="Q135" s="183">
        <v>754.9</v>
      </c>
      <c r="R135" s="180"/>
      <c r="S135" s="180"/>
      <c r="T135" s="180"/>
      <c r="U135" s="180"/>
      <c r="V135" s="180"/>
      <c r="W135" s="180"/>
      <c r="X135" s="180"/>
      <c r="Y135" s="180"/>
      <c r="Z135" s="180"/>
      <c r="AA135" s="180"/>
      <c r="AB135" s="180"/>
      <c r="AC135" s="180"/>
      <c r="AD135" s="180"/>
      <c r="AE135" s="180"/>
      <c r="AF135" s="180"/>
      <c r="AG135" s="180"/>
      <c r="AH135" s="180"/>
      <c r="AI135" s="180"/>
      <c r="AJ135" s="180"/>
      <c r="AK135" s="180"/>
      <c r="AL135" s="205"/>
    </row>
    <row r="136" spans="3:38" x14ac:dyDescent="0.25">
      <c r="C136" s="209"/>
      <c r="G136" s="185" t="s">
        <v>22</v>
      </c>
      <c r="H136" s="186">
        <v>21</v>
      </c>
      <c r="I136" s="50">
        <v>27.522704880000003</v>
      </c>
      <c r="J136" s="180">
        <v>420</v>
      </c>
      <c r="K136" s="180">
        <v>118.8</v>
      </c>
      <c r="L136" s="180">
        <v>36</v>
      </c>
      <c r="M136" s="177">
        <v>25.16</v>
      </c>
      <c r="N136" s="177">
        <v>8.4700000000000006</v>
      </c>
      <c r="O136" s="191">
        <f t="shared" si="17"/>
        <v>3.0897203425512956</v>
      </c>
      <c r="P136" s="191">
        <v>3</v>
      </c>
      <c r="Q136" s="183">
        <v>531.6</v>
      </c>
      <c r="R136" s="180"/>
      <c r="S136" s="180"/>
      <c r="T136" s="180"/>
      <c r="U136" s="180"/>
      <c r="V136" s="180"/>
      <c r="W136" s="180"/>
      <c r="X136" s="180"/>
      <c r="Y136" s="180"/>
      <c r="Z136" s="180"/>
      <c r="AA136" s="180"/>
      <c r="AB136" s="180"/>
      <c r="AC136" s="180"/>
      <c r="AD136" s="180"/>
      <c r="AE136" s="180"/>
      <c r="AF136" s="180"/>
      <c r="AG136" s="180"/>
      <c r="AH136" s="180"/>
      <c r="AI136" s="180"/>
      <c r="AJ136" s="180"/>
      <c r="AK136" s="180"/>
      <c r="AL136" s="205"/>
    </row>
    <row r="137" spans="3:38" ht="13" x14ac:dyDescent="0.3">
      <c r="C137" s="209"/>
      <c r="G137" s="147" t="s">
        <v>173</v>
      </c>
      <c r="H137" s="355"/>
      <c r="I137" s="356"/>
      <c r="J137" s="356"/>
      <c r="K137" s="356"/>
      <c r="L137" s="356"/>
      <c r="M137" s="356"/>
      <c r="N137" s="356"/>
      <c r="O137" s="356"/>
      <c r="P137" s="357"/>
      <c r="Q137" s="148">
        <f>SUM(Q131:Q136)</f>
        <v>4662.2</v>
      </c>
      <c r="R137" s="193">
        <f>9/24</f>
        <v>0.375</v>
      </c>
      <c r="S137" s="193">
        <f>24/1000</f>
        <v>2.4E-2</v>
      </c>
      <c r="T137" s="177">
        <v>0.27600000000000002</v>
      </c>
      <c r="U137" s="177">
        <v>12.96</v>
      </c>
      <c r="V137" s="180">
        <f>Q137</f>
        <v>4662.2</v>
      </c>
      <c r="W137" s="194">
        <f>R137*S137*T137*U137*V137</f>
        <v>150.08852620800005</v>
      </c>
      <c r="X137" s="180">
        <v>0.27800000000000002</v>
      </c>
      <c r="Y137" s="180">
        <v>12.96</v>
      </c>
      <c r="Z137" s="180">
        <f>Q137</f>
        <v>4662.2</v>
      </c>
      <c r="AA137" s="194">
        <f>(R137*S137*X137*Y137*Z137)</f>
        <v>151.17612422400001</v>
      </c>
      <c r="AB137" s="177">
        <v>0.42</v>
      </c>
      <c r="AC137" s="177">
        <v>41.904000000000003</v>
      </c>
      <c r="AD137" s="177">
        <f>Q137</f>
        <v>4662.2</v>
      </c>
      <c r="AE137" s="195">
        <f>(R137*S137*AB137*AC137*AD137)</f>
        <v>738.4790528640001</v>
      </c>
      <c r="AF137" s="196">
        <f>N587</f>
        <v>1119.7795373782587</v>
      </c>
      <c r="AG137" s="50">
        <f>W137+AA137+AE137+AF137</f>
        <v>2159.5232406742589</v>
      </c>
      <c r="AH137" s="180">
        <f>AG137*0.1</f>
        <v>215.95232406742591</v>
      </c>
      <c r="AI137" s="197">
        <f>AG137+AH137</f>
        <v>2375.4755647416846</v>
      </c>
      <c r="AJ137" s="177">
        <v>3.1</v>
      </c>
      <c r="AK137" s="198">
        <f>ROUND((AI137/AJ137),0)</f>
        <v>766</v>
      </c>
      <c r="AL137" s="205"/>
    </row>
    <row r="138" spans="3:38" x14ac:dyDescent="0.25">
      <c r="C138" s="209"/>
      <c r="G138" s="185" t="s">
        <v>13</v>
      </c>
      <c r="H138" s="186">
        <v>22</v>
      </c>
      <c r="I138" s="50">
        <v>50.457686400000007</v>
      </c>
      <c r="J138" s="180">
        <v>420</v>
      </c>
      <c r="K138" s="180">
        <v>118.8</v>
      </c>
      <c r="L138" s="180">
        <v>36</v>
      </c>
      <c r="M138" s="177">
        <v>25.16</v>
      </c>
      <c r="N138" s="177">
        <v>8.4700000000000006</v>
      </c>
      <c r="O138" s="191">
        <f>(H138-((I138+J138+K138+L138)/(M138+N138)))</f>
        <v>3.4077405173951831</v>
      </c>
      <c r="P138" s="191">
        <v>3.5</v>
      </c>
      <c r="Q138" s="183">
        <v>860.9</v>
      </c>
      <c r="R138" s="180"/>
      <c r="S138" s="180"/>
      <c r="T138" s="180"/>
      <c r="U138" s="180"/>
      <c r="V138" s="180"/>
      <c r="W138" s="180"/>
      <c r="X138" s="180"/>
      <c r="Y138" s="180"/>
      <c r="Z138" s="180"/>
      <c r="AA138" s="180"/>
      <c r="AB138" s="180"/>
      <c r="AC138" s="180"/>
      <c r="AD138" s="180"/>
      <c r="AE138" s="180"/>
      <c r="AF138" s="180"/>
      <c r="AG138" s="180"/>
      <c r="AH138" s="180"/>
      <c r="AI138" s="180"/>
      <c r="AJ138" s="180"/>
      <c r="AK138" s="180"/>
      <c r="AL138" s="205"/>
    </row>
    <row r="139" spans="3:38" x14ac:dyDescent="0.25">
      <c r="C139" s="209"/>
      <c r="G139" s="185" t="s">
        <v>24</v>
      </c>
      <c r="H139" s="186">
        <v>22</v>
      </c>
      <c r="I139" s="50">
        <v>45.869963040000009</v>
      </c>
      <c r="J139" s="180">
        <v>420</v>
      </c>
      <c r="K139" s="180">
        <v>118.8</v>
      </c>
      <c r="L139" s="180">
        <v>36</v>
      </c>
      <c r="M139" s="177">
        <v>25.16</v>
      </c>
      <c r="N139" s="177">
        <v>8.4700000000000006</v>
      </c>
      <c r="O139" s="191">
        <f t="shared" ref="O139:O143" si="18">(H139-((I139+J139+K139+L139)/(M139+N139)))</f>
        <v>3.5441581016949186</v>
      </c>
      <c r="P139" s="191">
        <v>3.5</v>
      </c>
      <c r="Q139" s="183">
        <v>826.8</v>
      </c>
      <c r="R139" s="180"/>
      <c r="S139" s="180"/>
      <c r="T139" s="180"/>
      <c r="U139" s="180"/>
      <c r="V139" s="180"/>
      <c r="W139" s="180"/>
      <c r="X139" s="180"/>
      <c r="Y139" s="180"/>
      <c r="Z139" s="180"/>
      <c r="AA139" s="180"/>
      <c r="AB139" s="180"/>
      <c r="AC139" s="180"/>
      <c r="AD139" s="180"/>
      <c r="AE139" s="180"/>
      <c r="AF139" s="180"/>
      <c r="AG139" s="180"/>
      <c r="AH139" s="180"/>
      <c r="AI139" s="180"/>
      <c r="AJ139" s="180"/>
      <c r="AK139" s="180"/>
      <c r="AL139" s="205"/>
    </row>
    <row r="140" spans="3:38" x14ac:dyDescent="0.25">
      <c r="C140" s="209"/>
      <c r="G140" s="185" t="s">
        <v>19</v>
      </c>
      <c r="H140" s="186">
        <v>22</v>
      </c>
      <c r="I140" s="50">
        <v>42.427352880000001</v>
      </c>
      <c r="J140" s="180">
        <v>420</v>
      </c>
      <c r="K140" s="180">
        <v>118.8</v>
      </c>
      <c r="L140" s="180">
        <v>36</v>
      </c>
      <c r="M140" s="177">
        <v>25.16</v>
      </c>
      <c r="N140" s="177">
        <v>8.4700000000000006</v>
      </c>
      <c r="O140" s="191">
        <f t="shared" si="18"/>
        <v>3.6465253380909921</v>
      </c>
      <c r="P140" s="191">
        <v>3.5</v>
      </c>
      <c r="Q140" s="183">
        <v>815.1</v>
      </c>
      <c r="R140" s="180"/>
      <c r="S140" s="180"/>
      <c r="T140" s="180"/>
      <c r="U140" s="180"/>
      <c r="V140" s="180"/>
      <c r="W140" s="180"/>
      <c r="X140" s="180"/>
      <c r="Y140" s="180"/>
      <c r="Z140" s="180"/>
      <c r="AA140" s="180"/>
      <c r="AB140" s="180"/>
      <c r="AC140" s="180"/>
      <c r="AD140" s="180"/>
      <c r="AE140" s="180"/>
      <c r="AF140" s="180"/>
      <c r="AG140" s="180"/>
      <c r="AH140" s="180"/>
      <c r="AI140" s="180"/>
      <c r="AJ140" s="180"/>
      <c r="AK140" s="180"/>
      <c r="AL140" s="205"/>
    </row>
    <row r="141" spans="3:38" x14ac:dyDescent="0.25">
      <c r="C141" s="209"/>
      <c r="G141" s="185" t="s">
        <v>20</v>
      </c>
      <c r="H141" s="186">
        <v>22</v>
      </c>
      <c r="I141" s="50">
        <v>37.843264800000007</v>
      </c>
      <c r="J141" s="180">
        <v>420</v>
      </c>
      <c r="K141" s="180">
        <v>118.8</v>
      </c>
      <c r="L141" s="180">
        <v>36</v>
      </c>
      <c r="M141" s="177">
        <v>25.16</v>
      </c>
      <c r="N141" s="177">
        <v>8.4700000000000006</v>
      </c>
      <c r="O141" s="191">
        <f t="shared" si="18"/>
        <v>3.7828348260481732</v>
      </c>
      <c r="P141" s="191">
        <v>4</v>
      </c>
      <c r="Q141" s="183">
        <v>750.9</v>
      </c>
      <c r="R141" s="180"/>
      <c r="S141" s="180"/>
      <c r="T141" s="180"/>
      <c r="U141" s="180"/>
      <c r="V141" s="180"/>
      <c r="W141" s="180"/>
      <c r="X141" s="180"/>
      <c r="Y141" s="180"/>
      <c r="Z141" s="180"/>
      <c r="AA141" s="180"/>
      <c r="AB141" s="180"/>
      <c r="AC141" s="180"/>
      <c r="AD141" s="180"/>
      <c r="AE141" s="180"/>
      <c r="AF141" s="180"/>
      <c r="AG141" s="180"/>
      <c r="AH141" s="180"/>
      <c r="AI141" s="180"/>
      <c r="AJ141" s="180"/>
      <c r="AK141" s="180"/>
      <c r="AL141" s="205"/>
    </row>
    <row r="142" spans="3:38" x14ac:dyDescent="0.25">
      <c r="C142" s="209"/>
      <c r="G142" s="185" t="s">
        <v>21</v>
      </c>
      <c r="H142" s="186">
        <v>22</v>
      </c>
      <c r="I142" s="50">
        <v>32.10679296</v>
      </c>
      <c r="J142" s="180">
        <v>420</v>
      </c>
      <c r="K142" s="180">
        <v>118.8</v>
      </c>
      <c r="L142" s="180">
        <v>36</v>
      </c>
      <c r="M142" s="177">
        <v>25.16</v>
      </c>
      <c r="N142" s="177">
        <v>8.4700000000000006</v>
      </c>
      <c r="O142" s="191">
        <f t="shared" si="18"/>
        <v>3.9534108545941145</v>
      </c>
      <c r="P142" s="191">
        <v>4</v>
      </c>
      <c r="Q142" s="183">
        <v>723.9</v>
      </c>
      <c r="R142" s="180"/>
      <c r="S142" s="180"/>
      <c r="T142" s="180"/>
      <c r="U142" s="180"/>
      <c r="V142" s="180"/>
      <c r="W142" s="180"/>
      <c r="X142" s="180"/>
      <c r="Y142" s="180"/>
      <c r="Z142" s="180"/>
      <c r="AA142" s="180"/>
      <c r="AB142" s="180"/>
      <c r="AC142" s="180"/>
      <c r="AD142" s="180"/>
      <c r="AE142" s="180"/>
      <c r="AF142" s="180"/>
      <c r="AG142" s="180"/>
      <c r="AH142" s="180"/>
      <c r="AI142" s="180"/>
      <c r="AJ142" s="180"/>
      <c r="AK142" s="180"/>
      <c r="AL142" s="205"/>
    </row>
    <row r="143" spans="3:38" x14ac:dyDescent="0.25">
      <c r="C143" s="209"/>
      <c r="G143" s="185" t="s">
        <v>22</v>
      </c>
      <c r="H143" s="186">
        <v>22</v>
      </c>
      <c r="I143" s="50">
        <v>27.522704880000003</v>
      </c>
      <c r="J143" s="180">
        <v>420</v>
      </c>
      <c r="K143" s="180">
        <v>118.8</v>
      </c>
      <c r="L143" s="180">
        <v>36</v>
      </c>
      <c r="M143" s="177">
        <v>25.16</v>
      </c>
      <c r="N143" s="177">
        <v>8.4700000000000006</v>
      </c>
      <c r="O143" s="191">
        <f t="shared" si="18"/>
        <v>4.0897203425512956</v>
      </c>
      <c r="P143" s="191">
        <v>4</v>
      </c>
      <c r="Q143" s="183">
        <v>501.6</v>
      </c>
      <c r="R143" s="180"/>
      <c r="S143" s="180"/>
      <c r="T143" s="180"/>
      <c r="U143" s="180"/>
      <c r="V143" s="180"/>
      <c r="W143" s="180"/>
      <c r="X143" s="180"/>
      <c r="Y143" s="180"/>
      <c r="Z143" s="180"/>
      <c r="AA143" s="180"/>
      <c r="AB143" s="180"/>
      <c r="AC143" s="180"/>
      <c r="AD143" s="180"/>
      <c r="AE143" s="180"/>
      <c r="AF143" s="180"/>
      <c r="AG143" s="180"/>
      <c r="AH143" s="180"/>
      <c r="AI143" s="180"/>
      <c r="AJ143" s="180"/>
      <c r="AK143" s="180"/>
      <c r="AL143" s="205"/>
    </row>
    <row r="144" spans="3:38" ht="13" x14ac:dyDescent="0.3">
      <c r="G144" s="147" t="s">
        <v>140</v>
      </c>
      <c r="H144" s="339"/>
      <c r="I144" s="339"/>
      <c r="J144" s="339"/>
      <c r="K144" s="339"/>
      <c r="L144" s="339"/>
      <c r="M144" s="339"/>
      <c r="N144" s="339"/>
      <c r="O144" s="339"/>
      <c r="P144" s="177"/>
      <c r="Q144" s="148">
        <f>SUM(Q138:Q143)</f>
        <v>4479.2</v>
      </c>
      <c r="R144" s="193">
        <f>9/24</f>
        <v>0.375</v>
      </c>
      <c r="S144" s="193">
        <f>24/1000</f>
        <v>2.4E-2</v>
      </c>
      <c r="T144" s="177">
        <v>0.27600000000000002</v>
      </c>
      <c r="U144" s="177">
        <v>12.96</v>
      </c>
      <c r="V144" s="180">
        <f>Q144</f>
        <v>4479.2</v>
      </c>
      <c r="W144" s="194">
        <f>R144*S144*T144*U144*V144</f>
        <v>144.19727308800003</v>
      </c>
      <c r="X144" s="180">
        <v>0.27800000000000002</v>
      </c>
      <c r="Y144" s="180">
        <v>12.96</v>
      </c>
      <c r="Z144" s="180">
        <f>Q144</f>
        <v>4479.2</v>
      </c>
      <c r="AA144" s="194">
        <f>(R144*S144*X144*Y144*Z144)</f>
        <v>145.24218086400001</v>
      </c>
      <c r="AB144" s="177">
        <v>0.42</v>
      </c>
      <c r="AC144" s="177">
        <v>41.904000000000003</v>
      </c>
      <c r="AD144" s="177">
        <f>Q144</f>
        <v>4479.2</v>
      </c>
      <c r="AE144" s="195">
        <f>(R144*S144*AB144*AC144*AD144)</f>
        <v>709.49237990400013</v>
      </c>
      <c r="AF144" s="196">
        <f>N588</f>
        <v>1105.4680042105654</v>
      </c>
      <c r="AG144" s="50">
        <f>W144+AA144+AE144+AF144</f>
        <v>2104.3998380665653</v>
      </c>
      <c r="AH144" s="180">
        <f>AG144*0.1</f>
        <v>210.43998380665653</v>
      </c>
      <c r="AI144" s="197">
        <f>AG144+AH144</f>
        <v>2314.8398218732218</v>
      </c>
      <c r="AJ144" s="177">
        <v>3.1</v>
      </c>
      <c r="AK144" s="198">
        <f>ROUND((AI144/AJ144),0)</f>
        <v>747</v>
      </c>
      <c r="AL144" s="205"/>
    </row>
    <row r="145" spans="7:38" ht="13" x14ac:dyDescent="0.3">
      <c r="G145" s="185" t="s">
        <v>13</v>
      </c>
      <c r="H145" s="186">
        <v>23</v>
      </c>
      <c r="I145" s="50">
        <v>50.457686400000007</v>
      </c>
      <c r="J145" s="180">
        <v>420</v>
      </c>
      <c r="K145" s="180">
        <v>118.8</v>
      </c>
      <c r="L145" s="180">
        <v>36</v>
      </c>
      <c r="M145" s="177">
        <v>25.16</v>
      </c>
      <c r="N145" s="177">
        <v>8.4700000000000006</v>
      </c>
      <c r="O145" s="191">
        <f>(H145-((I145+J145+K145+L145)/(M145+N145)))</f>
        <v>4.4077405173951831</v>
      </c>
      <c r="P145" s="191">
        <v>4.5</v>
      </c>
      <c r="Q145" s="183">
        <v>830.9</v>
      </c>
      <c r="R145" s="203"/>
      <c r="S145" s="203"/>
      <c r="T145" s="177"/>
      <c r="U145" s="177"/>
      <c r="V145" s="180"/>
      <c r="W145" s="194"/>
      <c r="X145" s="180"/>
      <c r="Y145" s="180"/>
      <c r="Z145" s="180"/>
      <c r="AA145" s="194"/>
      <c r="AB145" s="177"/>
      <c r="AC145" s="177"/>
      <c r="AD145" s="177"/>
      <c r="AE145" s="195"/>
      <c r="AF145" s="196"/>
      <c r="AG145" s="50"/>
      <c r="AH145" s="180"/>
      <c r="AI145" s="197"/>
      <c r="AJ145" s="177"/>
      <c r="AK145" s="198"/>
      <c r="AL145" s="205"/>
    </row>
    <row r="146" spans="7:38" x14ac:dyDescent="0.25">
      <c r="G146" s="185" t="s">
        <v>24</v>
      </c>
      <c r="H146" s="186">
        <v>23</v>
      </c>
      <c r="I146" s="50">
        <v>45.869963040000009</v>
      </c>
      <c r="J146" s="180">
        <v>420</v>
      </c>
      <c r="K146" s="180">
        <v>118.8</v>
      </c>
      <c r="L146" s="180">
        <v>36</v>
      </c>
      <c r="M146" s="177">
        <v>25.16</v>
      </c>
      <c r="N146" s="177">
        <v>8.4700000000000006</v>
      </c>
      <c r="O146" s="191">
        <f t="shared" ref="O146:O150" si="19">(H146-((I146+J146+K146+L146)/(M146+N146)))</f>
        <v>4.5441581016949186</v>
      </c>
      <c r="P146" s="191">
        <v>4.5</v>
      </c>
      <c r="Q146" s="183">
        <v>795.8</v>
      </c>
      <c r="R146" s="180"/>
      <c r="S146" s="180"/>
      <c r="T146" s="180"/>
      <c r="U146" s="180"/>
      <c r="V146" s="180"/>
      <c r="W146" s="180"/>
      <c r="X146" s="180"/>
      <c r="Y146" s="180"/>
      <c r="Z146" s="180"/>
      <c r="AA146" s="180"/>
      <c r="AB146" s="180"/>
      <c r="AC146" s="180"/>
      <c r="AD146" s="180"/>
      <c r="AE146" s="180"/>
      <c r="AF146" s="180"/>
      <c r="AG146" s="180"/>
      <c r="AH146" s="180"/>
      <c r="AI146" s="180"/>
      <c r="AJ146" s="180"/>
      <c r="AK146" s="180"/>
      <c r="AL146" s="205"/>
    </row>
    <row r="147" spans="7:38" x14ac:dyDescent="0.25">
      <c r="G147" s="185" t="s">
        <v>19</v>
      </c>
      <c r="H147" s="186">
        <v>23</v>
      </c>
      <c r="I147" s="50">
        <v>42.427352880000001</v>
      </c>
      <c r="J147" s="180">
        <v>420</v>
      </c>
      <c r="K147" s="180">
        <v>118.8</v>
      </c>
      <c r="L147" s="180">
        <v>36</v>
      </c>
      <c r="M147" s="177">
        <v>25.16</v>
      </c>
      <c r="N147" s="177">
        <v>8.4700000000000006</v>
      </c>
      <c r="O147" s="191">
        <f t="shared" si="19"/>
        <v>4.6465253380909921</v>
      </c>
      <c r="P147" s="191">
        <v>4.5</v>
      </c>
      <c r="Q147" s="183">
        <v>784.1</v>
      </c>
      <c r="R147" s="180"/>
      <c r="S147" s="180"/>
      <c r="T147" s="180"/>
      <c r="U147" s="180"/>
      <c r="V147" s="180"/>
      <c r="W147" s="180"/>
      <c r="X147" s="180"/>
      <c r="Y147" s="180"/>
      <c r="Z147" s="180"/>
      <c r="AA147" s="180"/>
      <c r="AB147" s="180"/>
      <c r="AC147" s="180"/>
      <c r="AD147" s="180"/>
      <c r="AE147" s="180"/>
      <c r="AF147" s="180"/>
      <c r="AG147" s="180"/>
      <c r="AH147" s="180"/>
      <c r="AI147" s="180"/>
      <c r="AJ147" s="180"/>
      <c r="AK147" s="180"/>
      <c r="AL147" s="205"/>
    </row>
    <row r="148" spans="7:38" x14ac:dyDescent="0.25">
      <c r="G148" s="185" t="s">
        <v>20</v>
      </c>
      <c r="H148" s="186">
        <v>23</v>
      </c>
      <c r="I148" s="50">
        <v>37.843264800000007</v>
      </c>
      <c r="J148" s="180">
        <v>420</v>
      </c>
      <c r="K148" s="180">
        <v>118.8</v>
      </c>
      <c r="L148" s="180">
        <v>36</v>
      </c>
      <c r="M148" s="177">
        <v>25.16</v>
      </c>
      <c r="N148" s="177">
        <v>8.4700000000000006</v>
      </c>
      <c r="O148" s="191">
        <f t="shared" si="19"/>
        <v>4.7828348260481732</v>
      </c>
      <c r="P148" s="191">
        <v>5</v>
      </c>
      <c r="Q148" s="183">
        <v>720.9</v>
      </c>
      <c r="R148" s="180"/>
      <c r="S148" s="180"/>
      <c r="T148" s="180"/>
      <c r="U148" s="180"/>
      <c r="V148" s="180"/>
      <c r="W148" s="180"/>
      <c r="X148" s="180"/>
      <c r="Y148" s="180"/>
      <c r="Z148" s="180"/>
      <c r="AA148" s="180"/>
      <c r="AB148" s="180"/>
      <c r="AC148" s="180"/>
      <c r="AD148" s="180"/>
      <c r="AE148" s="180"/>
      <c r="AF148" s="180"/>
      <c r="AG148" s="180"/>
      <c r="AH148" s="180"/>
      <c r="AI148" s="180"/>
      <c r="AJ148" s="180"/>
      <c r="AK148" s="180"/>
      <c r="AL148" s="205"/>
    </row>
    <row r="149" spans="7:38" x14ac:dyDescent="0.25">
      <c r="G149" s="185" t="s">
        <v>21</v>
      </c>
      <c r="H149" s="186">
        <v>23</v>
      </c>
      <c r="I149" s="50">
        <v>32.10679296</v>
      </c>
      <c r="J149" s="180">
        <v>420</v>
      </c>
      <c r="K149" s="180">
        <v>118.8</v>
      </c>
      <c r="L149" s="180">
        <v>36</v>
      </c>
      <c r="M149" s="177">
        <v>25.16</v>
      </c>
      <c r="N149" s="177">
        <v>8.4700000000000006</v>
      </c>
      <c r="O149" s="191">
        <f t="shared" si="19"/>
        <v>4.9534108545941145</v>
      </c>
      <c r="P149" s="191">
        <v>5</v>
      </c>
      <c r="Q149" s="183">
        <v>692.9</v>
      </c>
      <c r="R149" s="180"/>
      <c r="S149" s="180"/>
      <c r="T149" s="180"/>
      <c r="U149" s="180"/>
      <c r="V149" s="180"/>
      <c r="W149" s="180"/>
      <c r="X149" s="180"/>
      <c r="Y149" s="180"/>
      <c r="Z149" s="180"/>
      <c r="AA149" s="180"/>
      <c r="AB149" s="180"/>
      <c r="AC149" s="180"/>
      <c r="AD149" s="180"/>
      <c r="AE149" s="180"/>
      <c r="AF149" s="180"/>
      <c r="AG149" s="180"/>
      <c r="AH149" s="180"/>
      <c r="AI149" s="180"/>
      <c r="AJ149" s="180"/>
      <c r="AK149" s="180"/>
      <c r="AL149" s="205"/>
    </row>
    <row r="150" spans="7:38" x14ac:dyDescent="0.25">
      <c r="G150" s="185" t="s">
        <v>22</v>
      </c>
      <c r="H150" s="186">
        <v>23</v>
      </c>
      <c r="I150" s="50">
        <v>27.522704880000003</v>
      </c>
      <c r="J150" s="180">
        <v>420</v>
      </c>
      <c r="K150" s="180">
        <v>118.8</v>
      </c>
      <c r="L150" s="180">
        <v>36</v>
      </c>
      <c r="M150" s="177">
        <v>25.16</v>
      </c>
      <c r="N150" s="177">
        <v>8.4700000000000006</v>
      </c>
      <c r="O150" s="191">
        <f t="shared" si="19"/>
        <v>5.0897203425512956</v>
      </c>
      <c r="P150" s="191">
        <v>5</v>
      </c>
      <c r="Q150" s="183">
        <v>471.6</v>
      </c>
      <c r="R150" s="180"/>
      <c r="S150" s="180"/>
      <c r="T150" s="180"/>
      <c r="U150" s="180"/>
      <c r="V150" s="180"/>
      <c r="W150" s="180"/>
      <c r="X150" s="180"/>
      <c r="Y150" s="180"/>
      <c r="Z150" s="180"/>
      <c r="AA150" s="180"/>
      <c r="AB150" s="180"/>
      <c r="AC150" s="180"/>
      <c r="AD150" s="180"/>
      <c r="AE150" s="180"/>
      <c r="AF150" s="180"/>
      <c r="AG150" s="180"/>
      <c r="AH150" s="180"/>
      <c r="AI150" s="180"/>
      <c r="AJ150" s="180"/>
      <c r="AK150" s="180"/>
      <c r="AL150" s="205"/>
    </row>
    <row r="151" spans="7:38" ht="13" x14ac:dyDescent="0.3">
      <c r="G151" s="147" t="s">
        <v>141</v>
      </c>
      <c r="H151" s="335"/>
      <c r="I151" s="335"/>
      <c r="J151" s="335"/>
      <c r="K151" s="335"/>
      <c r="L151" s="335"/>
      <c r="M151" s="335"/>
      <c r="N151" s="335"/>
      <c r="O151" s="335"/>
      <c r="P151" s="179"/>
      <c r="Q151" s="148">
        <f>SUM(Q145:Q150)</f>
        <v>4296.2</v>
      </c>
      <c r="R151" s="193">
        <f>9/24</f>
        <v>0.375</v>
      </c>
      <c r="S151" s="193">
        <f>24/1000</f>
        <v>2.4E-2</v>
      </c>
      <c r="T151" s="177">
        <v>0.27600000000000002</v>
      </c>
      <c r="U151" s="177">
        <v>12.96</v>
      </c>
      <c r="V151" s="180">
        <f>Q151</f>
        <v>4296.2</v>
      </c>
      <c r="W151" s="194">
        <f>R151*S151*T151*U151*V151</f>
        <v>138.30601996800004</v>
      </c>
      <c r="X151" s="180">
        <v>0.27800000000000002</v>
      </c>
      <c r="Y151" s="180">
        <v>12.96</v>
      </c>
      <c r="Z151" s="180">
        <f>Q151</f>
        <v>4296.2</v>
      </c>
      <c r="AA151" s="194">
        <f>(R151*S151*X151*Y151*Z151)</f>
        <v>139.308237504</v>
      </c>
      <c r="AB151" s="177">
        <v>0.42</v>
      </c>
      <c r="AC151" s="177">
        <v>41.904000000000003</v>
      </c>
      <c r="AD151" s="177">
        <f>Q151</f>
        <v>4296.2</v>
      </c>
      <c r="AE151" s="195">
        <f>(R151*S151*AB151*AC151*AD151)</f>
        <v>680.50570694400005</v>
      </c>
      <c r="AF151" s="196">
        <f>N589</f>
        <v>1091.1564710428722</v>
      </c>
      <c r="AG151" s="50">
        <f>W151+AA151+AE151+AF151</f>
        <v>2049.2764354588726</v>
      </c>
      <c r="AH151" s="180">
        <f>AG151*0.1</f>
        <v>204.92764354588726</v>
      </c>
      <c r="AI151" s="197">
        <f>AG151+AH151</f>
        <v>2254.2040790047599</v>
      </c>
      <c r="AJ151" s="177">
        <v>3.1</v>
      </c>
      <c r="AK151" s="198">
        <f>ROUND((AI151/AJ151),0)</f>
        <v>727</v>
      </c>
      <c r="AL151" s="205"/>
    </row>
    <row r="152" spans="7:38" ht="13" x14ac:dyDescent="0.3">
      <c r="G152" s="185" t="s">
        <v>13</v>
      </c>
      <c r="H152" s="186">
        <v>24</v>
      </c>
      <c r="I152" s="50">
        <v>50.457686400000007</v>
      </c>
      <c r="J152" s="180">
        <v>420</v>
      </c>
      <c r="K152" s="180">
        <v>118.8</v>
      </c>
      <c r="L152" s="180">
        <v>36</v>
      </c>
      <c r="M152" s="177">
        <v>25.16</v>
      </c>
      <c r="N152" s="177">
        <v>8.4700000000000006</v>
      </c>
      <c r="O152" s="191">
        <f>(H152-((I152+J152+K152+L152)/(M152+N152)))</f>
        <v>5.4077405173951831</v>
      </c>
      <c r="P152" s="191">
        <v>5.5</v>
      </c>
      <c r="Q152" s="183">
        <v>800.9</v>
      </c>
      <c r="R152" s="203"/>
      <c r="S152" s="203"/>
      <c r="T152" s="177"/>
      <c r="U152" s="177"/>
      <c r="V152" s="180"/>
      <c r="W152" s="194"/>
      <c r="X152" s="180"/>
      <c r="Y152" s="180"/>
      <c r="Z152" s="180"/>
      <c r="AA152" s="194"/>
      <c r="AB152" s="177"/>
      <c r="AC152" s="177"/>
      <c r="AD152" s="177"/>
      <c r="AE152" s="195"/>
      <c r="AF152" s="196"/>
      <c r="AG152" s="50"/>
      <c r="AH152" s="180"/>
      <c r="AI152" s="197"/>
      <c r="AJ152" s="177"/>
      <c r="AK152" s="198"/>
      <c r="AL152" s="205"/>
    </row>
    <row r="153" spans="7:38" x14ac:dyDescent="0.25">
      <c r="G153" s="185" t="s">
        <v>24</v>
      </c>
      <c r="H153" s="186">
        <v>24</v>
      </c>
      <c r="I153" s="50">
        <v>45.869963040000009</v>
      </c>
      <c r="J153" s="180">
        <v>420</v>
      </c>
      <c r="K153" s="180">
        <v>118.8</v>
      </c>
      <c r="L153" s="180">
        <v>36</v>
      </c>
      <c r="M153" s="177">
        <v>25.16</v>
      </c>
      <c r="N153" s="177">
        <v>8.4700000000000006</v>
      </c>
      <c r="O153" s="191">
        <f t="shared" ref="O153:O157" si="20">(H153-((I153+J153+K153+L153)/(M153+N153)))</f>
        <v>5.5441581016949186</v>
      </c>
      <c r="P153" s="191">
        <v>5.5</v>
      </c>
      <c r="Q153" s="183">
        <v>764.8</v>
      </c>
      <c r="R153" s="180"/>
      <c r="S153" s="180"/>
      <c r="T153" s="180"/>
      <c r="U153" s="180"/>
      <c r="V153" s="180"/>
      <c r="W153" s="180"/>
      <c r="X153" s="180"/>
      <c r="Y153" s="180"/>
      <c r="Z153" s="180"/>
      <c r="AA153" s="180"/>
      <c r="AB153" s="180"/>
      <c r="AC153" s="180"/>
      <c r="AD153" s="180"/>
      <c r="AE153" s="180"/>
      <c r="AF153" s="180"/>
      <c r="AG153" s="180" t="s">
        <v>161</v>
      </c>
      <c r="AH153" s="180"/>
      <c r="AI153" s="180"/>
      <c r="AJ153" s="180"/>
      <c r="AK153" s="180"/>
      <c r="AL153" s="205"/>
    </row>
    <row r="154" spans="7:38" x14ac:dyDescent="0.25">
      <c r="G154" s="185" t="s">
        <v>19</v>
      </c>
      <c r="H154" s="186">
        <v>24</v>
      </c>
      <c r="I154" s="50">
        <v>42.427352880000001</v>
      </c>
      <c r="J154" s="180">
        <v>420</v>
      </c>
      <c r="K154" s="180">
        <v>118.8</v>
      </c>
      <c r="L154" s="180">
        <v>36</v>
      </c>
      <c r="M154" s="177">
        <v>25.16</v>
      </c>
      <c r="N154" s="177">
        <v>8.4700000000000006</v>
      </c>
      <c r="O154" s="191">
        <f t="shared" si="20"/>
        <v>5.6465253380909921</v>
      </c>
      <c r="P154" s="191">
        <v>5.5</v>
      </c>
      <c r="Q154" s="183">
        <v>753.1</v>
      </c>
      <c r="R154" s="180"/>
      <c r="S154" s="180"/>
      <c r="T154" s="180"/>
      <c r="U154" s="180"/>
      <c r="V154" s="180"/>
      <c r="W154" s="180"/>
      <c r="X154" s="180"/>
      <c r="Y154" s="180"/>
      <c r="Z154" s="180"/>
      <c r="AA154" s="180"/>
      <c r="AB154" s="180"/>
      <c r="AC154" s="180"/>
      <c r="AD154" s="180"/>
      <c r="AE154" s="180"/>
      <c r="AF154" s="180"/>
      <c r="AG154" s="180"/>
      <c r="AH154" s="180"/>
      <c r="AI154" s="180"/>
      <c r="AJ154" s="180"/>
      <c r="AK154" s="180"/>
      <c r="AL154" s="205"/>
    </row>
    <row r="155" spans="7:38" x14ac:dyDescent="0.25">
      <c r="G155" s="185" t="s">
        <v>20</v>
      </c>
      <c r="H155" s="186">
        <v>24</v>
      </c>
      <c r="I155" s="50">
        <v>37.843264800000007</v>
      </c>
      <c r="J155" s="180">
        <v>420</v>
      </c>
      <c r="K155" s="180">
        <v>118.8</v>
      </c>
      <c r="L155" s="180">
        <v>36</v>
      </c>
      <c r="M155" s="177">
        <v>25.16</v>
      </c>
      <c r="N155" s="177">
        <v>8.4700000000000006</v>
      </c>
      <c r="O155" s="191">
        <f t="shared" si="20"/>
        <v>5.7828348260481732</v>
      </c>
      <c r="P155" s="191">
        <v>6</v>
      </c>
      <c r="Q155" s="183">
        <v>690.9</v>
      </c>
      <c r="R155" s="180"/>
      <c r="S155" s="180">
        <f>R155/7</f>
        <v>0</v>
      </c>
      <c r="T155" s="180"/>
      <c r="U155" s="180"/>
      <c r="V155" s="180"/>
      <c r="W155" s="180"/>
      <c r="X155" s="180"/>
      <c r="Y155" s="180"/>
      <c r="Z155" s="180"/>
      <c r="AA155" s="180"/>
      <c r="AB155" s="180"/>
      <c r="AC155" s="180"/>
      <c r="AD155" s="180"/>
      <c r="AE155" s="180"/>
      <c r="AF155" s="180"/>
      <c r="AG155" s="180"/>
      <c r="AH155" s="180"/>
      <c r="AI155" s="180"/>
      <c r="AJ155" s="180"/>
      <c r="AK155" s="180"/>
      <c r="AL155" s="205"/>
    </row>
    <row r="156" spans="7:38" x14ac:dyDescent="0.25">
      <c r="G156" s="185" t="s">
        <v>21</v>
      </c>
      <c r="H156" s="186">
        <v>24</v>
      </c>
      <c r="I156" s="50">
        <v>32.10679296</v>
      </c>
      <c r="J156" s="180">
        <v>420</v>
      </c>
      <c r="K156" s="180">
        <v>118.8</v>
      </c>
      <c r="L156" s="180">
        <v>36</v>
      </c>
      <c r="M156" s="177">
        <v>25.16</v>
      </c>
      <c r="N156" s="177">
        <v>8.4700000000000006</v>
      </c>
      <c r="O156" s="191">
        <f t="shared" si="20"/>
        <v>5.9534108545941145</v>
      </c>
      <c r="P156" s="191">
        <v>6</v>
      </c>
      <c r="Q156" s="183">
        <v>661.9</v>
      </c>
      <c r="R156" s="180"/>
      <c r="S156" s="180"/>
      <c r="T156" s="180"/>
      <c r="U156" s="180"/>
      <c r="V156" s="180"/>
      <c r="W156" s="180"/>
      <c r="X156" s="180"/>
      <c r="Y156" s="180"/>
      <c r="Z156" s="180"/>
      <c r="AA156" s="180"/>
      <c r="AB156" s="180"/>
      <c r="AC156" s="180"/>
      <c r="AD156" s="180"/>
      <c r="AE156" s="180"/>
      <c r="AF156" s="180"/>
      <c r="AG156" s="180"/>
      <c r="AH156" s="180"/>
      <c r="AI156" s="180"/>
      <c r="AJ156" s="180"/>
      <c r="AK156" s="180"/>
      <c r="AL156" s="205"/>
    </row>
    <row r="157" spans="7:38" x14ac:dyDescent="0.25">
      <c r="G157" s="185" t="s">
        <v>22</v>
      </c>
      <c r="H157" s="186">
        <v>24</v>
      </c>
      <c r="I157" s="50">
        <v>27.522704880000003</v>
      </c>
      <c r="J157" s="180">
        <v>420</v>
      </c>
      <c r="K157" s="180">
        <v>118.8</v>
      </c>
      <c r="L157" s="180">
        <v>36</v>
      </c>
      <c r="M157" s="177">
        <v>25.16</v>
      </c>
      <c r="N157" s="177">
        <v>8.4700000000000006</v>
      </c>
      <c r="O157" s="191">
        <f t="shared" si="20"/>
        <v>6.0897203425512956</v>
      </c>
      <c r="P157" s="191">
        <v>6</v>
      </c>
      <c r="Q157" s="183">
        <v>441.6</v>
      </c>
      <c r="R157" s="180"/>
      <c r="S157" s="180"/>
      <c r="T157" s="180"/>
      <c r="U157" s="180"/>
      <c r="V157" s="180"/>
      <c r="W157" s="180"/>
      <c r="X157" s="180"/>
      <c r="Y157" s="180"/>
      <c r="Z157" s="180"/>
      <c r="AA157" s="180"/>
      <c r="AB157" s="180"/>
      <c r="AC157" s="180"/>
      <c r="AD157" s="180"/>
      <c r="AE157" s="180"/>
      <c r="AF157" s="180"/>
      <c r="AG157" s="180"/>
      <c r="AH157" s="180"/>
      <c r="AI157" s="180"/>
      <c r="AJ157" s="180"/>
      <c r="AK157" s="180"/>
      <c r="AL157" s="205"/>
    </row>
    <row r="158" spans="7:38" ht="13" x14ac:dyDescent="0.3">
      <c r="G158" s="147" t="s">
        <v>142</v>
      </c>
      <c r="H158" s="339"/>
      <c r="I158" s="339"/>
      <c r="J158" s="339"/>
      <c r="K158" s="339"/>
      <c r="L158" s="339"/>
      <c r="M158" s="339"/>
      <c r="N158" s="339"/>
      <c r="O158" s="339"/>
      <c r="P158" s="177"/>
      <c r="Q158" s="148">
        <f>SUM(Q152:Q157)</f>
        <v>4113.2</v>
      </c>
      <c r="R158" s="193">
        <f>9/24</f>
        <v>0.375</v>
      </c>
      <c r="S158" s="193">
        <f>24/1000</f>
        <v>2.4E-2</v>
      </c>
      <c r="T158" s="177">
        <v>0.27600000000000002</v>
      </c>
      <c r="U158" s="177">
        <v>12.96</v>
      </c>
      <c r="V158" s="180">
        <f>Q158</f>
        <v>4113.2</v>
      </c>
      <c r="W158" s="194">
        <f>R158*S158*T158*U158*V158</f>
        <v>132.41476684800003</v>
      </c>
      <c r="X158" s="180">
        <v>0.27800000000000002</v>
      </c>
      <c r="Y158" s="180">
        <v>12.96</v>
      </c>
      <c r="Z158" s="180">
        <f>Q158</f>
        <v>4113.2</v>
      </c>
      <c r="AA158" s="194">
        <f>(R158*S158*X158*Y158*Z158)</f>
        <v>133.374294144</v>
      </c>
      <c r="AB158" s="177">
        <v>0.42</v>
      </c>
      <c r="AC158" s="177">
        <v>41.904000000000003</v>
      </c>
      <c r="AD158" s="177">
        <f>Q158</f>
        <v>4113.2</v>
      </c>
      <c r="AE158" s="195">
        <f>(R158*S158*AB158*AC158*AD158)</f>
        <v>651.51903398400009</v>
      </c>
      <c r="AF158" s="196">
        <f>N590</f>
        <v>1076.8449378751789</v>
      </c>
      <c r="AG158" s="50">
        <f>W158+AA158+AE158+AF158</f>
        <v>1994.153032851179</v>
      </c>
      <c r="AH158" s="180">
        <f>AG158*0.1</f>
        <v>199.41530328511791</v>
      </c>
      <c r="AI158" s="197">
        <f>AG158+AH158</f>
        <v>2193.5683361362967</v>
      </c>
      <c r="AJ158" s="177">
        <v>3.1</v>
      </c>
      <c r="AK158" s="198">
        <f>ROUND((AI158/AJ158),0)</f>
        <v>708</v>
      </c>
      <c r="AL158" s="207"/>
    </row>
    <row r="159" spans="7:38" ht="13.5" thickBot="1" x14ac:dyDescent="0.35">
      <c r="G159" s="341" t="s">
        <v>210</v>
      </c>
      <c r="H159" s="342"/>
      <c r="I159" s="342"/>
      <c r="J159" s="342"/>
      <c r="K159" s="342"/>
      <c r="L159" s="342"/>
      <c r="M159" s="342"/>
      <c r="N159" s="342"/>
      <c r="O159" s="342"/>
      <c r="P159" s="342"/>
      <c r="Q159" s="342"/>
      <c r="R159" s="342"/>
      <c r="S159" s="342"/>
      <c r="T159" s="342"/>
      <c r="U159" s="342"/>
      <c r="V159" s="342"/>
      <c r="W159" s="342"/>
      <c r="X159" s="342"/>
      <c r="Y159" s="342"/>
      <c r="Z159" s="342"/>
      <c r="AA159" s="342"/>
      <c r="AB159" s="342"/>
      <c r="AC159" s="342"/>
      <c r="AD159" s="342"/>
      <c r="AE159" s="342"/>
      <c r="AF159" s="342"/>
      <c r="AG159" s="342"/>
      <c r="AH159" s="342"/>
      <c r="AI159" s="342"/>
      <c r="AJ159" s="342"/>
      <c r="AK159" s="360"/>
      <c r="AL159" s="211">
        <f>ROUND((AK116*AU6+AK123*AU7+AK130*AU8+AK137*AU9+AK144*AU10+AK151*AU11+AK158*AU12),0)</f>
        <v>745</v>
      </c>
    </row>
    <row r="161" spans="2:21" ht="13" thickBot="1" x14ac:dyDescent="0.3"/>
    <row r="162" spans="2:21" ht="15" customHeight="1" x14ac:dyDescent="0.25">
      <c r="C162" s="323" t="s">
        <v>83</v>
      </c>
      <c r="D162" s="324"/>
      <c r="G162" s="317" t="s">
        <v>132</v>
      </c>
      <c r="H162" s="318"/>
      <c r="I162" s="318"/>
      <c r="J162" s="318"/>
      <c r="K162" s="318"/>
      <c r="L162" s="318"/>
      <c r="M162" s="318"/>
      <c r="N162" s="318"/>
      <c r="O162" s="318"/>
      <c r="P162" s="318"/>
      <c r="Q162" s="318"/>
      <c r="R162" s="318"/>
      <c r="S162" s="318"/>
      <c r="T162" s="319"/>
      <c r="U162" s="212"/>
    </row>
    <row r="163" spans="2:21" ht="13" customHeight="1" x14ac:dyDescent="0.25">
      <c r="B163" s="213"/>
      <c r="C163" s="325"/>
      <c r="D163" s="326"/>
      <c r="G163" s="320"/>
      <c r="H163" s="321"/>
      <c r="I163" s="321"/>
      <c r="J163" s="321"/>
      <c r="K163" s="321"/>
      <c r="L163" s="321"/>
      <c r="M163" s="321"/>
      <c r="N163" s="321"/>
      <c r="O163" s="321"/>
      <c r="P163" s="321"/>
      <c r="Q163" s="321"/>
      <c r="R163" s="321"/>
      <c r="S163" s="321"/>
      <c r="T163" s="322"/>
      <c r="U163" s="212"/>
    </row>
    <row r="164" spans="2:21" ht="20.149999999999999" customHeight="1" x14ac:dyDescent="0.25">
      <c r="C164" s="214" t="s">
        <v>38</v>
      </c>
      <c r="D164" s="215">
        <v>-1</v>
      </c>
      <c r="G164" s="216" t="s">
        <v>0</v>
      </c>
      <c r="H164" s="217" t="s">
        <v>37</v>
      </c>
      <c r="I164" s="217" t="s">
        <v>36</v>
      </c>
      <c r="J164" s="217" t="s">
        <v>35</v>
      </c>
      <c r="K164" s="217" t="s">
        <v>47</v>
      </c>
      <c r="L164" s="179" t="s">
        <v>56</v>
      </c>
      <c r="M164" s="181" t="s">
        <v>207</v>
      </c>
      <c r="N164" s="179" t="s">
        <v>51</v>
      </c>
      <c r="O164" s="179" t="s">
        <v>48</v>
      </c>
      <c r="P164" s="179" t="s">
        <v>52</v>
      </c>
      <c r="Q164" s="218" t="s">
        <v>53</v>
      </c>
      <c r="R164" s="218" t="s">
        <v>54</v>
      </c>
      <c r="S164" s="218" t="s">
        <v>49</v>
      </c>
      <c r="T164" s="219" t="s">
        <v>55</v>
      </c>
    </row>
    <row r="165" spans="2:21" ht="20.149999999999999" customHeight="1" x14ac:dyDescent="0.25">
      <c r="C165" s="214" t="s">
        <v>39</v>
      </c>
      <c r="D165" s="215">
        <v>-1</v>
      </c>
      <c r="G165" s="185" t="s">
        <v>13</v>
      </c>
      <c r="H165" s="220">
        <v>38.4</v>
      </c>
      <c r="I165" s="220">
        <v>8.8000000000000007</v>
      </c>
      <c r="J165" s="220">
        <f t="shared" ref="J165:J170" si="21">I165/2</f>
        <v>4.4000000000000004</v>
      </c>
      <c r="K165" s="220">
        <f t="shared" ref="K165:K170" si="22">H165-J165</f>
        <v>34</v>
      </c>
      <c r="L165" s="221">
        <f t="shared" ref="L165:L170" si="23">D$173</f>
        <v>3</v>
      </c>
      <c r="M165" s="181">
        <v>18</v>
      </c>
      <c r="N165" s="181">
        <f t="shared" ref="N165:N170" si="24">25.5-M165</f>
        <v>7.5</v>
      </c>
      <c r="O165" s="181">
        <f t="shared" ref="O165:O170" si="25">K165-29.4</f>
        <v>4.6000000000000014</v>
      </c>
      <c r="P165" s="177">
        <f t="shared" ref="P165:P170" si="26">L165+N165+O165</f>
        <v>15.100000000000001</v>
      </c>
      <c r="Q165" s="177">
        <v>2.35</v>
      </c>
      <c r="R165" s="177">
        <v>1.296</v>
      </c>
      <c r="S165" s="177">
        <f>30*9</f>
        <v>270</v>
      </c>
      <c r="T165" s="222">
        <f t="shared" ref="T165:T170" si="27">(P165*Q165*R165*S165)/1000</f>
        <v>12.416911200000003</v>
      </c>
    </row>
    <row r="166" spans="2:21" ht="20.149999999999999" customHeight="1" x14ac:dyDescent="0.25">
      <c r="C166" s="214" t="s">
        <v>40</v>
      </c>
      <c r="D166" s="215">
        <v>0</v>
      </c>
      <c r="G166" s="185" t="s">
        <v>24</v>
      </c>
      <c r="H166" s="223">
        <v>37</v>
      </c>
      <c r="I166" s="223">
        <v>8.1</v>
      </c>
      <c r="J166" s="220">
        <f t="shared" si="21"/>
        <v>4.05</v>
      </c>
      <c r="K166" s="220">
        <f t="shared" si="22"/>
        <v>32.950000000000003</v>
      </c>
      <c r="L166" s="221">
        <f t="shared" si="23"/>
        <v>3</v>
      </c>
      <c r="M166" s="181">
        <v>18</v>
      </c>
      <c r="N166" s="181">
        <f t="shared" si="24"/>
        <v>7.5</v>
      </c>
      <c r="O166" s="181">
        <f t="shared" si="25"/>
        <v>3.5500000000000043</v>
      </c>
      <c r="P166" s="177">
        <f t="shared" si="26"/>
        <v>14.050000000000004</v>
      </c>
      <c r="Q166" s="177">
        <v>2.35</v>
      </c>
      <c r="R166" s="177">
        <v>1.296</v>
      </c>
      <c r="S166" s="177">
        <f>31*9</f>
        <v>279</v>
      </c>
      <c r="T166" s="222">
        <f t="shared" si="27"/>
        <v>11.938599720000004</v>
      </c>
    </row>
    <row r="167" spans="2:21" ht="20.149999999999999" customHeight="1" x14ac:dyDescent="0.25">
      <c r="C167" s="214" t="s">
        <v>41</v>
      </c>
      <c r="D167" s="215">
        <v>7</v>
      </c>
      <c r="G167" s="185" t="s">
        <v>19</v>
      </c>
      <c r="H167" s="223">
        <v>35.9</v>
      </c>
      <c r="I167" s="223">
        <v>7.9</v>
      </c>
      <c r="J167" s="220">
        <f t="shared" si="21"/>
        <v>3.95</v>
      </c>
      <c r="K167" s="220">
        <f t="shared" si="22"/>
        <v>31.95</v>
      </c>
      <c r="L167" s="221">
        <f t="shared" si="23"/>
        <v>3</v>
      </c>
      <c r="M167" s="181">
        <v>18</v>
      </c>
      <c r="N167" s="181">
        <f t="shared" si="24"/>
        <v>7.5</v>
      </c>
      <c r="O167" s="181">
        <f t="shared" si="25"/>
        <v>2.5500000000000007</v>
      </c>
      <c r="P167" s="177">
        <f t="shared" si="26"/>
        <v>13.05</v>
      </c>
      <c r="Q167" s="177">
        <v>2.35</v>
      </c>
      <c r="R167" s="177">
        <v>1.296</v>
      </c>
      <c r="S167" s="177">
        <f>31*9</f>
        <v>279</v>
      </c>
      <c r="T167" s="222">
        <f t="shared" si="27"/>
        <v>11.088877320000003</v>
      </c>
    </row>
    <row r="168" spans="2:21" ht="20.149999999999999" customHeight="1" x14ac:dyDescent="0.25">
      <c r="C168" s="214" t="s">
        <v>42</v>
      </c>
      <c r="D168" s="215">
        <v>7</v>
      </c>
      <c r="G168" s="185" t="s">
        <v>20</v>
      </c>
      <c r="H168" s="223">
        <v>35</v>
      </c>
      <c r="I168" s="223">
        <v>7.7</v>
      </c>
      <c r="J168" s="220">
        <f t="shared" si="21"/>
        <v>3.85</v>
      </c>
      <c r="K168" s="220">
        <f t="shared" si="22"/>
        <v>31.15</v>
      </c>
      <c r="L168" s="221">
        <f t="shared" si="23"/>
        <v>3</v>
      </c>
      <c r="M168" s="181">
        <v>18</v>
      </c>
      <c r="N168" s="181">
        <f t="shared" si="24"/>
        <v>7.5</v>
      </c>
      <c r="O168" s="181">
        <f t="shared" si="25"/>
        <v>1.75</v>
      </c>
      <c r="P168" s="177">
        <f t="shared" si="26"/>
        <v>12.25</v>
      </c>
      <c r="Q168" s="177">
        <v>2.35</v>
      </c>
      <c r="R168" s="177">
        <v>1.296</v>
      </c>
      <c r="S168" s="177">
        <f>30*9</f>
        <v>270</v>
      </c>
      <c r="T168" s="222">
        <f t="shared" si="27"/>
        <v>10.073322000000003</v>
      </c>
    </row>
    <row r="169" spans="2:21" ht="20.149999999999999" customHeight="1" x14ac:dyDescent="0.25">
      <c r="C169" s="214" t="s">
        <v>43</v>
      </c>
      <c r="D169" s="215">
        <v>6</v>
      </c>
      <c r="G169" s="185" t="s">
        <v>21</v>
      </c>
      <c r="H169" s="223">
        <v>34</v>
      </c>
      <c r="I169" s="223">
        <v>6.7</v>
      </c>
      <c r="J169" s="220">
        <f t="shared" si="21"/>
        <v>3.35</v>
      </c>
      <c r="K169" s="220">
        <f t="shared" si="22"/>
        <v>30.65</v>
      </c>
      <c r="L169" s="221">
        <f t="shared" si="23"/>
        <v>3</v>
      </c>
      <c r="M169" s="181">
        <v>18</v>
      </c>
      <c r="N169" s="181">
        <f t="shared" si="24"/>
        <v>7.5</v>
      </c>
      <c r="O169" s="181">
        <f t="shared" si="25"/>
        <v>1.25</v>
      </c>
      <c r="P169" s="177">
        <f t="shared" si="26"/>
        <v>11.75</v>
      </c>
      <c r="Q169" s="177">
        <v>2.35</v>
      </c>
      <c r="R169" s="177">
        <v>1.296</v>
      </c>
      <c r="S169" s="177">
        <f>31*9</f>
        <v>279</v>
      </c>
      <c r="T169" s="222">
        <f t="shared" si="27"/>
        <v>9.9842382000000001</v>
      </c>
    </row>
    <row r="170" spans="2:21" ht="20.149999999999999" customHeight="1" x14ac:dyDescent="0.25">
      <c r="C170" s="214" t="s">
        <v>44</v>
      </c>
      <c r="D170" s="215">
        <v>4</v>
      </c>
      <c r="G170" s="185" t="s">
        <v>22</v>
      </c>
      <c r="H170" s="223">
        <v>31.2</v>
      </c>
      <c r="I170" s="223">
        <v>6.1</v>
      </c>
      <c r="J170" s="220">
        <f t="shared" si="21"/>
        <v>3.05</v>
      </c>
      <c r="K170" s="220">
        <f t="shared" si="22"/>
        <v>28.15</v>
      </c>
      <c r="L170" s="221">
        <f t="shared" si="23"/>
        <v>3</v>
      </c>
      <c r="M170" s="181">
        <v>18</v>
      </c>
      <c r="N170" s="181">
        <f t="shared" si="24"/>
        <v>7.5</v>
      </c>
      <c r="O170" s="181">
        <f t="shared" si="25"/>
        <v>-1.25</v>
      </c>
      <c r="P170" s="177">
        <f t="shared" si="26"/>
        <v>9.25</v>
      </c>
      <c r="Q170" s="177">
        <v>2.35</v>
      </c>
      <c r="R170" s="177">
        <v>1.296</v>
      </c>
      <c r="S170" s="177">
        <f>30*9</f>
        <v>270</v>
      </c>
      <c r="T170" s="222">
        <f t="shared" si="27"/>
        <v>7.6063860000000005</v>
      </c>
    </row>
    <row r="171" spans="2:21" ht="20.149999999999999" customHeight="1" x14ac:dyDescent="0.25">
      <c r="C171" s="214" t="s">
        <v>45</v>
      </c>
      <c r="D171" s="215">
        <v>3</v>
      </c>
      <c r="G171" s="366" t="s">
        <v>187</v>
      </c>
      <c r="H171" s="367"/>
      <c r="I171" s="367"/>
      <c r="J171" s="367"/>
      <c r="K171" s="367"/>
      <c r="L171" s="367"/>
      <c r="M171" s="367"/>
      <c r="N171" s="367"/>
      <c r="O171" s="367"/>
      <c r="P171" s="367"/>
      <c r="Q171" s="367"/>
      <c r="R171" s="367"/>
      <c r="S171" s="367"/>
      <c r="T171" s="225">
        <f>SUM(T165:T170)</f>
        <v>63.108334440000014</v>
      </c>
    </row>
    <row r="172" spans="2:21" ht="20.149999999999999" customHeight="1" x14ac:dyDescent="0.25">
      <c r="C172" s="214" t="s">
        <v>46</v>
      </c>
      <c r="D172" s="215">
        <v>2</v>
      </c>
      <c r="G172" s="185" t="s">
        <v>13</v>
      </c>
      <c r="H172" s="220">
        <v>38.4</v>
      </c>
      <c r="I172" s="220">
        <v>8.8000000000000007</v>
      </c>
      <c r="J172" s="220">
        <f t="shared" ref="J172:J177" si="28">I172/2</f>
        <v>4.4000000000000004</v>
      </c>
      <c r="K172" s="220">
        <f t="shared" ref="K172:K177" si="29">H172-J172</f>
        <v>34</v>
      </c>
      <c r="L172" s="221">
        <f t="shared" ref="L172:L177" si="30">D$173</f>
        <v>3</v>
      </c>
      <c r="M172" s="181">
        <v>19</v>
      </c>
      <c r="N172" s="181">
        <f t="shared" ref="N172:N177" si="31">25.5-M172</f>
        <v>6.5</v>
      </c>
      <c r="O172" s="181">
        <f t="shared" ref="O172:O177" si="32">K172-29.4</f>
        <v>4.6000000000000014</v>
      </c>
      <c r="P172" s="177">
        <f t="shared" ref="P172:P177" si="33">L172+N172+O172</f>
        <v>14.100000000000001</v>
      </c>
      <c r="Q172" s="177">
        <v>2.35</v>
      </c>
      <c r="R172" s="177">
        <v>1.296</v>
      </c>
      <c r="S172" s="177">
        <f>30*9</f>
        <v>270</v>
      </c>
      <c r="T172" s="222">
        <f t="shared" ref="T172:T177" si="34">(P172*Q172*R172*S172)/1000</f>
        <v>11.594599200000003</v>
      </c>
    </row>
    <row r="173" spans="2:21" ht="20.149999999999999" customHeight="1" thickBot="1" x14ac:dyDescent="0.3">
      <c r="C173" s="226" t="s">
        <v>77</v>
      </c>
      <c r="D173" s="227">
        <f>(D164+D165+D166+D167+D168+D169+D170+D171+D172)/9</f>
        <v>3</v>
      </c>
      <c r="G173" s="185" t="s">
        <v>24</v>
      </c>
      <c r="H173" s="223">
        <v>37</v>
      </c>
      <c r="I173" s="223">
        <v>8.1</v>
      </c>
      <c r="J173" s="220">
        <f t="shared" si="28"/>
        <v>4.05</v>
      </c>
      <c r="K173" s="220">
        <f t="shared" si="29"/>
        <v>32.950000000000003</v>
      </c>
      <c r="L173" s="221">
        <f t="shared" si="30"/>
        <v>3</v>
      </c>
      <c r="M173" s="181">
        <v>19</v>
      </c>
      <c r="N173" s="181">
        <f t="shared" si="31"/>
        <v>6.5</v>
      </c>
      <c r="O173" s="181">
        <f t="shared" si="32"/>
        <v>3.5500000000000043</v>
      </c>
      <c r="P173" s="177">
        <f t="shared" si="33"/>
        <v>13.050000000000004</v>
      </c>
      <c r="Q173" s="177">
        <v>2.35</v>
      </c>
      <c r="R173" s="177">
        <v>1.296</v>
      </c>
      <c r="S173" s="177">
        <f>31*9</f>
        <v>279</v>
      </c>
      <c r="T173" s="222">
        <f t="shared" si="34"/>
        <v>11.088877320000005</v>
      </c>
    </row>
    <row r="174" spans="2:21" ht="20.149999999999999" customHeight="1" x14ac:dyDescent="0.25">
      <c r="G174" s="185" t="s">
        <v>19</v>
      </c>
      <c r="H174" s="223">
        <v>35.9</v>
      </c>
      <c r="I174" s="223">
        <v>7.9</v>
      </c>
      <c r="J174" s="220">
        <f t="shared" si="28"/>
        <v>3.95</v>
      </c>
      <c r="K174" s="220">
        <f t="shared" si="29"/>
        <v>31.95</v>
      </c>
      <c r="L174" s="221">
        <f t="shared" si="30"/>
        <v>3</v>
      </c>
      <c r="M174" s="181">
        <v>19</v>
      </c>
      <c r="N174" s="181">
        <f t="shared" si="31"/>
        <v>6.5</v>
      </c>
      <c r="O174" s="181">
        <f t="shared" si="32"/>
        <v>2.5500000000000007</v>
      </c>
      <c r="P174" s="177">
        <f t="shared" si="33"/>
        <v>12.05</v>
      </c>
      <c r="Q174" s="177">
        <v>2.35</v>
      </c>
      <c r="R174" s="177">
        <v>1.296</v>
      </c>
      <c r="S174" s="177">
        <f>31*9</f>
        <v>279</v>
      </c>
      <c r="T174" s="222">
        <f t="shared" si="34"/>
        <v>10.239154920000001</v>
      </c>
    </row>
    <row r="175" spans="2:21" ht="20.149999999999999" customHeight="1" x14ac:dyDescent="0.25">
      <c r="G175" s="185" t="s">
        <v>20</v>
      </c>
      <c r="H175" s="223">
        <v>35</v>
      </c>
      <c r="I175" s="223">
        <v>7.7</v>
      </c>
      <c r="J175" s="220">
        <f t="shared" si="28"/>
        <v>3.85</v>
      </c>
      <c r="K175" s="220">
        <f t="shared" si="29"/>
        <v>31.15</v>
      </c>
      <c r="L175" s="221">
        <f t="shared" si="30"/>
        <v>3</v>
      </c>
      <c r="M175" s="181">
        <v>19</v>
      </c>
      <c r="N175" s="181">
        <f t="shared" si="31"/>
        <v>6.5</v>
      </c>
      <c r="O175" s="181">
        <f t="shared" si="32"/>
        <v>1.75</v>
      </c>
      <c r="P175" s="177">
        <f t="shared" si="33"/>
        <v>11.25</v>
      </c>
      <c r="Q175" s="177">
        <v>2.35</v>
      </c>
      <c r="R175" s="177">
        <v>1.296</v>
      </c>
      <c r="S175" s="177">
        <f>30*9</f>
        <v>270</v>
      </c>
      <c r="T175" s="222">
        <f t="shared" si="34"/>
        <v>9.2510100000000008</v>
      </c>
    </row>
    <row r="176" spans="2:21" ht="20.149999999999999" customHeight="1" x14ac:dyDescent="0.25">
      <c r="G176" s="185" t="s">
        <v>21</v>
      </c>
      <c r="H176" s="223">
        <v>34</v>
      </c>
      <c r="I176" s="223">
        <v>6.7</v>
      </c>
      <c r="J176" s="220">
        <f t="shared" si="28"/>
        <v>3.35</v>
      </c>
      <c r="K176" s="220">
        <f t="shared" si="29"/>
        <v>30.65</v>
      </c>
      <c r="L176" s="221">
        <f t="shared" si="30"/>
        <v>3</v>
      </c>
      <c r="M176" s="181">
        <v>19</v>
      </c>
      <c r="N176" s="181">
        <f t="shared" si="31"/>
        <v>6.5</v>
      </c>
      <c r="O176" s="181">
        <f t="shared" si="32"/>
        <v>1.25</v>
      </c>
      <c r="P176" s="177">
        <f t="shared" si="33"/>
        <v>10.75</v>
      </c>
      <c r="Q176" s="177">
        <v>2.35</v>
      </c>
      <c r="R176" s="177">
        <v>1.296</v>
      </c>
      <c r="S176" s="177">
        <f>31*9</f>
        <v>279</v>
      </c>
      <c r="T176" s="222">
        <f t="shared" si="34"/>
        <v>9.1345158000000009</v>
      </c>
    </row>
    <row r="177" spans="7:20" ht="20.149999999999999" customHeight="1" x14ac:dyDescent="0.25">
      <c r="G177" s="185" t="s">
        <v>22</v>
      </c>
      <c r="H177" s="223">
        <v>31.2</v>
      </c>
      <c r="I177" s="223">
        <v>6.1</v>
      </c>
      <c r="J177" s="220">
        <f t="shared" si="28"/>
        <v>3.05</v>
      </c>
      <c r="K177" s="220">
        <f t="shared" si="29"/>
        <v>28.15</v>
      </c>
      <c r="L177" s="221">
        <f t="shared" si="30"/>
        <v>3</v>
      </c>
      <c r="M177" s="181">
        <v>19</v>
      </c>
      <c r="N177" s="181">
        <f t="shared" si="31"/>
        <v>6.5</v>
      </c>
      <c r="O177" s="181">
        <f t="shared" si="32"/>
        <v>-1.25</v>
      </c>
      <c r="P177" s="177">
        <f t="shared" si="33"/>
        <v>8.25</v>
      </c>
      <c r="Q177" s="177">
        <v>2.35</v>
      </c>
      <c r="R177" s="177">
        <v>1.296</v>
      </c>
      <c r="S177" s="177">
        <f>30*9</f>
        <v>270</v>
      </c>
      <c r="T177" s="222">
        <f t="shared" si="34"/>
        <v>6.7840740000000004</v>
      </c>
    </row>
    <row r="178" spans="7:20" ht="20.149999999999999" customHeight="1" x14ac:dyDescent="0.25">
      <c r="G178" s="366" t="s">
        <v>188</v>
      </c>
      <c r="H178" s="367"/>
      <c r="I178" s="367"/>
      <c r="J178" s="367"/>
      <c r="K178" s="367"/>
      <c r="L178" s="367"/>
      <c r="M178" s="367"/>
      <c r="N178" s="367"/>
      <c r="O178" s="367"/>
      <c r="P178" s="367"/>
      <c r="Q178" s="367"/>
      <c r="R178" s="367"/>
      <c r="S178" s="367"/>
      <c r="T178" s="225">
        <f>SUM(T172:T177)</f>
        <v>58.092231240000004</v>
      </c>
    </row>
    <row r="179" spans="7:20" ht="20.149999999999999" customHeight="1" x14ac:dyDescent="0.25">
      <c r="G179" s="185" t="s">
        <v>13</v>
      </c>
      <c r="H179" s="220">
        <v>38.4</v>
      </c>
      <c r="I179" s="220">
        <v>8.8000000000000007</v>
      </c>
      <c r="J179" s="220">
        <f t="shared" ref="J179:J184" si="35">I179/2</f>
        <v>4.4000000000000004</v>
      </c>
      <c r="K179" s="220">
        <f t="shared" ref="K179:K184" si="36">H179-J179</f>
        <v>34</v>
      </c>
      <c r="L179" s="221">
        <f t="shared" ref="L179:L184" si="37">D$173</f>
        <v>3</v>
      </c>
      <c r="M179" s="181">
        <v>20</v>
      </c>
      <c r="N179" s="181">
        <f t="shared" ref="N179:N184" si="38">25.5-M179</f>
        <v>5.5</v>
      </c>
      <c r="O179" s="181">
        <f t="shared" ref="O179:O184" si="39">K179-29.4</f>
        <v>4.6000000000000014</v>
      </c>
      <c r="P179" s="177">
        <f t="shared" ref="P179:P184" si="40">L179+N179+O179</f>
        <v>13.100000000000001</v>
      </c>
      <c r="Q179" s="177">
        <v>2.35</v>
      </c>
      <c r="R179" s="177">
        <v>1.296</v>
      </c>
      <c r="S179" s="177">
        <f>30*9</f>
        <v>270</v>
      </c>
      <c r="T179" s="222">
        <f t="shared" ref="T179:T184" si="41">(P179*Q179*R179*S179)/1000</f>
        <v>10.772287200000003</v>
      </c>
    </row>
    <row r="180" spans="7:20" ht="20.149999999999999" customHeight="1" x14ac:dyDescent="0.25">
      <c r="G180" s="185" t="s">
        <v>24</v>
      </c>
      <c r="H180" s="223">
        <v>37</v>
      </c>
      <c r="I180" s="223">
        <v>8.1</v>
      </c>
      <c r="J180" s="220">
        <f t="shared" si="35"/>
        <v>4.05</v>
      </c>
      <c r="K180" s="220">
        <f t="shared" si="36"/>
        <v>32.950000000000003</v>
      </c>
      <c r="L180" s="221">
        <f t="shared" si="37"/>
        <v>3</v>
      </c>
      <c r="M180" s="181">
        <v>20</v>
      </c>
      <c r="N180" s="181">
        <f t="shared" si="38"/>
        <v>5.5</v>
      </c>
      <c r="O180" s="181">
        <f t="shared" si="39"/>
        <v>3.5500000000000043</v>
      </c>
      <c r="P180" s="177">
        <f t="shared" si="40"/>
        <v>12.050000000000004</v>
      </c>
      <c r="Q180" s="177">
        <v>2.35</v>
      </c>
      <c r="R180" s="177">
        <v>1.296</v>
      </c>
      <c r="S180" s="177">
        <f>31*9</f>
        <v>279</v>
      </c>
      <c r="T180" s="222">
        <f t="shared" si="41"/>
        <v>10.239154920000004</v>
      </c>
    </row>
    <row r="181" spans="7:20" ht="20.149999999999999" customHeight="1" x14ac:dyDescent="0.25">
      <c r="G181" s="185" t="s">
        <v>19</v>
      </c>
      <c r="H181" s="223">
        <v>35.9</v>
      </c>
      <c r="I181" s="223">
        <v>7.9</v>
      </c>
      <c r="J181" s="220">
        <f t="shared" si="35"/>
        <v>3.95</v>
      </c>
      <c r="K181" s="220">
        <f t="shared" si="36"/>
        <v>31.95</v>
      </c>
      <c r="L181" s="221">
        <f t="shared" si="37"/>
        <v>3</v>
      </c>
      <c r="M181" s="181">
        <v>20</v>
      </c>
      <c r="N181" s="181">
        <f t="shared" si="38"/>
        <v>5.5</v>
      </c>
      <c r="O181" s="181">
        <f t="shared" si="39"/>
        <v>2.5500000000000007</v>
      </c>
      <c r="P181" s="177">
        <f t="shared" si="40"/>
        <v>11.05</v>
      </c>
      <c r="Q181" s="177">
        <v>2.35</v>
      </c>
      <c r="R181" s="177">
        <v>1.296</v>
      </c>
      <c r="S181" s="177">
        <f>31*9</f>
        <v>279</v>
      </c>
      <c r="T181" s="222">
        <f t="shared" si="41"/>
        <v>9.3894325199999997</v>
      </c>
    </row>
    <row r="182" spans="7:20" ht="20.149999999999999" customHeight="1" x14ac:dyDescent="0.25">
      <c r="G182" s="185" t="s">
        <v>20</v>
      </c>
      <c r="H182" s="223">
        <v>35</v>
      </c>
      <c r="I182" s="223">
        <v>7.7</v>
      </c>
      <c r="J182" s="220">
        <f t="shared" si="35"/>
        <v>3.85</v>
      </c>
      <c r="K182" s="220">
        <f t="shared" si="36"/>
        <v>31.15</v>
      </c>
      <c r="L182" s="221">
        <f t="shared" si="37"/>
        <v>3</v>
      </c>
      <c r="M182" s="181">
        <v>20</v>
      </c>
      <c r="N182" s="181">
        <f t="shared" si="38"/>
        <v>5.5</v>
      </c>
      <c r="O182" s="181">
        <f t="shared" si="39"/>
        <v>1.75</v>
      </c>
      <c r="P182" s="177">
        <f t="shared" si="40"/>
        <v>10.25</v>
      </c>
      <c r="Q182" s="177">
        <v>2.35</v>
      </c>
      <c r="R182" s="177">
        <v>1.296</v>
      </c>
      <c r="S182" s="177">
        <f>30*9</f>
        <v>270</v>
      </c>
      <c r="T182" s="222">
        <f t="shared" si="41"/>
        <v>8.4286980000000025</v>
      </c>
    </row>
    <row r="183" spans="7:20" ht="20.149999999999999" customHeight="1" x14ac:dyDescent="0.25">
      <c r="G183" s="185" t="s">
        <v>21</v>
      </c>
      <c r="H183" s="223">
        <v>34</v>
      </c>
      <c r="I183" s="223">
        <v>6.7</v>
      </c>
      <c r="J183" s="220">
        <f t="shared" si="35"/>
        <v>3.35</v>
      </c>
      <c r="K183" s="220">
        <f t="shared" si="36"/>
        <v>30.65</v>
      </c>
      <c r="L183" s="221">
        <f t="shared" si="37"/>
        <v>3</v>
      </c>
      <c r="M183" s="181">
        <v>20</v>
      </c>
      <c r="N183" s="181">
        <f t="shared" si="38"/>
        <v>5.5</v>
      </c>
      <c r="O183" s="181">
        <f t="shared" si="39"/>
        <v>1.25</v>
      </c>
      <c r="P183" s="177">
        <f t="shared" si="40"/>
        <v>9.75</v>
      </c>
      <c r="Q183" s="177">
        <v>2.35</v>
      </c>
      <c r="R183" s="177">
        <v>1.296</v>
      </c>
      <c r="S183" s="177">
        <f>31*9</f>
        <v>279</v>
      </c>
      <c r="T183" s="222">
        <f t="shared" si="41"/>
        <v>8.2847933999999999</v>
      </c>
    </row>
    <row r="184" spans="7:20" ht="20.149999999999999" customHeight="1" x14ac:dyDescent="0.25">
      <c r="G184" s="185" t="s">
        <v>22</v>
      </c>
      <c r="H184" s="223">
        <v>31.2</v>
      </c>
      <c r="I184" s="223">
        <v>6.1</v>
      </c>
      <c r="J184" s="220">
        <f t="shared" si="35"/>
        <v>3.05</v>
      </c>
      <c r="K184" s="220">
        <f t="shared" si="36"/>
        <v>28.15</v>
      </c>
      <c r="L184" s="221">
        <f t="shared" si="37"/>
        <v>3</v>
      </c>
      <c r="M184" s="181">
        <v>20</v>
      </c>
      <c r="N184" s="181">
        <f t="shared" si="38"/>
        <v>5.5</v>
      </c>
      <c r="O184" s="181">
        <f t="shared" si="39"/>
        <v>-1.25</v>
      </c>
      <c r="P184" s="177">
        <f t="shared" si="40"/>
        <v>7.25</v>
      </c>
      <c r="Q184" s="177">
        <v>2.35</v>
      </c>
      <c r="R184" s="177">
        <v>1.296</v>
      </c>
      <c r="S184" s="177">
        <f>30*9</f>
        <v>270</v>
      </c>
      <c r="T184" s="222">
        <f t="shared" si="41"/>
        <v>5.9617620000000002</v>
      </c>
    </row>
    <row r="185" spans="7:20" ht="20.149999999999999" customHeight="1" x14ac:dyDescent="0.25">
      <c r="G185" s="366" t="s">
        <v>175</v>
      </c>
      <c r="H185" s="367"/>
      <c r="I185" s="367"/>
      <c r="J185" s="367"/>
      <c r="K185" s="367"/>
      <c r="L185" s="367"/>
      <c r="M185" s="367"/>
      <c r="N185" s="367"/>
      <c r="O185" s="367"/>
      <c r="P185" s="367"/>
      <c r="Q185" s="367"/>
      <c r="R185" s="367"/>
      <c r="S185" s="367"/>
      <c r="T185" s="225">
        <f>SUM(T179:T184)</f>
        <v>53.076128040000008</v>
      </c>
    </row>
    <row r="186" spans="7:20" ht="13.5" customHeight="1" x14ac:dyDescent="0.25">
      <c r="G186" s="185" t="s">
        <v>13</v>
      </c>
      <c r="H186" s="220">
        <v>38.4</v>
      </c>
      <c r="I186" s="220">
        <v>8.8000000000000007</v>
      </c>
      <c r="J186" s="220">
        <f t="shared" ref="J186:J191" si="42">I186/2</f>
        <v>4.4000000000000004</v>
      </c>
      <c r="K186" s="220">
        <f t="shared" ref="K186:K191" si="43">H186-J186</f>
        <v>34</v>
      </c>
      <c r="L186" s="221">
        <f t="shared" ref="L186:L191" si="44">D$173</f>
        <v>3</v>
      </c>
      <c r="M186" s="181">
        <v>21</v>
      </c>
      <c r="N186" s="181">
        <f t="shared" ref="N186:N191" si="45">25.5-M186</f>
        <v>4.5</v>
      </c>
      <c r="O186" s="181">
        <f t="shared" ref="O186:O191" si="46">K186-29.4</f>
        <v>4.6000000000000014</v>
      </c>
      <c r="P186" s="177">
        <f t="shared" ref="P186:P191" si="47">L186+N186+O186</f>
        <v>12.100000000000001</v>
      </c>
      <c r="Q186" s="177">
        <v>2.35</v>
      </c>
      <c r="R186" s="177">
        <v>1.296</v>
      </c>
      <c r="S186" s="177">
        <f>30*9</f>
        <v>270</v>
      </c>
      <c r="T186" s="222">
        <f t="shared" ref="T186:T191" si="48">(P186*Q186*R186*S186)/1000</f>
        <v>9.9499752000000008</v>
      </c>
    </row>
    <row r="187" spans="7:20" ht="15" customHeight="1" x14ac:dyDescent="0.25">
      <c r="G187" s="185" t="s">
        <v>24</v>
      </c>
      <c r="H187" s="223">
        <v>37</v>
      </c>
      <c r="I187" s="223">
        <v>8.1</v>
      </c>
      <c r="J187" s="220">
        <f t="shared" si="42"/>
        <v>4.05</v>
      </c>
      <c r="K187" s="220">
        <f t="shared" si="43"/>
        <v>32.950000000000003</v>
      </c>
      <c r="L187" s="221">
        <f t="shared" si="44"/>
        <v>3</v>
      </c>
      <c r="M187" s="181">
        <v>21</v>
      </c>
      <c r="N187" s="181">
        <f t="shared" si="45"/>
        <v>4.5</v>
      </c>
      <c r="O187" s="181">
        <f t="shared" si="46"/>
        <v>3.5500000000000043</v>
      </c>
      <c r="P187" s="177">
        <f t="shared" si="47"/>
        <v>11.050000000000004</v>
      </c>
      <c r="Q187" s="177">
        <v>2.35</v>
      </c>
      <c r="R187" s="177">
        <v>1.296</v>
      </c>
      <c r="S187" s="177">
        <f>31*9</f>
        <v>279</v>
      </c>
      <c r="T187" s="222">
        <f t="shared" si="48"/>
        <v>9.3894325200000033</v>
      </c>
    </row>
    <row r="188" spans="7:20" ht="14.15" customHeight="1" x14ac:dyDescent="0.25">
      <c r="G188" s="185" t="s">
        <v>19</v>
      </c>
      <c r="H188" s="223">
        <v>35.9</v>
      </c>
      <c r="I188" s="223">
        <v>7.9</v>
      </c>
      <c r="J188" s="220">
        <f t="shared" si="42"/>
        <v>3.95</v>
      </c>
      <c r="K188" s="220">
        <f t="shared" si="43"/>
        <v>31.95</v>
      </c>
      <c r="L188" s="221">
        <f t="shared" si="44"/>
        <v>3</v>
      </c>
      <c r="M188" s="181">
        <v>21</v>
      </c>
      <c r="N188" s="181">
        <f t="shared" si="45"/>
        <v>4.5</v>
      </c>
      <c r="O188" s="181">
        <f t="shared" si="46"/>
        <v>2.5500000000000007</v>
      </c>
      <c r="P188" s="177">
        <f t="shared" si="47"/>
        <v>10.050000000000001</v>
      </c>
      <c r="Q188" s="177">
        <v>2.35</v>
      </c>
      <c r="R188" s="177">
        <v>1.296</v>
      </c>
      <c r="S188" s="177">
        <f>31*9</f>
        <v>279</v>
      </c>
      <c r="T188" s="222">
        <f t="shared" si="48"/>
        <v>8.5397101200000023</v>
      </c>
    </row>
    <row r="189" spans="7:20" ht="14.15" customHeight="1" x14ac:dyDescent="0.25">
      <c r="G189" s="185" t="s">
        <v>20</v>
      </c>
      <c r="H189" s="223">
        <v>35</v>
      </c>
      <c r="I189" s="223">
        <v>7.7</v>
      </c>
      <c r="J189" s="220">
        <f t="shared" si="42"/>
        <v>3.85</v>
      </c>
      <c r="K189" s="220">
        <f t="shared" si="43"/>
        <v>31.15</v>
      </c>
      <c r="L189" s="221">
        <f t="shared" si="44"/>
        <v>3</v>
      </c>
      <c r="M189" s="181">
        <v>21</v>
      </c>
      <c r="N189" s="181">
        <f t="shared" si="45"/>
        <v>4.5</v>
      </c>
      <c r="O189" s="181">
        <f t="shared" si="46"/>
        <v>1.75</v>
      </c>
      <c r="P189" s="177">
        <f t="shared" si="47"/>
        <v>9.25</v>
      </c>
      <c r="Q189" s="177">
        <v>2.35</v>
      </c>
      <c r="R189" s="177">
        <v>1.296</v>
      </c>
      <c r="S189" s="177">
        <f>30*9</f>
        <v>270</v>
      </c>
      <c r="T189" s="222">
        <f t="shared" si="48"/>
        <v>7.6063860000000005</v>
      </c>
    </row>
    <row r="190" spans="7:20" ht="13.5" customHeight="1" x14ac:dyDescent="0.25">
      <c r="G190" s="185" t="s">
        <v>21</v>
      </c>
      <c r="H190" s="223">
        <v>34</v>
      </c>
      <c r="I190" s="223">
        <v>6.7</v>
      </c>
      <c r="J190" s="220">
        <f t="shared" si="42"/>
        <v>3.35</v>
      </c>
      <c r="K190" s="220">
        <f t="shared" si="43"/>
        <v>30.65</v>
      </c>
      <c r="L190" s="221">
        <f t="shared" si="44"/>
        <v>3</v>
      </c>
      <c r="M190" s="181">
        <v>21</v>
      </c>
      <c r="N190" s="181">
        <f t="shared" si="45"/>
        <v>4.5</v>
      </c>
      <c r="O190" s="181">
        <f t="shared" si="46"/>
        <v>1.25</v>
      </c>
      <c r="P190" s="177">
        <f t="shared" si="47"/>
        <v>8.75</v>
      </c>
      <c r="Q190" s="177">
        <v>2.35</v>
      </c>
      <c r="R190" s="177">
        <v>1.296</v>
      </c>
      <c r="S190" s="177">
        <f>31*9</f>
        <v>279</v>
      </c>
      <c r="T190" s="222">
        <f t="shared" si="48"/>
        <v>7.4350709999999998</v>
      </c>
    </row>
    <row r="191" spans="7:20" ht="16" customHeight="1" x14ac:dyDescent="0.25">
      <c r="G191" s="185" t="s">
        <v>22</v>
      </c>
      <c r="H191" s="223">
        <v>31.2</v>
      </c>
      <c r="I191" s="223">
        <v>6.1</v>
      </c>
      <c r="J191" s="220">
        <f t="shared" si="42"/>
        <v>3.05</v>
      </c>
      <c r="K191" s="220">
        <f t="shared" si="43"/>
        <v>28.15</v>
      </c>
      <c r="L191" s="221">
        <f t="shared" si="44"/>
        <v>3</v>
      </c>
      <c r="M191" s="181">
        <v>21</v>
      </c>
      <c r="N191" s="181">
        <f t="shared" si="45"/>
        <v>4.5</v>
      </c>
      <c r="O191" s="181">
        <f t="shared" si="46"/>
        <v>-1.25</v>
      </c>
      <c r="P191" s="177">
        <f t="shared" si="47"/>
        <v>6.25</v>
      </c>
      <c r="Q191" s="177">
        <v>2.35</v>
      </c>
      <c r="R191" s="177">
        <v>1.296</v>
      </c>
      <c r="S191" s="177">
        <f>30*9</f>
        <v>270</v>
      </c>
      <c r="T191" s="222">
        <f t="shared" si="48"/>
        <v>5.1394500000000001</v>
      </c>
    </row>
    <row r="192" spans="7:20" ht="14.15" customHeight="1" x14ac:dyDescent="0.25">
      <c r="G192" s="366" t="s">
        <v>176</v>
      </c>
      <c r="H192" s="367"/>
      <c r="I192" s="367"/>
      <c r="J192" s="367"/>
      <c r="K192" s="367"/>
      <c r="L192" s="367"/>
      <c r="M192" s="367"/>
      <c r="N192" s="367"/>
      <c r="O192" s="367"/>
      <c r="P192" s="367"/>
      <c r="Q192" s="367"/>
      <c r="R192" s="367"/>
      <c r="S192" s="367"/>
      <c r="T192" s="225">
        <f>SUM(T186:T191)</f>
        <v>48.060024840000011</v>
      </c>
    </row>
    <row r="193" spans="7:38" ht="14.5" customHeight="1" x14ac:dyDescent="0.25">
      <c r="G193" s="185" t="s">
        <v>13</v>
      </c>
      <c r="H193" s="220">
        <v>38.4</v>
      </c>
      <c r="I193" s="220">
        <v>8.8000000000000007</v>
      </c>
      <c r="J193" s="220">
        <f t="shared" ref="J193:J198" si="49">I193/2</f>
        <v>4.4000000000000004</v>
      </c>
      <c r="K193" s="220">
        <f t="shared" ref="K193:K198" si="50">H193-J193</f>
        <v>34</v>
      </c>
      <c r="L193" s="221">
        <f>D173</f>
        <v>3</v>
      </c>
      <c r="M193" s="181">
        <v>22</v>
      </c>
      <c r="N193" s="181">
        <f t="shared" ref="N193:N198" si="51">25.5-M193</f>
        <v>3.5</v>
      </c>
      <c r="O193" s="181">
        <f t="shared" ref="O193:O198" si="52">K193-29.4</f>
        <v>4.6000000000000014</v>
      </c>
      <c r="P193" s="177">
        <f t="shared" ref="P193:P198" si="53">L193+N193+O193</f>
        <v>11.100000000000001</v>
      </c>
      <c r="Q193" s="177">
        <v>2.35</v>
      </c>
      <c r="R193" s="177">
        <v>1.296</v>
      </c>
      <c r="S193" s="177">
        <f>30*9</f>
        <v>270</v>
      </c>
      <c r="T193" s="222">
        <f t="shared" ref="T193:T198" si="54">(P193*Q193*R193*S193)/1000</f>
        <v>9.1276632000000006</v>
      </c>
      <c r="AJ193" s="228"/>
      <c r="AK193" s="228"/>
      <c r="AL193" s="228"/>
    </row>
    <row r="194" spans="7:38" ht="14" x14ac:dyDescent="0.25">
      <c r="G194" s="185" t="s">
        <v>24</v>
      </c>
      <c r="H194" s="223">
        <v>37</v>
      </c>
      <c r="I194" s="223">
        <v>8.1</v>
      </c>
      <c r="J194" s="220">
        <f t="shared" si="49"/>
        <v>4.05</v>
      </c>
      <c r="K194" s="220">
        <f t="shared" si="50"/>
        <v>32.950000000000003</v>
      </c>
      <c r="L194" s="221">
        <f>D173</f>
        <v>3</v>
      </c>
      <c r="M194" s="181">
        <v>22</v>
      </c>
      <c r="N194" s="181">
        <f t="shared" si="51"/>
        <v>3.5</v>
      </c>
      <c r="O194" s="181">
        <f t="shared" si="52"/>
        <v>3.5500000000000043</v>
      </c>
      <c r="P194" s="177">
        <f t="shared" si="53"/>
        <v>10.050000000000004</v>
      </c>
      <c r="Q194" s="177">
        <v>2.35</v>
      </c>
      <c r="R194" s="177">
        <v>1.296</v>
      </c>
      <c r="S194" s="177">
        <f>31*9</f>
        <v>279</v>
      </c>
      <c r="T194" s="222">
        <f t="shared" si="54"/>
        <v>8.5397101200000041</v>
      </c>
      <c r="AJ194" s="228"/>
      <c r="AK194" s="228"/>
      <c r="AL194" s="228"/>
    </row>
    <row r="195" spans="7:38" ht="14" x14ac:dyDescent="0.25">
      <c r="G195" s="185" t="s">
        <v>19</v>
      </c>
      <c r="H195" s="223">
        <v>35.9</v>
      </c>
      <c r="I195" s="223">
        <v>7.9</v>
      </c>
      <c r="J195" s="220">
        <f t="shared" si="49"/>
        <v>3.95</v>
      </c>
      <c r="K195" s="220">
        <f t="shared" si="50"/>
        <v>31.95</v>
      </c>
      <c r="L195" s="221">
        <f>D173</f>
        <v>3</v>
      </c>
      <c r="M195" s="181">
        <v>22</v>
      </c>
      <c r="N195" s="181">
        <f t="shared" si="51"/>
        <v>3.5</v>
      </c>
      <c r="O195" s="181">
        <f t="shared" si="52"/>
        <v>2.5500000000000007</v>
      </c>
      <c r="P195" s="177">
        <f t="shared" si="53"/>
        <v>9.0500000000000007</v>
      </c>
      <c r="Q195" s="177">
        <v>2.35</v>
      </c>
      <c r="R195" s="177">
        <v>1.296</v>
      </c>
      <c r="S195" s="177">
        <f>31*9</f>
        <v>279</v>
      </c>
      <c r="T195" s="222">
        <f t="shared" si="54"/>
        <v>7.6899877200000013</v>
      </c>
      <c r="AJ195" s="228"/>
      <c r="AK195" s="228"/>
      <c r="AL195" s="228"/>
    </row>
    <row r="196" spans="7:38" ht="14" x14ac:dyDescent="0.25">
      <c r="G196" s="185" t="s">
        <v>20</v>
      </c>
      <c r="H196" s="223">
        <v>35</v>
      </c>
      <c r="I196" s="223">
        <v>7.7</v>
      </c>
      <c r="J196" s="220">
        <f t="shared" si="49"/>
        <v>3.85</v>
      </c>
      <c r="K196" s="220">
        <f t="shared" si="50"/>
        <v>31.15</v>
      </c>
      <c r="L196" s="221">
        <f>D173</f>
        <v>3</v>
      </c>
      <c r="M196" s="181">
        <v>22</v>
      </c>
      <c r="N196" s="181">
        <f t="shared" si="51"/>
        <v>3.5</v>
      </c>
      <c r="O196" s="181">
        <f t="shared" si="52"/>
        <v>1.75</v>
      </c>
      <c r="P196" s="177">
        <f t="shared" si="53"/>
        <v>8.25</v>
      </c>
      <c r="Q196" s="177">
        <v>2.35</v>
      </c>
      <c r="R196" s="177">
        <v>1.296</v>
      </c>
      <c r="S196" s="177">
        <f>30*9</f>
        <v>270</v>
      </c>
      <c r="T196" s="222">
        <f t="shared" si="54"/>
        <v>6.7840740000000004</v>
      </c>
    </row>
    <row r="197" spans="7:38" ht="14" x14ac:dyDescent="0.25">
      <c r="G197" s="185" t="s">
        <v>21</v>
      </c>
      <c r="H197" s="223">
        <v>34</v>
      </c>
      <c r="I197" s="223">
        <v>6.7</v>
      </c>
      <c r="J197" s="220">
        <f t="shared" si="49"/>
        <v>3.35</v>
      </c>
      <c r="K197" s="220">
        <f t="shared" si="50"/>
        <v>30.65</v>
      </c>
      <c r="L197" s="221">
        <f>D173</f>
        <v>3</v>
      </c>
      <c r="M197" s="181">
        <v>22</v>
      </c>
      <c r="N197" s="181">
        <f t="shared" si="51"/>
        <v>3.5</v>
      </c>
      <c r="O197" s="181">
        <f t="shared" si="52"/>
        <v>1.25</v>
      </c>
      <c r="P197" s="177">
        <f t="shared" si="53"/>
        <v>7.75</v>
      </c>
      <c r="Q197" s="177">
        <v>2.35</v>
      </c>
      <c r="R197" s="177">
        <v>1.296</v>
      </c>
      <c r="S197" s="177">
        <f>31*9</f>
        <v>279</v>
      </c>
      <c r="T197" s="222">
        <f t="shared" si="54"/>
        <v>6.5853486000000014</v>
      </c>
    </row>
    <row r="198" spans="7:38" ht="14" x14ac:dyDescent="0.25">
      <c r="G198" s="185" t="s">
        <v>22</v>
      </c>
      <c r="H198" s="223">
        <v>31.2</v>
      </c>
      <c r="I198" s="223">
        <v>6.1</v>
      </c>
      <c r="J198" s="220">
        <f t="shared" si="49"/>
        <v>3.05</v>
      </c>
      <c r="K198" s="220">
        <f t="shared" si="50"/>
        <v>28.15</v>
      </c>
      <c r="L198" s="221">
        <f>D173</f>
        <v>3</v>
      </c>
      <c r="M198" s="181">
        <v>22</v>
      </c>
      <c r="N198" s="181">
        <f t="shared" si="51"/>
        <v>3.5</v>
      </c>
      <c r="O198" s="181">
        <f t="shared" si="52"/>
        <v>-1.25</v>
      </c>
      <c r="P198" s="177">
        <f t="shared" si="53"/>
        <v>5.25</v>
      </c>
      <c r="Q198" s="177">
        <v>2.35</v>
      </c>
      <c r="R198" s="177">
        <v>1.296</v>
      </c>
      <c r="S198" s="177">
        <f>30*9</f>
        <v>270</v>
      </c>
      <c r="T198" s="222">
        <f t="shared" si="54"/>
        <v>4.3171380000000008</v>
      </c>
    </row>
    <row r="199" spans="7:38" ht="15" x14ac:dyDescent="0.25">
      <c r="G199" s="366" t="s">
        <v>146</v>
      </c>
      <c r="H199" s="367"/>
      <c r="I199" s="367"/>
      <c r="J199" s="367"/>
      <c r="K199" s="367"/>
      <c r="L199" s="367"/>
      <c r="M199" s="367"/>
      <c r="N199" s="367"/>
      <c r="O199" s="367"/>
      <c r="P199" s="367"/>
      <c r="Q199" s="367"/>
      <c r="R199" s="367"/>
      <c r="S199" s="367"/>
      <c r="T199" s="225">
        <f>SUM(T193:T198)</f>
        <v>43.043921640000008</v>
      </c>
    </row>
    <row r="200" spans="7:38" ht="14" x14ac:dyDescent="0.25">
      <c r="G200" s="185" t="s">
        <v>13</v>
      </c>
      <c r="H200" s="220">
        <v>38.4</v>
      </c>
      <c r="I200" s="229">
        <v>8.8000000000000007</v>
      </c>
      <c r="J200" s="220">
        <f t="shared" ref="J200:J205" si="55">I200/2</f>
        <v>4.4000000000000004</v>
      </c>
      <c r="K200" s="220">
        <f t="shared" ref="K200:K205" si="56">H200-J200</f>
        <v>34</v>
      </c>
      <c r="L200" s="221">
        <f>D173</f>
        <v>3</v>
      </c>
      <c r="M200" s="181">
        <v>23</v>
      </c>
      <c r="N200" s="181">
        <f t="shared" ref="N200:N205" si="57">25.5-M200</f>
        <v>2.5</v>
      </c>
      <c r="O200" s="181">
        <f t="shared" ref="O200:O205" si="58">K200-29.4</f>
        <v>4.6000000000000014</v>
      </c>
      <c r="P200" s="177">
        <f t="shared" ref="P200:P205" si="59">L200+N200+O200</f>
        <v>10.100000000000001</v>
      </c>
      <c r="Q200" s="177">
        <v>2.35</v>
      </c>
      <c r="R200" s="177">
        <v>1.296</v>
      </c>
      <c r="S200" s="177">
        <f>31*9</f>
        <v>279</v>
      </c>
      <c r="T200" s="222">
        <f t="shared" ref="T200:T205" si="60">(P200*Q200*R200*S200)/1000</f>
        <v>8.5821962400000018</v>
      </c>
    </row>
    <row r="201" spans="7:38" ht="14" x14ac:dyDescent="0.25">
      <c r="G201" s="185" t="s">
        <v>24</v>
      </c>
      <c r="H201" s="223">
        <v>37</v>
      </c>
      <c r="I201" s="223">
        <v>8.1</v>
      </c>
      <c r="J201" s="220">
        <f t="shared" si="55"/>
        <v>4.05</v>
      </c>
      <c r="K201" s="220">
        <f t="shared" si="56"/>
        <v>32.950000000000003</v>
      </c>
      <c r="L201" s="221">
        <f>D173</f>
        <v>3</v>
      </c>
      <c r="M201" s="181">
        <v>23</v>
      </c>
      <c r="N201" s="181">
        <f t="shared" si="57"/>
        <v>2.5</v>
      </c>
      <c r="O201" s="181">
        <f t="shared" si="58"/>
        <v>3.5500000000000043</v>
      </c>
      <c r="P201" s="177">
        <f t="shared" si="59"/>
        <v>9.0500000000000043</v>
      </c>
      <c r="Q201" s="177">
        <v>2.35</v>
      </c>
      <c r="R201" s="177">
        <v>1.296</v>
      </c>
      <c r="S201" s="177">
        <f>31*9</f>
        <v>279</v>
      </c>
      <c r="T201" s="222">
        <f t="shared" si="60"/>
        <v>7.6899877200000049</v>
      </c>
    </row>
    <row r="202" spans="7:38" ht="14" x14ac:dyDescent="0.25">
      <c r="G202" s="185" t="s">
        <v>19</v>
      </c>
      <c r="H202" s="223">
        <v>35.9</v>
      </c>
      <c r="I202" s="223">
        <v>7.9</v>
      </c>
      <c r="J202" s="220">
        <f t="shared" si="55"/>
        <v>3.95</v>
      </c>
      <c r="K202" s="220">
        <f t="shared" si="56"/>
        <v>31.95</v>
      </c>
      <c r="L202" s="221">
        <f>D173</f>
        <v>3</v>
      </c>
      <c r="M202" s="181">
        <v>23</v>
      </c>
      <c r="N202" s="181">
        <f t="shared" si="57"/>
        <v>2.5</v>
      </c>
      <c r="O202" s="181">
        <f t="shared" si="58"/>
        <v>2.5500000000000007</v>
      </c>
      <c r="P202" s="177">
        <f t="shared" si="59"/>
        <v>8.0500000000000007</v>
      </c>
      <c r="Q202" s="177">
        <v>2.35</v>
      </c>
      <c r="R202" s="177">
        <v>1.296</v>
      </c>
      <c r="S202" s="177">
        <f>31*9</f>
        <v>279</v>
      </c>
      <c r="T202" s="222">
        <f t="shared" si="60"/>
        <v>6.8402653200000021</v>
      </c>
    </row>
    <row r="203" spans="7:38" ht="14" x14ac:dyDescent="0.25">
      <c r="G203" s="185" t="s">
        <v>20</v>
      </c>
      <c r="H203" s="223">
        <v>35</v>
      </c>
      <c r="I203" s="223">
        <v>7.7</v>
      </c>
      <c r="J203" s="220">
        <f t="shared" si="55"/>
        <v>3.85</v>
      </c>
      <c r="K203" s="220">
        <f t="shared" si="56"/>
        <v>31.15</v>
      </c>
      <c r="L203" s="221">
        <f>D173</f>
        <v>3</v>
      </c>
      <c r="M203" s="181">
        <v>23</v>
      </c>
      <c r="N203" s="181">
        <f t="shared" si="57"/>
        <v>2.5</v>
      </c>
      <c r="O203" s="181">
        <f t="shared" si="58"/>
        <v>1.75</v>
      </c>
      <c r="P203" s="177">
        <f t="shared" si="59"/>
        <v>7.25</v>
      </c>
      <c r="Q203" s="177">
        <v>2.35</v>
      </c>
      <c r="R203" s="177">
        <v>1.296</v>
      </c>
      <c r="S203" s="177">
        <f>30*9</f>
        <v>270</v>
      </c>
      <c r="T203" s="222">
        <f t="shared" si="60"/>
        <v>5.9617620000000002</v>
      </c>
    </row>
    <row r="204" spans="7:38" ht="14" x14ac:dyDescent="0.25">
      <c r="G204" s="185" t="s">
        <v>21</v>
      </c>
      <c r="H204" s="223">
        <v>34</v>
      </c>
      <c r="I204" s="223">
        <v>6.7</v>
      </c>
      <c r="J204" s="220">
        <f t="shared" si="55"/>
        <v>3.35</v>
      </c>
      <c r="K204" s="220">
        <f t="shared" si="56"/>
        <v>30.65</v>
      </c>
      <c r="L204" s="221">
        <f>D173</f>
        <v>3</v>
      </c>
      <c r="M204" s="181">
        <v>23</v>
      </c>
      <c r="N204" s="181">
        <f t="shared" si="57"/>
        <v>2.5</v>
      </c>
      <c r="O204" s="181">
        <f t="shared" si="58"/>
        <v>1.25</v>
      </c>
      <c r="P204" s="177">
        <f t="shared" si="59"/>
        <v>6.75</v>
      </c>
      <c r="Q204" s="177">
        <v>2.35</v>
      </c>
      <c r="R204" s="177">
        <v>1.296</v>
      </c>
      <c r="S204" s="177">
        <f>31*9</f>
        <v>279</v>
      </c>
      <c r="T204" s="222">
        <f t="shared" si="60"/>
        <v>5.7356261999999996</v>
      </c>
    </row>
    <row r="205" spans="7:38" ht="14" x14ac:dyDescent="0.25">
      <c r="G205" s="185" t="s">
        <v>22</v>
      </c>
      <c r="H205" s="223">
        <v>31.2</v>
      </c>
      <c r="I205" s="223">
        <v>6.1</v>
      </c>
      <c r="J205" s="220">
        <f t="shared" si="55"/>
        <v>3.05</v>
      </c>
      <c r="K205" s="220">
        <f t="shared" si="56"/>
        <v>28.15</v>
      </c>
      <c r="L205" s="221">
        <f>D173</f>
        <v>3</v>
      </c>
      <c r="M205" s="181">
        <v>23</v>
      </c>
      <c r="N205" s="181">
        <f t="shared" si="57"/>
        <v>2.5</v>
      </c>
      <c r="O205" s="181">
        <f t="shared" si="58"/>
        <v>-1.25</v>
      </c>
      <c r="P205" s="177">
        <f t="shared" si="59"/>
        <v>4.25</v>
      </c>
      <c r="Q205" s="177">
        <v>2.35</v>
      </c>
      <c r="R205" s="177">
        <v>1.296</v>
      </c>
      <c r="S205" s="177">
        <f>31*9</f>
        <v>279</v>
      </c>
      <c r="T205" s="222">
        <f t="shared" si="60"/>
        <v>3.6113202000000006</v>
      </c>
    </row>
    <row r="206" spans="7:38" ht="15" x14ac:dyDescent="0.25">
      <c r="G206" s="366" t="s">
        <v>147</v>
      </c>
      <c r="H206" s="367"/>
      <c r="I206" s="367"/>
      <c r="J206" s="367"/>
      <c r="K206" s="367"/>
      <c r="L206" s="367"/>
      <c r="M206" s="367"/>
      <c r="N206" s="367"/>
      <c r="O206" s="367"/>
      <c r="P206" s="367"/>
      <c r="Q206" s="367"/>
      <c r="R206" s="367"/>
      <c r="S206" s="367"/>
      <c r="T206" s="225">
        <f>SUM(T200:T205)</f>
        <v>38.421157680000007</v>
      </c>
    </row>
    <row r="207" spans="7:38" ht="14" x14ac:dyDescent="0.25">
      <c r="G207" s="185" t="s">
        <v>13</v>
      </c>
      <c r="H207" s="220">
        <v>38.4</v>
      </c>
      <c r="I207" s="229">
        <v>8.8000000000000007</v>
      </c>
      <c r="J207" s="220">
        <f>I207/2</f>
        <v>4.4000000000000004</v>
      </c>
      <c r="K207" s="220">
        <f>H207-J207</f>
        <v>34</v>
      </c>
      <c r="L207" s="221">
        <f>D173</f>
        <v>3</v>
      </c>
      <c r="M207" s="181">
        <v>24</v>
      </c>
      <c r="N207" s="192">
        <f t="shared" ref="N207:N212" si="61">25.5-M207</f>
        <v>1.5</v>
      </c>
      <c r="O207" s="192">
        <f t="shared" ref="O207:O212" si="62">K207-29.4</f>
        <v>4.6000000000000014</v>
      </c>
      <c r="P207" s="177">
        <f t="shared" ref="P207:P212" si="63">L207+N207+O207</f>
        <v>9.1000000000000014</v>
      </c>
      <c r="Q207" s="177">
        <v>2.35</v>
      </c>
      <c r="R207" s="177">
        <v>1.296</v>
      </c>
      <c r="S207" s="177">
        <f>31*9</f>
        <v>279</v>
      </c>
      <c r="T207" s="222">
        <f t="shared" ref="T207:T212" si="64">(P207*Q207*R207*S207)/1000</f>
        <v>7.7324738400000026</v>
      </c>
    </row>
    <row r="208" spans="7:38" ht="14" x14ac:dyDescent="0.25">
      <c r="G208" s="185" t="s">
        <v>24</v>
      </c>
      <c r="H208" s="223">
        <v>37</v>
      </c>
      <c r="I208" s="223">
        <v>8.1</v>
      </c>
      <c r="J208" s="220">
        <f t="shared" ref="J208:J212" si="65">I208/2</f>
        <v>4.05</v>
      </c>
      <c r="K208" s="220">
        <f t="shared" ref="K208:K212" si="66">H208-J208</f>
        <v>32.950000000000003</v>
      </c>
      <c r="L208" s="221">
        <f>D173</f>
        <v>3</v>
      </c>
      <c r="M208" s="181">
        <v>24</v>
      </c>
      <c r="N208" s="192">
        <f t="shared" si="61"/>
        <v>1.5</v>
      </c>
      <c r="O208" s="192">
        <f t="shared" si="62"/>
        <v>3.5500000000000043</v>
      </c>
      <c r="P208" s="177">
        <f t="shared" si="63"/>
        <v>8.0500000000000043</v>
      </c>
      <c r="Q208" s="177">
        <v>2.35</v>
      </c>
      <c r="R208" s="177">
        <v>1.296</v>
      </c>
      <c r="S208" s="177">
        <f>31*9</f>
        <v>279</v>
      </c>
      <c r="T208" s="222">
        <f t="shared" si="64"/>
        <v>6.8402653200000039</v>
      </c>
    </row>
    <row r="209" spans="7:20" ht="14" x14ac:dyDescent="0.25">
      <c r="G209" s="185" t="s">
        <v>19</v>
      </c>
      <c r="H209" s="223">
        <v>35.9</v>
      </c>
      <c r="I209" s="223">
        <v>7.9</v>
      </c>
      <c r="J209" s="220">
        <f t="shared" si="65"/>
        <v>3.95</v>
      </c>
      <c r="K209" s="220">
        <f t="shared" si="66"/>
        <v>31.95</v>
      </c>
      <c r="L209" s="221">
        <f>D173</f>
        <v>3</v>
      </c>
      <c r="M209" s="181">
        <v>24</v>
      </c>
      <c r="N209" s="192">
        <f t="shared" si="61"/>
        <v>1.5</v>
      </c>
      <c r="O209" s="192">
        <f t="shared" si="62"/>
        <v>2.5500000000000007</v>
      </c>
      <c r="P209" s="177">
        <f t="shared" si="63"/>
        <v>7.0500000000000007</v>
      </c>
      <c r="Q209" s="177">
        <v>2.35</v>
      </c>
      <c r="R209" s="177">
        <v>1.296</v>
      </c>
      <c r="S209" s="177">
        <f>31*9</f>
        <v>279</v>
      </c>
      <c r="T209" s="222">
        <f t="shared" si="64"/>
        <v>5.9905429200000011</v>
      </c>
    </row>
    <row r="210" spans="7:20" ht="14" x14ac:dyDescent="0.25">
      <c r="G210" s="185" t="s">
        <v>20</v>
      </c>
      <c r="H210" s="223">
        <v>35</v>
      </c>
      <c r="I210" s="223">
        <v>7.7</v>
      </c>
      <c r="J210" s="220">
        <f t="shared" si="65"/>
        <v>3.85</v>
      </c>
      <c r="K210" s="220">
        <f t="shared" si="66"/>
        <v>31.15</v>
      </c>
      <c r="L210" s="221">
        <f>D173</f>
        <v>3</v>
      </c>
      <c r="M210" s="181">
        <v>24</v>
      </c>
      <c r="N210" s="192">
        <f t="shared" si="61"/>
        <v>1.5</v>
      </c>
      <c r="O210" s="192">
        <f t="shared" si="62"/>
        <v>1.75</v>
      </c>
      <c r="P210" s="177">
        <f t="shared" si="63"/>
        <v>6.25</v>
      </c>
      <c r="Q210" s="177">
        <v>2.35</v>
      </c>
      <c r="R210" s="177">
        <v>1.296</v>
      </c>
      <c r="S210" s="177">
        <f>30*9</f>
        <v>270</v>
      </c>
      <c r="T210" s="222">
        <f t="shared" si="64"/>
        <v>5.1394500000000001</v>
      </c>
    </row>
    <row r="211" spans="7:20" ht="14" x14ac:dyDescent="0.25">
      <c r="G211" s="185" t="s">
        <v>21</v>
      </c>
      <c r="H211" s="223">
        <v>34</v>
      </c>
      <c r="I211" s="223">
        <v>6.7</v>
      </c>
      <c r="J211" s="220">
        <f t="shared" si="65"/>
        <v>3.35</v>
      </c>
      <c r="K211" s="220">
        <f t="shared" si="66"/>
        <v>30.65</v>
      </c>
      <c r="L211" s="221">
        <f>D173</f>
        <v>3</v>
      </c>
      <c r="M211" s="181">
        <v>24</v>
      </c>
      <c r="N211" s="192">
        <f t="shared" si="61"/>
        <v>1.5</v>
      </c>
      <c r="O211" s="192">
        <f t="shared" si="62"/>
        <v>1.25</v>
      </c>
      <c r="P211" s="177">
        <f t="shared" si="63"/>
        <v>5.75</v>
      </c>
      <c r="Q211" s="177">
        <v>2.35</v>
      </c>
      <c r="R211" s="177">
        <v>1.296</v>
      </c>
      <c r="S211" s="177">
        <f>31*9</f>
        <v>279</v>
      </c>
      <c r="T211" s="222">
        <f t="shared" si="64"/>
        <v>4.8859038000000012</v>
      </c>
    </row>
    <row r="212" spans="7:20" ht="14" x14ac:dyDescent="0.25">
      <c r="G212" s="185" t="s">
        <v>22</v>
      </c>
      <c r="H212" s="223">
        <v>31.2</v>
      </c>
      <c r="I212" s="223">
        <v>6.1</v>
      </c>
      <c r="J212" s="220">
        <f t="shared" si="65"/>
        <v>3.05</v>
      </c>
      <c r="K212" s="220">
        <f t="shared" si="66"/>
        <v>28.15</v>
      </c>
      <c r="L212" s="221">
        <f>D173</f>
        <v>3</v>
      </c>
      <c r="M212" s="181">
        <v>24</v>
      </c>
      <c r="N212" s="192">
        <f t="shared" si="61"/>
        <v>1.5</v>
      </c>
      <c r="O212" s="192">
        <f t="shared" si="62"/>
        <v>-1.25</v>
      </c>
      <c r="P212" s="177">
        <f t="shared" si="63"/>
        <v>3.25</v>
      </c>
      <c r="Q212" s="177">
        <v>2.35</v>
      </c>
      <c r="R212" s="177">
        <v>1.296</v>
      </c>
      <c r="S212" s="177">
        <f>31*9</f>
        <v>279</v>
      </c>
      <c r="T212" s="222">
        <f t="shared" si="64"/>
        <v>2.7615978000000005</v>
      </c>
    </row>
    <row r="213" spans="7:20" ht="15" x14ac:dyDescent="0.25">
      <c r="G213" s="366" t="s">
        <v>148</v>
      </c>
      <c r="H213" s="367"/>
      <c r="I213" s="367"/>
      <c r="J213" s="367"/>
      <c r="K213" s="367"/>
      <c r="L213" s="367"/>
      <c r="M213" s="367"/>
      <c r="N213" s="367"/>
      <c r="O213" s="367"/>
      <c r="P213" s="367"/>
      <c r="Q213" s="367"/>
      <c r="R213" s="367"/>
      <c r="S213" s="367"/>
      <c r="T213" s="225">
        <f>SUM(T207:T212)</f>
        <v>33.350233680000009</v>
      </c>
    </row>
    <row r="217" spans="7:20" ht="13" thickBot="1" x14ac:dyDescent="0.3"/>
    <row r="218" spans="7:20" ht="13" x14ac:dyDescent="0.3">
      <c r="G218" s="295" t="s">
        <v>145</v>
      </c>
      <c r="H218" s="296"/>
      <c r="I218" s="296"/>
      <c r="J218" s="296"/>
      <c r="K218" s="296"/>
      <c r="L218" s="296"/>
      <c r="M218" s="297"/>
    </row>
    <row r="219" spans="7:20" ht="15" x14ac:dyDescent="0.25">
      <c r="G219" s="230" t="s">
        <v>78</v>
      </c>
      <c r="H219" s="218" t="s">
        <v>63</v>
      </c>
      <c r="I219" s="218" t="s">
        <v>64</v>
      </c>
      <c r="J219" s="218" t="s">
        <v>79</v>
      </c>
      <c r="K219" s="218" t="s">
        <v>82</v>
      </c>
      <c r="L219" s="218" t="s">
        <v>57</v>
      </c>
      <c r="M219" s="231" t="s">
        <v>80</v>
      </c>
    </row>
    <row r="220" spans="7:20" x14ac:dyDescent="0.25">
      <c r="G220" s="185" t="s">
        <v>13</v>
      </c>
      <c r="H220" s="177">
        <v>0.55000000000000004</v>
      </c>
      <c r="I220" s="177">
        <v>0.51</v>
      </c>
      <c r="J220" s="232">
        <v>208.2</v>
      </c>
      <c r="K220" s="177">
        <v>1.296</v>
      </c>
      <c r="L220" s="177">
        <f>30*9</f>
        <v>270</v>
      </c>
      <c r="M220" s="222">
        <f t="shared" ref="M220" si="67">(H220*I220*J220*K220*L220)/1000</f>
        <v>20.435362991999998</v>
      </c>
    </row>
    <row r="221" spans="7:20" x14ac:dyDescent="0.25">
      <c r="G221" s="185" t="s">
        <v>24</v>
      </c>
      <c r="H221" s="177">
        <v>0.55000000000000004</v>
      </c>
      <c r="I221" s="177">
        <v>0.51</v>
      </c>
      <c r="J221" s="232">
        <v>173.5</v>
      </c>
      <c r="K221" s="177">
        <v>1.296</v>
      </c>
      <c r="L221" s="177">
        <f>31*9</f>
        <v>279</v>
      </c>
      <c r="M221" s="222">
        <f t="shared" ref="M221:M224" si="68">(H221*I221*J221*K221*L221)/1000</f>
        <v>17.597118132000002</v>
      </c>
    </row>
    <row r="222" spans="7:20" x14ac:dyDescent="0.25">
      <c r="G222" s="185" t="s">
        <v>19</v>
      </c>
      <c r="H222" s="177">
        <v>0.55000000000000004</v>
      </c>
      <c r="I222" s="177">
        <v>0.51</v>
      </c>
      <c r="J222" s="232">
        <v>129.33000000000001</v>
      </c>
      <c r="K222" s="177">
        <v>1.296</v>
      </c>
      <c r="L222" s="177">
        <f>31*9</f>
        <v>279</v>
      </c>
      <c r="M222" s="222">
        <f t="shared" si="68"/>
        <v>13.117206270960002</v>
      </c>
    </row>
    <row r="223" spans="7:20" x14ac:dyDescent="0.25">
      <c r="G223" s="185" t="s">
        <v>20</v>
      </c>
      <c r="H223" s="177">
        <v>0.55000000000000004</v>
      </c>
      <c r="I223" s="177">
        <v>0.51</v>
      </c>
      <c r="J223" s="232">
        <v>113.56</v>
      </c>
      <c r="K223" s="177">
        <v>1.296</v>
      </c>
      <c r="L223" s="177">
        <f>30*9</f>
        <v>270</v>
      </c>
      <c r="M223" s="222">
        <f t="shared" si="68"/>
        <v>11.1462047136</v>
      </c>
    </row>
    <row r="224" spans="7:20" x14ac:dyDescent="0.25">
      <c r="G224" s="185" t="s">
        <v>21</v>
      </c>
      <c r="H224" s="177">
        <v>0.55000000000000004</v>
      </c>
      <c r="I224" s="177">
        <v>0.51</v>
      </c>
      <c r="J224" s="232">
        <v>104.1</v>
      </c>
      <c r="K224" s="177">
        <v>1.296</v>
      </c>
      <c r="L224" s="177">
        <f>31*9</f>
        <v>279</v>
      </c>
      <c r="M224" s="222">
        <f t="shared" si="68"/>
        <v>10.5582708792</v>
      </c>
    </row>
    <row r="225" spans="7:20" x14ac:dyDescent="0.25">
      <c r="G225" s="185" t="s">
        <v>22</v>
      </c>
      <c r="H225" s="177">
        <v>0.55000000000000004</v>
      </c>
      <c r="I225" s="177">
        <v>0.51</v>
      </c>
      <c r="J225" s="232">
        <v>94.63</v>
      </c>
      <c r="K225" s="177">
        <v>1.296</v>
      </c>
      <c r="L225" s="177">
        <f>30*9</f>
        <v>270</v>
      </c>
      <c r="M225" s="222">
        <f t="shared" ref="M225" si="69">(H225*I225*J225*K225*L225)/1000</f>
        <v>9.2881767528000019</v>
      </c>
    </row>
    <row r="226" spans="7:20" ht="15.5" thickBot="1" x14ac:dyDescent="0.45">
      <c r="G226" s="364" t="s">
        <v>159</v>
      </c>
      <c r="H226" s="365"/>
      <c r="I226" s="365"/>
      <c r="J226" s="365"/>
      <c r="K226" s="365"/>
      <c r="L226" s="365"/>
      <c r="M226" s="233">
        <f>SUM(M220:M225)</f>
        <v>82.142339740560004</v>
      </c>
    </row>
    <row r="229" spans="7:20" ht="13" thickBot="1" x14ac:dyDescent="0.3"/>
    <row r="230" spans="7:20" ht="13" x14ac:dyDescent="0.3">
      <c r="G230" s="295" t="s">
        <v>143</v>
      </c>
      <c r="H230" s="296"/>
      <c r="I230" s="296"/>
      <c r="J230" s="296"/>
      <c r="K230" s="296"/>
      <c r="L230" s="296"/>
      <c r="M230" s="296"/>
      <c r="N230" s="296"/>
      <c r="O230" s="296"/>
      <c r="P230" s="296"/>
      <c r="Q230" s="296"/>
      <c r="R230" s="296"/>
      <c r="S230" s="297"/>
      <c r="T230" s="234"/>
    </row>
    <row r="231" spans="7:20" ht="15" x14ac:dyDescent="0.25">
      <c r="G231" s="230" t="s">
        <v>0</v>
      </c>
      <c r="H231" s="218" t="s">
        <v>84</v>
      </c>
      <c r="I231" s="218" t="s">
        <v>95</v>
      </c>
      <c r="J231" s="218" t="s">
        <v>96</v>
      </c>
      <c r="K231" s="218" t="s">
        <v>97</v>
      </c>
      <c r="L231" s="218" t="s">
        <v>98</v>
      </c>
      <c r="M231" s="218" t="s">
        <v>99</v>
      </c>
      <c r="N231" s="218" t="s">
        <v>100</v>
      </c>
      <c r="O231" s="218" t="s">
        <v>101</v>
      </c>
      <c r="P231" s="218" t="s">
        <v>85</v>
      </c>
      <c r="Q231" s="218" t="s">
        <v>102</v>
      </c>
      <c r="R231" s="218" t="s">
        <v>86</v>
      </c>
      <c r="S231" s="231" t="s">
        <v>103</v>
      </c>
    </row>
    <row r="232" spans="7:20" ht="14" x14ac:dyDescent="0.25">
      <c r="G232" s="185" t="s">
        <v>13</v>
      </c>
      <c r="H232" s="177">
        <v>0.6</v>
      </c>
      <c r="I232" s="177">
        <v>38.880000000000003</v>
      </c>
      <c r="J232" s="177">
        <v>1.0049999999999999</v>
      </c>
      <c r="K232" s="177">
        <v>1.2929999999999999</v>
      </c>
      <c r="L232" s="220">
        <v>38.4</v>
      </c>
      <c r="M232" s="177">
        <v>18</v>
      </c>
      <c r="N232" s="177">
        <f t="shared" ref="N232:N237" si="70">L232-M232</f>
        <v>20.399999999999999</v>
      </c>
      <c r="O232" s="190">
        <f t="shared" ref="O232:O237" si="71">H232*I232*J232*K232*N232</f>
        <v>618.40395820799984</v>
      </c>
      <c r="P232" s="177">
        <v>0.27700000000000002</v>
      </c>
      <c r="Q232" s="50">
        <f t="shared" ref="Q232:Q237" si="72">O232*P232</f>
        <v>171.29789642361598</v>
      </c>
      <c r="R232" s="177">
        <f>30*9</f>
        <v>270</v>
      </c>
      <c r="S232" s="222">
        <f t="shared" ref="S232:S237" si="73">(Q232*R232)/1000</f>
        <v>46.250432034376317</v>
      </c>
    </row>
    <row r="233" spans="7:20" ht="14" x14ac:dyDescent="0.25">
      <c r="G233" s="185" t="s">
        <v>24</v>
      </c>
      <c r="H233" s="177">
        <v>0.6</v>
      </c>
      <c r="I233" s="177">
        <v>38.880000000000003</v>
      </c>
      <c r="J233" s="177">
        <v>1.0049999999999999</v>
      </c>
      <c r="K233" s="177">
        <v>1.2929999999999999</v>
      </c>
      <c r="L233" s="223">
        <v>37</v>
      </c>
      <c r="M233" s="177">
        <v>18</v>
      </c>
      <c r="N233" s="177">
        <f t="shared" si="70"/>
        <v>19</v>
      </c>
      <c r="O233" s="190">
        <f t="shared" si="71"/>
        <v>575.96447087999979</v>
      </c>
      <c r="P233" s="177">
        <v>0.27700000000000002</v>
      </c>
      <c r="Q233" s="50">
        <f t="shared" si="72"/>
        <v>159.54215843375997</v>
      </c>
      <c r="R233" s="177">
        <f>31*9</f>
        <v>279</v>
      </c>
      <c r="S233" s="222">
        <f t="shared" si="73"/>
        <v>44.512262203019034</v>
      </c>
    </row>
    <row r="234" spans="7:20" ht="14" x14ac:dyDescent="0.25">
      <c r="G234" s="185" t="s">
        <v>19</v>
      </c>
      <c r="H234" s="177">
        <v>0.6</v>
      </c>
      <c r="I234" s="177">
        <v>38.880000000000003</v>
      </c>
      <c r="J234" s="177">
        <v>1.0049999999999999</v>
      </c>
      <c r="K234" s="177">
        <v>1.2929999999999999</v>
      </c>
      <c r="L234" s="223">
        <v>35.9</v>
      </c>
      <c r="M234" s="177">
        <v>18</v>
      </c>
      <c r="N234" s="177">
        <f t="shared" si="70"/>
        <v>17.899999999999999</v>
      </c>
      <c r="O234" s="190">
        <f t="shared" si="71"/>
        <v>542.61915940799986</v>
      </c>
      <c r="P234" s="177">
        <v>0.27700000000000002</v>
      </c>
      <c r="Q234" s="50">
        <f t="shared" si="72"/>
        <v>150.30550715601598</v>
      </c>
      <c r="R234" s="177">
        <f>31*9</f>
        <v>279</v>
      </c>
      <c r="S234" s="222">
        <f t="shared" si="73"/>
        <v>41.935236496528461</v>
      </c>
    </row>
    <row r="235" spans="7:20" ht="14" x14ac:dyDescent="0.25">
      <c r="G235" s="185" t="s">
        <v>20</v>
      </c>
      <c r="H235" s="177">
        <v>0.6</v>
      </c>
      <c r="I235" s="177">
        <v>38.880000000000003</v>
      </c>
      <c r="J235" s="177">
        <v>1.0049999999999999</v>
      </c>
      <c r="K235" s="177">
        <v>1.2929999999999999</v>
      </c>
      <c r="L235" s="223">
        <v>35</v>
      </c>
      <c r="M235" s="177">
        <v>18</v>
      </c>
      <c r="N235" s="177">
        <f t="shared" si="70"/>
        <v>17</v>
      </c>
      <c r="O235" s="190">
        <f t="shared" si="71"/>
        <v>515.33663183999988</v>
      </c>
      <c r="P235" s="177">
        <v>0.27700000000000002</v>
      </c>
      <c r="Q235" s="50">
        <f t="shared" si="72"/>
        <v>142.74824701967998</v>
      </c>
      <c r="R235" s="177">
        <f>30*9</f>
        <v>270</v>
      </c>
      <c r="S235" s="222">
        <f t="shared" si="73"/>
        <v>38.542026695313595</v>
      </c>
    </row>
    <row r="236" spans="7:20" ht="14" x14ac:dyDescent="0.25">
      <c r="G236" s="185" t="s">
        <v>21</v>
      </c>
      <c r="H236" s="177">
        <v>0.6</v>
      </c>
      <c r="I236" s="177">
        <v>38.880000000000003</v>
      </c>
      <c r="J236" s="177">
        <v>1.0049999999999999</v>
      </c>
      <c r="K236" s="177">
        <v>1.2929999999999999</v>
      </c>
      <c r="L236" s="223">
        <v>34</v>
      </c>
      <c r="M236" s="177">
        <v>18</v>
      </c>
      <c r="N236" s="177">
        <f t="shared" si="70"/>
        <v>16</v>
      </c>
      <c r="O236" s="190">
        <f t="shared" si="71"/>
        <v>485.02271231999987</v>
      </c>
      <c r="P236" s="177">
        <v>0.27700000000000002</v>
      </c>
      <c r="Q236" s="50">
        <f t="shared" si="72"/>
        <v>134.35129131263997</v>
      </c>
      <c r="R236" s="177">
        <f>31*9</f>
        <v>279</v>
      </c>
      <c r="S236" s="222">
        <f t="shared" si="73"/>
        <v>37.484010276226556</v>
      </c>
    </row>
    <row r="237" spans="7:20" ht="14" x14ac:dyDescent="0.25">
      <c r="G237" s="185" t="s">
        <v>22</v>
      </c>
      <c r="H237" s="177">
        <v>0.6</v>
      </c>
      <c r="I237" s="177">
        <v>38.880000000000003</v>
      </c>
      <c r="J237" s="177">
        <v>1.0049999999999999</v>
      </c>
      <c r="K237" s="177">
        <v>1.2929999999999999</v>
      </c>
      <c r="L237" s="223">
        <v>31.2</v>
      </c>
      <c r="M237" s="177">
        <v>18</v>
      </c>
      <c r="N237" s="177">
        <f t="shared" si="70"/>
        <v>13.2</v>
      </c>
      <c r="O237" s="190">
        <f t="shared" si="71"/>
        <v>400.14373766399984</v>
      </c>
      <c r="P237" s="177">
        <v>0.27700000000000002</v>
      </c>
      <c r="Q237" s="50">
        <f t="shared" si="72"/>
        <v>110.83981533292797</v>
      </c>
      <c r="R237" s="177">
        <f>30*9</f>
        <v>270</v>
      </c>
      <c r="S237" s="222">
        <f t="shared" si="73"/>
        <v>29.926750139890551</v>
      </c>
    </row>
    <row r="238" spans="7:20" ht="15" x14ac:dyDescent="0.4">
      <c r="G238" s="343" t="s">
        <v>189</v>
      </c>
      <c r="H238" s="344"/>
      <c r="I238" s="344"/>
      <c r="J238" s="344"/>
      <c r="K238" s="344"/>
      <c r="L238" s="344"/>
      <c r="M238" s="344"/>
      <c r="N238" s="344"/>
      <c r="O238" s="344"/>
      <c r="P238" s="344"/>
      <c r="Q238" s="344"/>
      <c r="R238" s="345"/>
      <c r="S238" s="235">
        <f>SUM(S232:S237)</f>
        <v>238.65071784535451</v>
      </c>
    </row>
    <row r="239" spans="7:20" ht="14" x14ac:dyDescent="0.25">
      <c r="G239" s="185" t="s">
        <v>13</v>
      </c>
      <c r="H239" s="177">
        <v>0.6</v>
      </c>
      <c r="I239" s="177">
        <v>38.880000000000003</v>
      </c>
      <c r="J239" s="177">
        <v>1.0049999999999999</v>
      </c>
      <c r="K239" s="177">
        <v>1.2929999999999999</v>
      </c>
      <c r="L239" s="220">
        <v>38.4</v>
      </c>
      <c r="M239" s="177">
        <v>19</v>
      </c>
      <c r="N239" s="177">
        <f t="shared" ref="N239:N244" si="74">L239-M239</f>
        <v>19.399999999999999</v>
      </c>
      <c r="O239" s="190">
        <f t="shared" ref="O239:O244" si="75">H239*I239*J239*K239*N239</f>
        <v>588.09003868799982</v>
      </c>
      <c r="P239" s="177">
        <v>0.27700000000000002</v>
      </c>
      <c r="Q239" s="50">
        <f t="shared" ref="Q239:Q244" si="76">O239*P239</f>
        <v>162.90094071657597</v>
      </c>
      <c r="R239" s="177">
        <f>30*9</f>
        <v>270</v>
      </c>
      <c r="S239" s="222">
        <f t="shared" ref="S239:S244" si="77">(Q239*R239)/1000</f>
        <v>43.983253993475515</v>
      </c>
    </row>
    <row r="240" spans="7:20" ht="14" x14ac:dyDescent="0.25">
      <c r="G240" s="185" t="s">
        <v>24</v>
      </c>
      <c r="H240" s="177">
        <v>0.6</v>
      </c>
      <c r="I240" s="177">
        <v>38.880000000000003</v>
      </c>
      <c r="J240" s="177">
        <v>1.0049999999999999</v>
      </c>
      <c r="K240" s="177">
        <v>1.2929999999999999</v>
      </c>
      <c r="L240" s="223">
        <v>37</v>
      </c>
      <c r="M240" s="177">
        <v>19</v>
      </c>
      <c r="N240" s="177">
        <f t="shared" si="74"/>
        <v>18</v>
      </c>
      <c r="O240" s="190">
        <f t="shared" si="75"/>
        <v>545.65055135999989</v>
      </c>
      <c r="P240" s="177">
        <v>0.27700000000000002</v>
      </c>
      <c r="Q240" s="50">
        <f t="shared" si="76"/>
        <v>151.14520272671999</v>
      </c>
      <c r="R240" s="177">
        <f>31*9</f>
        <v>279</v>
      </c>
      <c r="S240" s="222">
        <f t="shared" si="77"/>
        <v>42.169511560754877</v>
      </c>
    </row>
    <row r="241" spans="7:19" ht="14" x14ac:dyDescent="0.25">
      <c r="G241" s="185" t="s">
        <v>19</v>
      </c>
      <c r="H241" s="177">
        <v>0.6</v>
      </c>
      <c r="I241" s="177">
        <v>38.880000000000003</v>
      </c>
      <c r="J241" s="177">
        <v>1.0049999999999999</v>
      </c>
      <c r="K241" s="177">
        <v>1.2929999999999999</v>
      </c>
      <c r="L241" s="223">
        <v>35.9</v>
      </c>
      <c r="M241" s="177">
        <v>19</v>
      </c>
      <c r="N241" s="177">
        <f t="shared" si="74"/>
        <v>16.899999999999999</v>
      </c>
      <c r="O241" s="190">
        <f t="shared" si="75"/>
        <v>512.30523988799985</v>
      </c>
      <c r="P241" s="177">
        <v>0.27700000000000002</v>
      </c>
      <c r="Q241" s="50">
        <f t="shared" si="76"/>
        <v>141.90855144897597</v>
      </c>
      <c r="R241" s="177">
        <f>31*9</f>
        <v>279</v>
      </c>
      <c r="S241" s="222">
        <f t="shared" si="77"/>
        <v>39.592485854264297</v>
      </c>
    </row>
    <row r="242" spans="7:19" ht="14" x14ac:dyDescent="0.25">
      <c r="G242" s="185" t="s">
        <v>20</v>
      </c>
      <c r="H242" s="177">
        <v>0.6</v>
      </c>
      <c r="I242" s="177">
        <v>38.880000000000003</v>
      </c>
      <c r="J242" s="177">
        <v>1.0049999999999999</v>
      </c>
      <c r="K242" s="177">
        <v>1.2929999999999999</v>
      </c>
      <c r="L242" s="223">
        <v>35</v>
      </c>
      <c r="M242" s="177">
        <v>19</v>
      </c>
      <c r="N242" s="177">
        <f t="shared" si="74"/>
        <v>16</v>
      </c>
      <c r="O242" s="190">
        <f t="shared" si="75"/>
        <v>485.02271231999987</v>
      </c>
      <c r="P242" s="177">
        <v>0.27700000000000002</v>
      </c>
      <c r="Q242" s="50">
        <f t="shared" si="76"/>
        <v>134.35129131263997</v>
      </c>
      <c r="R242" s="177">
        <f>30*9</f>
        <v>270</v>
      </c>
      <c r="S242" s="222">
        <f t="shared" si="77"/>
        <v>36.274848654412793</v>
      </c>
    </row>
    <row r="243" spans="7:19" ht="14" x14ac:dyDescent="0.25">
      <c r="G243" s="185" t="s">
        <v>21</v>
      </c>
      <c r="H243" s="177">
        <v>0.6</v>
      </c>
      <c r="I243" s="177">
        <v>38.880000000000003</v>
      </c>
      <c r="J243" s="177">
        <v>1.0049999999999999</v>
      </c>
      <c r="K243" s="177">
        <v>1.2929999999999999</v>
      </c>
      <c r="L243" s="223">
        <v>34</v>
      </c>
      <c r="M243" s="177">
        <v>19</v>
      </c>
      <c r="N243" s="177">
        <f t="shared" si="74"/>
        <v>15</v>
      </c>
      <c r="O243" s="190">
        <f t="shared" si="75"/>
        <v>454.70879279999986</v>
      </c>
      <c r="P243" s="177">
        <v>0.27700000000000002</v>
      </c>
      <c r="Q243" s="50">
        <f t="shared" si="76"/>
        <v>125.95433560559997</v>
      </c>
      <c r="R243" s="177">
        <f>31*9</f>
        <v>279</v>
      </c>
      <c r="S243" s="222">
        <f t="shared" si="77"/>
        <v>35.141259633962392</v>
      </c>
    </row>
    <row r="244" spans="7:19" ht="14" x14ac:dyDescent="0.25">
      <c r="G244" s="185" t="s">
        <v>22</v>
      </c>
      <c r="H244" s="177">
        <v>0.6</v>
      </c>
      <c r="I244" s="177">
        <v>38.880000000000003</v>
      </c>
      <c r="J244" s="177">
        <v>1.0049999999999999</v>
      </c>
      <c r="K244" s="177">
        <v>1.2929999999999999</v>
      </c>
      <c r="L244" s="223">
        <v>31.2</v>
      </c>
      <c r="M244" s="177">
        <v>19</v>
      </c>
      <c r="N244" s="177">
        <f t="shared" si="74"/>
        <v>12.2</v>
      </c>
      <c r="O244" s="190">
        <f t="shared" si="75"/>
        <v>369.82981814399989</v>
      </c>
      <c r="P244" s="177">
        <v>0.27700000000000002</v>
      </c>
      <c r="Q244" s="50">
        <f t="shared" si="76"/>
        <v>102.44285962588798</v>
      </c>
      <c r="R244" s="177">
        <f>30*9</f>
        <v>270</v>
      </c>
      <c r="S244" s="222">
        <f t="shared" si="77"/>
        <v>27.659572098989752</v>
      </c>
    </row>
    <row r="245" spans="7:19" ht="15" x14ac:dyDescent="0.4">
      <c r="G245" s="343" t="s">
        <v>192</v>
      </c>
      <c r="H245" s="344"/>
      <c r="I245" s="344"/>
      <c r="J245" s="344"/>
      <c r="K245" s="344"/>
      <c r="L245" s="344"/>
      <c r="M245" s="344"/>
      <c r="N245" s="344"/>
      <c r="O245" s="344"/>
      <c r="P245" s="344"/>
      <c r="Q245" s="344"/>
      <c r="R245" s="345"/>
      <c r="S245" s="235">
        <f>SUM(S239:S244)</f>
        <v>224.82093179585962</v>
      </c>
    </row>
    <row r="246" spans="7:19" ht="14" x14ac:dyDescent="0.25">
      <c r="G246" s="185" t="s">
        <v>13</v>
      </c>
      <c r="H246" s="177">
        <v>0.6</v>
      </c>
      <c r="I246" s="177">
        <v>38.880000000000003</v>
      </c>
      <c r="J246" s="177">
        <v>1.0049999999999999</v>
      </c>
      <c r="K246" s="177">
        <v>1.2929999999999999</v>
      </c>
      <c r="L246" s="220">
        <v>38.4</v>
      </c>
      <c r="M246" s="177">
        <v>20</v>
      </c>
      <c r="N246" s="177">
        <f t="shared" ref="N246:N251" si="78">L246-M246</f>
        <v>18.399999999999999</v>
      </c>
      <c r="O246" s="190">
        <f t="shared" ref="O246:O251" si="79">H246*I246*J246*K246*N246</f>
        <v>557.77611916799981</v>
      </c>
      <c r="P246" s="177">
        <v>0.27700000000000002</v>
      </c>
      <c r="Q246" s="50">
        <f t="shared" ref="Q246:Q251" si="80">O246*P246</f>
        <v>154.50398500953597</v>
      </c>
      <c r="R246" s="177">
        <f>30*9</f>
        <v>270</v>
      </c>
      <c r="S246" s="222">
        <f t="shared" ref="S246:S251" si="81">(Q246*R246)/1000</f>
        <v>41.716075952574712</v>
      </c>
    </row>
    <row r="247" spans="7:19" ht="14" x14ac:dyDescent="0.25">
      <c r="G247" s="185" t="s">
        <v>24</v>
      </c>
      <c r="H247" s="177">
        <v>0.6</v>
      </c>
      <c r="I247" s="177">
        <v>38.880000000000003</v>
      </c>
      <c r="J247" s="177">
        <v>1.0049999999999999</v>
      </c>
      <c r="K247" s="177">
        <v>1.2929999999999999</v>
      </c>
      <c r="L247" s="223">
        <v>37</v>
      </c>
      <c r="M247" s="177">
        <v>20</v>
      </c>
      <c r="N247" s="177">
        <f t="shared" si="78"/>
        <v>17</v>
      </c>
      <c r="O247" s="190">
        <f t="shared" si="79"/>
        <v>515.33663183999988</v>
      </c>
      <c r="P247" s="177">
        <v>0.27700000000000002</v>
      </c>
      <c r="Q247" s="50">
        <f t="shared" si="80"/>
        <v>142.74824701967998</v>
      </c>
      <c r="R247" s="177">
        <f>31*9</f>
        <v>279</v>
      </c>
      <c r="S247" s="222">
        <f t="shared" si="81"/>
        <v>39.826760918490713</v>
      </c>
    </row>
    <row r="248" spans="7:19" ht="14" x14ac:dyDescent="0.25">
      <c r="G248" s="185" t="s">
        <v>19</v>
      </c>
      <c r="H248" s="177">
        <v>0.6</v>
      </c>
      <c r="I248" s="177">
        <v>38.880000000000003</v>
      </c>
      <c r="J248" s="177">
        <v>1.0049999999999999</v>
      </c>
      <c r="K248" s="177">
        <v>1.2929999999999999</v>
      </c>
      <c r="L248" s="223">
        <v>35.9</v>
      </c>
      <c r="M248" s="177">
        <v>20</v>
      </c>
      <c r="N248" s="177">
        <f t="shared" si="78"/>
        <v>15.899999999999999</v>
      </c>
      <c r="O248" s="190">
        <f t="shared" si="79"/>
        <v>481.99132036799983</v>
      </c>
      <c r="P248" s="177">
        <v>0.27700000000000002</v>
      </c>
      <c r="Q248" s="50">
        <f t="shared" si="80"/>
        <v>133.51159574193596</v>
      </c>
      <c r="R248" s="177">
        <f>31*9</f>
        <v>279</v>
      </c>
      <c r="S248" s="222">
        <f t="shared" si="81"/>
        <v>37.249735212000132</v>
      </c>
    </row>
    <row r="249" spans="7:19" ht="14" x14ac:dyDescent="0.25">
      <c r="G249" s="185" t="s">
        <v>20</v>
      </c>
      <c r="H249" s="177">
        <v>0.6</v>
      </c>
      <c r="I249" s="177">
        <v>38.880000000000003</v>
      </c>
      <c r="J249" s="177">
        <v>1.0049999999999999</v>
      </c>
      <c r="K249" s="177">
        <v>1.2929999999999999</v>
      </c>
      <c r="L249" s="223">
        <v>35</v>
      </c>
      <c r="M249" s="177">
        <v>20</v>
      </c>
      <c r="N249" s="177">
        <f t="shared" si="78"/>
        <v>15</v>
      </c>
      <c r="O249" s="190">
        <f t="shared" si="79"/>
        <v>454.70879279999986</v>
      </c>
      <c r="P249" s="177">
        <v>0.27700000000000002</v>
      </c>
      <c r="Q249" s="50">
        <f t="shared" si="80"/>
        <v>125.95433560559997</v>
      </c>
      <c r="R249" s="177">
        <f>30*9</f>
        <v>270</v>
      </c>
      <c r="S249" s="222">
        <f t="shared" si="81"/>
        <v>34.007670613511991</v>
      </c>
    </row>
    <row r="250" spans="7:19" ht="14" x14ac:dyDescent="0.25">
      <c r="G250" s="185" t="s">
        <v>21</v>
      </c>
      <c r="H250" s="177">
        <v>0.6</v>
      </c>
      <c r="I250" s="177">
        <v>38.880000000000003</v>
      </c>
      <c r="J250" s="177">
        <v>1.0049999999999999</v>
      </c>
      <c r="K250" s="177">
        <v>1.2929999999999999</v>
      </c>
      <c r="L250" s="223">
        <v>34</v>
      </c>
      <c r="M250" s="177">
        <v>20</v>
      </c>
      <c r="N250" s="177">
        <f t="shared" si="78"/>
        <v>14</v>
      </c>
      <c r="O250" s="190">
        <f t="shared" si="79"/>
        <v>424.3948732799999</v>
      </c>
      <c r="P250" s="177">
        <v>0.27700000000000002</v>
      </c>
      <c r="Q250" s="50">
        <f t="shared" si="80"/>
        <v>117.55737989855999</v>
      </c>
      <c r="R250" s="177">
        <f>31*9</f>
        <v>279</v>
      </c>
      <c r="S250" s="222">
        <f t="shared" si="81"/>
        <v>32.798508991698242</v>
      </c>
    </row>
    <row r="251" spans="7:19" ht="14" x14ac:dyDescent="0.25">
      <c r="G251" s="185" t="s">
        <v>22</v>
      </c>
      <c r="H251" s="177">
        <v>0.6</v>
      </c>
      <c r="I251" s="177">
        <v>38.880000000000003</v>
      </c>
      <c r="J251" s="177">
        <v>1.0049999999999999</v>
      </c>
      <c r="K251" s="177">
        <v>1.2929999999999999</v>
      </c>
      <c r="L251" s="223">
        <v>31.2</v>
      </c>
      <c r="M251" s="177">
        <v>20</v>
      </c>
      <c r="N251" s="177">
        <f t="shared" si="78"/>
        <v>11.2</v>
      </c>
      <c r="O251" s="190">
        <f t="shared" si="79"/>
        <v>339.51589862399987</v>
      </c>
      <c r="P251" s="177">
        <v>0.27700000000000002</v>
      </c>
      <c r="Q251" s="50">
        <f t="shared" si="80"/>
        <v>94.045903918847969</v>
      </c>
      <c r="R251" s="177">
        <f>30*9</f>
        <v>270</v>
      </c>
      <c r="S251" s="222">
        <f t="shared" si="81"/>
        <v>25.39239405808895</v>
      </c>
    </row>
    <row r="252" spans="7:19" ht="15" x14ac:dyDescent="0.4">
      <c r="G252" s="343" t="s">
        <v>177</v>
      </c>
      <c r="H252" s="344"/>
      <c r="I252" s="344"/>
      <c r="J252" s="344"/>
      <c r="K252" s="344"/>
      <c r="L252" s="344"/>
      <c r="M252" s="344"/>
      <c r="N252" s="344"/>
      <c r="O252" s="344"/>
      <c r="P252" s="344"/>
      <c r="Q252" s="344"/>
      <c r="R252" s="345"/>
      <c r="S252" s="235">
        <f>SUM(S246:S251)</f>
        <v>210.99114574636471</v>
      </c>
    </row>
    <row r="253" spans="7:19" ht="14" x14ac:dyDescent="0.25">
      <c r="G253" s="185" t="s">
        <v>13</v>
      </c>
      <c r="H253" s="177">
        <v>0.6</v>
      </c>
      <c r="I253" s="177">
        <v>38.880000000000003</v>
      </c>
      <c r="J253" s="177">
        <v>1.0049999999999999</v>
      </c>
      <c r="K253" s="177">
        <v>1.2929999999999999</v>
      </c>
      <c r="L253" s="220">
        <v>38.4</v>
      </c>
      <c r="M253" s="177">
        <v>21</v>
      </c>
      <c r="N253" s="177">
        <f t="shared" ref="N253:N258" si="82">L253-M253</f>
        <v>17.399999999999999</v>
      </c>
      <c r="O253" s="190">
        <f t="shared" ref="O253:O258" si="83">H253*I253*J253*K253*N253</f>
        <v>527.4621996479998</v>
      </c>
      <c r="P253" s="177">
        <v>0.27700000000000002</v>
      </c>
      <c r="Q253" s="50">
        <f t="shared" ref="Q253:Q258" si="84">O253*P253</f>
        <v>146.10702930249596</v>
      </c>
      <c r="R253" s="177">
        <f>30*9</f>
        <v>270</v>
      </c>
      <c r="S253" s="222">
        <f t="shared" ref="S253:S258" si="85">(Q253*R253)/1000</f>
        <v>39.448897911673903</v>
      </c>
    </row>
    <row r="254" spans="7:19" ht="14" x14ac:dyDescent="0.25">
      <c r="G254" s="185" t="s">
        <v>24</v>
      </c>
      <c r="H254" s="177">
        <v>0.6</v>
      </c>
      <c r="I254" s="177">
        <v>38.880000000000003</v>
      </c>
      <c r="J254" s="177">
        <v>1.0049999999999999</v>
      </c>
      <c r="K254" s="177">
        <v>1.2929999999999999</v>
      </c>
      <c r="L254" s="223">
        <v>37</v>
      </c>
      <c r="M254" s="177">
        <v>21</v>
      </c>
      <c r="N254" s="177">
        <f t="shared" si="82"/>
        <v>16</v>
      </c>
      <c r="O254" s="190">
        <f t="shared" si="83"/>
        <v>485.02271231999987</v>
      </c>
      <c r="P254" s="177">
        <v>0.27700000000000002</v>
      </c>
      <c r="Q254" s="50">
        <f t="shared" si="84"/>
        <v>134.35129131263997</v>
      </c>
      <c r="R254" s="177">
        <f>31*9</f>
        <v>279</v>
      </c>
      <c r="S254" s="222">
        <f t="shared" si="85"/>
        <v>37.484010276226556</v>
      </c>
    </row>
    <row r="255" spans="7:19" ht="14" x14ac:dyDescent="0.25">
      <c r="G255" s="185" t="s">
        <v>19</v>
      </c>
      <c r="H255" s="177">
        <v>0.6</v>
      </c>
      <c r="I255" s="177">
        <v>38.880000000000003</v>
      </c>
      <c r="J255" s="177">
        <v>1.0049999999999999</v>
      </c>
      <c r="K255" s="177">
        <v>1.2929999999999999</v>
      </c>
      <c r="L255" s="223">
        <v>35.9</v>
      </c>
      <c r="M255" s="177">
        <v>21</v>
      </c>
      <c r="N255" s="177">
        <f t="shared" si="82"/>
        <v>14.899999999999999</v>
      </c>
      <c r="O255" s="190">
        <f t="shared" si="83"/>
        <v>451.67740084799982</v>
      </c>
      <c r="P255" s="177">
        <v>0.27700000000000002</v>
      </c>
      <c r="Q255" s="50">
        <f t="shared" si="84"/>
        <v>125.11464003489596</v>
      </c>
      <c r="R255" s="177">
        <f>31*9</f>
        <v>279</v>
      </c>
      <c r="S255" s="222">
        <f t="shared" si="85"/>
        <v>34.906984569735968</v>
      </c>
    </row>
    <row r="256" spans="7:19" ht="14" x14ac:dyDescent="0.25">
      <c r="G256" s="185" t="s">
        <v>20</v>
      </c>
      <c r="H256" s="177">
        <v>0.6</v>
      </c>
      <c r="I256" s="177">
        <v>38.880000000000003</v>
      </c>
      <c r="J256" s="177">
        <v>1.0049999999999999</v>
      </c>
      <c r="K256" s="177">
        <v>1.2929999999999999</v>
      </c>
      <c r="L256" s="223">
        <v>35</v>
      </c>
      <c r="M256" s="177">
        <v>21</v>
      </c>
      <c r="N256" s="177">
        <f t="shared" si="82"/>
        <v>14</v>
      </c>
      <c r="O256" s="190">
        <f t="shared" si="83"/>
        <v>424.3948732799999</v>
      </c>
      <c r="P256" s="177">
        <v>0.27700000000000002</v>
      </c>
      <c r="Q256" s="50">
        <f t="shared" si="84"/>
        <v>117.55737989855999</v>
      </c>
      <c r="R256" s="177">
        <f>30*9</f>
        <v>270</v>
      </c>
      <c r="S256" s="222">
        <f t="shared" si="85"/>
        <v>31.740492572611199</v>
      </c>
    </row>
    <row r="257" spans="7:19" ht="14" x14ac:dyDescent="0.25">
      <c r="G257" s="185" t="s">
        <v>21</v>
      </c>
      <c r="H257" s="177">
        <v>0.6</v>
      </c>
      <c r="I257" s="177">
        <v>38.880000000000003</v>
      </c>
      <c r="J257" s="177">
        <v>1.0049999999999999</v>
      </c>
      <c r="K257" s="177">
        <v>1.2929999999999999</v>
      </c>
      <c r="L257" s="223">
        <v>34</v>
      </c>
      <c r="M257" s="177">
        <v>21</v>
      </c>
      <c r="N257" s="177">
        <f t="shared" si="82"/>
        <v>13</v>
      </c>
      <c r="O257" s="190">
        <f t="shared" si="83"/>
        <v>394.08095375999989</v>
      </c>
      <c r="P257" s="177">
        <v>0.27700000000000002</v>
      </c>
      <c r="Q257" s="50">
        <f t="shared" si="84"/>
        <v>109.16042419151998</v>
      </c>
      <c r="R257" s="177">
        <f>31*9</f>
        <v>279</v>
      </c>
      <c r="S257" s="222">
        <f t="shared" si="85"/>
        <v>30.455758349434074</v>
      </c>
    </row>
    <row r="258" spans="7:19" ht="14" x14ac:dyDescent="0.25">
      <c r="G258" s="185" t="s">
        <v>22</v>
      </c>
      <c r="H258" s="177">
        <v>0.6</v>
      </c>
      <c r="I258" s="177">
        <v>38.880000000000003</v>
      </c>
      <c r="J258" s="177">
        <v>1.0049999999999999</v>
      </c>
      <c r="K258" s="177">
        <v>1.2929999999999999</v>
      </c>
      <c r="L258" s="223">
        <v>31.2</v>
      </c>
      <c r="M258" s="177">
        <v>21</v>
      </c>
      <c r="N258" s="177">
        <f t="shared" si="82"/>
        <v>10.199999999999999</v>
      </c>
      <c r="O258" s="190">
        <f t="shared" si="83"/>
        <v>309.20197910399992</v>
      </c>
      <c r="P258" s="177">
        <v>0.27700000000000002</v>
      </c>
      <c r="Q258" s="50">
        <f t="shared" si="84"/>
        <v>85.648948211807991</v>
      </c>
      <c r="R258" s="177">
        <f>30*9</f>
        <v>270</v>
      </c>
      <c r="S258" s="222">
        <f t="shared" si="85"/>
        <v>23.125216017188158</v>
      </c>
    </row>
    <row r="259" spans="7:19" ht="15" x14ac:dyDescent="0.4">
      <c r="G259" s="343" t="s">
        <v>178</v>
      </c>
      <c r="H259" s="344"/>
      <c r="I259" s="344"/>
      <c r="J259" s="344"/>
      <c r="K259" s="344"/>
      <c r="L259" s="344"/>
      <c r="M259" s="344"/>
      <c r="N259" s="344"/>
      <c r="O259" s="344"/>
      <c r="P259" s="344"/>
      <c r="Q259" s="344"/>
      <c r="R259" s="345"/>
      <c r="S259" s="235">
        <f>SUM(S253:S258)</f>
        <v>197.16135969686985</v>
      </c>
    </row>
    <row r="260" spans="7:19" ht="14" x14ac:dyDescent="0.25">
      <c r="G260" s="185" t="s">
        <v>13</v>
      </c>
      <c r="H260" s="177">
        <v>0.6</v>
      </c>
      <c r="I260" s="177">
        <v>38.880000000000003</v>
      </c>
      <c r="J260" s="177">
        <v>1.0049999999999999</v>
      </c>
      <c r="K260" s="177">
        <v>1.2929999999999999</v>
      </c>
      <c r="L260" s="220">
        <v>38.4</v>
      </c>
      <c r="M260" s="177">
        <v>22</v>
      </c>
      <c r="N260" s="177">
        <f t="shared" ref="N260:N265" si="86">L260-M260</f>
        <v>16.399999999999999</v>
      </c>
      <c r="O260" s="190">
        <f t="shared" ref="O260" si="87">H260*I260*J260*K260*N260</f>
        <v>497.14828012799984</v>
      </c>
      <c r="P260" s="177">
        <v>0.27700000000000002</v>
      </c>
      <c r="Q260" s="50">
        <f t="shared" ref="Q260:Q265" si="88">O260*P260</f>
        <v>137.71007359545598</v>
      </c>
      <c r="R260" s="177">
        <f>30*9</f>
        <v>270</v>
      </c>
      <c r="S260" s="222">
        <f t="shared" ref="S260" si="89">(Q260*R260)/1000</f>
        <v>37.181719870773115</v>
      </c>
    </row>
    <row r="261" spans="7:19" ht="14" x14ac:dyDescent="0.25">
      <c r="G261" s="185" t="s">
        <v>24</v>
      </c>
      <c r="H261" s="177">
        <v>0.6</v>
      </c>
      <c r="I261" s="177">
        <v>38.880000000000003</v>
      </c>
      <c r="J261" s="177">
        <v>1.0049999999999999</v>
      </c>
      <c r="K261" s="177">
        <v>1.2929999999999999</v>
      </c>
      <c r="L261" s="223">
        <v>37</v>
      </c>
      <c r="M261" s="177">
        <v>22</v>
      </c>
      <c r="N261" s="177">
        <f t="shared" si="86"/>
        <v>15</v>
      </c>
      <c r="O261" s="190">
        <f t="shared" ref="O261:O264" si="90">H261*I261*J261*K261*N261</f>
        <v>454.70879279999986</v>
      </c>
      <c r="P261" s="177">
        <v>0.27700000000000002</v>
      </c>
      <c r="Q261" s="50">
        <f t="shared" si="88"/>
        <v>125.95433560559997</v>
      </c>
      <c r="R261" s="177">
        <f>31*9</f>
        <v>279</v>
      </c>
      <c r="S261" s="222">
        <f t="shared" ref="S261:S264" si="91">(Q261*R261)/1000</f>
        <v>35.141259633962392</v>
      </c>
    </row>
    <row r="262" spans="7:19" ht="14" x14ac:dyDescent="0.25">
      <c r="G262" s="185" t="s">
        <v>19</v>
      </c>
      <c r="H262" s="177">
        <v>0.6</v>
      </c>
      <c r="I262" s="177">
        <v>38.880000000000003</v>
      </c>
      <c r="J262" s="177">
        <v>1.0049999999999999</v>
      </c>
      <c r="K262" s="177">
        <v>1.2929999999999999</v>
      </c>
      <c r="L262" s="223">
        <v>35.9</v>
      </c>
      <c r="M262" s="177">
        <v>22</v>
      </c>
      <c r="N262" s="177">
        <f t="shared" si="86"/>
        <v>13.899999999999999</v>
      </c>
      <c r="O262" s="190">
        <f t="shared" si="90"/>
        <v>421.36348132799986</v>
      </c>
      <c r="P262" s="177">
        <v>0.27700000000000002</v>
      </c>
      <c r="Q262" s="50">
        <f t="shared" si="88"/>
        <v>116.71768432785598</v>
      </c>
      <c r="R262" s="177">
        <f>31*9</f>
        <v>279</v>
      </c>
      <c r="S262" s="222">
        <f t="shared" si="91"/>
        <v>32.564233927471818</v>
      </c>
    </row>
    <row r="263" spans="7:19" ht="14" x14ac:dyDescent="0.25">
      <c r="G263" s="185" t="s">
        <v>20</v>
      </c>
      <c r="H263" s="177">
        <v>0.6</v>
      </c>
      <c r="I263" s="177">
        <v>38.880000000000003</v>
      </c>
      <c r="J263" s="177">
        <v>1.0049999999999999</v>
      </c>
      <c r="K263" s="177">
        <v>1.2929999999999999</v>
      </c>
      <c r="L263" s="223">
        <v>35</v>
      </c>
      <c r="M263" s="177">
        <v>22</v>
      </c>
      <c r="N263" s="177">
        <f t="shared" si="86"/>
        <v>13</v>
      </c>
      <c r="O263" s="190">
        <f t="shared" si="90"/>
        <v>394.08095375999989</v>
      </c>
      <c r="P263" s="177">
        <v>0.27700000000000002</v>
      </c>
      <c r="Q263" s="50">
        <f t="shared" si="88"/>
        <v>109.16042419151998</v>
      </c>
      <c r="R263" s="177">
        <f>30*9</f>
        <v>270</v>
      </c>
      <c r="S263" s="222">
        <f t="shared" si="91"/>
        <v>29.473314531710397</v>
      </c>
    </row>
    <row r="264" spans="7:19" ht="14" x14ac:dyDescent="0.25">
      <c r="G264" s="185" t="s">
        <v>21</v>
      </c>
      <c r="H264" s="177">
        <v>0.6</v>
      </c>
      <c r="I264" s="177">
        <v>38.880000000000003</v>
      </c>
      <c r="J264" s="177">
        <v>1.0049999999999999</v>
      </c>
      <c r="K264" s="177">
        <v>1.2929999999999999</v>
      </c>
      <c r="L264" s="223">
        <v>34</v>
      </c>
      <c r="M264" s="177">
        <v>22</v>
      </c>
      <c r="N264" s="177">
        <f t="shared" si="86"/>
        <v>12</v>
      </c>
      <c r="O264" s="190">
        <f t="shared" si="90"/>
        <v>363.76703423999993</v>
      </c>
      <c r="P264" s="177">
        <v>0.27700000000000002</v>
      </c>
      <c r="Q264" s="50">
        <f t="shared" si="88"/>
        <v>100.76346848447999</v>
      </c>
      <c r="R264" s="177">
        <f>31*9</f>
        <v>279</v>
      </c>
      <c r="S264" s="222">
        <f t="shared" si="91"/>
        <v>28.113007707169917</v>
      </c>
    </row>
    <row r="265" spans="7:19" ht="14" x14ac:dyDescent="0.25">
      <c r="G265" s="185" t="s">
        <v>22</v>
      </c>
      <c r="H265" s="177">
        <v>0.6</v>
      </c>
      <c r="I265" s="177">
        <v>38.880000000000003</v>
      </c>
      <c r="J265" s="177">
        <v>1.0049999999999999</v>
      </c>
      <c r="K265" s="177">
        <v>1.2929999999999999</v>
      </c>
      <c r="L265" s="223">
        <v>31.2</v>
      </c>
      <c r="M265" s="177">
        <v>22</v>
      </c>
      <c r="N265" s="177">
        <f t="shared" si="86"/>
        <v>9.1999999999999993</v>
      </c>
      <c r="O265" s="190">
        <f t="shared" ref="O265" si="92">H265*I265*J265*K265*N265</f>
        <v>278.8880595839999</v>
      </c>
      <c r="P265" s="177">
        <v>0.27700000000000002</v>
      </c>
      <c r="Q265" s="50">
        <f t="shared" si="88"/>
        <v>77.251992504767983</v>
      </c>
      <c r="R265" s="177">
        <f>30*9</f>
        <v>270</v>
      </c>
      <c r="S265" s="222">
        <f t="shared" ref="S265" si="93">(Q265*R265)/1000</f>
        <v>20.858037976287356</v>
      </c>
    </row>
    <row r="266" spans="7:19" ht="15" x14ac:dyDescent="0.4">
      <c r="G266" s="343" t="s">
        <v>133</v>
      </c>
      <c r="H266" s="344"/>
      <c r="I266" s="344"/>
      <c r="J266" s="344"/>
      <c r="K266" s="344"/>
      <c r="L266" s="344"/>
      <c r="M266" s="344"/>
      <c r="N266" s="344"/>
      <c r="O266" s="344"/>
      <c r="P266" s="344"/>
      <c r="Q266" s="344"/>
      <c r="R266" s="345"/>
      <c r="S266" s="235">
        <f>SUM(S260:S265)</f>
        <v>183.331573647375</v>
      </c>
    </row>
    <row r="267" spans="7:19" ht="14" x14ac:dyDescent="0.25">
      <c r="G267" s="185" t="s">
        <v>13</v>
      </c>
      <c r="H267" s="177">
        <v>0.6</v>
      </c>
      <c r="I267" s="177">
        <v>38.880000000000003</v>
      </c>
      <c r="J267" s="177">
        <v>1.0049999999999999</v>
      </c>
      <c r="K267" s="177">
        <v>1.2929999999999999</v>
      </c>
      <c r="L267" s="220">
        <v>38.4</v>
      </c>
      <c r="M267" s="177">
        <v>23</v>
      </c>
      <c r="N267" s="177">
        <f t="shared" ref="N267:N272" si="94">L267-M267</f>
        <v>15.399999999999999</v>
      </c>
      <c r="O267" s="190">
        <f t="shared" ref="O267" si="95">H267*I267*J267*K267*N267</f>
        <v>466.83436060799983</v>
      </c>
      <c r="P267" s="177">
        <v>0.27700000000000002</v>
      </c>
      <c r="Q267" s="50">
        <f t="shared" ref="Q267:Q272" si="96">O267*P267</f>
        <v>129.31311788841597</v>
      </c>
      <c r="R267" s="177">
        <f>30*9</f>
        <v>270</v>
      </c>
      <c r="S267" s="222">
        <f t="shared" ref="S267" si="97">(Q267*R267)/1000</f>
        <v>34.914541829872313</v>
      </c>
    </row>
    <row r="268" spans="7:19" ht="14" x14ac:dyDescent="0.25">
      <c r="G268" s="185" t="s">
        <v>24</v>
      </c>
      <c r="H268" s="177">
        <v>0.6</v>
      </c>
      <c r="I268" s="177">
        <v>38.880000000000003</v>
      </c>
      <c r="J268" s="177">
        <v>1.0049999999999999</v>
      </c>
      <c r="K268" s="177">
        <v>1.2929999999999999</v>
      </c>
      <c r="L268" s="223">
        <v>37</v>
      </c>
      <c r="M268" s="177">
        <v>23</v>
      </c>
      <c r="N268" s="177">
        <f t="shared" si="94"/>
        <v>14</v>
      </c>
      <c r="O268" s="190">
        <f t="shared" ref="O268:O272" si="98">H268*I268*J268*K268*N268</f>
        <v>424.3948732799999</v>
      </c>
      <c r="P268" s="177">
        <v>0.27700000000000002</v>
      </c>
      <c r="Q268" s="50">
        <f t="shared" si="96"/>
        <v>117.55737989855999</v>
      </c>
      <c r="R268" s="177">
        <f>31*9</f>
        <v>279</v>
      </c>
      <c r="S268" s="222">
        <f t="shared" ref="S268:S272" si="99">(Q268*R268)/1000</f>
        <v>32.798508991698242</v>
      </c>
    </row>
    <row r="269" spans="7:19" ht="14" x14ac:dyDescent="0.25">
      <c r="G269" s="185" t="s">
        <v>19</v>
      </c>
      <c r="H269" s="177">
        <v>0.6</v>
      </c>
      <c r="I269" s="177">
        <v>38.880000000000003</v>
      </c>
      <c r="J269" s="177">
        <v>1.0049999999999999</v>
      </c>
      <c r="K269" s="177">
        <v>1.2929999999999999</v>
      </c>
      <c r="L269" s="223">
        <v>35.9</v>
      </c>
      <c r="M269" s="177">
        <v>23</v>
      </c>
      <c r="N269" s="177">
        <f t="shared" si="94"/>
        <v>12.899999999999999</v>
      </c>
      <c r="O269" s="190">
        <f t="shared" si="98"/>
        <v>391.04956180799985</v>
      </c>
      <c r="P269" s="177">
        <v>0.27700000000000002</v>
      </c>
      <c r="Q269" s="50">
        <f t="shared" si="96"/>
        <v>108.32072862081597</v>
      </c>
      <c r="R269" s="177">
        <f>31*9</f>
        <v>279</v>
      </c>
      <c r="S269" s="222">
        <f t="shared" si="99"/>
        <v>30.221483285207654</v>
      </c>
    </row>
    <row r="270" spans="7:19" ht="14" x14ac:dyDescent="0.25">
      <c r="G270" s="185" t="s">
        <v>20</v>
      </c>
      <c r="H270" s="177">
        <v>0.6</v>
      </c>
      <c r="I270" s="177">
        <v>38.880000000000003</v>
      </c>
      <c r="J270" s="177">
        <v>1.0049999999999999</v>
      </c>
      <c r="K270" s="177">
        <v>1.2929999999999999</v>
      </c>
      <c r="L270" s="223">
        <v>35</v>
      </c>
      <c r="M270" s="177">
        <v>23</v>
      </c>
      <c r="N270" s="177">
        <f t="shared" si="94"/>
        <v>12</v>
      </c>
      <c r="O270" s="190">
        <f t="shared" si="98"/>
        <v>363.76703423999993</v>
      </c>
      <c r="P270" s="177">
        <v>0.27700000000000002</v>
      </c>
      <c r="Q270" s="50">
        <f t="shared" si="96"/>
        <v>100.76346848447999</v>
      </c>
      <c r="R270" s="177">
        <f>30*9</f>
        <v>270</v>
      </c>
      <c r="S270" s="222">
        <f t="shared" si="99"/>
        <v>27.206136490809598</v>
      </c>
    </row>
    <row r="271" spans="7:19" ht="14" x14ac:dyDescent="0.25">
      <c r="G271" s="185" t="s">
        <v>21</v>
      </c>
      <c r="H271" s="177">
        <v>0.6</v>
      </c>
      <c r="I271" s="177">
        <v>38.880000000000003</v>
      </c>
      <c r="J271" s="177">
        <v>1.0049999999999999</v>
      </c>
      <c r="K271" s="177">
        <v>1.2929999999999999</v>
      </c>
      <c r="L271" s="223">
        <v>34</v>
      </c>
      <c r="M271" s="177">
        <v>23</v>
      </c>
      <c r="N271" s="177">
        <f t="shared" si="94"/>
        <v>11</v>
      </c>
      <c r="O271" s="190">
        <f t="shared" si="98"/>
        <v>333.45311471999992</v>
      </c>
      <c r="P271" s="177">
        <v>0.27700000000000002</v>
      </c>
      <c r="Q271" s="50">
        <f t="shared" si="96"/>
        <v>92.366512777439979</v>
      </c>
      <c r="R271" s="177">
        <f>31*9</f>
        <v>279</v>
      </c>
      <c r="S271" s="222">
        <f t="shared" si="99"/>
        <v>25.770257064905753</v>
      </c>
    </row>
    <row r="272" spans="7:19" ht="14" x14ac:dyDescent="0.25">
      <c r="G272" s="185" t="s">
        <v>22</v>
      </c>
      <c r="H272" s="177">
        <v>0.6</v>
      </c>
      <c r="I272" s="177">
        <v>38.880000000000003</v>
      </c>
      <c r="J272" s="177">
        <v>1.0049999999999999</v>
      </c>
      <c r="K272" s="177">
        <v>1.2929999999999999</v>
      </c>
      <c r="L272" s="223">
        <v>31.2</v>
      </c>
      <c r="M272" s="177">
        <v>23</v>
      </c>
      <c r="N272" s="177">
        <f t="shared" si="94"/>
        <v>8.1999999999999993</v>
      </c>
      <c r="O272" s="190">
        <f t="shared" si="98"/>
        <v>248.57414006399992</v>
      </c>
      <c r="P272" s="177">
        <v>0.27700000000000002</v>
      </c>
      <c r="Q272" s="50">
        <f t="shared" si="96"/>
        <v>68.85503679772799</v>
      </c>
      <c r="R272" s="177">
        <f>30*9</f>
        <v>270</v>
      </c>
      <c r="S272" s="222">
        <f t="shared" si="99"/>
        <v>18.590859935386558</v>
      </c>
    </row>
    <row r="273" spans="7:19" ht="15" x14ac:dyDescent="0.4">
      <c r="G273" s="343" t="s">
        <v>88</v>
      </c>
      <c r="H273" s="344"/>
      <c r="I273" s="344"/>
      <c r="J273" s="344"/>
      <c r="K273" s="344"/>
      <c r="L273" s="344"/>
      <c r="M273" s="344"/>
      <c r="N273" s="344"/>
      <c r="O273" s="344"/>
      <c r="P273" s="344"/>
      <c r="Q273" s="344"/>
      <c r="R273" s="345"/>
      <c r="S273" s="235">
        <f>SUM(S267:S272)</f>
        <v>169.50178759788014</v>
      </c>
    </row>
    <row r="274" spans="7:19" ht="14" x14ac:dyDescent="0.25">
      <c r="G274" s="185" t="s">
        <v>13</v>
      </c>
      <c r="H274" s="177">
        <v>0.6</v>
      </c>
      <c r="I274" s="177">
        <v>38.880000000000003</v>
      </c>
      <c r="J274" s="177">
        <v>1.0049999999999999</v>
      </c>
      <c r="K274" s="177">
        <v>1.2929999999999999</v>
      </c>
      <c r="L274" s="220">
        <v>38.4</v>
      </c>
      <c r="M274" s="177">
        <v>24</v>
      </c>
      <c r="N274" s="177">
        <f t="shared" ref="N274:N279" si="100">L274-M274</f>
        <v>14.399999999999999</v>
      </c>
      <c r="O274" s="190">
        <f t="shared" ref="O274" si="101">H274*I274*J274*K274*N274</f>
        <v>436.52044108799981</v>
      </c>
      <c r="P274" s="177">
        <v>0.27700000000000002</v>
      </c>
      <c r="Q274" s="50">
        <f t="shared" ref="Q274:Q279" si="102">O274*P274</f>
        <v>120.91616218137595</v>
      </c>
      <c r="R274" s="177">
        <f>30*9</f>
        <v>270</v>
      </c>
      <c r="S274" s="222">
        <f t="shared" ref="S274" si="103">(Q274*R274)/1000</f>
        <v>32.647363788971504</v>
      </c>
    </row>
    <row r="275" spans="7:19" ht="14" x14ac:dyDescent="0.25">
      <c r="G275" s="185" t="s">
        <v>24</v>
      </c>
      <c r="H275" s="177">
        <v>0.6</v>
      </c>
      <c r="I275" s="177">
        <v>38.880000000000003</v>
      </c>
      <c r="J275" s="177">
        <v>1.0049999999999999</v>
      </c>
      <c r="K275" s="177">
        <v>1.2929999999999999</v>
      </c>
      <c r="L275" s="223">
        <v>37</v>
      </c>
      <c r="M275" s="177">
        <v>24</v>
      </c>
      <c r="N275" s="177">
        <f t="shared" si="100"/>
        <v>13</v>
      </c>
      <c r="O275" s="190">
        <f t="shared" ref="O275:O279" si="104">H275*I275*J275*K275*N275</f>
        <v>394.08095375999989</v>
      </c>
      <c r="P275" s="177">
        <v>0.27700000000000002</v>
      </c>
      <c r="Q275" s="50">
        <f t="shared" si="102"/>
        <v>109.16042419151998</v>
      </c>
      <c r="R275" s="177">
        <f>31*9</f>
        <v>279</v>
      </c>
      <c r="S275" s="222">
        <f t="shared" ref="S275:S279" si="105">(Q275*R275)/1000</f>
        <v>30.455758349434074</v>
      </c>
    </row>
    <row r="276" spans="7:19" ht="14" x14ac:dyDescent="0.25">
      <c r="G276" s="185" t="s">
        <v>19</v>
      </c>
      <c r="H276" s="177">
        <v>0.6</v>
      </c>
      <c r="I276" s="177">
        <v>38.880000000000003</v>
      </c>
      <c r="J276" s="177">
        <v>1.0049999999999999</v>
      </c>
      <c r="K276" s="177">
        <v>1.2929999999999999</v>
      </c>
      <c r="L276" s="223">
        <v>35.9</v>
      </c>
      <c r="M276" s="177">
        <v>24</v>
      </c>
      <c r="N276" s="177">
        <f t="shared" si="100"/>
        <v>11.899999999999999</v>
      </c>
      <c r="O276" s="190">
        <f t="shared" si="104"/>
        <v>360.73564228799984</v>
      </c>
      <c r="P276" s="177">
        <v>0.27700000000000002</v>
      </c>
      <c r="Q276" s="50">
        <f t="shared" si="102"/>
        <v>99.923772913775963</v>
      </c>
      <c r="R276" s="177">
        <f>31*9</f>
        <v>279</v>
      </c>
      <c r="S276" s="222">
        <f t="shared" si="105"/>
        <v>27.878732642943493</v>
      </c>
    </row>
    <row r="277" spans="7:19" ht="14" x14ac:dyDescent="0.25">
      <c r="G277" s="185" t="s">
        <v>20</v>
      </c>
      <c r="H277" s="177">
        <v>0.6</v>
      </c>
      <c r="I277" s="177">
        <v>38.880000000000003</v>
      </c>
      <c r="J277" s="177">
        <v>1.0049999999999999</v>
      </c>
      <c r="K277" s="177">
        <v>1.2929999999999999</v>
      </c>
      <c r="L277" s="223">
        <v>35</v>
      </c>
      <c r="M277" s="177">
        <v>24</v>
      </c>
      <c r="N277" s="177">
        <f t="shared" si="100"/>
        <v>11</v>
      </c>
      <c r="O277" s="190">
        <f t="shared" si="104"/>
        <v>333.45311471999992</v>
      </c>
      <c r="P277" s="177">
        <v>0.27700000000000002</v>
      </c>
      <c r="Q277" s="50">
        <f t="shared" si="102"/>
        <v>92.366512777439979</v>
      </c>
      <c r="R277" s="177">
        <f>30*9</f>
        <v>270</v>
      </c>
      <c r="S277" s="222">
        <f t="shared" si="105"/>
        <v>24.938958449908792</v>
      </c>
    </row>
    <row r="278" spans="7:19" ht="14" x14ac:dyDescent="0.25">
      <c r="G278" s="185" t="s">
        <v>21</v>
      </c>
      <c r="H278" s="177">
        <v>0.6</v>
      </c>
      <c r="I278" s="177">
        <v>38.880000000000003</v>
      </c>
      <c r="J278" s="177">
        <v>1.0049999999999999</v>
      </c>
      <c r="K278" s="177">
        <v>1.2929999999999999</v>
      </c>
      <c r="L278" s="223">
        <v>34</v>
      </c>
      <c r="M278" s="177">
        <v>24</v>
      </c>
      <c r="N278" s="177">
        <f t="shared" si="100"/>
        <v>10</v>
      </c>
      <c r="O278" s="190">
        <f t="shared" si="104"/>
        <v>303.1391951999999</v>
      </c>
      <c r="P278" s="177">
        <v>0.27700000000000002</v>
      </c>
      <c r="Q278" s="50">
        <f t="shared" si="102"/>
        <v>83.969557070399986</v>
      </c>
      <c r="R278" s="177">
        <f>31*9</f>
        <v>279</v>
      </c>
      <c r="S278" s="222">
        <f t="shared" si="105"/>
        <v>23.427506422641596</v>
      </c>
    </row>
    <row r="279" spans="7:19" ht="14" x14ac:dyDescent="0.25">
      <c r="G279" s="185" t="s">
        <v>22</v>
      </c>
      <c r="H279" s="177">
        <v>0.6</v>
      </c>
      <c r="I279" s="177">
        <v>38.880000000000003</v>
      </c>
      <c r="J279" s="177">
        <v>1.0049999999999999</v>
      </c>
      <c r="K279" s="177">
        <v>1.2929999999999999</v>
      </c>
      <c r="L279" s="223">
        <v>31.2</v>
      </c>
      <c r="M279" s="177">
        <v>24</v>
      </c>
      <c r="N279" s="177">
        <f t="shared" si="100"/>
        <v>7.1999999999999993</v>
      </c>
      <c r="O279" s="190">
        <f t="shared" si="104"/>
        <v>218.26022054399991</v>
      </c>
      <c r="P279" s="177">
        <v>0.27700000000000002</v>
      </c>
      <c r="Q279" s="50">
        <f t="shared" si="102"/>
        <v>60.458081090687976</v>
      </c>
      <c r="R279" s="177">
        <f>30*9</f>
        <v>270</v>
      </c>
      <c r="S279" s="222">
        <f t="shared" si="105"/>
        <v>16.323681894485752</v>
      </c>
    </row>
    <row r="280" spans="7:19" ht="15" x14ac:dyDescent="0.4">
      <c r="G280" s="343" t="s">
        <v>90</v>
      </c>
      <c r="H280" s="344"/>
      <c r="I280" s="344"/>
      <c r="J280" s="344"/>
      <c r="K280" s="344"/>
      <c r="L280" s="344"/>
      <c r="M280" s="344"/>
      <c r="N280" s="344"/>
      <c r="O280" s="344"/>
      <c r="P280" s="344"/>
      <c r="Q280" s="344"/>
      <c r="R280" s="345"/>
      <c r="S280" s="235">
        <f>SUM(S274:S279)</f>
        <v>155.67200154838523</v>
      </c>
    </row>
    <row r="283" spans="7:19" ht="13" thickBot="1" x14ac:dyDescent="0.3"/>
    <row r="284" spans="7:19" s="248" customFormat="1" ht="13" x14ac:dyDescent="0.3">
      <c r="G284" s="370" t="s">
        <v>111</v>
      </c>
      <c r="H284" s="371"/>
      <c r="I284" s="371"/>
      <c r="J284" s="371"/>
      <c r="K284" s="371"/>
      <c r="L284" s="371"/>
      <c r="M284" s="371"/>
      <c r="N284" s="371"/>
      <c r="O284" s="371"/>
      <c r="P284" s="372"/>
      <c r="Q284" s="373"/>
    </row>
    <row r="285" spans="7:19" s="248" customFormat="1" ht="25" x14ac:dyDescent="0.25">
      <c r="G285" s="249" t="s">
        <v>0</v>
      </c>
      <c r="H285" s="250" t="s">
        <v>104</v>
      </c>
      <c r="I285" s="250" t="s">
        <v>105</v>
      </c>
      <c r="J285" s="250" t="s">
        <v>64</v>
      </c>
      <c r="K285" s="250" t="s">
        <v>106</v>
      </c>
      <c r="L285" s="250" t="s">
        <v>107</v>
      </c>
      <c r="M285" s="250" t="s">
        <v>108</v>
      </c>
      <c r="N285" s="250" t="s">
        <v>110</v>
      </c>
      <c r="O285" s="250" t="s">
        <v>86</v>
      </c>
      <c r="P285" s="251"/>
      <c r="Q285" s="252" t="s">
        <v>109</v>
      </c>
    </row>
    <row r="286" spans="7:19" x14ac:dyDescent="0.25">
      <c r="G286" s="185" t="s">
        <v>13</v>
      </c>
      <c r="H286" s="180">
        <v>4</v>
      </c>
      <c r="I286" s="180">
        <v>75</v>
      </c>
      <c r="J286" s="180">
        <v>1</v>
      </c>
      <c r="K286" s="180">
        <v>300</v>
      </c>
      <c r="L286" s="180">
        <v>30</v>
      </c>
      <c r="M286" s="180">
        <v>120</v>
      </c>
      <c r="N286" s="180">
        <v>420</v>
      </c>
      <c r="O286" s="177">
        <f>30*9</f>
        <v>270</v>
      </c>
      <c r="P286" s="182"/>
      <c r="Q286" s="205">
        <f t="shared" ref="Q286:Q291" si="106">(N286*O286)/1000</f>
        <v>113.4</v>
      </c>
    </row>
    <row r="287" spans="7:19" x14ac:dyDescent="0.25">
      <c r="G287" s="185" t="s">
        <v>24</v>
      </c>
      <c r="H287" s="180">
        <v>4</v>
      </c>
      <c r="I287" s="180">
        <v>75</v>
      </c>
      <c r="J287" s="180">
        <v>1</v>
      </c>
      <c r="K287" s="180">
        <v>300</v>
      </c>
      <c r="L287" s="180">
        <v>30</v>
      </c>
      <c r="M287" s="180">
        <v>120</v>
      </c>
      <c r="N287" s="180">
        <v>420</v>
      </c>
      <c r="O287" s="177">
        <f t="shared" ref="O287:O290" si="107">31*9</f>
        <v>279</v>
      </c>
      <c r="P287" s="182"/>
      <c r="Q287" s="205">
        <f t="shared" si="106"/>
        <v>117.18</v>
      </c>
    </row>
    <row r="288" spans="7:19" x14ac:dyDescent="0.25">
      <c r="G288" s="185" t="s">
        <v>19</v>
      </c>
      <c r="H288" s="180">
        <v>4</v>
      </c>
      <c r="I288" s="180">
        <v>75</v>
      </c>
      <c r="J288" s="180">
        <v>1</v>
      </c>
      <c r="K288" s="180">
        <v>300</v>
      </c>
      <c r="L288" s="180">
        <v>30</v>
      </c>
      <c r="M288" s="180">
        <v>120</v>
      </c>
      <c r="N288" s="180">
        <v>420</v>
      </c>
      <c r="O288" s="177">
        <f t="shared" si="107"/>
        <v>279</v>
      </c>
      <c r="P288" s="182"/>
      <c r="Q288" s="205">
        <f t="shared" si="106"/>
        <v>117.18</v>
      </c>
    </row>
    <row r="289" spans="7:17" x14ac:dyDescent="0.25">
      <c r="G289" s="185" t="s">
        <v>20</v>
      </c>
      <c r="H289" s="180">
        <v>4</v>
      </c>
      <c r="I289" s="180">
        <v>75</v>
      </c>
      <c r="J289" s="180">
        <v>1</v>
      </c>
      <c r="K289" s="180">
        <v>300</v>
      </c>
      <c r="L289" s="180">
        <v>30</v>
      </c>
      <c r="M289" s="180">
        <v>120</v>
      </c>
      <c r="N289" s="180">
        <v>420</v>
      </c>
      <c r="O289" s="177">
        <v>270</v>
      </c>
      <c r="P289" s="182"/>
      <c r="Q289" s="205">
        <f t="shared" si="106"/>
        <v>113.4</v>
      </c>
    </row>
    <row r="290" spans="7:17" x14ac:dyDescent="0.25">
      <c r="G290" s="185" t="s">
        <v>21</v>
      </c>
      <c r="H290" s="180">
        <v>4</v>
      </c>
      <c r="I290" s="180">
        <v>75</v>
      </c>
      <c r="J290" s="180">
        <v>1</v>
      </c>
      <c r="K290" s="180">
        <v>300</v>
      </c>
      <c r="L290" s="180">
        <v>30</v>
      </c>
      <c r="M290" s="180">
        <v>120</v>
      </c>
      <c r="N290" s="180">
        <v>420</v>
      </c>
      <c r="O290" s="177">
        <f t="shared" si="107"/>
        <v>279</v>
      </c>
      <c r="P290" s="182"/>
      <c r="Q290" s="205">
        <f t="shared" si="106"/>
        <v>117.18</v>
      </c>
    </row>
    <row r="291" spans="7:17" x14ac:dyDescent="0.25">
      <c r="G291" s="185" t="s">
        <v>22</v>
      </c>
      <c r="H291" s="180">
        <v>4</v>
      </c>
      <c r="I291" s="180">
        <v>75</v>
      </c>
      <c r="J291" s="180">
        <v>1</v>
      </c>
      <c r="K291" s="180">
        <v>300</v>
      </c>
      <c r="L291" s="180">
        <v>30</v>
      </c>
      <c r="M291" s="180">
        <v>120</v>
      </c>
      <c r="N291" s="180">
        <v>420</v>
      </c>
      <c r="O291" s="177">
        <f>30*9</f>
        <v>270</v>
      </c>
      <c r="P291" s="182"/>
      <c r="Q291" s="205">
        <f t="shared" si="106"/>
        <v>113.4</v>
      </c>
    </row>
    <row r="292" spans="7:17" ht="13.5" thickBot="1" x14ac:dyDescent="0.35">
      <c r="G292" s="368" t="s">
        <v>111</v>
      </c>
      <c r="H292" s="369"/>
      <c r="I292" s="369"/>
      <c r="J292" s="369"/>
      <c r="K292" s="369"/>
      <c r="L292" s="369"/>
      <c r="M292" s="369"/>
      <c r="N292" s="369"/>
      <c r="O292" s="369"/>
      <c r="P292" s="236"/>
      <c r="Q292" s="237">
        <f>SUM(Q286:Q291)</f>
        <v>691.7399999999999</v>
      </c>
    </row>
    <row r="295" spans="7:17" ht="13" thickBot="1" x14ac:dyDescent="0.3"/>
    <row r="296" spans="7:17" ht="13" x14ac:dyDescent="0.3">
      <c r="G296" s="289" t="s">
        <v>118</v>
      </c>
      <c r="H296" s="290"/>
      <c r="I296" s="290"/>
      <c r="J296" s="290"/>
      <c r="K296" s="290"/>
      <c r="L296" s="290"/>
      <c r="M296" s="291"/>
    </row>
    <row r="297" spans="7:17" ht="15.5" x14ac:dyDescent="0.4">
      <c r="G297" s="238" t="s">
        <v>112</v>
      </c>
      <c r="H297" s="50" t="s">
        <v>113</v>
      </c>
      <c r="I297" s="50" t="s">
        <v>114</v>
      </c>
      <c r="J297" s="50" t="s">
        <v>115</v>
      </c>
      <c r="K297" s="50" t="s">
        <v>64</v>
      </c>
      <c r="L297" s="50" t="s">
        <v>116</v>
      </c>
      <c r="M297" s="239" t="s">
        <v>117</v>
      </c>
    </row>
    <row r="298" spans="7:17" x14ac:dyDescent="0.25">
      <c r="G298" s="238">
        <v>3</v>
      </c>
      <c r="H298" s="50">
        <v>60</v>
      </c>
      <c r="I298" s="50">
        <v>1.24</v>
      </c>
      <c r="J298" s="50">
        <v>0.66</v>
      </c>
      <c r="K298" s="50">
        <v>0.8</v>
      </c>
      <c r="L298" s="50">
        <f>6*183</f>
        <v>1098</v>
      </c>
      <c r="M298" s="239">
        <f>(G298*H298*I298*J298*K298*L298)/1000</f>
        <v>129.39886080000002</v>
      </c>
    </row>
    <row r="299" spans="7:17" ht="13.5" thickBot="1" x14ac:dyDescent="0.35">
      <c r="G299" s="358" t="s">
        <v>118</v>
      </c>
      <c r="H299" s="359"/>
      <c r="I299" s="359"/>
      <c r="J299" s="359"/>
      <c r="K299" s="359"/>
      <c r="L299" s="359"/>
      <c r="M299" s="233">
        <f>M298</f>
        <v>129.39886080000002</v>
      </c>
    </row>
    <row r="301" spans="7:17" ht="13" thickBot="1" x14ac:dyDescent="0.3"/>
    <row r="302" spans="7:17" ht="13" x14ac:dyDescent="0.3">
      <c r="G302" s="295" t="s">
        <v>124</v>
      </c>
      <c r="H302" s="296"/>
      <c r="I302" s="296"/>
      <c r="J302" s="297"/>
    </row>
    <row r="303" spans="7:17" x14ac:dyDescent="0.25">
      <c r="G303" s="189" t="s">
        <v>119</v>
      </c>
      <c r="H303" s="177" t="s">
        <v>120</v>
      </c>
      <c r="I303" s="177" t="s">
        <v>121</v>
      </c>
      <c r="J303" s="188" t="s">
        <v>122</v>
      </c>
    </row>
    <row r="304" spans="7:17" x14ac:dyDescent="0.25">
      <c r="G304" s="189">
        <v>36</v>
      </c>
      <c r="H304" s="177">
        <v>5</v>
      </c>
      <c r="I304" s="177">
        <f>H304*183</f>
        <v>915</v>
      </c>
      <c r="J304" s="205">
        <f>(G304*I304)/1000</f>
        <v>32.94</v>
      </c>
    </row>
    <row r="305" spans="7:21" ht="13.5" thickBot="1" x14ac:dyDescent="0.35">
      <c r="G305" s="368" t="s">
        <v>123</v>
      </c>
      <c r="H305" s="369"/>
      <c r="I305" s="369"/>
      <c r="J305" s="237">
        <f>J304</f>
        <v>32.94</v>
      </c>
    </row>
    <row r="307" spans="7:21" ht="13" thickBot="1" x14ac:dyDescent="0.3"/>
    <row r="308" spans="7:21" ht="13" x14ac:dyDescent="0.3">
      <c r="G308" s="295" t="s">
        <v>144</v>
      </c>
      <c r="H308" s="296"/>
      <c r="I308" s="296"/>
      <c r="J308" s="296"/>
      <c r="K308" s="296"/>
      <c r="L308" s="296"/>
      <c r="M308" s="296"/>
      <c r="N308" s="297"/>
    </row>
    <row r="309" spans="7:21" x14ac:dyDescent="0.25">
      <c r="G309" s="240" t="s">
        <v>125</v>
      </c>
      <c r="H309" s="177" t="s">
        <v>126</v>
      </c>
      <c r="I309" s="177" t="s">
        <v>127</v>
      </c>
      <c r="J309" s="177" t="s">
        <v>87</v>
      </c>
      <c r="K309" s="177" t="s">
        <v>128</v>
      </c>
      <c r="L309" s="177" t="s">
        <v>129</v>
      </c>
      <c r="M309" s="177" t="s">
        <v>130</v>
      </c>
      <c r="N309" s="241" t="s">
        <v>134</v>
      </c>
    </row>
    <row r="310" spans="7:21" x14ac:dyDescent="0.25">
      <c r="G310" s="240">
        <v>18</v>
      </c>
      <c r="H310" s="190">
        <f>T171</f>
        <v>63.108334440000014</v>
      </c>
      <c r="I310" s="190">
        <f>M226</f>
        <v>82.142339740560004</v>
      </c>
      <c r="J310" s="190">
        <f>S238</f>
        <v>238.65071784535451</v>
      </c>
      <c r="K310" s="177">
        <f>Q292</f>
        <v>691.7399999999999</v>
      </c>
      <c r="L310" s="190">
        <f>M299</f>
        <v>129.39886080000002</v>
      </c>
      <c r="M310" s="177">
        <f>J305</f>
        <v>32.94</v>
      </c>
      <c r="N310" s="242">
        <f>H310+I310+J310+K310+L310+M310</f>
        <v>1237.9802528259145</v>
      </c>
    </row>
    <row r="311" spans="7:21" x14ac:dyDescent="0.25">
      <c r="G311" s="240">
        <v>19</v>
      </c>
      <c r="H311" s="190">
        <f>T178</f>
        <v>58.092231240000004</v>
      </c>
      <c r="I311" s="190">
        <f>M226</f>
        <v>82.142339740560004</v>
      </c>
      <c r="J311" s="190">
        <f>S245</f>
        <v>224.82093179585962</v>
      </c>
      <c r="K311" s="177">
        <f>Q292</f>
        <v>691.7399999999999</v>
      </c>
      <c r="L311" s="190">
        <f>M299</f>
        <v>129.39886080000002</v>
      </c>
      <c r="M311" s="177">
        <f>J305</f>
        <v>32.94</v>
      </c>
      <c r="N311" s="242">
        <f>H311+I311+J311+K311+L311+M311</f>
        <v>1219.1343635764197</v>
      </c>
    </row>
    <row r="312" spans="7:21" x14ac:dyDescent="0.25">
      <c r="G312" s="240">
        <v>20</v>
      </c>
      <c r="H312" s="190">
        <f>T185</f>
        <v>53.076128040000008</v>
      </c>
      <c r="I312" s="190">
        <f>M226</f>
        <v>82.142339740560004</v>
      </c>
      <c r="J312" s="190">
        <f>S252</f>
        <v>210.99114574636471</v>
      </c>
      <c r="K312" s="177">
        <f>Q292</f>
        <v>691.7399999999999</v>
      </c>
      <c r="L312" s="190">
        <f>M299</f>
        <v>129.39886080000002</v>
      </c>
      <c r="M312" s="177">
        <f>J305</f>
        <v>32.94</v>
      </c>
      <c r="N312" s="242">
        <f>H312+I312+J312+K312+L312+M312</f>
        <v>1200.2884743269246</v>
      </c>
    </row>
    <row r="313" spans="7:21" x14ac:dyDescent="0.25">
      <c r="G313" s="240">
        <v>21</v>
      </c>
      <c r="H313" s="190">
        <f>T192</f>
        <v>48.060024840000011</v>
      </c>
      <c r="I313" s="190">
        <f>M226</f>
        <v>82.142339740560004</v>
      </c>
      <c r="J313" s="190">
        <f>S259</f>
        <v>197.16135969686985</v>
      </c>
      <c r="K313" s="177">
        <f>Q292</f>
        <v>691.7399999999999</v>
      </c>
      <c r="L313" s="190">
        <f>M299</f>
        <v>129.39886080000002</v>
      </c>
      <c r="M313" s="177">
        <f>J305</f>
        <v>32.94</v>
      </c>
      <c r="N313" s="242">
        <f>H313+I313+J313+K313+L313+M313</f>
        <v>1181.4425850774298</v>
      </c>
    </row>
    <row r="314" spans="7:21" x14ac:dyDescent="0.25">
      <c r="G314" s="240">
        <v>22</v>
      </c>
      <c r="H314" s="190">
        <f>T199</f>
        <v>43.043921640000008</v>
      </c>
      <c r="I314" s="190">
        <f>M226</f>
        <v>82.142339740560004</v>
      </c>
      <c r="J314" s="190">
        <f>S266</f>
        <v>183.331573647375</v>
      </c>
      <c r="K314" s="177">
        <f>Q292</f>
        <v>691.7399999999999</v>
      </c>
      <c r="L314" s="190">
        <f>M299</f>
        <v>129.39886080000002</v>
      </c>
      <c r="M314" s="177">
        <f>J305</f>
        <v>32.94</v>
      </c>
      <c r="N314" s="242">
        <f>H314+I314+J314+K314+L314+M314</f>
        <v>1162.596695827935</v>
      </c>
    </row>
    <row r="315" spans="7:21" x14ac:dyDescent="0.25">
      <c r="G315" s="240">
        <v>23</v>
      </c>
      <c r="H315" s="190">
        <f>T206</f>
        <v>38.421157680000007</v>
      </c>
      <c r="I315" s="190">
        <f>M226</f>
        <v>82.142339740560004</v>
      </c>
      <c r="J315" s="190">
        <f>S273</f>
        <v>169.50178759788014</v>
      </c>
      <c r="K315" s="177">
        <f>Q292</f>
        <v>691.7399999999999</v>
      </c>
      <c r="L315" s="190">
        <f>M299</f>
        <v>129.39886080000002</v>
      </c>
      <c r="M315" s="177">
        <f>J305</f>
        <v>32.94</v>
      </c>
      <c r="N315" s="242">
        <f t="shared" ref="N315:N316" si="108">H315+I315+J315+K315+L315+M315</f>
        <v>1144.1441458184402</v>
      </c>
    </row>
    <row r="316" spans="7:21" x14ac:dyDescent="0.25">
      <c r="G316" s="240">
        <v>24</v>
      </c>
      <c r="H316" s="190">
        <f>T213</f>
        <v>33.350233680000009</v>
      </c>
      <c r="I316" s="190">
        <f>M226</f>
        <v>82.142339740560004</v>
      </c>
      <c r="J316" s="190">
        <f>S280</f>
        <v>155.67200154838523</v>
      </c>
      <c r="K316" s="177">
        <f>Q292</f>
        <v>691.7399999999999</v>
      </c>
      <c r="L316" s="190">
        <f>M299</f>
        <v>129.39886080000002</v>
      </c>
      <c r="M316" s="177">
        <f>J305</f>
        <v>32.94</v>
      </c>
      <c r="N316" s="242">
        <f t="shared" si="108"/>
        <v>1125.2434357689451</v>
      </c>
    </row>
    <row r="319" spans="7:21" ht="13" thickBot="1" x14ac:dyDescent="0.3"/>
    <row r="320" spans="7:21" ht="15" customHeight="1" x14ac:dyDescent="0.25">
      <c r="G320" s="317" t="s">
        <v>156</v>
      </c>
      <c r="H320" s="318"/>
      <c r="I320" s="318"/>
      <c r="J320" s="318"/>
      <c r="K320" s="318"/>
      <c r="L320" s="318"/>
      <c r="M320" s="318"/>
      <c r="N320" s="318"/>
      <c r="O320" s="318"/>
      <c r="P320" s="318"/>
      <c r="Q320" s="318"/>
      <c r="R320" s="318"/>
      <c r="S320" s="318"/>
      <c r="T320" s="319"/>
      <c r="U320" s="243"/>
    </row>
    <row r="321" spans="7:21" ht="13" customHeight="1" x14ac:dyDescent="0.25">
      <c r="G321" s="320"/>
      <c r="H321" s="321"/>
      <c r="I321" s="321"/>
      <c r="J321" s="321"/>
      <c r="K321" s="321"/>
      <c r="L321" s="321"/>
      <c r="M321" s="321"/>
      <c r="N321" s="321"/>
      <c r="O321" s="321"/>
      <c r="P321" s="321"/>
      <c r="Q321" s="321"/>
      <c r="R321" s="321"/>
      <c r="S321" s="321"/>
      <c r="T321" s="322"/>
      <c r="U321" s="243"/>
    </row>
    <row r="322" spans="7:21" ht="34.5" customHeight="1" x14ac:dyDescent="0.25">
      <c r="G322" s="216" t="s">
        <v>0</v>
      </c>
      <c r="H322" s="217" t="s">
        <v>37</v>
      </c>
      <c r="I322" s="217" t="s">
        <v>36</v>
      </c>
      <c r="J322" s="217" t="s">
        <v>35</v>
      </c>
      <c r="K322" s="217" t="s">
        <v>47</v>
      </c>
      <c r="L322" s="179" t="s">
        <v>56</v>
      </c>
      <c r="M322" s="179" t="s">
        <v>50</v>
      </c>
      <c r="N322" s="179" t="s">
        <v>51</v>
      </c>
      <c r="O322" s="179" t="s">
        <v>48</v>
      </c>
      <c r="P322" s="179" t="s">
        <v>52</v>
      </c>
      <c r="Q322" s="218" t="s">
        <v>53</v>
      </c>
      <c r="R322" s="218" t="s">
        <v>54</v>
      </c>
      <c r="S322" s="218" t="s">
        <v>49</v>
      </c>
      <c r="T322" s="219" t="s">
        <v>55</v>
      </c>
    </row>
    <row r="323" spans="7:21" ht="24.65" customHeight="1" x14ac:dyDescent="0.25">
      <c r="G323" s="185" t="s">
        <v>13</v>
      </c>
      <c r="H323" s="223">
        <v>41.9</v>
      </c>
      <c r="I323" s="223">
        <v>9.8000000000000007</v>
      </c>
      <c r="J323" s="220">
        <f t="shared" ref="J323:J328" si="109">I323/2</f>
        <v>4.9000000000000004</v>
      </c>
      <c r="K323" s="220">
        <f t="shared" ref="K323:K328" si="110">H323-J323</f>
        <v>37</v>
      </c>
      <c r="L323" s="221">
        <f t="shared" ref="L323:L328" si="111">D$173</f>
        <v>3</v>
      </c>
      <c r="M323" s="181">
        <v>18</v>
      </c>
      <c r="N323" s="181">
        <f t="shared" ref="N323:N328" si="112">25.5-M323</f>
        <v>7.5</v>
      </c>
      <c r="O323" s="181">
        <f t="shared" ref="O323:O328" si="113">K323-29.4</f>
        <v>7.6000000000000014</v>
      </c>
      <c r="P323" s="177">
        <f t="shared" ref="P323:P328" si="114">L323+N323+O323</f>
        <v>18.100000000000001</v>
      </c>
      <c r="Q323" s="177">
        <v>2.35</v>
      </c>
      <c r="R323" s="177">
        <v>1.296</v>
      </c>
      <c r="S323" s="177">
        <f>30*9</f>
        <v>270</v>
      </c>
      <c r="T323" s="222">
        <f t="shared" ref="T323:T328" si="115">(P323*Q323*R323*S323)/1000</f>
        <v>14.883847200000002</v>
      </c>
    </row>
    <row r="324" spans="7:21" ht="24.65" customHeight="1" x14ac:dyDescent="0.25">
      <c r="G324" s="185" t="s">
        <v>24</v>
      </c>
      <c r="H324" s="223">
        <v>36.9</v>
      </c>
      <c r="I324" s="223">
        <v>6.2</v>
      </c>
      <c r="J324" s="220">
        <f t="shared" si="109"/>
        <v>3.1</v>
      </c>
      <c r="K324" s="220">
        <f t="shared" si="110"/>
        <v>33.799999999999997</v>
      </c>
      <c r="L324" s="221">
        <f t="shared" si="111"/>
        <v>3</v>
      </c>
      <c r="M324" s="181">
        <v>18</v>
      </c>
      <c r="N324" s="181">
        <f t="shared" si="112"/>
        <v>7.5</v>
      </c>
      <c r="O324" s="181">
        <f t="shared" si="113"/>
        <v>4.3999999999999986</v>
      </c>
      <c r="P324" s="177">
        <f t="shared" si="114"/>
        <v>14.899999999999999</v>
      </c>
      <c r="Q324" s="177">
        <v>2.35</v>
      </c>
      <c r="R324" s="177">
        <v>1.296</v>
      </c>
      <c r="S324" s="177">
        <f>31*9</f>
        <v>279</v>
      </c>
      <c r="T324" s="222">
        <f t="shared" si="115"/>
        <v>12.66086376</v>
      </c>
    </row>
    <row r="325" spans="7:21" ht="24.65" customHeight="1" x14ac:dyDescent="0.25">
      <c r="G325" s="185" t="s">
        <v>19</v>
      </c>
      <c r="H325" s="223">
        <v>34.1</v>
      </c>
      <c r="I325" s="223">
        <v>5.8</v>
      </c>
      <c r="J325" s="220">
        <f t="shared" si="109"/>
        <v>2.9</v>
      </c>
      <c r="K325" s="220">
        <f t="shared" si="110"/>
        <v>31.200000000000003</v>
      </c>
      <c r="L325" s="221">
        <f t="shared" si="111"/>
        <v>3</v>
      </c>
      <c r="M325" s="181">
        <v>18</v>
      </c>
      <c r="N325" s="181">
        <f t="shared" si="112"/>
        <v>7.5</v>
      </c>
      <c r="O325" s="181">
        <f t="shared" si="113"/>
        <v>1.8000000000000043</v>
      </c>
      <c r="P325" s="177">
        <f t="shared" si="114"/>
        <v>12.300000000000004</v>
      </c>
      <c r="Q325" s="177">
        <v>2.35</v>
      </c>
      <c r="R325" s="177">
        <v>1.296</v>
      </c>
      <c r="S325" s="177">
        <f>31*9</f>
        <v>279</v>
      </c>
      <c r="T325" s="222">
        <f t="shared" si="115"/>
        <v>10.451585520000004</v>
      </c>
    </row>
    <row r="326" spans="7:21" ht="24.65" customHeight="1" x14ac:dyDescent="0.25">
      <c r="G326" s="185" t="s">
        <v>20</v>
      </c>
      <c r="H326" s="223">
        <v>36.1</v>
      </c>
      <c r="I326" s="223">
        <v>7.6</v>
      </c>
      <c r="J326" s="220">
        <f t="shared" si="109"/>
        <v>3.8</v>
      </c>
      <c r="K326" s="220">
        <f t="shared" si="110"/>
        <v>32.300000000000004</v>
      </c>
      <c r="L326" s="221">
        <f t="shared" si="111"/>
        <v>3</v>
      </c>
      <c r="M326" s="181">
        <v>18</v>
      </c>
      <c r="N326" s="181">
        <f t="shared" si="112"/>
        <v>7.5</v>
      </c>
      <c r="O326" s="181">
        <f t="shared" si="113"/>
        <v>2.9000000000000057</v>
      </c>
      <c r="P326" s="177">
        <f t="shared" si="114"/>
        <v>13.400000000000006</v>
      </c>
      <c r="Q326" s="177">
        <v>2.35</v>
      </c>
      <c r="R326" s="177">
        <v>1.296</v>
      </c>
      <c r="S326" s="177">
        <f>30*9</f>
        <v>270</v>
      </c>
      <c r="T326" s="222">
        <f t="shared" si="115"/>
        <v>11.018980800000005</v>
      </c>
    </row>
    <row r="327" spans="7:21" ht="24.65" customHeight="1" x14ac:dyDescent="0.25">
      <c r="G327" s="185" t="s">
        <v>21</v>
      </c>
      <c r="H327" s="223">
        <v>37.799999999999997</v>
      </c>
      <c r="I327" s="223">
        <v>12.8</v>
      </c>
      <c r="J327" s="220">
        <f t="shared" si="109"/>
        <v>6.4</v>
      </c>
      <c r="K327" s="220">
        <f t="shared" si="110"/>
        <v>31.4</v>
      </c>
      <c r="L327" s="221">
        <f t="shared" si="111"/>
        <v>3</v>
      </c>
      <c r="M327" s="181">
        <v>18</v>
      </c>
      <c r="N327" s="181">
        <f t="shared" si="112"/>
        <v>7.5</v>
      </c>
      <c r="O327" s="181">
        <f t="shared" si="113"/>
        <v>2</v>
      </c>
      <c r="P327" s="177">
        <f t="shared" si="114"/>
        <v>12.5</v>
      </c>
      <c r="Q327" s="177">
        <v>2.35</v>
      </c>
      <c r="R327" s="177">
        <v>1.296</v>
      </c>
      <c r="S327" s="177">
        <f>31*9</f>
        <v>279</v>
      </c>
      <c r="T327" s="222">
        <f t="shared" si="115"/>
        <v>10.62153</v>
      </c>
    </row>
    <row r="328" spans="7:21" ht="24.65" customHeight="1" x14ac:dyDescent="0.25">
      <c r="G328" s="185" t="s">
        <v>22</v>
      </c>
      <c r="H328" s="223">
        <v>34.799999999999997</v>
      </c>
      <c r="I328" s="223">
        <v>14.7</v>
      </c>
      <c r="J328" s="220">
        <f t="shared" si="109"/>
        <v>7.35</v>
      </c>
      <c r="K328" s="220">
        <f t="shared" si="110"/>
        <v>27.449999999999996</v>
      </c>
      <c r="L328" s="221">
        <f t="shared" si="111"/>
        <v>3</v>
      </c>
      <c r="M328" s="181">
        <v>18</v>
      </c>
      <c r="N328" s="181">
        <f t="shared" si="112"/>
        <v>7.5</v>
      </c>
      <c r="O328" s="181">
        <f t="shared" si="113"/>
        <v>-1.9500000000000028</v>
      </c>
      <c r="P328" s="177">
        <f t="shared" si="114"/>
        <v>8.5499999999999972</v>
      </c>
      <c r="Q328" s="177">
        <v>2.35</v>
      </c>
      <c r="R328" s="177">
        <v>1.296</v>
      </c>
      <c r="S328" s="177">
        <f>30*9</f>
        <v>270</v>
      </c>
      <c r="T328" s="222">
        <f t="shared" si="115"/>
        <v>7.0307675999999981</v>
      </c>
    </row>
    <row r="329" spans="7:21" ht="24.65" customHeight="1" x14ac:dyDescent="0.25">
      <c r="G329" s="346" t="s">
        <v>190</v>
      </c>
      <c r="H329" s="347"/>
      <c r="I329" s="347"/>
      <c r="J329" s="347"/>
      <c r="K329" s="347"/>
      <c r="L329" s="347"/>
      <c r="M329" s="347"/>
      <c r="N329" s="347"/>
      <c r="O329" s="347"/>
      <c r="P329" s="347"/>
      <c r="Q329" s="347"/>
      <c r="R329" s="347"/>
      <c r="S329" s="348"/>
      <c r="T329" s="225">
        <f>SUM(T323:T328)</f>
        <v>66.667574880000004</v>
      </c>
    </row>
    <row r="330" spans="7:21" ht="24.65" customHeight="1" x14ac:dyDescent="0.25">
      <c r="G330" s="185" t="s">
        <v>13</v>
      </c>
      <c r="H330" s="223">
        <v>41.9</v>
      </c>
      <c r="I330" s="223">
        <v>9.8000000000000007</v>
      </c>
      <c r="J330" s="220">
        <f t="shared" ref="J330:J335" si="116">I330/2</f>
        <v>4.9000000000000004</v>
      </c>
      <c r="K330" s="220">
        <f t="shared" ref="K330:K335" si="117">H330-J330</f>
        <v>37</v>
      </c>
      <c r="L330" s="221">
        <f t="shared" ref="L330:L335" si="118">D$173</f>
        <v>3</v>
      </c>
      <c r="M330" s="181">
        <v>19</v>
      </c>
      <c r="N330" s="181">
        <f t="shared" ref="N330:N335" si="119">25.5-M330</f>
        <v>6.5</v>
      </c>
      <c r="O330" s="181">
        <f t="shared" ref="O330:O335" si="120">K330-29.4</f>
        <v>7.6000000000000014</v>
      </c>
      <c r="P330" s="177">
        <f t="shared" ref="P330:P335" si="121">L330+N330+O330</f>
        <v>17.100000000000001</v>
      </c>
      <c r="Q330" s="177">
        <v>2.35</v>
      </c>
      <c r="R330" s="177">
        <v>1.296</v>
      </c>
      <c r="S330" s="177">
        <f>30*9</f>
        <v>270</v>
      </c>
      <c r="T330" s="222">
        <f t="shared" ref="T330:T335" si="122">(P330*Q330*R330*S330)/1000</f>
        <v>14.061535200000002</v>
      </c>
    </row>
    <row r="331" spans="7:21" ht="24.65" customHeight="1" x14ac:dyDescent="0.25">
      <c r="G331" s="185" t="s">
        <v>24</v>
      </c>
      <c r="H331" s="223">
        <v>36.9</v>
      </c>
      <c r="I331" s="223">
        <v>6.2</v>
      </c>
      <c r="J331" s="220">
        <f t="shared" si="116"/>
        <v>3.1</v>
      </c>
      <c r="K331" s="220">
        <f t="shared" si="117"/>
        <v>33.799999999999997</v>
      </c>
      <c r="L331" s="221">
        <f t="shared" si="118"/>
        <v>3</v>
      </c>
      <c r="M331" s="181">
        <v>19</v>
      </c>
      <c r="N331" s="181">
        <f t="shared" si="119"/>
        <v>6.5</v>
      </c>
      <c r="O331" s="181">
        <f t="shared" si="120"/>
        <v>4.3999999999999986</v>
      </c>
      <c r="P331" s="177">
        <f t="shared" si="121"/>
        <v>13.899999999999999</v>
      </c>
      <c r="Q331" s="177">
        <v>2.35</v>
      </c>
      <c r="R331" s="177">
        <v>1.296</v>
      </c>
      <c r="S331" s="177">
        <f>31*9</f>
        <v>279</v>
      </c>
      <c r="T331" s="222">
        <f t="shared" si="122"/>
        <v>11.811141360000001</v>
      </c>
    </row>
    <row r="332" spans="7:21" ht="24.65" customHeight="1" x14ac:dyDescent="0.25">
      <c r="G332" s="185" t="s">
        <v>19</v>
      </c>
      <c r="H332" s="223">
        <v>34.1</v>
      </c>
      <c r="I332" s="223">
        <v>5.8</v>
      </c>
      <c r="J332" s="220">
        <f t="shared" si="116"/>
        <v>2.9</v>
      </c>
      <c r="K332" s="220">
        <f t="shared" si="117"/>
        <v>31.200000000000003</v>
      </c>
      <c r="L332" s="221">
        <f t="shared" si="118"/>
        <v>3</v>
      </c>
      <c r="M332" s="181">
        <v>19</v>
      </c>
      <c r="N332" s="181">
        <f t="shared" si="119"/>
        <v>6.5</v>
      </c>
      <c r="O332" s="181">
        <f t="shared" si="120"/>
        <v>1.8000000000000043</v>
      </c>
      <c r="P332" s="177">
        <f t="shared" si="121"/>
        <v>11.300000000000004</v>
      </c>
      <c r="Q332" s="177">
        <v>2.35</v>
      </c>
      <c r="R332" s="177">
        <v>1.296</v>
      </c>
      <c r="S332" s="177">
        <f>31*9</f>
        <v>279</v>
      </c>
      <c r="T332" s="222">
        <f t="shared" si="122"/>
        <v>9.6018631200000062</v>
      </c>
    </row>
    <row r="333" spans="7:21" ht="24.65" customHeight="1" x14ac:dyDescent="0.25">
      <c r="G333" s="185" t="s">
        <v>20</v>
      </c>
      <c r="H333" s="223">
        <v>36.1</v>
      </c>
      <c r="I333" s="223">
        <v>7.6</v>
      </c>
      <c r="J333" s="220">
        <f t="shared" si="116"/>
        <v>3.8</v>
      </c>
      <c r="K333" s="220">
        <f t="shared" si="117"/>
        <v>32.300000000000004</v>
      </c>
      <c r="L333" s="221">
        <f t="shared" si="118"/>
        <v>3</v>
      </c>
      <c r="M333" s="181">
        <v>19</v>
      </c>
      <c r="N333" s="181">
        <f t="shared" si="119"/>
        <v>6.5</v>
      </c>
      <c r="O333" s="181">
        <f t="shared" si="120"/>
        <v>2.9000000000000057</v>
      </c>
      <c r="P333" s="177">
        <f t="shared" si="121"/>
        <v>12.400000000000006</v>
      </c>
      <c r="Q333" s="177">
        <v>2.35</v>
      </c>
      <c r="R333" s="177">
        <v>1.296</v>
      </c>
      <c r="S333" s="177">
        <f>30*9</f>
        <v>270</v>
      </c>
      <c r="T333" s="222">
        <f t="shared" si="122"/>
        <v>10.196668800000005</v>
      </c>
    </row>
    <row r="334" spans="7:21" ht="24.65" customHeight="1" x14ac:dyDescent="0.25">
      <c r="G334" s="185" t="s">
        <v>21</v>
      </c>
      <c r="H334" s="223">
        <v>37.799999999999997</v>
      </c>
      <c r="I334" s="223">
        <v>12.8</v>
      </c>
      <c r="J334" s="220">
        <f t="shared" si="116"/>
        <v>6.4</v>
      </c>
      <c r="K334" s="220">
        <f t="shared" si="117"/>
        <v>31.4</v>
      </c>
      <c r="L334" s="221">
        <f t="shared" si="118"/>
        <v>3</v>
      </c>
      <c r="M334" s="181">
        <v>19</v>
      </c>
      <c r="N334" s="181">
        <f t="shared" si="119"/>
        <v>6.5</v>
      </c>
      <c r="O334" s="181">
        <f t="shared" si="120"/>
        <v>2</v>
      </c>
      <c r="P334" s="177">
        <f t="shared" si="121"/>
        <v>11.5</v>
      </c>
      <c r="Q334" s="177">
        <v>2.35</v>
      </c>
      <c r="R334" s="177">
        <v>1.296</v>
      </c>
      <c r="S334" s="177">
        <f>31*9</f>
        <v>279</v>
      </c>
      <c r="T334" s="222">
        <f t="shared" si="122"/>
        <v>9.7718076000000025</v>
      </c>
    </row>
    <row r="335" spans="7:21" ht="24.65" customHeight="1" x14ac:dyDescent="0.25">
      <c r="G335" s="185" t="s">
        <v>22</v>
      </c>
      <c r="H335" s="223">
        <v>34.799999999999997</v>
      </c>
      <c r="I335" s="223">
        <v>14.7</v>
      </c>
      <c r="J335" s="220">
        <f t="shared" si="116"/>
        <v>7.35</v>
      </c>
      <c r="K335" s="220">
        <f t="shared" si="117"/>
        <v>27.449999999999996</v>
      </c>
      <c r="L335" s="221">
        <f t="shared" si="118"/>
        <v>3</v>
      </c>
      <c r="M335" s="181">
        <v>19</v>
      </c>
      <c r="N335" s="181">
        <f t="shared" si="119"/>
        <v>6.5</v>
      </c>
      <c r="O335" s="181">
        <f t="shared" si="120"/>
        <v>-1.9500000000000028</v>
      </c>
      <c r="P335" s="177">
        <f t="shared" si="121"/>
        <v>7.5499999999999972</v>
      </c>
      <c r="Q335" s="177">
        <v>2.35</v>
      </c>
      <c r="R335" s="177">
        <v>1.296</v>
      </c>
      <c r="S335" s="177">
        <f>30*9</f>
        <v>270</v>
      </c>
      <c r="T335" s="222">
        <f t="shared" si="122"/>
        <v>6.2084555999999989</v>
      </c>
    </row>
    <row r="336" spans="7:21" ht="24.65" customHeight="1" x14ac:dyDescent="0.25">
      <c r="G336" s="346" t="s">
        <v>191</v>
      </c>
      <c r="H336" s="347"/>
      <c r="I336" s="347"/>
      <c r="J336" s="347"/>
      <c r="K336" s="347"/>
      <c r="L336" s="347"/>
      <c r="M336" s="347"/>
      <c r="N336" s="347"/>
      <c r="O336" s="347"/>
      <c r="P336" s="347"/>
      <c r="Q336" s="347"/>
      <c r="R336" s="347"/>
      <c r="S336" s="348"/>
      <c r="T336" s="225">
        <f>SUM(T330:T335)</f>
        <v>61.651471680000014</v>
      </c>
    </row>
    <row r="337" spans="7:20" ht="24.65" customHeight="1" x14ac:dyDescent="0.25">
      <c r="G337" s="185" t="s">
        <v>13</v>
      </c>
      <c r="H337" s="223">
        <v>41.9</v>
      </c>
      <c r="I337" s="223">
        <v>9.8000000000000007</v>
      </c>
      <c r="J337" s="220">
        <f t="shared" ref="J337:J342" si="123">I337/2</f>
        <v>4.9000000000000004</v>
      </c>
      <c r="K337" s="220">
        <f t="shared" ref="K337:K342" si="124">H337-J337</f>
        <v>37</v>
      </c>
      <c r="L337" s="221">
        <f t="shared" ref="L337:L342" si="125">D$173</f>
        <v>3</v>
      </c>
      <c r="M337" s="181">
        <v>20</v>
      </c>
      <c r="N337" s="181">
        <f t="shared" ref="N337:N342" si="126">25.5-M337</f>
        <v>5.5</v>
      </c>
      <c r="O337" s="181">
        <f t="shared" ref="O337:O342" si="127">K337-29.4</f>
        <v>7.6000000000000014</v>
      </c>
      <c r="P337" s="177">
        <f t="shared" ref="P337:P342" si="128">L337+N337+O337</f>
        <v>16.100000000000001</v>
      </c>
      <c r="Q337" s="177">
        <v>2.35</v>
      </c>
      <c r="R337" s="177">
        <v>1.296</v>
      </c>
      <c r="S337" s="177">
        <f>30*9</f>
        <v>270</v>
      </c>
      <c r="T337" s="222">
        <f t="shared" ref="T337:T342" si="129">(P337*Q337*R337*S337)/1000</f>
        <v>13.239223200000003</v>
      </c>
    </row>
    <row r="338" spans="7:20" ht="24.65" customHeight="1" x14ac:dyDescent="0.25">
      <c r="G338" s="185" t="s">
        <v>24</v>
      </c>
      <c r="H338" s="223">
        <v>36.9</v>
      </c>
      <c r="I338" s="223">
        <v>6.2</v>
      </c>
      <c r="J338" s="220">
        <f t="shared" si="123"/>
        <v>3.1</v>
      </c>
      <c r="K338" s="220">
        <f t="shared" si="124"/>
        <v>33.799999999999997</v>
      </c>
      <c r="L338" s="221">
        <f t="shared" si="125"/>
        <v>3</v>
      </c>
      <c r="M338" s="181">
        <v>20</v>
      </c>
      <c r="N338" s="181">
        <f t="shared" si="126"/>
        <v>5.5</v>
      </c>
      <c r="O338" s="181">
        <f t="shared" si="127"/>
        <v>4.3999999999999986</v>
      </c>
      <c r="P338" s="177">
        <f t="shared" si="128"/>
        <v>12.899999999999999</v>
      </c>
      <c r="Q338" s="177">
        <v>2.35</v>
      </c>
      <c r="R338" s="177">
        <v>1.296</v>
      </c>
      <c r="S338" s="177">
        <f>31*9</f>
        <v>279</v>
      </c>
      <c r="T338" s="222">
        <f t="shared" si="129"/>
        <v>10.961418960000001</v>
      </c>
    </row>
    <row r="339" spans="7:20" ht="24.65" customHeight="1" x14ac:dyDescent="0.25">
      <c r="G339" s="185" t="s">
        <v>19</v>
      </c>
      <c r="H339" s="223">
        <v>34.1</v>
      </c>
      <c r="I339" s="223">
        <v>5.8</v>
      </c>
      <c r="J339" s="220">
        <f t="shared" si="123"/>
        <v>2.9</v>
      </c>
      <c r="K339" s="220">
        <f t="shared" si="124"/>
        <v>31.200000000000003</v>
      </c>
      <c r="L339" s="221">
        <f t="shared" si="125"/>
        <v>3</v>
      </c>
      <c r="M339" s="181">
        <v>20</v>
      </c>
      <c r="N339" s="181">
        <f t="shared" si="126"/>
        <v>5.5</v>
      </c>
      <c r="O339" s="181">
        <f t="shared" si="127"/>
        <v>1.8000000000000043</v>
      </c>
      <c r="P339" s="177">
        <f t="shared" si="128"/>
        <v>10.300000000000004</v>
      </c>
      <c r="Q339" s="177">
        <v>2.35</v>
      </c>
      <c r="R339" s="177">
        <v>1.296</v>
      </c>
      <c r="S339" s="177">
        <f>31*9</f>
        <v>279</v>
      </c>
      <c r="T339" s="222">
        <f t="shared" si="129"/>
        <v>8.7521407200000052</v>
      </c>
    </row>
    <row r="340" spans="7:20" ht="24.65" customHeight="1" x14ac:dyDescent="0.25">
      <c r="G340" s="185" t="s">
        <v>20</v>
      </c>
      <c r="H340" s="223">
        <v>36.1</v>
      </c>
      <c r="I340" s="223">
        <v>7.6</v>
      </c>
      <c r="J340" s="220">
        <f t="shared" si="123"/>
        <v>3.8</v>
      </c>
      <c r="K340" s="220">
        <f t="shared" si="124"/>
        <v>32.300000000000004</v>
      </c>
      <c r="L340" s="221">
        <f t="shared" si="125"/>
        <v>3</v>
      </c>
      <c r="M340" s="181">
        <v>20</v>
      </c>
      <c r="N340" s="181">
        <f t="shared" si="126"/>
        <v>5.5</v>
      </c>
      <c r="O340" s="181">
        <f t="shared" si="127"/>
        <v>2.9000000000000057</v>
      </c>
      <c r="P340" s="177">
        <f t="shared" si="128"/>
        <v>11.400000000000006</v>
      </c>
      <c r="Q340" s="177">
        <v>2.35</v>
      </c>
      <c r="R340" s="177">
        <v>1.296</v>
      </c>
      <c r="S340" s="177">
        <f>30*9</f>
        <v>270</v>
      </c>
      <c r="T340" s="222">
        <f t="shared" si="129"/>
        <v>9.3743568000000046</v>
      </c>
    </row>
    <row r="341" spans="7:20" ht="24.65" customHeight="1" x14ac:dyDescent="0.25">
      <c r="G341" s="185" t="s">
        <v>21</v>
      </c>
      <c r="H341" s="223">
        <v>37.799999999999997</v>
      </c>
      <c r="I341" s="223">
        <v>12.8</v>
      </c>
      <c r="J341" s="220">
        <f t="shared" si="123"/>
        <v>6.4</v>
      </c>
      <c r="K341" s="220">
        <f t="shared" si="124"/>
        <v>31.4</v>
      </c>
      <c r="L341" s="221">
        <f t="shared" si="125"/>
        <v>3</v>
      </c>
      <c r="M341" s="181">
        <v>20</v>
      </c>
      <c r="N341" s="181">
        <f t="shared" si="126"/>
        <v>5.5</v>
      </c>
      <c r="O341" s="181">
        <f t="shared" si="127"/>
        <v>2</v>
      </c>
      <c r="P341" s="177">
        <f t="shared" si="128"/>
        <v>10.5</v>
      </c>
      <c r="Q341" s="177">
        <v>2.35</v>
      </c>
      <c r="R341" s="177">
        <v>1.296</v>
      </c>
      <c r="S341" s="177">
        <f>31*9</f>
        <v>279</v>
      </c>
      <c r="T341" s="222">
        <f t="shared" si="129"/>
        <v>8.9220852000000015</v>
      </c>
    </row>
    <row r="342" spans="7:20" ht="24.65" customHeight="1" x14ac:dyDescent="0.25">
      <c r="G342" s="185" t="s">
        <v>22</v>
      </c>
      <c r="H342" s="223">
        <v>34.799999999999997</v>
      </c>
      <c r="I342" s="223">
        <v>14.7</v>
      </c>
      <c r="J342" s="220">
        <f t="shared" si="123"/>
        <v>7.35</v>
      </c>
      <c r="K342" s="220">
        <f t="shared" si="124"/>
        <v>27.449999999999996</v>
      </c>
      <c r="L342" s="221">
        <f t="shared" si="125"/>
        <v>3</v>
      </c>
      <c r="M342" s="181">
        <v>20</v>
      </c>
      <c r="N342" s="181">
        <f t="shared" si="126"/>
        <v>5.5</v>
      </c>
      <c r="O342" s="181">
        <f t="shared" si="127"/>
        <v>-1.9500000000000028</v>
      </c>
      <c r="P342" s="177">
        <f t="shared" si="128"/>
        <v>6.5499999999999972</v>
      </c>
      <c r="Q342" s="177">
        <v>2.35</v>
      </c>
      <c r="R342" s="177">
        <v>1.296</v>
      </c>
      <c r="S342" s="177">
        <f>30*9</f>
        <v>270</v>
      </c>
      <c r="T342" s="222">
        <f t="shared" si="129"/>
        <v>5.3861435999999978</v>
      </c>
    </row>
    <row r="343" spans="7:20" ht="24.65" customHeight="1" x14ac:dyDescent="0.25">
      <c r="G343" s="346" t="s">
        <v>179</v>
      </c>
      <c r="H343" s="347"/>
      <c r="I343" s="347"/>
      <c r="J343" s="347"/>
      <c r="K343" s="347"/>
      <c r="L343" s="347"/>
      <c r="M343" s="347"/>
      <c r="N343" s="347"/>
      <c r="O343" s="347"/>
      <c r="P343" s="347"/>
      <c r="Q343" s="347"/>
      <c r="R343" s="347"/>
      <c r="S343" s="348"/>
      <c r="T343" s="225">
        <f>SUM(T337:T342)</f>
        <v>56.635368480000011</v>
      </c>
    </row>
    <row r="344" spans="7:20" ht="24.65" customHeight="1" x14ac:dyDescent="0.25">
      <c r="G344" s="185" t="s">
        <v>13</v>
      </c>
      <c r="H344" s="223">
        <v>41.9</v>
      </c>
      <c r="I344" s="223">
        <v>9.8000000000000007</v>
      </c>
      <c r="J344" s="220">
        <f t="shared" ref="J344:J349" si="130">I344/2</f>
        <v>4.9000000000000004</v>
      </c>
      <c r="K344" s="220">
        <f t="shared" ref="K344:K349" si="131">H344-J344</f>
        <v>37</v>
      </c>
      <c r="L344" s="221">
        <f t="shared" ref="L344:L349" si="132">D$173</f>
        <v>3</v>
      </c>
      <c r="M344" s="181">
        <v>21</v>
      </c>
      <c r="N344" s="181">
        <f t="shared" ref="N344:N349" si="133">25.5-M344</f>
        <v>4.5</v>
      </c>
      <c r="O344" s="181">
        <f t="shared" ref="O344:O349" si="134">K344-29.4</f>
        <v>7.6000000000000014</v>
      </c>
      <c r="P344" s="177">
        <f t="shared" ref="P344:P349" si="135">L344+N344+O344</f>
        <v>15.100000000000001</v>
      </c>
      <c r="Q344" s="177">
        <v>2.35</v>
      </c>
      <c r="R344" s="177">
        <v>1.296</v>
      </c>
      <c r="S344" s="177">
        <f>30*9</f>
        <v>270</v>
      </c>
      <c r="T344" s="222">
        <f t="shared" ref="T344:T349" si="136">(P344*Q344*R344*S344)/1000</f>
        <v>12.416911200000003</v>
      </c>
    </row>
    <row r="345" spans="7:20" ht="24.65" customHeight="1" x14ac:dyDescent="0.25">
      <c r="G345" s="185" t="s">
        <v>24</v>
      </c>
      <c r="H345" s="223">
        <v>36.9</v>
      </c>
      <c r="I345" s="223">
        <v>6.2</v>
      </c>
      <c r="J345" s="220">
        <f t="shared" si="130"/>
        <v>3.1</v>
      </c>
      <c r="K345" s="220">
        <f t="shared" si="131"/>
        <v>33.799999999999997</v>
      </c>
      <c r="L345" s="221">
        <f t="shared" si="132"/>
        <v>3</v>
      </c>
      <c r="M345" s="181">
        <v>21</v>
      </c>
      <c r="N345" s="181">
        <f t="shared" si="133"/>
        <v>4.5</v>
      </c>
      <c r="O345" s="181">
        <f t="shared" si="134"/>
        <v>4.3999999999999986</v>
      </c>
      <c r="P345" s="177">
        <f t="shared" si="135"/>
        <v>11.899999999999999</v>
      </c>
      <c r="Q345" s="177">
        <v>2.35</v>
      </c>
      <c r="R345" s="177">
        <v>1.296</v>
      </c>
      <c r="S345" s="177">
        <f>31*9</f>
        <v>279</v>
      </c>
      <c r="T345" s="222">
        <f t="shared" si="136"/>
        <v>10.111696559999999</v>
      </c>
    </row>
    <row r="346" spans="7:20" ht="24.65" customHeight="1" x14ac:dyDescent="0.25">
      <c r="G346" s="185" t="s">
        <v>19</v>
      </c>
      <c r="H346" s="223">
        <v>34.1</v>
      </c>
      <c r="I346" s="223">
        <v>5.8</v>
      </c>
      <c r="J346" s="220">
        <f t="shared" si="130"/>
        <v>2.9</v>
      </c>
      <c r="K346" s="220">
        <f t="shared" si="131"/>
        <v>31.200000000000003</v>
      </c>
      <c r="L346" s="221">
        <f t="shared" si="132"/>
        <v>3</v>
      </c>
      <c r="M346" s="181">
        <v>21</v>
      </c>
      <c r="N346" s="181">
        <f t="shared" si="133"/>
        <v>4.5</v>
      </c>
      <c r="O346" s="181">
        <f t="shared" si="134"/>
        <v>1.8000000000000043</v>
      </c>
      <c r="P346" s="177">
        <f t="shared" si="135"/>
        <v>9.3000000000000043</v>
      </c>
      <c r="Q346" s="177">
        <v>2.35</v>
      </c>
      <c r="R346" s="177">
        <v>1.296</v>
      </c>
      <c r="S346" s="177">
        <f>31*9</f>
        <v>279</v>
      </c>
      <c r="T346" s="222">
        <f t="shared" si="136"/>
        <v>7.9024183200000042</v>
      </c>
    </row>
    <row r="347" spans="7:20" ht="24.65" customHeight="1" x14ac:dyDescent="0.25">
      <c r="G347" s="185" t="s">
        <v>20</v>
      </c>
      <c r="H347" s="223">
        <v>36.1</v>
      </c>
      <c r="I347" s="223">
        <v>7.6</v>
      </c>
      <c r="J347" s="220">
        <f t="shared" si="130"/>
        <v>3.8</v>
      </c>
      <c r="K347" s="220">
        <f t="shared" si="131"/>
        <v>32.300000000000004</v>
      </c>
      <c r="L347" s="221">
        <f t="shared" si="132"/>
        <v>3</v>
      </c>
      <c r="M347" s="181">
        <v>21</v>
      </c>
      <c r="N347" s="181">
        <f t="shared" si="133"/>
        <v>4.5</v>
      </c>
      <c r="O347" s="181">
        <f t="shared" si="134"/>
        <v>2.9000000000000057</v>
      </c>
      <c r="P347" s="177">
        <f t="shared" si="135"/>
        <v>10.400000000000006</v>
      </c>
      <c r="Q347" s="177">
        <v>2.35</v>
      </c>
      <c r="R347" s="177">
        <v>1.296</v>
      </c>
      <c r="S347" s="177">
        <f>30*9</f>
        <v>270</v>
      </c>
      <c r="T347" s="222">
        <f t="shared" si="136"/>
        <v>8.5520448000000062</v>
      </c>
    </row>
    <row r="348" spans="7:20" ht="24.65" customHeight="1" x14ac:dyDescent="0.25">
      <c r="G348" s="185" t="s">
        <v>21</v>
      </c>
      <c r="H348" s="223">
        <v>37.799999999999997</v>
      </c>
      <c r="I348" s="223">
        <v>12.8</v>
      </c>
      <c r="J348" s="220">
        <f t="shared" si="130"/>
        <v>6.4</v>
      </c>
      <c r="K348" s="220">
        <f t="shared" si="131"/>
        <v>31.4</v>
      </c>
      <c r="L348" s="221">
        <f t="shared" si="132"/>
        <v>3</v>
      </c>
      <c r="M348" s="181">
        <v>21</v>
      </c>
      <c r="N348" s="181">
        <f t="shared" si="133"/>
        <v>4.5</v>
      </c>
      <c r="O348" s="181">
        <f t="shared" si="134"/>
        <v>2</v>
      </c>
      <c r="P348" s="177">
        <f t="shared" si="135"/>
        <v>9.5</v>
      </c>
      <c r="Q348" s="177">
        <v>2.35</v>
      </c>
      <c r="R348" s="177">
        <v>1.296</v>
      </c>
      <c r="S348" s="177">
        <f>31*9</f>
        <v>279</v>
      </c>
      <c r="T348" s="222">
        <f t="shared" si="136"/>
        <v>8.0723628000000005</v>
      </c>
    </row>
    <row r="349" spans="7:20" ht="24.65" customHeight="1" x14ac:dyDescent="0.25">
      <c r="G349" s="185" t="s">
        <v>22</v>
      </c>
      <c r="H349" s="223">
        <v>34.799999999999997</v>
      </c>
      <c r="I349" s="223">
        <v>14.7</v>
      </c>
      <c r="J349" s="220">
        <f t="shared" si="130"/>
        <v>7.35</v>
      </c>
      <c r="K349" s="220">
        <f t="shared" si="131"/>
        <v>27.449999999999996</v>
      </c>
      <c r="L349" s="221">
        <f t="shared" si="132"/>
        <v>3</v>
      </c>
      <c r="M349" s="181">
        <v>21</v>
      </c>
      <c r="N349" s="181">
        <f t="shared" si="133"/>
        <v>4.5</v>
      </c>
      <c r="O349" s="181">
        <f t="shared" si="134"/>
        <v>-1.9500000000000028</v>
      </c>
      <c r="P349" s="177">
        <f t="shared" si="135"/>
        <v>5.5499999999999972</v>
      </c>
      <c r="Q349" s="177">
        <v>2.35</v>
      </c>
      <c r="R349" s="177">
        <v>1.296</v>
      </c>
      <c r="S349" s="177">
        <f>30*9</f>
        <v>270</v>
      </c>
      <c r="T349" s="222">
        <f t="shared" si="136"/>
        <v>4.5638315999999977</v>
      </c>
    </row>
    <row r="350" spans="7:20" ht="24.65" customHeight="1" x14ac:dyDescent="0.25">
      <c r="G350" s="346" t="s">
        <v>180</v>
      </c>
      <c r="H350" s="347"/>
      <c r="I350" s="347"/>
      <c r="J350" s="347"/>
      <c r="K350" s="347"/>
      <c r="L350" s="347"/>
      <c r="M350" s="347"/>
      <c r="N350" s="347"/>
      <c r="O350" s="347"/>
      <c r="P350" s="347"/>
      <c r="Q350" s="347"/>
      <c r="R350" s="347"/>
      <c r="S350" s="348"/>
      <c r="T350" s="225">
        <f>SUM(T344:T349)</f>
        <v>51.619265280000008</v>
      </c>
    </row>
    <row r="351" spans="7:20" ht="14.15" customHeight="1" x14ac:dyDescent="0.25">
      <c r="G351" s="185" t="s">
        <v>13</v>
      </c>
      <c r="H351" s="223">
        <v>41.9</v>
      </c>
      <c r="I351" s="223">
        <v>9.8000000000000007</v>
      </c>
      <c r="J351" s="220">
        <f t="shared" ref="J351:J356" si="137">I351/2</f>
        <v>4.9000000000000004</v>
      </c>
      <c r="K351" s="220">
        <f t="shared" ref="K351:K356" si="138">H351-J351</f>
        <v>37</v>
      </c>
      <c r="L351" s="221">
        <f>D173</f>
        <v>3</v>
      </c>
      <c r="M351" s="181">
        <v>22</v>
      </c>
      <c r="N351" s="181">
        <f t="shared" ref="N351:N356" si="139">25.5-M351</f>
        <v>3.5</v>
      </c>
      <c r="O351" s="181">
        <f t="shared" ref="O351:O356" si="140">K351-29.4</f>
        <v>7.6000000000000014</v>
      </c>
      <c r="P351" s="177">
        <f t="shared" ref="P351:P356" si="141">L351+N351+O351</f>
        <v>14.100000000000001</v>
      </c>
      <c r="Q351" s="177">
        <v>2.35</v>
      </c>
      <c r="R351" s="177">
        <v>1.296</v>
      </c>
      <c r="S351" s="177">
        <f>30*9</f>
        <v>270</v>
      </c>
      <c r="T351" s="222">
        <f t="shared" ref="T351:T356" si="142">(P351*Q351*R351*S351)/1000</f>
        <v>11.594599200000003</v>
      </c>
    </row>
    <row r="352" spans="7:20" ht="14" x14ac:dyDescent="0.25">
      <c r="G352" s="185" t="s">
        <v>24</v>
      </c>
      <c r="H352" s="223">
        <v>36.9</v>
      </c>
      <c r="I352" s="223">
        <v>6.2</v>
      </c>
      <c r="J352" s="220">
        <f t="shared" si="137"/>
        <v>3.1</v>
      </c>
      <c r="K352" s="220">
        <f t="shared" si="138"/>
        <v>33.799999999999997</v>
      </c>
      <c r="L352" s="221">
        <f>D173</f>
        <v>3</v>
      </c>
      <c r="M352" s="181">
        <v>22</v>
      </c>
      <c r="N352" s="181">
        <f t="shared" si="139"/>
        <v>3.5</v>
      </c>
      <c r="O352" s="181">
        <f t="shared" si="140"/>
        <v>4.3999999999999986</v>
      </c>
      <c r="P352" s="177">
        <f t="shared" si="141"/>
        <v>10.899999999999999</v>
      </c>
      <c r="Q352" s="177">
        <v>2.35</v>
      </c>
      <c r="R352" s="177">
        <v>1.296</v>
      </c>
      <c r="S352" s="177">
        <f>31*9</f>
        <v>279</v>
      </c>
      <c r="T352" s="222">
        <f t="shared" si="142"/>
        <v>9.2619741599999994</v>
      </c>
    </row>
    <row r="353" spans="7:20" ht="14" x14ac:dyDescent="0.25">
      <c r="G353" s="185" t="s">
        <v>19</v>
      </c>
      <c r="H353" s="223">
        <v>34.1</v>
      </c>
      <c r="I353" s="223">
        <v>5.8</v>
      </c>
      <c r="J353" s="220">
        <f t="shared" si="137"/>
        <v>2.9</v>
      </c>
      <c r="K353" s="220">
        <f t="shared" si="138"/>
        <v>31.200000000000003</v>
      </c>
      <c r="L353" s="221">
        <f>D173</f>
        <v>3</v>
      </c>
      <c r="M353" s="181">
        <v>22</v>
      </c>
      <c r="N353" s="181">
        <f t="shared" si="139"/>
        <v>3.5</v>
      </c>
      <c r="O353" s="181">
        <f t="shared" si="140"/>
        <v>1.8000000000000043</v>
      </c>
      <c r="P353" s="177">
        <f t="shared" si="141"/>
        <v>8.3000000000000043</v>
      </c>
      <c r="Q353" s="177">
        <v>2.35</v>
      </c>
      <c r="R353" s="177">
        <v>1.296</v>
      </c>
      <c r="S353" s="177">
        <f>31*9</f>
        <v>279</v>
      </c>
      <c r="T353" s="222">
        <f t="shared" si="142"/>
        <v>7.0526959200000041</v>
      </c>
    </row>
    <row r="354" spans="7:20" ht="14" x14ac:dyDescent="0.25">
      <c r="G354" s="185" t="s">
        <v>20</v>
      </c>
      <c r="H354" s="223">
        <v>36.1</v>
      </c>
      <c r="I354" s="223">
        <v>7.6</v>
      </c>
      <c r="J354" s="220">
        <f t="shared" si="137"/>
        <v>3.8</v>
      </c>
      <c r="K354" s="220">
        <f t="shared" si="138"/>
        <v>32.300000000000004</v>
      </c>
      <c r="L354" s="221">
        <f>D173</f>
        <v>3</v>
      </c>
      <c r="M354" s="181">
        <v>22</v>
      </c>
      <c r="N354" s="181">
        <f t="shared" si="139"/>
        <v>3.5</v>
      </c>
      <c r="O354" s="181">
        <f t="shared" si="140"/>
        <v>2.9000000000000057</v>
      </c>
      <c r="P354" s="177">
        <f t="shared" si="141"/>
        <v>9.4000000000000057</v>
      </c>
      <c r="Q354" s="177">
        <v>2.35</v>
      </c>
      <c r="R354" s="177">
        <v>1.296</v>
      </c>
      <c r="S354" s="177">
        <f>30*9</f>
        <v>270</v>
      </c>
      <c r="T354" s="222">
        <f t="shared" si="142"/>
        <v>7.7297328000000052</v>
      </c>
    </row>
    <row r="355" spans="7:20" ht="14" x14ac:dyDescent="0.25">
      <c r="G355" s="185" t="s">
        <v>21</v>
      </c>
      <c r="H355" s="223">
        <v>37.799999999999997</v>
      </c>
      <c r="I355" s="223">
        <v>12.8</v>
      </c>
      <c r="J355" s="220">
        <f t="shared" si="137"/>
        <v>6.4</v>
      </c>
      <c r="K355" s="220">
        <f t="shared" si="138"/>
        <v>31.4</v>
      </c>
      <c r="L355" s="221">
        <f>D173</f>
        <v>3</v>
      </c>
      <c r="M355" s="181">
        <v>22</v>
      </c>
      <c r="N355" s="181">
        <f t="shared" si="139"/>
        <v>3.5</v>
      </c>
      <c r="O355" s="181">
        <f t="shared" si="140"/>
        <v>2</v>
      </c>
      <c r="P355" s="177">
        <f t="shared" si="141"/>
        <v>8.5</v>
      </c>
      <c r="Q355" s="177">
        <v>2.35</v>
      </c>
      <c r="R355" s="177">
        <v>1.296</v>
      </c>
      <c r="S355" s="177">
        <f>31*9</f>
        <v>279</v>
      </c>
      <c r="T355" s="222">
        <f t="shared" si="142"/>
        <v>7.2226404000000013</v>
      </c>
    </row>
    <row r="356" spans="7:20" ht="14" x14ac:dyDescent="0.25">
      <c r="G356" s="185" t="s">
        <v>22</v>
      </c>
      <c r="H356" s="223">
        <v>34.799999999999997</v>
      </c>
      <c r="I356" s="223">
        <v>14.7</v>
      </c>
      <c r="J356" s="220">
        <f t="shared" si="137"/>
        <v>7.35</v>
      </c>
      <c r="K356" s="220">
        <f t="shared" si="138"/>
        <v>27.449999999999996</v>
      </c>
      <c r="L356" s="221">
        <f>D173</f>
        <v>3</v>
      </c>
      <c r="M356" s="181">
        <v>22</v>
      </c>
      <c r="N356" s="181">
        <f t="shared" si="139"/>
        <v>3.5</v>
      </c>
      <c r="O356" s="181">
        <f t="shared" si="140"/>
        <v>-1.9500000000000028</v>
      </c>
      <c r="P356" s="177">
        <f t="shared" si="141"/>
        <v>4.5499999999999972</v>
      </c>
      <c r="Q356" s="177">
        <v>2.35</v>
      </c>
      <c r="R356" s="177">
        <v>1.296</v>
      </c>
      <c r="S356" s="177">
        <f>30*9</f>
        <v>270</v>
      </c>
      <c r="T356" s="222">
        <f t="shared" si="142"/>
        <v>3.7415195999999979</v>
      </c>
    </row>
    <row r="357" spans="7:20" ht="15" x14ac:dyDescent="0.25">
      <c r="G357" s="346" t="s">
        <v>181</v>
      </c>
      <c r="H357" s="347"/>
      <c r="I357" s="347"/>
      <c r="J357" s="347"/>
      <c r="K357" s="347"/>
      <c r="L357" s="347"/>
      <c r="M357" s="347"/>
      <c r="N357" s="347"/>
      <c r="O357" s="347"/>
      <c r="P357" s="347"/>
      <c r="Q357" s="347"/>
      <c r="R357" s="347"/>
      <c r="S357" s="348"/>
      <c r="T357" s="225">
        <f>SUM(T351:T356)</f>
        <v>46.603162080000011</v>
      </c>
    </row>
    <row r="358" spans="7:20" ht="14" x14ac:dyDescent="0.25">
      <c r="G358" s="185" t="s">
        <v>13</v>
      </c>
      <c r="H358" s="223">
        <v>41.9</v>
      </c>
      <c r="I358" s="223">
        <v>9.8000000000000007</v>
      </c>
      <c r="J358" s="220">
        <f t="shared" ref="J358:J363" si="143">I358/2</f>
        <v>4.9000000000000004</v>
      </c>
      <c r="K358" s="220">
        <f t="shared" ref="K358:K363" si="144">H358-J358</f>
        <v>37</v>
      </c>
      <c r="L358" s="221">
        <f>D173</f>
        <v>3</v>
      </c>
      <c r="M358" s="181">
        <v>23</v>
      </c>
      <c r="N358" s="181">
        <f t="shared" ref="N358:N363" si="145">25.5-M358</f>
        <v>2.5</v>
      </c>
      <c r="O358" s="181">
        <f t="shared" ref="O358:O363" si="146">K358-29.4</f>
        <v>7.6000000000000014</v>
      </c>
      <c r="P358" s="177">
        <f t="shared" ref="P358:P363" si="147">L358+N358+O358</f>
        <v>13.100000000000001</v>
      </c>
      <c r="Q358" s="177">
        <v>2.35</v>
      </c>
      <c r="R358" s="177">
        <v>1.296</v>
      </c>
      <c r="S358" s="177">
        <f>30*9</f>
        <v>270</v>
      </c>
      <c r="T358" s="222">
        <f t="shared" ref="T358:T363" si="148">(P358*Q358*R358*S358)/1000</f>
        <v>10.772287200000003</v>
      </c>
    </row>
    <row r="359" spans="7:20" ht="14" x14ac:dyDescent="0.25">
      <c r="G359" s="185" t="s">
        <v>24</v>
      </c>
      <c r="H359" s="223">
        <v>36.9</v>
      </c>
      <c r="I359" s="223">
        <v>6.2</v>
      </c>
      <c r="J359" s="220">
        <f t="shared" si="143"/>
        <v>3.1</v>
      </c>
      <c r="K359" s="220">
        <f t="shared" si="144"/>
        <v>33.799999999999997</v>
      </c>
      <c r="L359" s="221">
        <f>D173</f>
        <v>3</v>
      </c>
      <c r="M359" s="181">
        <v>23</v>
      </c>
      <c r="N359" s="181">
        <f t="shared" si="145"/>
        <v>2.5</v>
      </c>
      <c r="O359" s="181">
        <f t="shared" si="146"/>
        <v>4.3999999999999986</v>
      </c>
      <c r="P359" s="177">
        <f t="shared" si="147"/>
        <v>9.8999999999999986</v>
      </c>
      <c r="Q359" s="177">
        <v>2.35</v>
      </c>
      <c r="R359" s="177">
        <v>1.296</v>
      </c>
      <c r="S359" s="177">
        <f>31*9</f>
        <v>279</v>
      </c>
      <c r="T359" s="222">
        <f t="shared" si="148"/>
        <v>8.4122517599999984</v>
      </c>
    </row>
    <row r="360" spans="7:20" ht="14" x14ac:dyDescent="0.25">
      <c r="G360" s="185" t="s">
        <v>19</v>
      </c>
      <c r="H360" s="223">
        <v>34.1</v>
      </c>
      <c r="I360" s="223">
        <v>5.8</v>
      </c>
      <c r="J360" s="220">
        <f t="shared" si="143"/>
        <v>2.9</v>
      </c>
      <c r="K360" s="220">
        <f t="shared" si="144"/>
        <v>31.200000000000003</v>
      </c>
      <c r="L360" s="221">
        <f>D173</f>
        <v>3</v>
      </c>
      <c r="M360" s="181">
        <v>23</v>
      </c>
      <c r="N360" s="181">
        <f t="shared" si="145"/>
        <v>2.5</v>
      </c>
      <c r="O360" s="181">
        <f t="shared" si="146"/>
        <v>1.8000000000000043</v>
      </c>
      <c r="P360" s="177">
        <f t="shared" si="147"/>
        <v>7.3000000000000043</v>
      </c>
      <c r="Q360" s="177">
        <v>2.35</v>
      </c>
      <c r="R360" s="177">
        <v>1.296</v>
      </c>
      <c r="S360" s="177">
        <f>31*9</f>
        <v>279</v>
      </c>
      <c r="T360" s="222">
        <f t="shared" si="148"/>
        <v>6.202973520000004</v>
      </c>
    </row>
    <row r="361" spans="7:20" ht="14" x14ac:dyDescent="0.25">
      <c r="G361" s="185" t="s">
        <v>20</v>
      </c>
      <c r="H361" s="223">
        <v>36.1</v>
      </c>
      <c r="I361" s="223">
        <v>7.6</v>
      </c>
      <c r="J361" s="220">
        <f t="shared" si="143"/>
        <v>3.8</v>
      </c>
      <c r="K361" s="220">
        <f t="shared" si="144"/>
        <v>32.300000000000004</v>
      </c>
      <c r="L361" s="221">
        <f>D173</f>
        <v>3</v>
      </c>
      <c r="M361" s="181">
        <v>23</v>
      </c>
      <c r="N361" s="181">
        <f t="shared" si="145"/>
        <v>2.5</v>
      </c>
      <c r="O361" s="181">
        <f t="shared" si="146"/>
        <v>2.9000000000000057</v>
      </c>
      <c r="P361" s="177">
        <f t="shared" si="147"/>
        <v>8.4000000000000057</v>
      </c>
      <c r="Q361" s="177">
        <v>2.35</v>
      </c>
      <c r="R361" s="177">
        <v>1.296</v>
      </c>
      <c r="S361" s="177">
        <f>30*9</f>
        <v>270</v>
      </c>
      <c r="T361" s="222">
        <f t="shared" si="148"/>
        <v>6.907420800000005</v>
      </c>
    </row>
    <row r="362" spans="7:20" ht="14" x14ac:dyDescent="0.25">
      <c r="G362" s="185" t="s">
        <v>21</v>
      </c>
      <c r="H362" s="223">
        <v>37.799999999999997</v>
      </c>
      <c r="I362" s="223">
        <v>12.8</v>
      </c>
      <c r="J362" s="220">
        <f t="shared" si="143"/>
        <v>6.4</v>
      </c>
      <c r="K362" s="220">
        <f t="shared" si="144"/>
        <v>31.4</v>
      </c>
      <c r="L362" s="221">
        <f>D173</f>
        <v>3</v>
      </c>
      <c r="M362" s="181">
        <v>23</v>
      </c>
      <c r="N362" s="181">
        <f t="shared" si="145"/>
        <v>2.5</v>
      </c>
      <c r="O362" s="181">
        <f t="shared" si="146"/>
        <v>2</v>
      </c>
      <c r="P362" s="177">
        <f t="shared" si="147"/>
        <v>7.5</v>
      </c>
      <c r="Q362" s="177">
        <v>2.35</v>
      </c>
      <c r="R362" s="177">
        <v>1.296</v>
      </c>
      <c r="S362" s="177">
        <f>31*9</f>
        <v>279</v>
      </c>
      <c r="T362" s="222">
        <f t="shared" si="148"/>
        <v>6.3729180000000003</v>
      </c>
    </row>
    <row r="363" spans="7:20" ht="14" x14ac:dyDescent="0.25">
      <c r="G363" s="185" t="s">
        <v>22</v>
      </c>
      <c r="H363" s="223">
        <v>34.799999999999997</v>
      </c>
      <c r="I363" s="223">
        <v>14.7</v>
      </c>
      <c r="J363" s="220">
        <f t="shared" si="143"/>
        <v>7.35</v>
      </c>
      <c r="K363" s="220">
        <f t="shared" si="144"/>
        <v>27.449999999999996</v>
      </c>
      <c r="L363" s="221">
        <f>D173</f>
        <v>3</v>
      </c>
      <c r="M363" s="181">
        <v>23</v>
      </c>
      <c r="N363" s="181">
        <f t="shared" si="145"/>
        <v>2.5</v>
      </c>
      <c r="O363" s="181">
        <f t="shared" si="146"/>
        <v>-1.9500000000000028</v>
      </c>
      <c r="P363" s="177">
        <f t="shared" si="147"/>
        <v>3.5499999999999972</v>
      </c>
      <c r="Q363" s="177">
        <v>2.35</v>
      </c>
      <c r="R363" s="177">
        <v>1.296</v>
      </c>
      <c r="S363" s="177">
        <f>30*9</f>
        <v>270</v>
      </c>
      <c r="T363" s="222">
        <f t="shared" si="148"/>
        <v>2.9192075999999982</v>
      </c>
    </row>
    <row r="364" spans="7:20" ht="15" x14ac:dyDescent="0.25">
      <c r="G364" s="346" t="s">
        <v>149</v>
      </c>
      <c r="H364" s="347"/>
      <c r="I364" s="347"/>
      <c r="J364" s="347"/>
      <c r="K364" s="347"/>
      <c r="L364" s="347"/>
      <c r="M364" s="347"/>
      <c r="N364" s="347"/>
      <c r="O364" s="347"/>
      <c r="P364" s="347"/>
      <c r="Q364" s="347"/>
      <c r="R364" s="347"/>
      <c r="S364" s="348"/>
      <c r="T364" s="225">
        <f>SUM(T358:T363)</f>
        <v>41.587058880000008</v>
      </c>
    </row>
    <row r="365" spans="7:20" ht="14" x14ac:dyDescent="0.25">
      <c r="G365" s="185" t="s">
        <v>13</v>
      </c>
      <c r="H365" s="223">
        <v>41.9</v>
      </c>
      <c r="I365" s="223">
        <v>9.8000000000000007</v>
      </c>
      <c r="J365" s="220">
        <f t="shared" ref="J365:J370" si="149">I365/2</f>
        <v>4.9000000000000004</v>
      </c>
      <c r="K365" s="220">
        <f t="shared" ref="K365:K370" si="150">H365-J365</f>
        <v>37</v>
      </c>
      <c r="L365" s="221">
        <f>D173</f>
        <v>3</v>
      </c>
      <c r="M365" s="181">
        <v>24</v>
      </c>
      <c r="N365" s="181">
        <f t="shared" ref="N365:N370" si="151">25.5-M365</f>
        <v>1.5</v>
      </c>
      <c r="O365" s="181">
        <f t="shared" ref="O365:O370" si="152">K365-29.4</f>
        <v>7.6000000000000014</v>
      </c>
      <c r="P365" s="177">
        <f t="shared" ref="P365:P370" si="153">L365+N365+O365</f>
        <v>12.100000000000001</v>
      </c>
      <c r="Q365" s="177">
        <v>2.35</v>
      </c>
      <c r="R365" s="177">
        <v>1.296</v>
      </c>
      <c r="S365" s="177">
        <f>30*9</f>
        <v>270</v>
      </c>
      <c r="T365" s="222">
        <f t="shared" ref="T365:T370" si="154">(P365*Q365*R365*S365)/1000</f>
        <v>9.9499752000000008</v>
      </c>
    </row>
    <row r="366" spans="7:20" ht="14" x14ac:dyDescent="0.25">
      <c r="G366" s="185" t="s">
        <v>24</v>
      </c>
      <c r="H366" s="223">
        <v>36.9</v>
      </c>
      <c r="I366" s="223">
        <v>6.2</v>
      </c>
      <c r="J366" s="220">
        <f t="shared" si="149"/>
        <v>3.1</v>
      </c>
      <c r="K366" s="220">
        <f t="shared" si="150"/>
        <v>33.799999999999997</v>
      </c>
      <c r="L366" s="221">
        <f>D173</f>
        <v>3</v>
      </c>
      <c r="M366" s="181">
        <v>24</v>
      </c>
      <c r="N366" s="192">
        <f t="shared" si="151"/>
        <v>1.5</v>
      </c>
      <c r="O366" s="192">
        <f t="shared" si="152"/>
        <v>4.3999999999999986</v>
      </c>
      <c r="P366" s="177">
        <f t="shared" si="153"/>
        <v>8.8999999999999986</v>
      </c>
      <c r="Q366" s="177">
        <v>2.35</v>
      </c>
      <c r="R366" s="177">
        <v>1.296</v>
      </c>
      <c r="S366" s="177">
        <f>31*9</f>
        <v>279</v>
      </c>
      <c r="T366" s="222">
        <f t="shared" si="154"/>
        <v>7.5625293600000001</v>
      </c>
    </row>
    <row r="367" spans="7:20" ht="14" x14ac:dyDescent="0.25">
      <c r="G367" s="185" t="s">
        <v>19</v>
      </c>
      <c r="H367" s="223">
        <v>34.1</v>
      </c>
      <c r="I367" s="223">
        <v>5.8</v>
      </c>
      <c r="J367" s="220">
        <f t="shared" si="149"/>
        <v>2.9</v>
      </c>
      <c r="K367" s="220">
        <f t="shared" si="150"/>
        <v>31.200000000000003</v>
      </c>
      <c r="L367" s="221">
        <f>D173</f>
        <v>3</v>
      </c>
      <c r="M367" s="181">
        <v>24</v>
      </c>
      <c r="N367" s="192">
        <f t="shared" si="151"/>
        <v>1.5</v>
      </c>
      <c r="O367" s="192">
        <f t="shared" si="152"/>
        <v>1.8000000000000043</v>
      </c>
      <c r="P367" s="177">
        <f t="shared" si="153"/>
        <v>6.3000000000000043</v>
      </c>
      <c r="Q367" s="177">
        <v>2.35</v>
      </c>
      <c r="R367" s="177">
        <v>1.296</v>
      </c>
      <c r="S367" s="177">
        <f>31*9</f>
        <v>279</v>
      </c>
      <c r="T367" s="222">
        <f t="shared" si="154"/>
        <v>5.3532511200000048</v>
      </c>
    </row>
    <row r="368" spans="7:20" ht="14" x14ac:dyDescent="0.25">
      <c r="G368" s="185" t="s">
        <v>20</v>
      </c>
      <c r="H368" s="223">
        <v>36.1</v>
      </c>
      <c r="I368" s="223">
        <v>7.6</v>
      </c>
      <c r="J368" s="220">
        <f t="shared" si="149"/>
        <v>3.8</v>
      </c>
      <c r="K368" s="220">
        <f t="shared" si="150"/>
        <v>32.300000000000004</v>
      </c>
      <c r="L368" s="221">
        <f>D173</f>
        <v>3</v>
      </c>
      <c r="M368" s="181">
        <v>24</v>
      </c>
      <c r="N368" s="192">
        <f t="shared" si="151"/>
        <v>1.5</v>
      </c>
      <c r="O368" s="192">
        <f t="shared" si="152"/>
        <v>2.9000000000000057</v>
      </c>
      <c r="P368" s="177">
        <f t="shared" si="153"/>
        <v>7.4000000000000057</v>
      </c>
      <c r="Q368" s="177">
        <v>2.35</v>
      </c>
      <c r="R368" s="177">
        <v>1.296</v>
      </c>
      <c r="S368" s="177">
        <f>30*9</f>
        <v>270</v>
      </c>
      <c r="T368" s="222">
        <f t="shared" si="154"/>
        <v>6.0851088000000058</v>
      </c>
    </row>
    <row r="369" spans="7:20" ht="14" x14ac:dyDescent="0.25">
      <c r="G369" s="185" t="s">
        <v>21</v>
      </c>
      <c r="H369" s="223">
        <v>37.799999999999997</v>
      </c>
      <c r="I369" s="223">
        <v>12.8</v>
      </c>
      <c r="J369" s="220">
        <f t="shared" si="149"/>
        <v>6.4</v>
      </c>
      <c r="K369" s="220">
        <f t="shared" si="150"/>
        <v>31.4</v>
      </c>
      <c r="L369" s="221">
        <f>D173</f>
        <v>3</v>
      </c>
      <c r="M369" s="181">
        <v>24</v>
      </c>
      <c r="N369" s="192">
        <f t="shared" si="151"/>
        <v>1.5</v>
      </c>
      <c r="O369" s="192">
        <f t="shared" si="152"/>
        <v>2</v>
      </c>
      <c r="P369" s="177">
        <f t="shared" si="153"/>
        <v>6.5</v>
      </c>
      <c r="Q369" s="177">
        <v>2.35</v>
      </c>
      <c r="R369" s="177">
        <v>1.296</v>
      </c>
      <c r="S369" s="177">
        <f>31*9</f>
        <v>279</v>
      </c>
      <c r="T369" s="222">
        <f t="shared" si="154"/>
        <v>5.5231956000000011</v>
      </c>
    </row>
    <row r="370" spans="7:20" ht="14" x14ac:dyDescent="0.25">
      <c r="G370" s="185" t="s">
        <v>22</v>
      </c>
      <c r="H370" s="223">
        <v>34.799999999999997</v>
      </c>
      <c r="I370" s="223">
        <v>14.7</v>
      </c>
      <c r="J370" s="220">
        <f t="shared" si="149"/>
        <v>7.35</v>
      </c>
      <c r="K370" s="220">
        <f t="shared" si="150"/>
        <v>27.449999999999996</v>
      </c>
      <c r="L370" s="221">
        <f>D173</f>
        <v>3</v>
      </c>
      <c r="M370" s="181">
        <v>24</v>
      </c>
      <c r="N370" s="181">
        <f t="shared" si="151"/>
        <v>1.5</v>
      </c>
      <c r="O370" s="181">
        <f t="shared" si="152"/>
        <v>-1.9500000000000028</v>
      </c>
      <c r="P370" s="177">
        <f t="shared" si="153"/>
        <v>2.5499999999999972</v>
      </c>
      <c r="Q370" s="177">
        <v>2.35</v>
      </c>
      <c r="R370" s="177">
        <v>1.296</v>
      </c>
      <c r="S370" s="177">
        <f>30*9</f>
        <v>270</v>
      </c>
      <c r="T370" s="222">
        <f t="shared" si="154"/>
        <v>2.0968955999999981</v>
      </c>
    </row>
    <row r="371" spans="7:20" ht="15" x14ac:dyDescent="0.25">
      <c r="G371" s="346" t="s">
        <v>150</v>
      </c>
      <c r="H371" s="347"/>
      <c r="I371" s="347"/>
      <c r="J371" s="347"/>
      <c r="K371" s="347"/>
      <c r="L371" s="347"/>
      <c r="M371" s="347"/>
      <c r="N371" s="347"/>
      <c r="O371" s="347"/>
      <c r="P371" s="347"/>
      <c r="Q371" s="347"/>
      <c r="R371" s="347"/>
      <c r="S371" s="348"/>
      <c r="T371" s="225">
        <f>SUM(T365:T370)</f>
        <v>36.570955680000012</v>
      </c>
    </row>
    <row r="374" spans="7:20" ht="13" thickBot="1" x14ac:dyDescent="0.3"/>
    <row r="375" spans="7:20" ht="13" x14ac:dyDescent="0.3">
      <c r="G375" s="295" t="s">
        <v>157</v>
      </c>
      <c r="H375" s="296"/>
      <c r="I375" s="296"/>
      <c r="J375" s="296"/>
      <c r="K375" s="296"/>
      <c r="L375" s="296"/>
      <c r="M375" s="297"/>
    </row>
    <row r="376" spans="7:20" ht="15" x14ac:dyDescent="0.25">
      <c r="G376" s="230" t="s">
        <v>78</v>
      </c>
      <c r="H376" s="218" t="s">
        <v>63</v>
      </c>
      <c r="I376" s="218" t="s">
        <v>64</v>
      </c>
      <c r="J376" s="218" t="s">
        <v>79</v>
      </c>
      <c r="K376" s="218" t="s">
        <v>82</v>
      </c>
      <c r="L376" s="218" t="s">
        <v>57</v>
      </c>
      <c r="M376" s="231" t="s">
        <v>80</v>
      </c>
    </row>
    <row r="377" spans="7:20" x14ac:dyDescent="0.25">
      <c r="G377" s="185" t="s">
        <v>13</v>
      </c>
      <c r="H377" s="177">
        <v>0.55000000000000004</v>
      </c>
      <c r="I377" s="177">
        <v>0.51</v>
      </c>
      <c r="J377" s="244">
        <v>173.5</v>
      </c>
      <c r="K377" s="177">
        <v>1.296</v>
      </c>
      <c r="L377" s="177">
        <f>30*9</f>
        <v>270</v>
      </c>
      <c r="M377" s="222">
        <f t="shared" ref="M377" si="155">(H377*I377*J377*K377*L377)/1000</f>
        <v>17.029469160000005</v>
      </c>
    </row>
    <row r="378" spans="7:20" x14ac:dyDescent="0.25">
      <c r="G378" s="185" t="s">
        <v>24</v>
      </c>
      <c r="H378" s="177">
        <v>0.55000000000000004</v>
      </c>
      <c r="I378" s="177">
        <v>0.51</v>
      </c>
      <c r="J378" s="244">
        <v>141.94999999999999</v>
      </c>
      <c r="K378" s="177">
        <v>1.296</v>
      </c>
      <c r="L378" s="177">
        <f>31*9</f>
        <v>279</v>
      </c>
      <c r="M378" s="222">
        <f t="shared" ref="M378:M381" si="156">(H378*I378*J378*K378*L378)/1000</f>
        <v>14.397181088399998</v>
      </c>
    </row>
    <row r="379" spans="7:20" x14ac:dyDescent="0.25">
      <c r="G379" s="185" t="s">
        <v>19</v>
      </c>
      <c r="H379" s="177">
        <v>0.55000000000000004</v>
      </c>
      <c r="I379" s="177">
        <v>0.51</v>
      </c>
      <c r="J379" s="244">
        <v>119.87</v>
      </c>
      <c r="K379" s="177">
        <v>1.296</v>
      </c>
      <c r="L379" s="177">
        <f>31*9</f>
        <v>279</v>
      </c>
      <c r="M379" s="222">
        <f t="shared" si="156"/>
        <v>12.157732279440003</v>
      </c>
    </row>
    <row r="380" spans="7:20" x14ac:dyDescent="0.25">
      <c r="G380" s="185" t="s">
        <v>20</v>
      </c>
      <c r="H380" s="177">
        <v>0.55000000000000004</v>
      </c>
      <c r="I380" s="177">
        <v>0.51</v>
      </c>
      <c r="J380" s="244">
        <v>110.41</v>
      </c>
      <c r="K380" s="177">
        <v>1.296</v>
      </c>
      <c r="L380" s="177">
        <f>30*9</f>
        <v>270</v>
      </c>
      <c r="M380" s="222">
        <f t="shared" si="156"/>
        <v>10.837024149599999</v>
      </c>
    </row>
    <row r="381" spans="7:20" x14ac:dyDescent="0.25">
      <c r="G381" s="185" t="s">
        <v>21</v>
      </c>
      <c r="H381" s="177">
        <v>0.55000000000000004</v>
      </c>
      <c r="I381" s="177">
        <v>0.51</v>
      </c>
      <c r="J381" s="244">
        <v>97.79</v>
      </c>
      <c r="K381" s="177">
        <v>1.296</v>
      </c>
      <c r="L381" s="177">
        <f>31*9</f>
        <v>279</v>
      </c>
      <c r="M381" s="222">
        <f t="shared" si="156"/>
        <v>9.9182834704800023</v>
      </c>
    </row>
    <row r="382" spans="7:20" x14ac:dyDescent="0.25">
      <c r="G382" s="185" t="s">
        <v>22</v>
      </c>
      <c r="H382" s="177">
        <v>0.55000000000000004</v>
      </c>
      <c r="I382" s="177">
        <v>0.51</v>
      </c>
      <c r="J382" s="244">
        <v>85.17</v>
      </c>
      <c r="K382" s="177">
        <v>1.296</v>
      </c>
      <c r="L382" s="177">
        <f>30*9</f>
        <v>270</v>
      </c>
      <c r="M382" s="222">
        <f t="shared" ref="M382" si="157">(H382*I382*J382*K382*L382)/1000</f>
        <v>8.3596535352000014</v>
      </c>
    </row>
    <row r="383" spans="7:20" ht="15.5" thickBot="1" x14ac:dyDescent="0.45">
      <c r="G383" s="364" t="s">
        <v>158</v>
      </c>
      <c r="H383" s="365"/>
      <c r="I383" s="365"/>
      <c r="J383" s="365"/>
      <c r="K383" s="365"/>
      <c r="L383" s="365"/>
      <c r="M383" s="233">
        <f>SUM(M377:M382)</f>
        <v>72.699343683120006</v>
      </c>
    </row>
    <row r="385" spans="7:20" ht="13" thickBot="1" x14ac:dyDescent="0.3"/>
    <row r="386" spans="7:20" ht="13" x14ac:dyDescent="0.3">
      <c r="G386" s="295" t="s">
        <v>151</v>
      </c>
      <c r="H386" s="296"/>
      <c r="I386" s="296"/>
      <c r="J386" s="296"/>
      <c r="K386" s="296"/>
      <c r="L386" s="296"/>
      <c r="M386" s="296"/>
      <c r="N386" s="296"/>
      <c r="O386" s="296"/>
      <c r="P386" s="296"/>
      <c r="Q386" s="296"/>
      <c r="R386" s="296"/>
      <c r="S386" s="297"/>
      <c r="T386" s="234"/>
    </row>
    <row r="387" spans="7:20" ht="15" x14ac:dyDescent="0.25">
      <c r="G387" s="230" t="s">
        <v>0</v>
      </c>
      <c r="H387" s="218" t="s">
        <v>84</v>
      </c>
      <c r="I387" s="218" t="s">
        <v>95</v>
      </c>
      <c r="J387" s="218" t="s">
        <v>96</v>
      </c>
      <c r="K387" s="218" t="s">
        <v>97</v>
      </c>
      <c r="L387" s="218" t="s">
        <v>98</v>
      </c>
      <c r="M387" s="218" t="s">
        <v>99</v>
      </c>
      <c r="N387" s="218" t="s">
        <v>100</v>
      </c>
      <c r="O387" s="218" t="s">
        <v>101</v>
      </c>
      <c r="P387" s="218" t="s">
        <v>85</v>
      </c>
      <c r="Q387" s="218" t="s">
        <v>102</v>
      </c>
      <c r="R387" s="218" t="s">
        <v>86</v>
      </c>
      <c r="S387" s="231" t="s">
        <v>103</v>
      </c>
    </row>
    <row r="388" spans="7:20" ht="14" x14ac:dyDescent="0.25">
      <c r="G388" s="185" t="s">
        <v>13</v>
      </c>
      <c r="H388" s="177">
        <v>0.6</v>
      </c>
      <c r="I388" s="177">
        <v>38.880000000000003</v>
      </c>
      <c r="J388" s="177">
        <v>1.0049999999999999</v>
      </c>
      <c r="K388" s="177">
        <v>1.2929999999999999</v>
      </c>
      <c r="L388" s="223">
        <v>41.9</v>
      </c>
      <c r="M388" s="177">
        <v>18</v>
      </c>
      <c r="N388" s="177">
        <f t="shared" ref="N388:N393" si="158">L388-M388</f>
        <v>23.9</v>
      </c>
      <c r="O388" s="190">
        <f t="shared" ref="O388:O393" si="159">H388*I388*J388*K388*N388</f>
        <v>724.50267652799971</v>
      </c>
      <c r="P388" s="177">
        <v>0.27700000000000002</v>
      </c>
      <c r="Q388" s="50">
        <f t="shared" ref="Q388:Q393" si="160">O388*P388</f>
        <v>200.68724139825594</v>
      </c>
      <c r="R388" s="177">
        <f>30*9</f>
        <v>270</v>
      </c>
      <c r="S388" s="222">
        <f t="shared" ref="S388:S393" si="161">(Q388*R388)/1000</f>
        <v>54.185555177529103</v>
      </c>
    </row>
    <row r="389" spans="7:20" ht="14" x14ac:dyDescent="0.25">
      <c r="G389" s="185" t="s">
        <v>24</v>
      </c>
      <c r="H389" s="177">
        <v>0.6</v>
      </c>
      <c r="I389" s="177">
        <v>38.880000000000003</v>
      </c>
      <c r="J389" s="177">
        <v>1.0049999999999999</v>
      </c>
      <c r="K389" s="177">
        <v>1.2929999999999999</v>
      </c>
      <c r="L389" s="223">
        <v>36.9</v>
      </c>
      <c r="M389" s="177">
        <v>18</v>
      </c>
      <c r="N389" s="177">
        <f t="shared" si="158"/>
        <v>18.899999999999999</v>
      </c>
      <c r="O389" s="190">
        <f t="shared" si="159"/>
        <v>572.93307892799976</v>
      </c>
      <c r="P389" s="177">
        <v>0.27700000000000002</v>
      </c>
      <c r="Q389" s="50">
        <f t="shared" si="160"/>
        <v>158.70246286305596</v>
      </c>
      <c r="R389" s="177">
        <f>31*9</f>
        <v>279</v>
      </c>
      <c r="S389" s="222">
        <f t="shared" si="161"/>
        <v>44.277987138792611</v>
      </c>
    </row>
    <row r="390" spans="7:20" ht="14" x14ac:dyDescent="0.25">
      <c r="G390" s="185" t="s">
        <v>19</v>
      </c>
      <c r="H390" s="177">
        <v>0.6</v>
      </c>
      <c r="I390" s="177">
        <v>38.880000000000003</v>
      </c>
      <c r="J390" s="177">
        <v>1.0049999999999999</v>
      </c>
      <c r="K390" s="177">
        <v>1.2929999999999999</v>
      </c>
      <c r="L390" s="223">
        <v>34.1</v>
      </c>
      <c r="M390" s="177">
        <v>18</v>
      </c>
      <c r="N390" s="177">
        <f t="shared" si="158"/>
        <v>16.100000000000001</v>
      </c>
      <c r="O390" s="190">
        <f t="shared" si="159"/>
        <v>488.0541042719999</v>
      </c>
      <c r="P390" s="177">
        <v>0.27700000000000002</v>
      </c>
      <c r="Q390" s="50">
        <f t="shared" si="160"/>
        <v>135.19098688334398</v>
      </c>
      <c r="R390" s="177">
        <f>31*9</f>
        <v>279</v>
      </c>
      <c r="S390" s="222">
        <f t="shared" si="161"/>
        <v>37.718285340452972</v>
      </c>
    </row>
    <row r="391" spans="7:20" ht="14" x14ac:dyDescent="0.25">
      <c r="G391" s="185" t="s">
        <v>20</v>
      </c>
      <c r="H391" s="177">
        <v>0.6</v>
      </c>
      <c r="I391" s="177">
        <v>38.880000000000003</v>
      </c>
      <c r="J391" s="177">
        <v>1.0049999999999999</v>
      </c>
      <c r="K391" s="177">
        <v>1.2929999999999999</v>
      </c>
      <c r="L391" s="223">
        <v>36.1</v>
      </c>
      <c r="M391" s="177">
        <v>18</v>
      </c>
      <c r="N391" s="177">
        <f t="shared" si="158"/>
        <v>18.100000000000001</v>
      </c>
      <c r="O391" s="190">
        <f t="shared" si="159"/>
        <v>548.68194331199993</v>
      </c>
      <c r="P391" s="177">
        <v>0.27700000000000002</v>
      </c>
      <c r="Q391" s="50">
        <f t="shared" si="160"/>
        <v>151.984898297424</v>
      </c>
      <c r="R391" s="177">
        <f>30*9</f>
        <v>270</v>
      </c>
      <c r="S391" s="222">
        <f t="shared" si="161"/>
        <v>41.035922540304476</v>
      </c>
    </row>
    <row r="392" spans="7:20" ht="14" x14ac:dyDescent="0.25">
      <c r="G392" s="185" t="s">
        <v>21</v>
      </c>
      <c r="H392" s="177">
        <v>0.6</v>
      </c>
      <c r="I392" s="177">
        <v>38.880000000000003</v>
      </c>
      <c r="J392" s="177">
        <v>1.0049999999999999</v>
      </c>
      <c r="K392" s="177">
        <v>1.2929999999999999</v>
      </c>
      <c r="L392" s="223">
        <v>37.799999999999997</v>
      </c>
      <c r="M392" s="177">
        <v>18</v>
      </c>
      <c r="N392" s="177">
        <f t="shared" si="158"/>
        <v>19.799999999999997</v>
      </c>
      <c r="O392" s="190">
        <f t="shared" si="159"/>
        <v>600.21560649599974</v>
      </c>
      <c r="P392" s="177">
        <v>0.27700000000000002</v>
      </c>
      <c r="Q392" s="50">
        <f t="shared" si="160"/>
        <v>166.25972299939195</v>
      </c>
      <c r="R392" s="177">
        <f>31*9</f>
        <v>279</v>
      </c>
      <c r="S392" s="222">
        <f t="shared" si="161"/>
        <v>46.386462716830358</v>
      </c>
    </row>
    <row r="393" spans="7:20" ht="14" x14ac:dyDescent="0.25">
      <c r="G393" s="185" t="s">
        <v>22</v>
      </c>
      <c r="H393" s="177">
        <v>0.6</v>
      </c>
      <c r="I393" s="177">
        <v>38.880000000000003</v>
      </c>
      <c r="J393" s="177">
        <v>1.0049999999999999</v>
      </c>
      <c r="K393" s="177">
        <v>1.2929999999999999</v>
      </c>
      <c r="L393" s="223">
        <v>34.799999999999997</v>
      </c>
      <c r="M393" s="177">
        <v>18</v>
      </c>
      <c r="N393" s="177">
        <f t="shared" si="158"/>
        <v>16.799999999999997</v>
      </c>
      <c r="O393" s="190">
        <f t="shared" si="159"/>
        <v>509.27384793599975</v>
      </c>
      <c r="P393" s="177">
        <v>0.27700000000000002</v>
      </c>
      <c r="Q393" s="50">
        <f t="shared" si="160"/>
        <v>141.06885587827193</v>
      </c>
      <c r="R393" s="177">
        <f>30*9</f>
        <v>270</v>
      </c>
      <c r="S393" s="222">
        <f t="shared" si="161"/>
        <v>38.088591087133423</v>
      </c>
    </row>
    <row r="394" spans="7:20" ht="15" x14ac:dyDescent="0.4">
      <c r="G394" s="343" t="s">
        <v>189</v>
      </c>
      <c r="H394" s="344"/>
      <c r="I394" s="344"/>
      <c r="J394" s="344"/>
      <c r="K394" s="344"/>
      <c r="L394" s="344"/>
      <c r="M394" s="344"/>
      <c r="N394" s="344"/>
      <c r="O394" s="344"/>
      <c r="P394" s="344"/>
      <c r="Q394" s="344"/>
      <c r="R394" s="345"/>
      <c r="S394" s="235">
        <f>SUM(S388:S393)</f>
        <v>261.69280400104293</v>
      </c>
    </row>
    <row r="395" spans="7:20" ht="14" x14ac:dyDescent="0.25">
      <c r="G395" s="185" t="s">
        <v>13</v>
      </c>
      <c r="H395" s="177">
        <v>0.6</v>
      </c>
      <c r="I395" s="177">
        <v>38.880000000000003</v>
      </c>
      <c r="J395" s="177">
        <v>1.0049999999999999</v>
      </c>
      <c r="K395" s="177">
        <v>1.2929999999999999</v>
      </c>
      <c r="L395" s="223">
        <v>41.9</v>
      </c>
      <c r="M395" s="177">
        <v>19</v>
      </c>
      <c r="N395" s="177">
        <f t="shared" ref="N395:N400" si="162">L395-M395</f>
        <v>22.9</v>
      </c>
      <c r="O395" s="190">
        <f t="shared" ref="O395:O400" si="163">H395*I395*J395*K395*N395</f>
        <v>694.18875700799981</v>
      </c>
      <c r="P395" s="177">
        <v>0.27700000000000002</v>
      </c>
      <c r="Q395" s="50">
        <f t="shared" ref="Q395:Q400" si="164">O395*P395</f>
        <v>192.29028569121596</v>
      </c>
      <c r="R395" s="177">
        <f>30*9</f>
        <v>270</v>
      </c>
      <c r="S395" s="222">
        <f t="shared" ref="S395:S400" si="165">(Q395*R395)/1000</f>
        <v>51.918377136628308</v>
      </c>
    </row>
    <row r="396" spans="7:20" ht="14" x14ac:dyDescent="0.25">
      <c r="G396" s="185" t="s">
        <v>24</v>
      </c>
      <c r="H396" s="177">
        <v>0.6</v>
      </c>
      <c r="I396" s="177">
        <v>38.880000000000003</v>
      </c>
      <c r="J396" s="177">
        <v>1.0049999999999999</v>
      </c>
      <c r="K396" s="177">
        <v>1.2929999999999999</v>
      </c>
      <c r="L396" s="223">
        <v>36.9</v>
      </c>
      <c r="M396" s="177">
        <v>19</v>
      </c>
      <c r="N396" s="177">
        <f t="shared" si="162"/>
        <v>17.899999999999999</v>
      </c>
      <c r="O396" s="190">
        <f t="shared" si="163"/>
        <v>542.61915940799986</v>
      </c>
      <c r="P396" s="177">
        <v>0.27700000000000002</v>
      </c>
      <c r="Q396" s="50">
        <f t="shared" si="164"/>
        <v>150.30550715601598</v>
      </c>
      <c r="R396" s="177">
        <f>31*9</f>
        <v>279</v>
      </c>
      <c r="S396" s="222">
        <f t="shared" si="165"/>
        <v>41.935236496528461</v>
      </c>
    </row>
    <row r="397" spans="7:20" ht="14" x14ac:dyDescent="0.25">
      <c r="G397" s="185" t="s">
        <v>19</v>
      </c>
      <c r="H397" s="177">
        <v>0.6</v>
      </c>
      <c r="I397" s="177">
        <v>38.880000000000003</v>
      </c>
      <c r="J397" s="177">
        <v>1.0049999999999999</v>
      </c>
      <c r="K397" s="177">
        <v>1.2929999999999999</v>
      </c>
      <c r="L397" s="223">
        <v>34.1</v>
      </c>
      <c r="M397" s="177">
        <v>19</v>
      </c>
      <c r="N397" s="177">
        <f t="shared" si="162"/>
        <v>15.100000000000001</v>
      </c>
      <c r="O397" s="190">
        <f t="shared" si="163"/>
        <v>457.74018475199989</v>
      </c>
      <c r="P397" s="177">
        <v>0.27700000000000002</v>
      </c>
      <c r="Q397" s="50">
        <f t="shared" si="164"/>
        <v>126.79403117630397</v>
      </c>
      <c r="R397" s="177">
        <f>31*9</f>
        <v>279</v>
      </c>
      <c r="S397" s="222">
        <f t="shared" si="165"/>
        <v>35.375534698188808</v>
      </c>
    </row>
    <row r="398" spans="7:20" ht="14" x14ac:dyDescent="0.25">
      <c r="G398" s="185" t="s">
        <v>20</v>
      </c>
      <c r="H398" s="177">
        <v>0.6</v>
      </c>
      <c r="I398" s="177">
        <v>38.880000000000003</v>
      </c>
      <c r="J398" s="177">
        <v>1.0049999999999999</v>
      </c>
      <c r="K398" s="177">
        <v>1.2929999999999999</v>
      </c>
      <c r="L398" s="223">
        <v>36.1</v>
      </c>
      <c r="M398" s="177">
        <v>19</v>
      </c>
      <c r="N398" s="177">
        <f t="shared" si="162"/>
        <v>17.100000000000001</v>
      </c>
      <c r="O398" s="190">
        <f t="shared" si="163"/>
        <v>518.36802379199992</v>
      </c>
      <c r="P398" s="177">
        <v>0.27700000000000002</v>
      </c>
      <c r="Q398" s="50">
        <f t="shared" si="164"/>
        <v>143.58794259038399</v>
      </c>
      <c r="R398" s="177">
        <f>30*9</f>
        <v>270</v>
      </c>
      <c r="S398" s="222">
        <f t="shared" si="165"/>
        <v>38.768744499403681</v>
      </c>
    </row>
    <row r="399" spans="7:20" ht="14" x14ac:dyDescent="0.25">
      <c r="G399" s="185" t="s">
        <v>21</v>
      </c>
      <c r="H399" s="177">
        <v>0.6</v>
      </c>
      <c r="I399" s="177">
        <v>38.880000000000003</v>
      </c>
      <c r="J399" s="177">
        <v>1.0049999999999999</v>
      </c>
      <c r="K399" s="177">
        <v>1.2929999999999999</v>
      </c>
      <c r="L399" s="223">
        <v>37.799999999999997</v>
      </c>
      <c r="M399" s="177">
        <v>19</v>
      </c>
      <c r="N399" s="177">
        <f t="shared" si="162"/>
        <v>18.799999999999997</v>
      </c>
      <c r="O399" s="190">
        <f t="shared" si="163"/>
        <v>569.90168697599972</v>
      </c>
      <c r="P399" s="177">
        <v>0.27700000000000002</v>
      </c>
      <c r="Q399" s="50">
        <f t="shared" si="164"/>
        <v>157.86276729235195</v>
      </c>
      <c r="R399" s="177">
        <f>31*9</f>
        <v>279</v>
      </c>
      <c r="S399" s="222">
        <f t="shared" si="165"/>
        <v>44.043712074566194</v>
      </c>
    </row>
    <row r="400" spans="7:20" ht="14" x14ac:dyDescent="0.25">
      <c r="G400" s="185" t="s">
        <v>22</v>
      </c>
      <c r="H400" s="177">
        <v>0.6</v>
      </c>
      <c r="I400" s="177">
        <v>38.880000000000003</v>
      </c>
      <c r="J400" s="177">
        <v>1.0049999999999999</v>
      </c>
      <c r="K400" s="177">
        <v>1.2929999999999999</v>
      </c>
      <c r="L400" s="223">
        <v>34.799999999999997</v>
      </c>
      <c r="M400" s="177">
        <v>19</v>
      </c>
      <c r="N400" s="177">
        <f t="shared" si="162"/>
        <v>15.799999999999997</v>
      </c>
      <c r="O400" s="190">
        <f t="shared" si="163"/>
        <v>478.9599284159998</v>
      </c>
      <c r="P400" s="177">
        <v>0.27700000000000002</v>
      </c>
      <c r="Q400" s="50">
        <f t="shared" si="164"/>
        <v>132.67190017123195</v>
      </c>
      <c r="R400" s="177">
        <f>30*9</f>
        <v>270</v>
      </c>
      <c r="S400" s="222">
        <f t="shared" si="165"/>
        <v>35.821413046232628</v>
      </c>
    </row>
    <row r="401" spans="7:19" ht="15" x14ac:dyDescent="0.4">
      <c r="G401" s="343" t="s">
        <v>192</v>
      </c>
      <c r="H401" s="344"/>
      <c r="I401" s="344"/>
      <c r="J401" s="344"/>
      <c r="K401" s="344"/>
      <c r="L401" s="344"/>
      <c r="M401" s="344"/>
      <c r="N401" s="344"/>
      <c r="O401" s="344"/>
      <c r="P401" s="344"/>
      <c r="Q401" s="344"/>
      <c r="R401" s="345"/>
      <c r="S401" s="235">
        <f>SUM(S395:S400)</f>
        <v>247.8630179515481</v>
      </c>
    </row>
    <row r="402" spans="7:19" ht="14" x14ac:dyDescent="0.25">
      <c r="G402" s="185" t="s">
        <v>13</v>
      </c>
      <c r="H402" s="177">
        <v>0.6</v>
      </c>
      <c r="I402" s="177">
        <v>38.880000000000003</v>
      </c>
      <c r="J402" s="177">
        <v>1.0049999999999999</v>
      </c>
      <c r="K402" s="177">
        <v>1.2929999999999999</v>
      </c>
      <c r="L402" s="223">
        <v>41.9</v>
      </c>
      <c r="M402" s="177">
        <v>20</v>
      </c>
      <c r="N402" s="177">
        <f t="shared" ref="N402:N407" si="166">L402-M402</f>
        <v>21.9</v>
      </c>
      <c r="O402" s="190">
        <f t="shared" ref="O402:O407" si="167">H402*I402*J402*K402*N402</f>
        <v>663.8748374879998</v>
      </c>
      <c r="P402" s="177">
        <v>0.27700000000000002</v>
      </c>
      <c r="Q402" s="50">
        <f t="shared" ref="Q402:Q407" si="168">O402*P402</f>
        <v>183.89332998417595</v>
      </c>
      <c r="R402" s="177">
        <f>30*9</f>
        <v>270</v>
      </c>
      <c r="S402" s="222">
        <f t="shared" ref="S402:S407" si="169">(Q402*R402)/1000</f>
        <v>49.651199095727506</v>
      </c>
    </row>
    <row r="403" spans="7:19" ht="14" x14ac:dyDescent="0.25">
      <c r="G403" s="185" t="s">
        <v>24</v>
      </c>
      <c r="H403" s="177">
        <v>0.6</v>
      </c>
      <c r="I403" s="177">
        <v>38.880000000000003</v>
      </c>
      <c r="J403" s="177">
        <v>1.0049999999999999</v>
      </c>
      <c r="K403" s="177">
        <v>1.2929999999999999</v>
      </c>
      <c r="L403" s="223">
        <v>36.9</v>
      </c>
      <c r="M403" s="177">
        <v>20</v>
      </c>
      <c r="N403" s="177">
        <f t="shared" si="166"/>
        <v>16.899999999999999</v>
      </c>
      <c r="O403" s="190">
        <f t="shared" si="167"/>
        <v>512.30523988799985</v>
      </c>
      <c r="P403" s="177">
        <v>0.27700000000000002</v>
      </c>
      <c r="Q403" s="50">
        <f t="shared" si="168"/>
        <v>141.90855144897597</v>
      </c>
      <c r="R403" s="177">
        <f>31*9</f>
        <v>279</v>
      </c>
      <c r="S403" s="222">
        <f t="shared" si="169"/>
        <v>39.592485854264297</v>
      </c>
    </row>
    <row r="404" spans="7:19" ht="14" x14ac:dyDescent="0.25">
      <c r="G404" s="185" t="s">
        <v>19</v>
      </c>
      <c r="H404" s="177">
        <v>0.6</v>
      </c>
      <c r="I404" s="177">
        <v>38.880000000000003</v>
      </c>
      <c r="J404" s="177">
        <v>1.0049999999999999</v>
      </c>
      <c r="K404" s="177">
        <v>1.2929999999999999</v>
      </c>
      <c r="L404" s="223">
        <v>34.1</v>
      </c>
      <c r="M404" s="177">
        <v>20</v>
      </c>
      <c r="N404" s="177">
        <f t="shared" si="166"/>
        <v>14.100000000000001</v>
      </c>
      <c r="O404" s="190">
        <f t="shared" si="167"/>
        <v>427.42626523199993</v>
      </c>
      <c r="P404" s="177">
        <v>0.27700000000000002</v>
      </c>
      <c r="Q404" s="50">
        <f t="shared" si="168"/>
        <v>118.397075469264</v>
      </c>
      <c r="R404" s="177">
        <f>31*9</f>
        <v>279</v>
      </c>
      <c r="S404" s="222">
        <f t="shared" si="169"/>
        <v>33.032784055924651</v>
      </c>
    </row>
    <row r="405" spans="7:19" ht="14" x14ac:dyDescent="0.25">
      <c r="G405" s="185" t="s">
        <v>20</v>
      </c>
      <c r="H405" s="177">
        <v>0.6</v>
      </c>
      <c r="I405" s="177">
        <v>38.880000000000003</v>
      </c>
      <c r="J405" s="177">
        <v>1.0049999999999999</v>
      </c>
      <c r="K405" s="177">
        <v>1.2929999999999999</v>
      </c>
      <c r="L405" s="223">
        <v>36.1</v>
      </c>
      <c r="M405" s="177">
        <v>20</v>
      </c>
      <c r="N405" s="177">
        <f t="shared" si="166"/>
        <v>16.100000000000001</v>
      </c>
      <c r="O405" s="190">
        <f t="shared" si="167"/>
        <v>488.0541042719999</v>
      </c>
      <c r="P405" s="177">
        <v>0.27700000000000002</v>
      </c>
      <c r="Q405" s="50">
        <f t="shared" si="168"/>
        <v>135.19098688334398</v>
      </c>
      <c r="R405" s="177">
        <f>30*9</f>
        <v>270</v>
      </c>
      <c r="S405" s="222">
        <f t="shared" si="169"/>
        <v>36.501566458502872</v>
      </c>
    </row>
    <row r="406" spans="7:19" ht="14" x14ac:dyDescent="0.25">
      <c r="G406" s="185" t="s">
        <v>21</v>
      </c>
      <c r="H406" s="177">
        <v>0.6</v>
      </c>
      <c r="I406" s="177">
        <v>38.880000000000003</v>
      </c>
      <c r="J406" s="177">
        <v>1.0049999999999999</v>
      </c>
      <c r="K406" s="177">
        <v>1.2929999999999999</v>
      </c>
      <c r="L406" s="223">
        <v>37.799999999999997</v>
      </c>
      <c r="M406" s="177">
        <v>20</v>
      </c>
      <c r="N406" s="177">
        <f t="shared" si="166"/>
        <v>17.799999999999997</v>
      </c>
      <c r="O406" s="190">
        <f t="shared" si="167"/>
        <v>539.58776745599982</v>
      </c>
      <c r="P406" s="177">
        <v>0.27700000000000002</v>
      </c>
      <c r="Q406" s="50">
        <f t="shared" si="168"/>
        <v>149.46581158531197</v>
      </c>
      <c r="R406" s="177">
        <f>31*9</f>
        <v>279</v>
      </c>
      <c r="S406" s="222">
        <f t="shared" si="169"/>
        <v>41.700961432302037</v>
      </c>
    </row>
    <row r="407" spans="7:19" ht="14" x14ac:dyDescent="0.25">
      <c r="G407" s="185" t="s">
        <v>22</v>
      </c>
      <c r="H407" s="177">
        <v>0.6</v>
      </c>
      <c r="I407" s="177">
        <v>38.880000000000003</v>
      </c>
      <c r="J407" s="177">
        <v>1.0049999999999999</v>
      </c>
      <c r="K407" s="177">
        <v>1.2929999999999999</v>
      </c>
      <c r="L407" s="223">
        <v>34.799999999999997</v>
      </c>
      <c r="M407" s="177">
        <v>20</v>
      </c>
      <c r="N407" s="177">
        <f t="shared" si="166"/>
        <v>14.799999999999997</v>
      </c>
      <c r="O407" s="190">
        <f t="shared" si="167"/>
        <v>448.64600889599978</v>
      </c>
      <c r="P407" s="177">
        <v>0.27700000000000002</v>
      </c>
      <c r="Q407" s="50">
        <f t="shared" si="168"/>
        <v>124.27494446419195</v>
      </c>
      <c r="R407" s="177">
        <f>30*9</f>
        <v>270</v>
      </c>
      <c r="S407" s="222">
        <f t="shared" si="169"/>
        <v>33.554235005331819</v>
      </c>
    </row>
    <row r="408" spans="7:19" ht="15" x14ac:dyDescent="0.4">
      <c r="G408" s="343" t="s">
        <v>177</v>
      </c>
      <c r="H408" s="344"/>
      <c r="I408" s="344"/>
      <c r="J408" s="344"/>
      <c r="K408" s="344"/>
      <c r="L408" s="344"/>
      <c r="M408" s="344"/>
      <c r="N408" s="344"/>
      <c r="O408" s="344"/>
      <c r="P408" s="344"/>
      <c r="Q408" s="344"/>
      <c r="R408" s="345"/>
      <c r="S408" s="235">
        <f>SUM(S402:S407)</f>
        <v>234.03323190205316</v>
      </c>
    </row>
    <row r="409" spans="7:19" ht="14" x14ac:dyDescent="0.25">
      <c r="G409" s="185" t="s">
        <v>13</v>
      </c>
      <c r="H409" s="177">
        <v>0.6</v>
      </c>
      <c r="I409" s="177">
        <v>38.880000000000003</v>
      </c>
      <c r="J409" s="177">
        <v>1.0049999999999999</v>
      </c>
      <c r="K409" s="177">
        <v>1.2929999999999999</v>
      </c>
      <c r="L409" s="223">
        <v>41.9</v>
      </c>
      <c r="M409" s="177">
        <v>21</v>
      </c>
      <c r="N409" s="177">
        <f t="shared" ref="N409:N414" si="170">L409-M409</f>
        <v>20.9</v>
      </c>
      <c r="O409" s="190">
        <f t="shared" ref="O409:O414" si="171">H409*I409*J409*K409*N409</f>
        <v>633.56091796799979</v>
      </c>
      <c r="P409" s="177">
        <v>0.27700000000000002</v>
      </c>
      <c r="Q409" s="50">
        <f t="shared" ref="Q409:Q414" si="172">O409*P409</f>
        <v>175.49637427713594</v>
      </c>
      <c r="R409" s="177">
        <f>30*9</f>
        <v>270</v>
      </c>
      <c r="S409" s="222">
        <f t="shared" ref="S409:S414" si="173">(Q409*R409)/1000</f>
        <v>47.384021054826704</v>
      </c>
    </row>
    <row r="410" spans="7:19" ht="14" x14ac:dyDescent="0.25">
      <c r="G410" s="185" t="s">
        <v>24</v>
      </c>
      <c r="H410" s="177">
        <v>0.6</v>
      </c>
      <c r="I410" s="177">
        <v>38.880000000000003</v>
      </c>
      <c r="J410" s="177">
        <v>1.0049999999999999</v>
      </c>
      <c r="K410" s="177">
        <v>1.2929999999999999</v>
      </c>
      <c r="L410" s="223">
        <v>36.9</v>
      </c>
      <c r="M410" s="177">
        <v>21</v>
      </c>
      <c r="N410" s="177">
        <f t="shared" si="170"/>
        <v>15.899999999999999</v>
      </c>
      <c r="O410" s="190">
        <f t="shared" si="171"/>
        <v>481.99132036799983</v>
      </c>
      <c r="P410" s="177">
        <v>0.27700000000000002</v>
      </c>
      <c r="Q410" s="50">
        <f t="shared" si="172"/>
        <v>133.51159574193596</v>
      </c>
      <c r="R410" s="177">
        <f>31*9</f>
        <v>279</v>
      </c>
      <c r="S410" s="222">
        <f t="shared" si="173"/>
        <v>37.249735212000132</v>
      </c>
    </row>
    <row r="411" spans="7:19" ht="14" x14ac:dyDescent="0.25">
      <c r="G411" s="185" t="s">
        <v>19</v>
      </c>
      <c r="H411" s="177">
        <v>0.6</v>
      </c>
      <c r="I411" s="177">
        <v>38.880000000000003</v>
      </c>
      <c r="J411" s="177">
        <v>1.0049999999999999</v>
      </c>
      <c r="K411" s="177">
        <v>1.2929999999999999</v>
      </c>
      <c r="L411" s="223">
        <v>34.1</v>
      </c>
      <c r="M411" s="177">
        <v>21</v>
      </c>
      <c r="N411" s="177">
        <f t="shared" si="170"/>
        <v>13.100000000000001</v>
      </c>
      <c r="O411" s="190">
        <f t="shared" si="171"/>
        <v>397.11234571199992</v>
      </c>
      <c r="P411" s="177">
        <v>0.27700000000000002</v>
      </c>
      <c r="Q411" s="50">
        <f t="shared" si="172"/>
        <v>110.00011976222399</v>
      </c>
      <c r="R411" s="177">
        <f>31*9</f>
        <v>279</v>
      </c>
      <c r="S411" s="222">
        <f t="shared" si="173"/>
        <v>30.690033413660494</v>
      </c>
    </row>
    <row r="412" spans="7:19" ht="14" x14ac:dyDescent="0.25">
      <c r="G412" s="185" t="s">
        <v>20</v>
      </c>
      <c r="H412" s="177">
        <v>0.6</v>
      </c>
      <c r="I412" s="177">
        <v>38.880000000000003</v>
      </c>
      <c r="J412" s="177">
        <v>1.0049999999999999</v>
      </c>
      <c r="K412" s="177">
        <v>1.2929999999999999</v>
      </c>
      <c r="L412" s="223">
        <v>36.1</v>
      </c>
      <c r="M412" s="177">
        <v>21</v>
      </c>
      <c r="N412" s="177">
        <f t="shared" si="170"/>
        <v>15.100000000000001</v>
      </c>
      <c r="O412" s="190">
        <f t="shared" si="171"/>
        <v>457.74018475199989</v>
      </c>
      <c r="P412" s="177">
        <v>0.27700000000000002</v>
      </c>
      <c r="Q412" s="50">
        <f t="shared" si="172"/>
        <v>126.79403117630397</v>
      </c>
      <c r="R412" s="177">
        <f>30*9</f>
        <v>270</v>
      </c>
      <c r="S412" s="222">
        <f t="shared" si="173"/>
        <v>34.234388417602069</v>
      </c>
    </row>
    <row r="413" spans="7:19" ht="14" x14ac:dyDescent="0.25">
      <c r="G413" s="185" t="s">
        <v>21</v>
      </c>
      <c r="H413" s="177">
        <v>0.6</v>
      </c>
      <c r="I413" s="177">
        <v>38.880000000000003</v>
      </c>
      <c r="J413" s="177">
        <v>1.0049999999999999</v>
      </c>
      <c r="K413" s="177">
        <v>1.2929999999999999</v>
      </c>
      <c r="L413" s="223">
        <v>37.799999999999997</v>
      </c>
      <c r="M413" s="177">
        <v>21</v>
      </c>
      <c r="N413" s="177">
        <f t="shared" si="170"/>
        <v>16.799999999999997</v>
      </c>
      <c r="O413" s="190">
        <f t="shared" si="171"/>
        <v>509.27384793599975</v>
      </c>
      <c r="P413" s="177">
        <v>0.27700000000000002</v>
      </c>
      <c r="Q413" s="50">
        <f t="shared" si="172"/>
        <v>141.06885587827193</v>
      </c>
      <c r="R413" s="177">
        <f>31*9</f>
        <v>279</v>
      </c>
      <c r="S413" s="222">
        <f t="shared" si="173"/>
        <v>39.358210790037866</v>
      </c>
    </row>
    <row r="414" spans="7:19" ht="14" x14ac:dyDescent="0.25">
      <c r="G414" s="185" t="s">
        <v>22</v>
      </c>
      <c r="H414" s="177">
        <v>0.6</v>
      </c>
      <c r="I414" s="177">
        <v>38.880000000000003</v>
      </c>
      <c r="J414" s="177">
        <v>1.0049999999999999</v>
      </c>
      <c r="K414" s="177">
        <v>1.2929999999999999</v>
      </c>
      <c r="L414" s="223">
        <v>34.799999999999997</v>
      </c>
      <c r="M414" s="177">
        <v>21</v>
      </c>
      <c r="N414" s="177">
        <f t="shared" si="170"/>
        <v>13.799999999999997</v>
      </c>
      <c r="O414" s="190">
        <f t="shared" si="171"/>
        <v>418.33208937599983</v>
      </c>
      <c r="P414" s="177">
        <v>0.27700000000000002</v>
      </c>
      <c r="Q414" s="50">
        <f t="shared" si="172"/>
        <v>115.87798875715197</v>
      </c>
      <c r="R414" s="177">
        <f>30*9</f>
        <v>270</v>
      </c>
      <c r="S414" s="222">
        <f t="shared" si="173"/>
        <v>31.287056964431031</v>
      </c>
    </row>
    <row r="415" spans="7:19" ht="15" x14ac:dyDescent="0.4">
      <c r="G415" s="343" t="s">
        <v>178</v>
      </c>
      <c r="H415" s="344"/>
      <c r="I415" s="344"/>
      <c r="J415" s="344"/>
      <c r="K415" s="344"/>
      <c r="L415" s="344"/>
      <c r="M415" s="344"/>
      <c r="N415" s="344"/>
      <c r="O415" s="344"/>
      <c r="P415" s="344"/>
      <c r="Q415" s="344"/>
      <c r="R415" s="345"/>
      <c r="S415" s="235">
        <f>SUM(S409:S414)</f>
        <v>220.2034458525583</v>
      </c>
    </row>
    <row r="416" spans="7:19" ht="14" x14ac:dyDescent="0.25">
      <c r="G416" s="185" t="s">
        <v>13</v>
      </c>
      <c r="H416" s="177">
        <v>0.6</v>
      </c>
      <c r="I416" s="177">
        <v>38.880000000000003</v>
      </c>
      <c r="J416" s="177">
        <v>1.0049999999999999</v>
      </c>
      <c r="K416" s="177">
        <v>1.2929999999999999</v>
      </c>
      <c r="L416" s="223">
        <v>41.9</v>
      </c>
      <c r="M416" s="177">
        <v>22</v>
      </c>
      <c r="N416" s="177">
        <f t="shared" ref="N416" si="174">L416-M416</f>
        <v>19.899999999999999</v>
      </c>
      <c r="O416" s="190">
        <f t="shared" ref="O416" si="175">H416*I416*J416*K416*N416</f>
        <v>603.24699844799977</v>
      </c>
      <c r="P416" s="177">
        <v>0.27700000000000002</v>
      </c>
      <c r="Q416" s="50">
        <f t="shared" ref="Q416:Q421" si="176">O416*P416</f>
        <v>167.09941857009596</v>
      </c>
      <c r="R416" s="177">
        <f>30*9</f>
        <v>270</v>
      </c>
      <c r="S416" s="222">
        <f t="shared" ref="S416" si="177">(Q416*R416)/1000</f>
        <v>45.116843013925909</v>
      </c>
    </row>
    <row r="417" spans="7:19" ht="14" x14ac:dyDescent="0.25">
      <c r="G417" s="185" t="s">
        <v>24</v>
      </c>
      <c r="H417" s="177">
        <v>0.6</v>
      </c>
      <c r="I417" s="177">
        <v>38.880000000000003</v>
      </c>
      <c r="J417" s="177">
        <v>1.0049999999999999</v>
      </c>
      <c r="K417" s="177">
        <v>1.2929999999999999</v>
      </c>
      <c r="L417" s="223">
        <v>36.9</v>
      </c>
      <c r="M417" s="177">
        <v>22</v>
      </c>
      <c r="N417" s="177">
        <f t="shared" ref="N417:N420" si="178">L417-M417</f>
        <v>14.899999999999999</v>
      </c>
      <c r="O417" s="190">
        <f t="shared" ref="O417:O420" si="179">H417*I417*J417*K417*N417</f>
        <v>451.67740084799982</v>
      </c>
      <c r="P417" s="177">
        <v>0.27700000000000002</v>
      </c>
      <c r="Q417" s="50">
        <f t="shared" si="176"/>
        <v>125.11464003489596</v>
      </c>
      <c r="R417" s="177">
        <f>31*9</f>
        <v>279</v>
      </c>
      <c r="S417" s="222">
        <f t="shared" ref="S417:S420" si="180">(Q417*R417)/1000</f>
        <v>34.906984569735968</v>
      </c>
    </row>
    <row r="418" spans="7:19" ht="14" x14ac:dyDescent="0.25">
      <c r="G418" s="185" t="s">
        <v>19</v>
      </c>
      <c r="H418" s="177">
        <v>0.6</v>
      </c>
      <c r="I418" s="177">
        <v>38.880000000000003</v>
      </c>
      <c r="J418" s="177">
        <v>1.0049999999999999</v>
      </c>
      <c r="K418" s="177">
        <v>1.2929999999999999</v>
      </c>
      <c r="L418" s="223">
        <v>34.1</v>
      </c>
      <c r="M418" s="177">
        <v>22</v>
      </c>
      <c r="N418" s="177">
        <f t="shared" si="178"/>
        <v>12.100000000000001</v>
      </c>
      <c r="O418" s="190">
        <f t="shared" si="179"/>
        <v>366.79842619199997</v>
      </c>
      <c r="P418" s="177">
        <v>0.27700000000000002</v>
      </c>
      <c r="Q418" s="50">
        <f t="shared" si="176"/>
        <v>101.603164055184</v>
      </c>
      <c r="R418" s="177">
        <f>31*9</f>
        <v>279</v>
      </c>
      <c r="S418" s="222">
        <f t="shared" si="180"/>
        <v>28.347282771396333</v>
      </c>
    </row>
    <row r="419" spans="7:19" ht="14" x14ac:dyDescent="0.25">
      <c r="G419" s="185" t="s">
        <v>20</v>
      </c>
      <c r="H419" s="177">
        <v>0.6</v>
      </c>
      <c r="I419" s="177">
        <v>38.880000000000003</v>
      </c>
      <c r="J419" s="177">
        <v>1.0049999999999999</v>
      </c>
      <c r="K419" s="177">
        <v>1.2929999999999999</v>
      </c>
      <c r="L419" s="223">
        <v>36.1</v>
      </c>
      <c r="M419" s="177">
        <v>22</v>
      </c>
      <c r="N419" s="177">
        <f t="shared" si="178"/>
        <v>14.100000000000001</v>
      </c>
      <c r="O419" s="190">
        <f t="shared" si="179"/>
        <v>427.42626523199993</v>
      </c>
      <c r="P419" s="177">
        <v>0.27700000000000002</v>
      </c>
      <c r="Q419" s="50">
        <f t="shared" si="176"/>
        <v>118.397075469264</v>
      </c>
      <c r="R419" s="177">
        <f>30*9</f>
        <v>270</v>
      </c>
      <c r="S419" s="222">
        <f t="shared" si="180"/>
        <v>31.967210376701278</v>
      </c>
    </row>
    <row r="420" spans="7:19" ht="14" x14ac:dyDescent="0.25">
      <c r="G420" s="185" t="s">
        <v>21</v>
      </c>
      <c r="H420" s="177">
        <v>0.6</v>
      </c>
      <c r="I420" s="177">
        <v>38.880000000000003</v>
      </c>
      <c r="J420" s="177">
        <v>1.0049999999999999</v>
      </c>
      <c r="K420" s="177">
        <v>1.2929999999999999</v>
      </c>
      <c r="L420" s="223">
        <v>37.799999999999997</v>
      </c>
      <c r="M420" s="177">
        <v>22</v>
      </c>
      <c r="N420" s="177">
        <f t="shared" si="178"/>
        <v>15.799999999999997</v>
      </c>
      <c r="O420" s="190">
        <f t="shared" si="179"/>
        <v>478.9599284159998</v>
      </c>
      <c r="P420" s="177">
        <v>0.27700000000000002</v>
      </c>
      <c r="Q420" s="50">
        <f t="shared" si="176"/>
        <v>132.67190017123195</v>
      </c>
      <c r="R420" s="177">
        <f>31*9</f>
        <v>279</v>
      </c>
      <c r="S420" s="222">
        <f t="shared" si="180"/>
        <v>37.015460147773716</v>
      </c>
    </row>
    <row r="421" spans="7:19" ht="14" x14ac:dyDescent="0.25">
      <c r="G421" s="185" t="s">
        <v>22</v>
      </c>
      <c r="H421" s="177">
        <v>0.6</v>
      </c>
      <c r="I421" s="177">
        <v>38.880000000000003</v>
      </c>
      <c r="J421" s="177">
        <v>1.0049999999999999</v>
      </c>
      <c r="K421" s="177">
        <v>1.2929999999999999</v>
      </c>
      <c r="L421" s="223">
        <v>34.799999999999997</v>
      </c>
      <c r="M421" s="177">
        <v>22</v>
      </c>
      <c r="N421" s="177">
        <f t="shared" ref="N421" si="181">L421-M421</f>
        <v>12.799999999999997</v>
      </c>
      <c r="O421" s="190">
        <f t="shared" ref="O421" si="182">H421*I421*J421*K421*N421</f>
        <v>388.01816985599982</v>
      </c>
      <c r="P421" s="177">
        <v>0.27700000000000002</v>
      </c>
      <c r="Q421" s="50">
        <f t="shared" si="176"/>
        <v>107.48103305011196</v>
      </c>
      <c r="R421" s="177">
        <f>30*9</f>
        <v>270</v>
      </c>
      <c r="S421" s="222">
        <f t="shared" ref="S421" si="183">(Q421*R421)/1000</f>
        <v>29.019878923530229</v>
      </c>
    </row>
    <row r="422" spans="7:19" ht="15" x14ac:dyDescent="0.4">
      <c r="G422" s="343" t="s">
        <v>133</v>
      </c>
      <c r="H422" s="344"/>
      <c r="I422" s="344"/>
      <c r="J422" s="344"/>
      <c r="K422" s="344"/>
      <c r="L422" s="344"/>
      <c r="M422" s="344"/>
      <c r="N422" s="344"/>
      <c r="O422" s="344"/>
      <c r="P422" s="344"/>
      <c r="Q422" s="344"/>
      <c r="R422" s="345"/>
      <c r="S422" s="235">
        <f>SUM(S416:S421)</f>
        <v>206.37365980306345</v>
      </c>
    </row>
    <row r="423" spans="7:19" ht="14" x14ac:dyDescent="0.25">
      <c r="G423" s="185" t="s">
        <v>13</v>
      </c>
      <c r="H423" s="177">
        <v>0.6</v>
      </c>
      <c r="I423" s="177">
        <v>38.880000000000003</v>
      </c>
      <c r="J423" s="177">
        <v>1.0049999999999999</v>
      </c>
      <c r="K423" s="177">
        <v>1.2929999999999999</v>
      </c>
      <c r="L423" s="223">
        <v>41.9</v>
      </c>
      <c r="M423" s="177">
        <v>23</v>
      </c>
      <c r="N423" s="177">
        <f t="shared" ref="N423" si="184">L423-M423</f>
        <v>18.899999999999999</v>
      </c>
      <c r="O423" s="190">
        <f t="shared" ref="O423" si="185">H423*I423*J423*K423*N423</f>
        <v>572.93307892799976</v>
      </c>
      <c r="P423" s="177">
        <v>0.27700000000000002</v>
      </c>
      <c r="Q423" s="50">
        <f t="shared" ref="Q423:Q428" si="186">O423*P423</f>
        <v>158.70246286305596</v>
      </c>
      <c r="R423" s="177">
        <f>30*9</f>
        <v>270</v>
      </c>
      <c r="S423" s="222">
        <f t="shared" ref="S423" si="187">(Q423*R423)/1000</f>
        <v>42.849664973025106</v>
      </c>
    </row>
    <row r="424" spans="7:19" ht="14" x14ac:dyDescent="0.25">
      <c r="G424" s="185" t="s">
        <v>24</v>
      </c>
      <c r="H424" s="177">
        <v>0.6</v>
      </c>
      <c r="I424" s="177">
        <v>38.880000000000003</v>
      </c>
      <c r="J424" s="177">
        <v>1.0049999999999999</v>
      </c>
      <c r="K424" s="177">
        <v>1.2929999999999999</v>
      </c>
      <c r="L424" s="223">
        <v>36.9</v>
      </c>
      <c r="M424" s="177">
        <v>23</v>
      </c>
      <c r="N424" s="177">
        <f t="shared" ref="N424:N428" si="188">L424-M424</f>
        <v>13.899999999999999</v>
      </c>
      <c r="O424" s="190">
        <f t="shared" ref="O424:O428" si="189">H424*I424*J424*K424*N424</f>
        <v>421.36348132799986</v>
      </c>
      <c r="P424" s="177">
        <v>0.27700000000000002</v>
      </c>
      <c r="Q424" s="50">
        <f t="shared" si="186"/>
        <v>116.71768432785598</v>
      </c>
      <c r="R424" s="177">
        <f>31*9</f>
        <v>279</v>
      </c>
      <c r="S424" s="222">
        <f t="shared" ref="S424:S428" si="190">(Q424*R424)/1000</f>
        <v>32.564233927471818</v>
      </c>
    </row>
    <row r="425" spans="7:19" ht="14" x14ac:dyDescent="0.25">
      <c r="G425" s="185" t="s">
        <v>19</v>
      </c>
      <c r="H425" s="177">
        <v>0.6</v>
      </c>
      <c r="I425" s="177">
        <v>38.880000000000003</v>
      </c>
      <c r="J425" s="177">
        <v>1.0049999999999999</v>
      </c>
      <c r="K425" s="177">
        <v>1.2929999999999999</v>
      </c>
      <c r="L425" s="223">
        <v>34.1</v>
      </c>
      <c r="M425" s="177">
        <v>23</v>
      </c>
      <c r="N425" s="177">
        <f t="shared" si="188"/>
        <v>11.100000000000001</v>
      </c>
      <c r="O425" s="190">
        <f t="shared" si="189"/>
        <v>336.48450667199995</v>
      </c>
      <c r="P425" s="177">
        <v>0.27700000000000002</v>
      </c>
      <c r="Q425" s="50">
        <f t="shared" si="186"/>
        <v>93.206208348143988</v>
      </c>
      <c r="R425" s="177">
        <f>31*9</f>
        <v>279</v>
      </c>
      <c r="S425" s="222">
        <f t="shared" si="190"/>
        <v>26.004532129132173</v>
      </c>
    </row>
    <row r="426" spans="7:19" ht="14" x14ac:dyDescent="0.25">
      <c r="G426" s="185" t="s">
        <v>20</v>
      </c>
      <c r="H426" s="177">
        <v>0.6</v>
      </c>
      <c r="I426" s="177">
        <v>38.880000000000003</v>
      </c>
      <c r="J426" s="177">
        <v>1.0049999999999999</v>
      </c>
      <c r="K426" s="177">
        <v>1.2929999999999999</v>
      </c>
      <c r="L426" s="223">
        <v>36.1</v>
      </c>
      <c r="M426" s="177">
        <v>23</v>
      </c>
      <c r="N426" s="177">
        <f t="shared" si="188"/>
        <v>13.100000000000001</v>
      </c>
      <c r="O426" s="190">
        <f t="shared" si="189"/>
        <v>397.11234571199992</v>
      </c>
      <c r="P426" s="177">
        <v>0.27700000000000002</v>
      </c>
      <c r="Q426" s="50">
        <f t="shared" si="186"/>
        <v>110.00011976222399</v>
      </c>
      <c r="R426" s="177">
        <f>30*9</f>
        <v>270</v>
      </c>
      <c r="S426" s="222">
        <f t="shared" si="190"/>
        <v>29.700032335800476</v>
      </c>
    </row>
    <row r="427" spans="7:19" ht="14" x14ac:dyDescent="0.25">
      <c r="G427" s="185" t="s">
        <v>21</v>
      </c>
      <c r="H427" s="177">
        <v>0.6</v>
      </c>
      <c r="I427" s="177">
        <v>38.880000000000003</v>
      </c>
      <c r="J427" s="177">
        <v>1.0049999999999999</v>
      </c>
      <c r="K427" s="177">
        <v>1.2929999999999999</v>
      </c>
      <c r="L427" s="223">
        <v>37.799999999999997</v>
      </c>
      <c r="M427" s="177">
        <v>23</v>
      </c>
      <c r="N427" s="177">
        <f t="shared" si="188"/>
        <v>14.799999999999997</v>
      </c>
      <c r="O427" s="190">
        <f t="shared" si="189"/>
        <v>448.64600889599978</v>
      </c>
      <c r="P427" s="177">
        <v>0.27700000000000002</v>
      </c>
      <c r="Q427" s="50">
        <f t="shared" si="186"/>
        <v>124.27494446419195</v>
      </c>
      <c r="R427" s="177">
        <f>31*9</f>
        <v>279</v>
      </c>
      <c r="S427" s="222">
        <f t="shared" si="190"/>
        <v>34.672709505509559</v>
      </c>
    </row>
    <row r="428" spans="7:19" ht="14" x14ac:dyDescent="0.25">
      <c r="G428" s="185" t="s">
        <v>22</v>
      </c>
      <c r="H428" s="177">
        <v>0.6</v>
      </c>
      <c r="I428" s="177">
        <v>38.880000000000003</v>
      </c>
      <c r="J428" s="177">
        <v>1.0049999999999999</v>
      </c>
      <c r="K428" s="177">
        <v>1.2929999999999999</v>
      </c>
      <c r="L428" s="223">
        <v>34.799999999999997</v>
      </c>
      <c r="M428" s="177">
        <v>23</v>
      </c>
      <c r="N428" s="177">
        <f t="shared" si="188"/>
        <v>11.799999999999997</v>
      </c>
      <c r="O428" s="190">
        <f t="shared" si="189"/>
        <v>357.7042503359998</v>
      </c>
      <c r="P428" s="177">
        <v>0.27700000000000002</v>
      </c>
      <c r="Q428" s="50">
        <f t="shared" si="186"/>
        <v>99.084077343071954</v>
      </c>
      <c r="R428" s="177">
        <f>30*9</f>
        <v>270</v>
      </c>
      <c r="S428" s="222">
        <f t="shared" si="190"/>
        <v>26.752700882629426</v>
      </c>
    </row>
    <row r="429" spans="7:19" ht="15" x14ac:dyDescent="0.4">
      <c r="G429" s="343" t="s">
        <v>88</v>
      </c>
      <c r="H429" s="344"/>
      <c r="I429" s="344"/>
      <c r="J429" s="344"/>
      <c r="K429" s="344"/>
      <c r="L429" s="344"/>
      <c r="M429" s="344"/>
      <c r="N429" s="344"/>
      <c r="O429" s="344"/>
      <c r="P429" s="344"/>
      <c r="Q429" s="344"/>
      <c r="R429" s="345"/>
      <c r="S429" s="235">
        <f>SUM(S423:S428)</f>
        <v>192.54387375356856</v>
      </c>
    </row>
    <row r="430" spans="7:19" ht="14" x14ac:dyDescent="0.25">
      <c r="G430" s="185" t="s">
        <v>13</v>
      </c>
      <c r="H430" s="177">
        <v>0.6</v>
      </c>
      <c r="I430" s="177">
        <v>38.880000000000003</v>
      </c>
      <c r="J430" s="177">
        <v>1.0049999999999999</v>
      </c>
      <c r="K430" s="177">
        <v>1.2929999999999999</v>
      </c>
      <c r="L430" s="223">
        <v>41.9</v>
      </c>
      <c r="M430" s="177">
        <v>24</v>
      </c>
      <c r="N430" s="177">
        <f t="shared" ref="N430" si="191">L430-M430</f>
        <v>17.899999999999999</v>
      </c>
      <c r="O430" s="190">
        <f t="shared" ref="O430" si="192">H430*I430*J430*K430*N430</f>
        <v>542.61915940799986</v>
      </c>
      <c r="P430" s="177">
        <v>0.27700000000000002</v>
      </c>
      <c r="Q430" s="50">
        <f t="shared" ref="Q430:Q435" si="193">O430*P430</f>
        <v>150.30550715601598</v>
      </c>
      <c r="R430" s="177">
        <f>30*9</f>
        <v>270</v>
      </c>
      <c r="S430" s="222">
        <f t="shared" ref="S430" si="194">(Q430*R430)/1000</f>
        <v>40.582486932124318</v>
      </c>
    </row>
    <row r="431" spans="7:19" ht="14" x14ac:dyDescent="0.25">
      <c r="G431" s="185" t="s">
        <v>24</v>
      </c>
      <c r="H431" s="177">
        <v>0.6</v>
      </c>
      <c r="I431" s="177">
        <v>38.880000000000003</v>
      </c>
      <c r="J431" s="177">
        <v>1.0049999999999999</v>
      </c>
      <c r="K431" s="177">
        <v>1.2929999999999999</v>
      </c>
      <c r="L431" s="223">
        <v>36.9</v>
      </c>
      <c r="M431" s="177">
        <v>24</v>
      </c>
      <c r="N431" s="177">
        <f t="shared" ref="N431:N435" si="195">L431-M431</f>
        <v>12.899999999999999</v>
      </c>
      <c r="O431" s="190">
        <f t="shared" ref="O431:O435" si="196">H431*I431*J431*K431*N431</f>
        <v>391.04956180799985</v>
      </c>
      <c r="P431" s="177">
        <v>0.27700000000000002</v>
      </c>
      <c r="Q431" s="50">
        <f t="shared" si="193"/>
        <v>108.32072862081597</v>
      </c>
      <c r="R431" s="177">
        <f>31*9</f>
        <v>279</v>
      </c>
      <c r="S431" s="222">
        <f t="shared" ref="S431:S435" si="197">(Q431*R431)/1000</f>
        <v>30.221483285207654</v>
      </c>
    </row>
    <row r="432" spans="7:19" ht="14" x14ac:dyDescent="0.25">
      <c r="G432" s="185" t="s">
        <v>19</v>
      </c>
      <c r="H432" s="177">
        <v>0.6</v>
      </c>
      <c r="I432" s="177">
        <v>38.880000000000003</v>
      </c>
      <c r="J432" s="177">
        <v>1.0049999999999999</v>
      </c>
      <c r="K432" s="177">
        <v>1.2929999999999999</v>
      </c>
      <c r="L432" s="223">
        <v>34.1</v>
      </c>
      <c r="M432" s="177">
        <v>24</v>
      </c>
      <c r="N432" s="177">
        <f t="shared" si="195"/>
        <v>10.100000000000001</v>
      </c>
      <c r="O432" s="190">
        <f t="shared" si="196"/>
        <v>306.17058715199994</v>
      </c>
      <c r="P432" s="177">
        <v>0.27700000000000002</v>
      </c>
      <c r="Q432" s="50">
        <f t="shared" si="193"/>
        <v>84.809252641103996</v>
      </c>
      <c r="R432" s="177">
        <f>31*9</f>
        <v>279</v>
      </c>
      <c r="S432" s="222">
        <f t="shared" si="197"/>
        <v>23.661781486868016</v>
      </c>
    </row>
    <row r="433" spans="7:19" ht="14" x14ac:dyDescent="0.25">
      <c r="G433" s="185" t="s">
        <v>20</v>
      </c>
      <c r="H433" s="177">
        <v>0.6</v>
      </c>
      <c r="I433" s="177">
        <v>38.880000000000003</v>
      </c>
      <c r="J433" s="177">
        <v>1.0049999999999999</v>
      </c>
      <c r="K433" s="177">
        <v>1.2929999999999999</v>
      </c>
      <c r="L433" s="223">
        <v>36.1</v>
      </c>
      <c r="M433" s="177">
        <v>24</v>
      </c>
      <c r="N433" s="177">
        <f t="shared" si="195"/>
        <v>12.100000000000001</v>
      </c>
      <c r="O433" s="190">
        <f t="shared" si="196"/>
        <v>366.79842619199997</v>
      </c>
      <c r="P433" s="177">
        <v>0.27700000000000002</v>
      </c>
      <c r="Q433" s="50">
        <f t="shared" si="193"/>
        <v>101.603164055184</v>
      </c>
      <c r="R433" s="177">
        <f>30*9</f>
        <v>270</v>
      </c>
      <c r="S433" s="222">
        <f t="shared" si="197"/>
        <v>27.432854294899681</v>
      </c>
    </row>
    <row r="434" spans="7:19" ht="14" x14ac:dyDescent="0.25">
      <c r="G434" s="185" t="s">
        <v>21</v>
      </c>
      <c r="H434" s="177">
        <v>0.6</v>
      </c>
      <c r="I434" s="177">
        <v>38.880000000000003</v>
      </c>
      <c r="J434" s="177">
        <v>1.0049999999999999</v>
      </c>
      <c r="K434" s="177">
        <v>1.2929999999999999</v>
      </c>
      <c r="L434" s="223">
        <v>37.799999999999997</v>
      </c>
      <c r="M434" s="177">
        <v>24</v>
      </c>
      <c r="N434" s="177">
        <f t="shared" si="195"/>
        <v>13.799999999999997</v>
      </c>
      <c r="O434" s="190">
        <f t="shared" si="196"/>
        <v>418.33208937599983</v>
      </c>
      <c r="P434" s="177">
        <v>0.27700000000000002</v>
      </c>
      <c r="Q434" s="50">
        <f t="shared" si="193"/>
        <v>115.87798875715197</v>
      </c>
      <c r="R434" s="177">
        <f>31*9</f>
        <v>279</v>
      </c>
      <c r="S434" s="222">
        <f t="shared" si="197"/>
        <v>32.329958863245402</v>
      </c>
    </row>
    <row r="435" spans="7:19" ht="14" x14ac:dyDescent="0.25">
      <c r="G435" s="185" t="s">
        <v>22</v>
      </c>
      <c r="H435" s="177">
        <v>0.6</v>
      </c>
      <c r="I435" s="177">
        <v>38.880000000000003</v>
      </c>
      <c r="J435" s="177">
        <v>1.0049999999999999</v>
      </c>
      <c r="K435" s="177">
        <v>1.2929999999999999</v>
      </c>
      <c r="L435" s="223">
        <v>34.799999999999997</v>
      </c>
      <c r="M435" s="177">
        <v>24</v>
      </c>
      <c r="N435" s="177">
        <f t="shared" si="195"/>
        <v>10.799999999999997</v>
      </c>
      <c r="O435" s="190">
        <f t="shared" si="196"/>
        <v>327.39033081599985</v>
      </c>
      <c r="P435" s="177">
        <v>0.27700000000000002</v>
      </c>
      <c r="Q435" s="50">
        <f t="shared" si="193"/>
        <v>90.687121636031961</v>
      </c>
      <c r="R435" s="177">
        <f>30*9</f>
        <v>270</v>
      </c>
      <c r="S435" s="222">
        <f t="shared" si="197"/>
        <v>24.485522841728631</v>
      </c>
    </row>
    <row r="436" spans="7:19" ht="15" x14ac:dyDescent="0.4">
      <c r="G436" s="343" t="s">
        <v>90</v>
      </c>
      <c r="H436" s="344"/>
      <c r="I436" s="344"/>
      <c r="J436" s="344"/>
      <c r="K436" s="344"/>
      <c r="L436" s="344"/>
      <c r="M436" s="344"/>
      <c r="N436" s="344"/>
      <c r="O436" s="344"/>
      <c r="P436" s="344"/>
      <c r="Q436" s="344"/>
      <c r="R436" s="345"/>
      <c r="S436" s="235">
        <f>SUM(S430:S435)</f>
        <v>178.71408770407371</v>
      </c>
    </row>
    <row r="437" spans="7:19" hidden="1" x14ac:dyDescent="0.25"/>
    <row r="438" spans="7:19" hidden="1" x14ac:dyDescent="0.25"/>
    <row r="439" spans="7:19" hidden="1" x14ac:dyDescent="0.25"/>
    <row r="440" spans="7:19" ht="13" thickBot="1" x14ac:dyDescent="0.3"/>
    <row r="441" spans="7:19" ht="13" x14ac:dyDescent="0.3">
      <c r="G441" s="295" t="s">
        <v>152</v>
      </c>
      <c r="H441" s="296"/>
      <c r="I441" s="296"/>
      <c r="J441" s="296"/>
      <c r="K441" s="296"/>
      <c r="L441" s="296"/>
      <c r="M441" s="296"/>
      <c r="N441" s="297"/>
    </row>
    <row r="442" spans="7:19" ht="13" x14ac:dyDescent="0.25">
      <c r="G442" s="224" t="s">
        <v>125</v>
      </c>
      <c r="H442" s="218" t="s">
        <v>126</v>
      </c>
      <c r="I442" s="218" t="s">
        <v>127</v>
      </c>
      <c r="J442" s="218" t="s">
        <v>87</v>
      </c>
      <c r="K442" s="218" t="s">
        <v>128</v>
      </c>
      <c r="L442" s="218" t="s">
        <v>129</v>
      </c>
      <c r="M442" s="218" t="s">
        <v>130</v>
      </c>
      <c r="N442" s="245" t="s">
        <v>134</v>
      </c>
    </row>
    <row r="443" spans="7:19" x14ac:dyDescent="0.25">
      <c r="G443" s="240">
        <v>18</v>
      </c>
      <c r="H443" s="190">
        <f>T329</f>
        <v>66.667574880000004</v>
      </c>
      <c r="I443" s="190">
        <f>M383</f>
        <v>72.699343683120006</v>
      </c>
      <c r="J443" s="190">
        <f>S394</f>
        <v>261.69280400104293</v>
      </c>
      <c r="K443" s="177">
        <f>Q292</f>
        <v>691.7399999999999</v>
      </c>
      <c r="L443" s="190">
        <f>M299</f>
        <v>129.39886080000002</v>
      </c>
      <c r="M443" s="177">
        <f>J305</f>
        <v>32.94</v>
      </c>
      <c r="N443" s="242">
        <f>H443+I443+J443+K443+L443+M443</f>
        <v>1255.138583364163</v>
      </c>
    </row>
    <row r="444" spans="7:19" x14ac:dyDescent="0.25">
      <c r="G444" s="240">
        <v>19</v>
      </c>
      <c r="H444" s="190">
        <f>T336</f>
        <v>61.651471680000014</v>
      </c>
      <c r="I444" s="190">
        <f>M383</f>
        <v>72.699343683120006</v>
      </c>
      <c r="J444" s="190">
        <f>S401</f>
        <v>247.8630179515481</v>
      </c>
      <c r="K444" s="177">
        <f>Q292</f>
        <v>691.7399999999999</v>
      </c>
      <c r="L444" s="190">
        <f>M299</f>
        <v>129.39886080000002</v>
      </c>
      <c r="M444" s="177">
        <f>J305</f>
        <v>32.94</v>
      </c>
      <c r="N444" s="242">
        <f>H444+I444+J444+K444+L444+M444</f>
        <v>1236.2926941146679</v>
      </c>
    </row>
    <row r="445" spans="7:19" x14ac:dyDescent="0.25">
      <c r="G445" s="240">
        <v>20</v>
      </c>
      <c r="H445" s="190">
        <f>T343</f>
        <v>56.635368480000011</v>
      </c>
      <c r="I445" s="190">
        <f>M383</f>
        <v>72.699343683120006</v>
      </c>
      <c r="J445" s="190">
        <f>S408</f>
        <v>234.03323190205316</v>
      </c>
      <c r="K445" s="177">
        <f>Q292</f>
        <v>691.7399999999999</v>
      </c>
      <c r="L445" s="190">
        <f>M299</f>
        <v>129.39886080000002</v>
      </c>
      <c r="M445" s="177">
        <f>J305</f>
        <v>32.94</v>
      </c>
      <c r="N445" s="242">
        <f>H445+I445+J445+K445+L445+M445</f>
        <v>1217.4468048651731</v>
      </c>
    </row>
    <row r="446" spans="7:19" x14ac:dyDescent="0.25">
      <c r="G446" s="240">
        <v>21</v>
      </c>
      <c r="H446" s="190">
        <f>T350</f>
        <v>51.619265280000008</v>
      </c>
      <c r="I446" s="190">
        <f>M383</f>
        <v>72.699343683120006</v>
      </c>
      <c r="J446" s="209">
        <f>S415</f>
        <v>220.2034458525583</v>
      </c>
      <c r="K446" s="177">
        <f>Q292</f>
        <v>691.7399999999999</v>
      </c>
      <c r="L446" s="190">
        <f>M299</f>
        <v>129.39886080000002</v>
      </c>
      <c r="M446" s="177">
        <f>J305</f>
        <v>32.94</v>
      </c>
      <c r="N446" s="242">
        <f>H446+I446+J446+K446+L446+M446</f>
        <v>1198.6009156156783</v>
      </c>
    </row>
    <row r="447" spans="7:19" x14ac:dyDescent="0.25">
      <c r="G447" s="240">
        <v>22</v>
      </c>
      <c r="H447" s="190">
        <f>T357</f>
        <v>46.603162080000011</v>
      </c>
      <c r="I447" s="190">
        <f>M383</f>
        <v>72.699343683120006</v>
      </c>
      <c r="J447" s="190">
        <f>S422</f>
        <v>206.37365980306345</v>
      </c>
      <c r="K447" s="177">
        <f>Q292</f>
        <v>691.7399999999999</v>
      </c>
      <c r="L447" s="190">
        <f>M299</f>
        <v>129.39886080000002</v>
      </c>
      <c r="M447" s="177">
        <f>J305</f>
        <v>32.94</v>
      </c>
      <c r="N447" s="242">
        <f>H447+I447+J447+K447+L447+M447</f>
        <v>1179.7550263661835</v>
      </c>
    </row>
    <row r="448" spans="7:19" x14ac:dyDescent="0.25">
      <c r="G448" s="240">
        <v>23</v>
      </c>
      <c r="H448" s="190">
        <f>T364</f>
        <v>41.587058880000008</v>
      </c>
      <c r="I448" s="190">
        <f>M383</f>
        <v>72.699343683120006</v>
      </c>
      <c r="J448" s="190">
        <f>S429</f>
        <v>192.54387375356856</v>
      </c>
      <c r="K448" s="177">
        <f>Q292</f>
        <v>691.7399999999999</v>
      </c>
      <c r="L448" s="190">
        <f>M299</f>
        <v>129.39886080000002</v>
      </c>
      <c r="M448" s="177">
        <f>J305</f>
        <v>32.94</v>
      </c>
      <c r="N448" s="242">
        <f t="shared" ref="N448:N449" si="198">H448+I448+J448+K448+L448+M448</f>
        <v>1160.9091371166885</v>
      </c>
    </row>
    <row r="449" spans="7:21" x14ac:dyDescent="0.25">
      <c r="G449" s="240">
        <v>24</v>
      </c>
      <c r="H449" s="190">
        <f>T371</f>
        <v>36.570955680000012</v>
      </c>
      <c r="I449" s="190">
        <f>M383</f>
        <v>72.699343683120006</v>
      </c>
      <c r="J449" s="190">
        <f>S436</f>
        <v>178.71408770407371</v>
      </c>
      <c r="K449" s="177">
        <f>Q292</f>
        <v>691.7399999999999</v>
      </c>
      <c r="L449" s="190">
        <f>M299</f>
        <v>129.39886080000002</v>
      </c>
      <c r="M449" s="177">
        <f>J305</f>
        <v>32.94</v>
      </c>
      <c r="N449" s="242">
        <f t="shared" si="198"/>
        <v>1142.0632478671937</v>
      </c>
    </row>
    <row r="450" spans="7:21" ht="13" thickBot="1" x14ac:dyDescent="0.3"/>
    <row r="451" spans="7:21" hidden="1" x14ac:dyDescent="0.25"/>
    <row r="452" spans="7:21" hidden="1" x14ac:dyDescent="0.25"/>
    <row r="453" spans="7:21" ht="13" hidden="1" thickBot="1" x14ac:dyDescent="0.3"/>
    <row r="454" spans="7:21" ht="12.65" customHeight="1" x14ac:dyDescent="0.25">
      <c r="G454" s="317" t="s">
        <v>153</v>
      </c>
      <c r="H454" s="318"/>
      <c r="I454" s="318"/>
      <c r="J454" s="318"/>
      <c r="K454" s="318"/>
      <c r="L454" s="318"/>
      <c r="M454" s="318"/>
      <c r="N454" s="318"/>
      <c r="O454" s="318"/>
      <c r="P454" s="318"/>
      <c r="Q454" s="318"/>
      <c r="R454" s="318"/>
      <c r="S454" s="318"/>
      <c r="T454" s="319"/>
      <c r="U454" s="243"/>
    </row>
    <row r="455" spans="7:21" ht="12.65" customHeight="1" x14ac:dyDescent="0.25">
      <c r="G455" s="320"/>
      <c r="H455" s="321"/>
      <c r="I455" s="321"/>
      <c r="J455" s="321"/>
      <c r="K455" s="321"/>
      <c r="L455" s="321"/>
      <c r="M455" s="321"/>
      <c r="N455" s="321"/>
      <c r="O455" s="321"/>
      <c r="P455" s="321"/>
      <c r="Q455" s="321"/>
      <c r="R455" s="321"/>
      <c r="S455" s="321"/>
      <c r="T455" s="322"/>
      <c r="U455" s="243"/>
    </row>
    <row r="456" spans="7:21" ht="16" x14ac:dyDescent="0.25">
      <c r="G456" s="216" t="s">
        <v>0</v>
      </c>
      <c r="H456" s="217" t="s">
        <v>37</v>
      </c>
      <c r="I456" s="217" t="s">
        <v>36</v>
      </c>
      <c r="J456" s="217" t="s">
        <v>35</v>
      </c>
      <c r="K456" s="217" t="s">
        <v>47</v>
      </c>
      <c r="L456" s="179" t="s">
        <v>56</v>
      </c>
      <c r="M456" s="179" t="s">
        <v>50</v>
      </c>
      <c r="N456" s="179" t="s">
        <v>51</v>
      </c>
      <c r="O456" s="179" t="s">
        <v>48</v>
      </c>
      <c r="P456" s="179" t="s">
        <v>52</v>
      </c>
      <c r="Q456" s="218" t="s">
        <v>53</v>
      </c>
      <c r="R456" s="218" t="s">
        <v>54</v>
      </c>
      <c r="S456" s="218" t="s">
        <v>49</v>
      </c>
      <c r="T456" s="219" t="s">
        <v>55</v>
      </c>
    </row>
    <row r="457" spans="7:21" ht="14" x14ac:dyDescent="0.25">
      <c r="G457" s="185" t="s">
        <v>13</v>
      </c>
      <c r="H457" s="223">
        <v>43.8</v>
      </c>
      <c r="I457" s="223">
        <v>10.1</v>
      </c>
      <c r="J457" s="220">
        <f t="shared" ref="J457:J462" si="199">I457/2</f>
        <v>5.05</v>
      </c>
      <c r="K457" s="220">
        <f t="shared" ref="K457:K462" si="200">H457-J457</f>
        <v>38.75</v>
      </c>
      <c r="L457" s="221">
        <f t="shared" ref="L457:L462" si="201">D$173</f>
        <v>3</v>
      </c>
      <c r="M457" s="181">
        <v>18</v>
      </c>
      <c r="N457" s="181">
        <f t="shared" ref="N457:N462" si="202">25.5-M457</f>
        <v>7.5</v>
      </c>
      <c r="O457" s="181">
        <f t="shared" ref="O457:O462" si="203">K457-29.4</f>
        <v>9.3500000000000014</v>
      </c>
      <c r="P457" s="177">
        <f t="shared" ref="P457:P462" si="204">L457+N457+O457</f>
        <v>19.850000000000001</v>
      </c>
      <c r="Q457" s="177">
        <v>2.35</v>
      </c>
      <c r="R457" s="177">
        <v>1.296</v>
      </c>
      <c r="S457" s="177">
        <f>30*9</f>
        <v>270</v>
      </c>
      <c r="T457" s="222">
        <f t="shared" ref="T457:T462" si="205">(P457*Q457*R457*S457)/1000</f>
        <v>16.322893200000003</v>
      </c>
    </row>
    <row r="458" spans="7:21" ht="14" x14ac:dyDescent="0.25">
      <c r="G458" s="185" t="s">
        <v>24</v>
      </c>
      <c r="H458" s="223">
        <v>39</v>
      </c>
      <c r="I458" s="223">
        <v>7.1</v>
      </c>
      <c r="J458" s="220">
        <f t="shared" si="199"/>
        <v>3.55</v>
      </c>
      <c r="K458" s="220">
        <f t="shared" si="200"/>
        <v>35.450000000000003</v>
      </c>
      <c r="L458" s="221">
        <f t="shared" si="201"/>
        <v>3</v>
      </c>
      <c r="M458" s="181">
        <v>18</v>
      </c>
      <c r="N458" s="181">
        <f t="shared" si="202"/>
        <v>7.5</v>
      </c>
      <c r="O458" s="181">
        <f t="shared" si="203"/>
        <v>6.0500000000000043</v>
      </c>
      <c r="P458" s="177">
        <f t="shared" si="204"/>
        <v>16.550000000000004</v>
      </c>
      <c r="Q458" s="177">
        <v>2.35</v>
      </c>
      <c r="R458" s="177">
        <v>1.296</v>
      </c>
      <c r="S458" s="177">
        <f>31*9</f>
        <v>279</v>
      </c>
      <c r="T458" s="222">
        <f t="shared" si="205"/>
        <v>14.062905720000007</v>
      </c>
    </row>
    <row r="459" spans="7:21" ht="14" x14ac:dyDescent="0.25">
      <c r="G459" s="185" t="s">
        <v>19</v>
      </c>
      <c r="H459" s="223">
        <v>36.9</v>
      </c>
      <c r="I459" s="223">
        <v>6.8</v>
      </c>
      <c r="J459" s="220">
        <f t="shared" si="199"/>
        <v>3.4</v>
      </c>
      <c r="K459" s="220">
        <f t="shared" si="200"/>
        <v>33.5</v>
      </c>
      <c r="L459" s="221">
        <f t="shared" si="201"/>
        <v>3</v>
      </c>
      <c r="M459" s="181">
        <v>18</v>
      </c>
      <c r="N459" s="181">
        <f t="shared" si="202"/>
        <v>7.5</v>
      </c>
      <c r="O459" s="181">
        <f t="shared" si="203"/>
        <v>4.1000000000000014</v>
      </c>
      <c r="P459" s="177">
        <f t="shared" si="204"/>
        <v>14.600000000000001</v>
      </c>
      <c r="Q459" s="177">
        <v>2.35</v>
      </c>
      <c r="R459" s="177">
        <v>1.296</v>
      </c>
      <c r="S459" s="177">
        <f>31*9</f>
        <v>279</v>
      </c>
      <c r="T459" s="222">
        <f t="shared" si="205"/>
        <v>12.405947040000001</v>
      </c>
    </row>
    <row r="460" spans="7:21" ht="14" x14ac:dyDescent="0.25">
      <c r="G460" s="185" t="s">
        <v>20</v>
      </c>
      <c r="H460" s="223">
        <v>36.799999999999997</v>
      </c>
      <c r="I460" s="223">
        <v>8.3000000000000007</v>
      </c>
      <c r="J460" s="220">
        <f t="shared" si="199"/>
        <v>4.1500000000000004</v>
      </c>
      <c r="K460" s="220">
        <f t="shared" si="200"/>
        <v>32.65</v>
      </c>
      <c r="L460" s="221">
        <f t="shared" si="201"/>
        <v>3</v>
      </c>
      <c r="M460" s="181">
        <v>18</v>
      </c>
      <c r="N460" s="181">
        <f t="shared" si="202"/>
        <v>7.5</v>
      </c>
      <c r="O460" s="181">
        <f t="shared" si="203"/>
        <v>3.25</v>
      </c>
      <c r="P460" s="177">
        <f t="shared" si="204"/>
        <v>13.75</v>
      </c>
      <c r="Q460" s="177">
        <v>2.35</v>
      </c>
      <c r="R460" s="177">
        <v>1.296</v>
      </c>
      <c r="S460" s="177">
        <f>30*9</f>
        <v>270</v>
      </c>
      <c r="T460" s="222">
        <f t="shared" si="205"/>
        <v>11.306790000000001</v>
      </c>
    </row>
    <row r="461" spans="7:21" ht="14" x14ac:dyDescent="0.25">
      <c r="G461" s="185" t="s">
        <v>21</v>
      </c>
      <c r="H461" s="223">
        <v>35.200000000000003</v>
      </c>
      <c r="I461" s="223">
        <v>11.8</v>
      </c>
      <c r="J461" s="220">
        <f t="shared" si="199"/>
        <v>5.9</v>
      </c>
      <c r="K461" s="220">
        <f t="shared" si="200"/>
        <v>29.300000000000004</v>
      </c>
      <c r="L461" s="221">
        <f t="shared" si="201"/>
        <v>3</v>
      </c>
      <c r="M461" s="181">
        <v>18</v>
      </c>
      <c r="N461" s="181">
        <f t="shared" si="202"/>
        <v>7.5</v>
      </c>
      <c r="O461" s="181">
        <f t="shared" si="203"/>
        <v>-9.9999999999994316E-2</v>
      </c>
      <c r="P461" s="177">
        <f t="shared" si="204"/>
        <v>10.400000000000006</v>
      </c>
      <c r="Q461" s="177">
        <v>2.35</v>
      </c>
      <c r="R461" s="177">
        <v>1.296</v>
      </c>
      <c r="S461" s="177">
        <f>31*9</f>
        <v>279</v>
      </c>
      <c r="T461" s="222">
        <f t="shared" si="205"/>
        <v>8.837112960000006</v>
      </c>
    </row>
    <row r="462" spans="7:21" ht="14" x14ac:dyDescent="0.25">
      <c r="G462" s="185" t="s">
        <v>22</v>
      </c>
      <c r="H462" s="223">
        <v>30.8</v>
      </c>
      <c r="I462" s="223">
        <v>13</v>
      </c>
      <c r="J462" s="220">
        <f t="shared" si="199"/>
        <v>6.5</v>
      </c>
      <c r="K462" s="220">
        <f t="shared" si="200"/>
        <v>24.3</v>
      </c>
      <c r="L462" s="221">
        <f t="shared" si="201"/>
        <v>3</v>
      </c>
      <c r="M462" s="181">
        <v>18</v>
      </c>
      <c r="N462" s="181">
        <f t="shared" si="202"/>
        <v>7.5</v>
      </c>
      <c r="O462" s="181">
        <f t="shared" si="203"/>
        <v>-5.0999999999999979</v>
      </c>
      <c r="P462" s="177">
        <f t="shared" si="204"/>
        <v>5.4000000000000021</v>
      </c>
      <c r="Q462" s="177">
        <v>2.35</v>
      </c>
      <c r="R462" s="177">
        <v>1.296</v>
      </c>
      <c r="S462" s="177">
        <f>30*9</f>
        <v>270</v>
      </c>
      <c r="T462" s="222">
        <f t="shared" si="205"/>
        <v>4.4404848000000019</v>
      </c>
    </row>
    <row r="463" spans="7:21" ht="15" x14ac:dyDescent="0.25">
      <c r="G463" s="346" t="s">
        <v>193</v>
      </c>
      <c r="H463" s="347"/>
      <c r="I463" s="347"/>
      <c r="J463" s="347"/>
      <c r="K463" s="347"/>
      <c r="L463" s="347"/>
      <c r="M463" s="347"/>
      <c r="N463" s="347"/>
      <c r="O463" s="347"/>
      <c r="P463" s="347"/>
      <c r="Q463" s="347"/>
      <c r="R463" s="347"/>
      <c r="S463" s="348"/>
      <c r="T463" s="225">
        <f>SUM(T457:T462)</f>
        <v>67.376133720000027</v>
      </c>
    </row>
    <row r="464" spans="7:21" ht="14" x14ac:dyDescent="0.25">
      <c r="G464" s="185" t="s">
        <v>13</v>
      </c>
      <c r="H464" s="223">
        <v>43.8</v>
      </c>
      <c r="I464" s="223">
        <v>10.1</v>
      </c>
      <c r="J464" s="220">
        <f t="shared" ref="J464:J469" si="206">I464/2</f>
        <v>5.05</v>
      </c>
      <c r="K464" s="220">
        <f t="shared" ref="K464:K469" si="207">H464-J464</f>
        <v>38.75</v>
      </c>
      <c r="L464" s="221">
        <f t="shared" ref="L464:L469" si="208">D$173</f>
        <v>3</v>
      </c>
      <c r="M464" s="181">
        <v>19</v>
      </c>
      <c r="N464" s="181">
        <f t="shared" ref="N464:N469" si="209">25.5-M464</f>
        <v>6.5</v>
      </c>
      <c r="O464" s="181">
        <f t="shared" ref="O464:O469" si="210">K464-29.4</f>
        <v>9.3500000000000014</v>
      </c>
      <c r="P464" s="177">
        <f t="shared" ref="P464:P469" si="211">L464+N464+O464</f>
        <v>18.850000000000001</v>
      </c>
      <c r="Q464" s="177">
        <v>2.35</v>
      </c>
      <c r="R464" s="177">
        <v>1.296</v>
      </c>
      <c r="S464" s="177">
        <f>30*9</f>
        <v>270</v>
      </c>
      <c r="T464" s="222">
        <f t="shared" ref="T464:T469" si="212">(P464*Q464*R464*S464)/1000</f>
        <v>15.500581200000005</v>
      </c>
    </row>
    <row r="465" spans="7:20" ht="14" x14ac:dyDescent="0.25">
      <c r="G465" s="185" t="s">
        <v>24</v>
      </c>
      <c r="H465" s="223">
        <v>39</v>
      </c>
      <c r="I465" s="223">
        <v>7.1</v>
      </c>
      <c r="J465" s="220">
        <f t="shared" si="206"/>
        <v>3.55</v>
      </c>
      <c r="K465" s="220">
        <f t="shared" si="207"/>
        <v>35.450000000000003</v>
      </c>
      <c r="L465" s="221">
        <f t="shared" si="208"/>
        <v>3</v>
      </c>
      <c r="M465" s="181">
        <v>19</v>
      </c>
      <c r="N465" s="181">
        <f t="shared" si="209"/>
        <v>6.5</v>
      </c>
      <c r="O465" s="181">
        <f t="shared" si="210"/>
        <v>6.0500000000000043</v>
      </c>
      <c r="P465" s="177">
        <f t="shared" si="211"/>
        <v>15.550000000000004</v>
      </c>
      <c r="Q465" s="177">
        <v>2.35</v>
      </c>
      <c r="R465" s="177">
        <v>1.296</v>
      </c>
      <c r="S465" s="177">
        <f>31*9</f>
        <v>279</v>
      </c>
      <c r="T465" s="222">
        <f t="shared" si="212"/>
        <v>13.213183320000004</v>
      </c>
    </row>
    <row r="466" spans="7:20" ht="14" x14ac:dyDescent="0.25">
      <c r="G466" s="185" t="s">
        <v>19</v>
      </c>
      <c r="H466" s="223">
        <v>36.9</v>
      </c>
      <c r="I466" s="223">
        <v>6.8</v>
      </c>
      <c r="J466" s="220">
        <f t="shared" si="206"/>
        <v>3.4</v>
      </c>
      <c r="K466" s="220">
        <f t="shared" si="207"/>
        <v>33.5</v>
      </c>
      <c r="L466" s="221">
        <f t="shared" si="208"/>
        <v>3</v>
      </c>
      <c r="M466" s="181">
        <v>19</v>
      </c>
      <c r="N466" s="181">
        <f t="shared" si="209"/>
        <v>6.5</v>
      </c>
      <c r="O466" s="181">
        <f t="shared" si="210"/>
        <v>4.1000000000000014</v>
      </c>
      <c r="P466" s="177">
        <f t="shared" si="211"/>
        <v>13.600000000000001</v>
      </c>
      <c r="Q466" s="177">
        <v>2.35</v>
      </c>
      <c r="R466" s="177">
        <v>1.296</v>
      </c>
      <c r="S466" s="177">
        <f>31*9</f>
        <v>279</v>
      </c>
      <c r="T466" s="222">
        <f t="shared" si="212"/>
        <v>11.556224640000002</v>
      </c>
    </row>
    <row r="467" spans="7:20" ht="14" x14ac:dyDescent="0.25">
      <c r="G467" s="185" t="s">
        <v>20</v>
      </c>
      <c r="H467" s="223">
        <v>36.799999999999997</v>
      </c>
      <c r="I467" s="223">
        <v>8.3000000000000007</v>
      </c>
      <c r="J467" s="220">
        <f t="shared" si="206"/>
        <v>4.1500000000000004</v>
      </c>
      <c r="K467" s="220">
        <f t="shared" si="207"/>
        <v>32.65</v>
      </c>
      <c r="L467" s="221">
        <f t="shared" si="208"/>
        <v>3</v>
      </c>
      <c r="M467" s="181">
        <v>19</v>
      </c>
      <c r="N467" s="181">
        <f t="shared" si="209"/>
        <v>6.5</v>
      </c>
      <c r="O467" s="181">
        <f t="shared" si="210"/>
        <v>3.25</v>
      </c>
      <c r="P467" s="177">
        <f t="shared" si="211"/>
        <v>12.75</v>
      </c>
      <c r="Q467" s="177">
        <v>2.35</v>
      </c>
      <c r="R467" s="177">
        <v>1.296</v>
      </c>
      <c r="S467" s="177">
        <f>30*9</f>
        <v>270</v>
      </c>
      <c r="T467" s="222">
        <f t="shared" si="212"/>
        <v>10.484478000000001</v>
      </c>
    </row>
    <row r="468" spans="7:20" ht="14" x14ac:dyDescent="0.25">
      <c r="G468" s="185" t="s">
        <v>21</v>
      </c>
      <c r="H468" s="223">
        <v>35.200000000000003</v>
      </c>
      <c r="I468" s="223">
        <v>11.8</v>
      </c>
      <c r="J468" s="220">
        <f t="shared" si="206"/>
        <v>5.9</v>
      </c>
      <c r="K468" s="220">
        <f t="shared" si="207"/>
        <v>29.300000000000004</v>
      </c>
      <c r="L468" s="221">
        <f t="shared" si="208"/>
        <v>3</v>
      </c>
      <c r="M468" s="181">
        <v>19</v>
      </c>
      <c r="N468" s="181">
        <f t="shared" si="209"/>
        <v>6.5</v>
      </c>
      <c r="O468" s="181">
        <f t="shared" si="210"/>
        <v>-9.9999999999994316E-2</v>
      </c>
      <c r="P468" s="177">
        <f t="shared" si="211"/>
        <v>9.4000000000000057</v>
      </c>
      <c r="Q468" s="177">
        <v>2.35</v>
      </c>
      <c r="R468" s="177">
        <v>1.296</v>
      </c>
      <c r="S468" s="177">
        <f>31*9</f>
        <v>279</v>
      </c>
      <c r="T468" s="222">
        <f t="shared" si="212"/>
        <v>7.987390560000005</v>
      </c>
    </row>
    <row r="469" spans="7:20" ht="14" x14ac:dyDescent="0.25">
      <c r="G469" s="185" t="s">
        <v>22</v>
      </c>
      <c r="H469" s="223">
        <v>30.8</v>
      </c>
      <c r="I469" s="223">
        <v>13</v>
      </c>
      <c r="J469" s="220">
        <f t="shared" si="206"/>
        <v>6.5</v>
      </c>
      <c r="K469" s="220">
        <f t="shared" si="207"/>
        <v>24.3</v>
      </c>
      <c r="L469" s="221">
        <f t="shared" si="208"/>
        <v>3</v>
      </c>
      <c r="M469" s="181">
        <v>19</v>
      </c>
      <c r="N469" s="181">
        <f t="shared" si="209"/>
        <v>6.5</v>
      </c>
      <c r="O469" s="181">
        <f t="shared" si="210"/>
        <v>-5.0999999999999979</v>
      </c>
      <c r="P469" s="177">
        <f t="shared" si="211"/>
        <v>4.4000000000000021</v>
      </c>
      <c r="Q469" s="177">
        <v>2.35</v>
      </c>
      <c r="R469" s="177">
        <v>1.296</v>
      </c>
      <c r="S469" s="177">
        <f>30*9</f>
        <v>270</v>
      </c>
      <c r="T469" s="222">
        <f t="shared" si="212"/>
        <v>3.6181728000000017</v>
      </c>
    </row>
    <row r="470" spans="7:20" ht="15" x14ac:dyDescent="0.25">
      <c r="G470" s="346" t="s">
        <v>194</v>
      </c>
      <c r="H470" s="347"/>
      <c r="I470" s="347"/>
      <c r="J470" s="347"/>
      <c r="K470" s="347"/>
      <c r="L470" s="347"/>
      <c r="M470" s="347"/>
      <c r="N470" s="347"/>
      <c r="O470" s="347"/>
      <c r="P470" s="347"/>
      <c r="Q470" s="347"/>
      <c r="R470" s="347"/>
      <c r="S470" s="348"/>
      <c r="T470" s="225">
        <f>SUM(T464:T469)</f>
        <v>62.360030520000016</v>
      </c>
    </row>
    <row r="471" spans="7:20" ht="14" x14ac:dyDescent="0.25">
      <c r="G471" s="185" t="s">
        <v>13</v>
      </c>
      <c r="H471" s="223">
        <v>43.8</v>
      </c>
      <c r="I471" s="223">
        <v>10.1</v>
      </c>
      <c r="J471" s="220">
        <f t="shared" ref="J471:J476" si="213">I471/2</f>
        <v>5.05</v>
      </c>
      <c r="K471" s="220">
        <f t="shared" ref="K471:K476" si="214">H471-J471</f>
        <v>38.75</v>
      </c>
      <c r="L471" s="221">
        <f t="shared" ref="L471:L476" si="215">D$173</f>
        <v>3</v>
      </c>
      <c r="M471" s="181">
        <v>20</v>
      </c>
      <c r="N471" s="181">
        <f t="shared" ref="N471:N476" si="216">25.5-M471</f>
        <v>5.5</v>
      </c>
      <c r="O471" s="181">
        <f t="shared" ref="O471:O476" si="217">K471-29.4</f>
        <v>9.3500000000000014</v>
      </c>
      <c r="P471" s="177">
        <f t="shared" ref="P471:P476" si="218">L471+N471+O471</f>
        <v>17.850000000000001</v>
      </c>
      <c r="Q471" s="177">
        <v>2.35</v>
      </c>
      <c r="R471" s="177">
        <v>1.296</v>
      </c>
      <c r="S471" s="177">
        <f>30*9</f>
        <v>270</v>
      </c>
      <c r="T471" s="222">
        <f t="shared" ref="T471:T476" si="219">(P471*Q471*R471*S471)/1000</f>
        <v>14.678269200000003</v>
      </c>
    </row>
    <row r="472" spans="7:20" ht="14" x14ac:dyDescent="0.25">
      <c r="G472" s="185" t="s">
        <v>24</v>
      </c>
      <c r="H472" s="223">
        <v>39</v>
      </c>
      <c r="I472" s="223">
        <v>7.1</v>
      </c>
      <c r="J472" s="220">
        <f t="shared" si="213"/>
        <v>3.55</v>
      </c>
      <c r="K472" s="220">
        <f t="shared" si="214"/>
        <v>35.450000000000003</v>
      </c>
      <c r="L472" s="221">
        <f t="shared" si="215"/>
        <v>3</v>
      </c>
      <c r="M472" s="181">
        <v>20</v>
      </c>
      <c r="N472" s="181">
        <f t="shared" si="216"/>
        <v>5.5</v>
      </c>
      <c r="O472" s="181">
        <f t="shared" si="217"/>
        <v>6.0500000000000043</v>
      </c>
      <c r="P472" s="177">
        <f t="shared" si="218"/>
        <v>14.550000000000004</v>
      </c>
      <c r="Q472" s="177">
        <v>2.35</v>
      </c>
      <c r="R472" s="177">
        <v>1.296</v>
      </c>
      <c r="S472" s="177">
        <f>31*9</f>
        <v>279</v>
      </c>
      <c r="T472" s="222">
        <f t="shared" si="219"/>
        <v>12.363460920000003</v>
      </c>
    </row>
    <row r="473" spans="7:20" ht="14" x14ac:dyDescent="0.25">
      <c r="G473" s="185" t="s">
        <v>19</v>
      </c>
      <c r="H473" s="223">
        <v>36.9</v>
      </c>
      <c r="I473" s="223">
        <v>6.8</v>
      </c>
      <c r="J473" s="220">
        <f t="shared" si="213"/>
        <v>3.4</v>
      </c>
      <c r="K473" s="220">
        <f t="shared" si="214"/>
        <v>33.5</v>
      </c>
      <c r="L473" s="221">
        <f t="shared" si="215"/>
        <v>3</v>
      </c>
      <c r="M473" s="181">
        <v>20</v>
      </c>
      <c r="N473" s="181">
        <f t="shared" si="216"/>
        <v>5.5</v>
      </c>
      <c r="O473" s="181">
        <f t="shared" si="217"/>
        <v>4.1000000000000014</v>
      </c>
      <c r="P473" s="177">
        <f t="shared" si="218"/>
        <v>12.600000000000001</v>
      </c>
      <c r="Q473" s="177">
        <v>2.35</v>
      </c>
      <c r="R473" s="177">
        <v>1.296</v>
      </c>
      <c r="S473" s="177">
        <f>31*9</f>
        <v>279</v>
      </c>
      <c r="T473" s="222">
        <f t="shared" si="219"/>
        <v>10.706502239999999</v>
      </c>
    </row>
    <row r="474" spans="7:20" ht="14" x14ac:dyDescent="0.25">
      <c r="G474" s="185" t="s">
        <v>20</v>
      </c>
      <c r="H474" s="223">
        <v>36.799999999999997</v>
      </c>
      <c r="I474" s="223">
        <v>8.3000000000000007</v>
      </c>
      <c r="J474" s="220">
        <f t="shared" si="213"/>
        <v>4.1500000000000004</v>
      </c>
      <c r="K474" s="220">
        <f t="shared" si="214"/>
        <v>32.65</v>
      </c>
      <c r="L474" s="221">
        <f t="shared" si="215"/>
        <v>3</v>
      </c>
      <c r="M474" s="181">
        <v>20</v>
      </c>
      <c r="N474" s="181">
        <f t="shared" si="216"/>
        <v>5.5</v>
      </c>
      <c r="O474" s="181">
        <f t="shared" si="217"/>
        <v>3.25</v>
      </c>
      <c r="P474" s="177">
        <f t="shared" si="218"/>
        <v>11.75</v>
      </c>
      <c r="Q474" s="177">
        <v>2.35</v>
      </c>
      <c r="R474" s="177">
        <v>1.296</v>
      </c>
      <c r="S474" s="177">
        <f>30*9</f>
        <v>270</v>
      </c>
      <c r="T474" s="222">
        <f t="shared" si="219"/>
        <v>9.6621660000000009</v>
      </c>
    </row>
    <row r="475" spans="7:20" ht="14" x14ac:dyDescent="0.25">
      <c r="G475" s="185" t="s">
        <v>21</v>
      </c>
      <c r="H475" s="223">
        <v>35.200000000000003</v>
      </c>
      <c r="I475" s="223">
        <v>11.8</v>
      </c>
      <c r="J475" s="220">
        <f t="shared" si="213"/>
        <v>5.9</v>
      </c>
      <c r="K475" s="220">
        <f t="shared" si="214"/>
        <v>29.300000000000004</v>
      </c>
      <c r="L475" s="221">
        <f t="shared" si="215"/>
        <v>3</v>
      </c>
      <c r="M475" s="181">
        <v>20</v>
      </c>
      <c r="N475" s="181">
        <f t="shared" si="216"/>
        <v>5.5</v>
      </c>
      <c r="O475" s="181">
        <f t="shared" si="217"/>
        <v>-9.9999999999994316E-2</v>
      </c>
      <c r="P475" s="177">
        <f t="shared" si="218"/>
        <v>8.4000000000000057</v>
      </c>
      <c r="Q475" s="177">
        <v>2.35</v>
      </c>
      <c r="R475" s="177">
        <v>1.296</v>
      </c>
      <c r="S475" s="177">
        <f>31*9</f>
        <v>279</v>
      </c>
      <c r="T475" s="222">
        <f t="shared" si="219"/>
        <v>7.1376681600000049</v>
      </c>
    </row>
    <row r="476" spans="7:20" ht="14" x14ac:dyDescent="0.25">
      <c r="G476" s="185" t="s">
        <v>22</v>
      </c>
      <c r="H476" s="223">
        <v>30.8</v>
      </c>
      <c r="I476" s="223">
        <v>13</v>
      </c>
      <c r="J476" s="220">
        <f t="shared" si="213"/>
        <v>6.5</v>
      </c>
      <c r="K476" s="220">
        <f t="shared" si="214"/>
        <v>24.3</v>
      </c>
      <c r="L476" s="221">
        <f t="shared" si="215"/>
        <v>3</v>
      </c>
      <c r="M476" s="181">
        <v>20</v>
      </c>
      <c r="N476" s="181">
        <f t="shared" si="216"/>
        <v>5.5</v>
      </c>
      <c r="O476" s="181">
        <f t="shared" si="217"/>
        <v>-5.0999999999999979</v>
      </c>
      <c r="P476" s="177">
        <f t="shared" si="218"/>
        <v>3.4000000000000021</v>
      </c>
      <c r="Q476" s="177">
        <v>2.35</v>
      </c>
      <c r="R476" s="177">
        <v>1.296</v>
      </c>
      <c r="S476" s="177">
        <f>30*9</f>
        <v>270</v>
      </c>
      <c r="T476" s="222">
        <f t="shared" si="219"/>
        <v>2.795860800000002</v>
      </c>
    </row>
    <row r="477" spans="7:20" ht="15" x14ac:dyDescent="0.25">
      <c r="G477" s="346" t="s">
        <v>183</v>
      </c>
      <c r="H477" s="347"/>
      <c r="I477" s="347"/>
      <c r="J477" s="347"/>
      <c r="K477" s="347"/>
      <c r="L477" s="347"/>
      <c r="M477" s="347"/>
      <c r="N477" s="347"/>
      <c r="O477" s="347"/>
      <c r="P477" s="347"/>
      <c r="Q477" s="347"/>
      <c r="R477" s="347"/>
      <c r="S477" s="348"/>
      <c r="T477" s="225">
        <f>SUM(T471:T476)</f>
        <v>57.343927320000006</v>
      </c>
    </row>
    <row r="478" spans="7:20" ht="14" x14ac:dyDescent="0.25">
      <c r="G478" s="185" t="s">
        <v>13</v>
      </c>
      <c r="H478" s="223">
        <v>43.8</v>
      </c>
      <c r="I478" s="223">
        <v>10.1</v>
      </c>
      <c r="J478" s="220">
        <f t="shared" ref="J478:J483" si="220">I478/2</f>
        <v>5.05</v>
      </c>
      <c r="K478" s="220">
        <f t="shared" ref="K478:K483" si="221">H478-J478</f>
        <v>38.75</v>
      </c>
      <c r="L478" s="221">
        <f t="shared" ref="L478:L483" si="222">D$173</f>
        <v>3</v>
      </c>
      <c r="M478" s="181">
        <v>21</v>
      </c>
      <c r="N478" s="181">
        <f t="shared" ref="N478:N483" si="223">25.5-M478</f>
        <v>4.5</v>
      </c>
      <c r="O478" s="181">
        <f t="shared" ref="O478:O483" si="224">K478-29.4</f>
        <v>9.3500000000000014</v>
      </c>
      <c r="P478" s="177">
        <f t="shared" ref="P478:P483" si="225">L478+N478+O478</f>
        <v>16.850000000000001</v>
      </c>
      <c r="Q478" s="177">
        <v>2.35</v>
      </c>
      <c r="R478" s="177">
        <v>1.296</v>
      </c>
      <c r="S478" s="177">
        <f>30*9</f>
        <v>270</v>
      </c>
      <c r="T478" s="222">
        <f t="shared" ref="T478:T483" si="226">(P478*Q478*R478*S478)/1000</f>
        <v>13.855957200000001</v>
      </c>
    </row>
    <row r="479" spans="7:20" ht="14" x14ac:dyDescent="0.25">
      <c r="G479" s="185" t="s">
        <v>24</v>
      </c>
      <c r="H479" s="223">
        <v>39</v>
      </c>
      <c r="I479" s="223">
        <v>7.1</v>
      </c>
      <c r="J479" s="220">
        <f t="shared" si="220"/>
        <v>3.55</v>
      </c>
      <c r="K479" s="220">
        <f t="shared" si="221"/>
        <v>35.450000000000003</v>
      </c>
      <c r="L479" s="221">
        <f t="shared" si="222"/>
        <v>3</v>
      </c>
      <c r="M479" s="181">
        <v>21</v>
      </c>
      <c r="N479" s="181">
        <f t="shared" si="223"/>
        <v>4.5</v>
      </c>
      <c r="O479" s="181">
        <f t="shared" si="224"/>
        <v>6.0500000000000043</v>
      </c>
      <c r="P479" s="177">
        <f t="shared" si="225"/>
        <v>13.550000000000004</v>
      </c>
      <c r="Q479" s="177">
        <v>2.35</v>
      </c>
      <c r="R479" s="177">
        <v>1.296</v>
      </c>
      <c r="S479" s="177">
        <f>31*9</f>
        <v>279</v>
      </c>
      <c r="T479" s="222">
        <f t="shared" si="226"/>
        <v>11.513738520000006</v>
      </c>
    </row>
    <row r="480" spans="7:20" ht="14" x14ac:dyDescent="0.25">
      <c r="G480" s="185" t="s">
        <v>19</v>
      </c>
      <c r="H480" s="223">
        <v>36.9</v>
      </c>
      <c r="I480" s="223">
        <v>6.8</v>
      </c>
      <c r="J480" s="220">
        <f t="shared" si="220"/>
        <v>3.4</v>
      </c>
      <c r="K480" s="220">
        <f t="shared" si="221"/>
        <v>33.5</v>
      </c>
      <c r="L480" s="221">
        <f t="shared" si="222"/>
        <v>3</v>
      </c>
      <c r="M480" s="181">
        <v>21</v>
      </c>
      <c r="N480" s="181">
        <f t="shared" si="223"/>
        <v>4.5</v>
      </c>
      <c r="O480" s="181">
        <f t="shared" si="224"/>
        <v>4.1000000000000014</v>
      </c>
      <c r="P480" s="177">
        <f t="shared" si="225"/>
        <v>11.600000000000001</v>
      </c>
      <c r="Q480" s="177">
        <v>2.35</v>
      </c>
      <c r="R480" s="177">
        <v>1.296</v>
      </c>
      <c r="S480" s="177">
        <f>31*9</f>
        <v>279</v>
      </c>
      <c r="T480" s="222">
        <f t="shared" si="226"/>
        <v>9.8567798400000033</v>
      </c>
    </row>
    <row r="481" spans="7:20" ht="14" x14ac:dyDescent="0.25">
      <c r="G481" s="185" t="s">
        <v>20</v>
      </c>
      <c r="H481" s="223">
        <v>36.799999999999997</v>
      </c>
      <c r="I481" s="223">
        <v>8.3000000000000007</v>
      </c>
      <c r="J481" s="220">
        <f t="shared" si="220"/>
        <v>4.1500000000000004</v>
      </c>
      <c r="K481" s="220">
        <f t="shared" si="221"/>
        <v>32.65</v>
      </c>
      <c r="L481" s="221">
        <f t="shared" si="222"/>
        <v>3</v>
      </c>
      <c r="M481" s="181">
        <v>21</v>
      </c>
      <c r="N481" s="181">
        <f t="shared" si="223"/>
        <v>4.5</v>
      </c>
      <c r="O481" s="181">
        <f t="shared" si="224"/>
        <v>3.25</v>
      </c>
      <c r="P481" s="177">
        <f t="shared" si="225"/>
        <v>10.75</v>
      </c>
      <c r="Q481" s="177">
        <v>2.35</v>
      </c>
      <c r="R481" s="177">
        <v>1.296</v>
      </c>
      <c r="S481" s="177">
        <f>30*9</f>
        <v>270</v>
      </c>
      <c r="T481" s="222">
        <f t="shared" si="226"/>
        <v>8.8398540000000008</v>
      </c>
    </row>
    <row r="482" spans="7:20" ht="14" x14ac:dyDescent="0.25">
      <c r="G482" s="185" t="s">
        <v>21</v>
      </c>
      <c r="H482" s="223">
        <v>35.200000000000003</v>
      </c>
      <c r="I482" s="223">
        <v>11.8</v>
      </c>
      <c r="J482" s="220">
        <f t="shared" si="220"/>
        <v>5.9</v>
      </c>
      <c r="K482" s="220">
        <f t="shared" si="221"/>
        <v>29.300000000000004</v>
      </c>
      <c r="L482" s="221">
        <f t="shared" si="222"/>
        <v>3</v>
      </c>
      <c r="M482" s="181">
        <v>21</v>
      </c>
      <c r="N482" s="181">
        <f t="shared" si="223"/>
        <v>4.5</v>
      </c>
      <c r="O482" s="181">
        <f t="shared" si="224"/>
        <v>-9.9999999999994316E-2</v>
      </c>
      <c r="P482" s="177">
        <f t="shared" si="225"/>
        <v>7.4000000000000057</v>
      </c>
      <c r="Q482" s="177">
        <v>2.35</v>
      </c>
      <c r="R482" s="177">
        <v>1.296</v>
      </c>
      <c r="S482" s="177">
        <f>31*9</f>
        <v>279</v>
      </c>
      <c r="T482" s="222">
        <f t="shared" si="226"/>
        <v>6.2879457600000057</v>
      </c>
    </row>
    <row r="483" spans="7:20" ht="14" x14ac:dyDescent="0.25">
      <c r="G483" s="185" t="s">
        <v>22</v>
      </c>
      <c r="H483" s="223">
        <v>30.8</v>
      </c>
      <c r="I483" s="223">
        <v>13</v>
      </c>
      <c r="J483" s="220">
        <f t="shared" si="220"/>
        <v>6.5</v>
      </c>
      <c r="K483" s="220">
        <f t="shared" si="221"/>
        <v>24.3</v>
      </c>
      <c r="L483" s="221">
        <f t="shared" si="222"/>
        <v>3</v>
      </c>
      <c r="M483" s="181">
        <v>21</v>
      </c>
      <c r="N483" s="181">
        <f t="shared" si="223"/>
        <v>4.5</v>
      </c>
      <c r="O483" s="181">
        <f t="shared" si="224"/>
        <v>-5.0999999999999979</v>
      </c>
      <c r="P483" s="177">
        <f t="shared" si="225"/>
        <v>2.4000000000000021</v>
      </c>
      <c r="Q483" s="177">
        <v>2.35</v>
      </c>
      <c r="R483" s="177">
        <v>1.296</v>
      </c>
      <c r="S483" s="177">
        <f>30*9</f>
        <v>270</v>
      </c>
      <c r="T483" s="222">
        <f t="shared" si="226"/>
        <v>1.9735488000000019</v>
      </c>
    </row>
    <row r="484" spans="7:20" ht="15" x14ac:dyDescent="0.25">
      <c r="G484" s="346" t="s">
        <v>182</v>
      </c>
      <c r="H484" s="347"/>
      <c r="I484" s="347"/>
      <c r="J484" s="347"/>
      <c r="K484" s="347"/>
      <c r="L484" s="347"/>
      <c r="M484" s="347"/>
      <c r="N484" s="347"/>
      <c r="O484" s="347"/>
      <c r="P484" s="347"/>
      <c r="Q484" s="347"/>
      <c r="R484" s="347"/>
      <c r="S484" s="348"/>
      <c r="T484" s="225">
        <f>SUM(T478:T483)</f>
        <v>52.327824120000024</v>
      </c>
    </row>
    <row r="485" spans="7:20" ht="14" x14ac:dyDescent="0.25">
      <c r="G485" s="185" t="s">
        <v>13</v>
      </c>
      <c r="H485" s="223">
        <v>43.8</v>
      </c>
      <c r="I485" s="223">
        <v>10.1</v>
      </c>
      <c r="J485" s="220">
        <f t="shared" ref="J485:J490" si="227">I485/2</f>
        <v>5.05</v>
      </c>
      <c r="K485" s="220">
        <f t="shared" ref="K485:K490" si="228">H485-J485</f>
        <v>38.75</v>
      </c>
      <c r="L485" s="221">
        <f>D173</f>
        <v>3</v>
      </c>
      <c r="M485" s="181">
        <v>22</v>
      </c>
      <c r="N485" s="181">
        <f t="shared" ref="N485:N490" si="229">25.5-M485</f>
        <v>3.5</v>
      </c>
      <c r="O485" s="181">
        <f t="shared" ref="O485:O490" si="230">K485-29.4</f>
        <v>9.3500000000000014</v>
      </c>
      <c r="P485" s="177">
        <f t="shared" ref="P485:P490" si="231">L485+N485+O485</f>
        <v>15.850000000000001</v>
      </c>
      <c r="Q485" s="177">
        <v>2.35</v>
      </c>
      <c r="R485" s="177">
        <v>1.296</v>
      </c>
      <c r="S485" s="177">
        <f>30*9</f>
        <v>270</v>
      </c>
      <c r="T485" s="222">
        <f t="shared" ref="T485:T490" si="232">(P485*Q485*R485*S485)/1000</f>
        <v>13.0336452</v>
      </c>
    </row>
    <row r="486" spans="7:20" ht="14" x14ac:dyDescent="0.25">
      <c r="G486" s="185" t="s">
        <v>24</v>
      </c>
      <c r="H486" s="223">
        <v>39</v>
      </c>
      <c r="I486" s="223">
        <v>7.1</v>
      </c>
      <c r="J486" s="220">
        <f t="shared" si="227"/>
        <v>3.55</v>
      </c>
      <c r="K486" s="220">
        <f t="shared" si="228"/>
        <v>35.450000000000003</v>
      </c>
      <c r="L486" s="221">
        <f>D173</f>
        <v>3</v>
      </c>
      <c r="M486" s="181">
        <v>22</v>
      </c>
      <c r="N486" s="181">
        <f t="shared" si="229"/>
        <v>3.5</v>
      </c>
      <c r="O486" s="181">
        <f t="shared" si="230"/>
        <v>6.0500000000000043</v>
      </c>
      <c r="P486" s="177">
        <f t="shared" si="231"/>
        <v>12.550000000000004</v>
      </c>
      <c r="Q486" s="177">
        <v>2.35</v>
      </c>
      <c r="R486" s="177">
        <v>1.296</v>
      </c>
      <c r="S486" s="177">
        <f>31*9</f>
        <v>279</v>
      </c>
      <c r="T486" s="222">
        <f t="shared" si="232"/>
        <v>10.664016120000003</v>
      </c>
    </row>
    <row r="487" spans="7:20" ht="14" x14ac:dyDescent="0.25">
      <c r="G487" s="185" t="s">
        <v>19</v>
      </c>
      <c r="H487" s="223">
        <v>36.9</v>
      </c>
      <c r="I487" s="223">
        <v>6.8</v>
      </c>
      <c r="J487" s="220">
        <f t="shared" si="227"/>
        <v>3.4</v>
      </c>
      <c r="K487" s="220">
        <f t="shared" si="228"/>
        <v>33.5</v>
      </c>
      <c r="L487" s="221">
        <f>D173</f>
        <v>3</v>
      </c>
      <c r="M487" s="181">
        <v>22</v>
      </c>
      <c r="N487" s="181">
        <f t="shared" si="229"/>
        <v>3.5</v>
      </c>
      <c r="O487" s="181">
        <f t="shared" si="230"/>
        <v>4.1000000000000014</v>
      </c>
      <c r="P487" s="177">
        <f t="shared" si="231"/>
        <v>10.600000000000001</v>
      </c>
      <c r="Q487" s="177">
        <v>2.35</v>
      </c>
      <c r="R487" s="177">
        <v>1.296</v>
      </c>
      <c r="S487" s="177">
        <f>31*9</f>
        <v>279</v>
      </c>
      <c r="T487" s="222">
        <f t="shared" si="232"/>
        <v>9.0070574400000023</v>
      </c>
    </row>
    <row r="488" spans="7:20" ht="14" x14ac:dyDescent="0.25">
      <c r="G488" s="185" t="s">
        <v>20</v>
      </c>
      <c r="H488" s="223">
        <v>36.799999999999997</v>
      </c>
      <c r="I488" s="223">
        <v>8.3000000000000007</v>
      </c>
      <c r="J488" s="220">
        <f t="shared" si="227"/>
        <v>4.1500000000000004</v>
      </c>
      <c r="K488" s="220">
        <f t="shared" si="228"/>
        <v>32.65</v>
      </c>
      <c r="L488" s="221">
        <f>D173</f>
        <v>3</v>
      </c>
      <c r="M488" s="181">
        <v>22</v>
      </c>
      <c r="N488" s="181">
        <f t="shared" si="229"/>
        <v>3.5</v>
      </c>
      <c r="O488" s="181">
        <f t="shared" si="230"/>
        <v>3.25</v>
      </c>
      <c r="P488" s="177">
        <f t="shared" si="231"/>
        <v>9.75</v>
      </c>
      <c r="Q488" s="177">
        <v>2.35</v>
      </c>
      <c r="R488" s="177">
        <v>1.296</v>
      </c>
      <c r="S488" s="177">
        <f>30*9</f>
        <v>270</v>
      </c>
      <c r="T488" s="222">
        <f t="shared" si="232"/>
        <v>8.0175420000000006</v>
      </c>
    </row>
    <row r="489" spans="7:20" ht="14" x14ac:dyDescent="0.25">
      <c r="G489" s="185" t="s">
        <v>21</v>
      </c>
      <c r="H489" s="223">
        <v>35.200000000000003</v>
      </c>
      <c r="I489" s="223">
        <v>11.8</v>
      </c>
      <c r="J489" s="220">
        <f t="shared" si="227"/>
        <v>5.9</v>
      </c>
      <c r="K489" s="220">
        <f t="shared" si="228"/>
        <v>29.300000000000004</v>
      </c>
      <c r="L489" s="221">
        <f>D173</f>
        <v>3</v>
      </c>
      <c r="M489" s="181">
        <v>22</v>
      </c>
      <c r="N489" s="181">
        <f t="shared" si="229"/>
        <v>3.5</v>
      </c>
      <c r="O489" s="181">
        <f t="shared" si="230"/>
        <v>-9.9999999999994316E-2</v>
      </c>
      <c r="P489" s="177">
        <f t="shared" si="231"/>
        <v>6.4000000000000057</v>
      </c>
      <c r="Q489" s="177">
        <v>2.35</v>
      </c>
      <c r="R489" s="177">
        <v>1.296</v>
      </c>
      <c r="S489" s="177">
        <f>31*9</f>
        <v>279</v>
      </c>
      <c r="T489" s="222">
        <f t="shared" si="232"/>
        <v>5.4382233600000047</v>
      </c>
    </row>
    <row r="490" spans="7:20" ht="14" x14ac:dyDescent="0.25">
      <c r="G490" s="185" t="s">
        <v>22</v>
      </c>
      <c r="H490" s="223">
        <v>30.8</v>
      </c>
      <c r="I490" s="223">
        <v>13</v>
      </c>
      <c r="J490" s="220">
        <f t="shared" si="227"/>
        <v>6.5</v>
      </c>
      <c r="K490" s="220">
        <f t="shared" si="228"/>
        <v>24.3</v>
      </c>
      <c r="L490" s="221">
        <f>D173</f>
        <v>3</v>
      </c>
      <c r="M490" s="181">
        <v>22</v>
      </c>
      <c r="N490" s="181">
        <f t="shared" si="229"/>
        <v>3.5</v>
      </c>
      <c r="O490" s="181">
        <f t="shared" si="230"/>
        <v>-5.0999999999999979</v>
      </c>
      <c r="P490" s="177">
        <f t="shared" si="231"/>
        <v>1.4000000000000021</v>
      </c>
      <c r="Q490" s="177">
        <v>2.35</v>
      </c>
      <c r="R490" s="177">
        <v>1.296</v>
      </c>
      <c r="S490" s="177">
        <f>30*9</f>
        <v>270</v>
      </c>
      <c r="T490" s="222">
        <f t="shared" si="232"/>
        <v>1.1512368000000017</v>
      </c>
    </row>
    <row r="491" spans="7:20" ht="15" x14ac:dyDescent="0.25">
      <c r="G491" s="346" t="s">
        <v>184</v>
      </c>
      <c r="H491" s="347"/>
      <c r="I491" s="347"/>
      <c r="J491" s="347"/>
      <c r="K491" s="347"/>
      <c r="L491" s="347"/>
      <c r="M491" s="347"/>
      <c r="N491" s="347"/>
      <c r="O491" s="347"/>
      <c r="P491" s="347"/>
      <c r="Q491" s="347"/>
      <c r="R491" s="347"/>
      <c r="S491" s="348"/>
      <c r="T491" s="225">
        <f>SUM(T485:T490)</f>
        <v>47.311720920000006</v>
      </c>
    </row>
    <row r="492" spans="7:20" ht="14" x14ac:dyDescent="0.25">
      <c r="G492" s="185" t="s">
        <v>13</v>
      </c>
      <c r="H492" s="223">
        <v>43.8</v>
      </c>
      <c r="I492" s="223">
        <v>10.1</v>
      </c>
      <c r="J492" s="220">
        <f t="shared" ref="J492:J497" si="233">I492/2</f>
        <v>5.05</v>
      </c>
      <c r="K492" s="220">
        <f t="shared" ref="K492:K497" si="234">H492-J492</f>
        <v>38.75</v>
      </c>
      <c r="L492" s="221">
        <f>D173</f>
        <v>3</v>
      </c>
      <c r="M492" s="181">
        <v>23</v>
      </c>
      <c r="N492" s="181">
        <f t="shared" ref="N492:N497" si="235">25.5-M492</f>
        <v>2.5</v>
      </c>
      <c r="O492" s="181">
        <f t="shared" ref="O492:O497" si="236">K492-29.4</f>
        <v>9.3500000000000014</v>
      </c>
      <c r="P492" s="177">
        <f t="shared" ref="P492:P497" si="237">L492+N492+O492</f>
        <v>14.850000000000001</v>
      </c>
      <c r="Q492" s="177">
        <v>2.35</v>
      </c>
      <c r="R492" s="177">
        <v>1.296</v>
      </c>
      <c r="S492" s="177">
        <f>30*9</f>
        <v>270</v>
      </c>
      <c r="T492" s="222">
        <f t="shared" ref="T492:T497" si="238">(P492*Q492*R492*S492)/1000</f>
        <v>12.211333200000002</v>
      </c>
    </row>
    <row r="493" spans="7:20" ht="14" x14ac:dyDescent="0.25">
      <c r="G493" s="185" t="s">
        <v>24</v>
      </c>
      <c r="H493" s="223">
        <v>39</v>
      </c>
      <c r="I493" s="223">
        <v>7.1</v>
      </c>
      <c r="J493" s="220">
        <f t="shared" si="233"/>
        <v>3.55</v>
      </c>
      <c r="K493" s="220">
        <f t="shared" si="234"/>
        <v>35.450000000000003</v>
      </c>
      <c r="L493" s="221">
        <f>D173</f>
        <v>3</v>
      </c>
      <c r="M493" s="181">
        <v>23</v>
      </c>
      <c r="N493" s="181">
        <f t="shared" si="235"/>
        <v>2.5</v>
      </c>
      <c r="O493" s="181">
        <f t="shared" si="236"/>
        <v>6.0500000000000043</v>
      </c>
      <c r="P493" s="177">
        <f t="shared" si="237"/>
        <v>11.550000000000004</v>
      </c>
      <c r="Q493" s="177">
        <v>2.35</v>
      </c>
      <c r="R493" s="177">
        <v>1.296</v>
      </c>
      <c r="S493" s="177">
        <f>31*9</f>
        <v>279</v>
      </c>
      <c r="T493" s="222">
        <f t="shared" si="238"/>
        <v>9.8142937200000055</v>
      </c>
    </row>
    <row r="494" spans="7:20" ht="14" x14ac:dyDescent="0.25">
      <c r="G494" s="185" t="s">
        <v>19</v>
      </c>
      <c r="H494" s="223">
        <v>36.9</v>
      </c>
      <c r="I494" s="223">
        <v>6.8</v>
      </c>
      <c r="J494" s="220">
        <f t="shared" si="233"/>
        <v>3.4</v>
      </c>
      <c r="K494" s="220">
        <f t="shared" si="234"/>
        <v>33.5</v>
      </c>
      <c r="L494" s="221">
        <f>D173</f>
        <v>3</v>
      </c>
      <c r="M494" s="181">
        <v>23</v>
      </c>
      <c r="N494" s="181">
        <f t="shared" si="235"/>
        <v>2.5</v>
      </c>
      <c r="O494" s="181">
        <f t="shared" si="236"/>
        <v>4.1000000000000014</v>
      </c>
      <c r="P494" s="177">
        <f t="shared" si="237"/>
        <v>9.6000000000000014</v>
      </c>
      <c r="Q494" s="177">
        <v>2.35</v>
      </c>
      <c r="R494" s="177">
        <v>1.296</v>
      </c>
      <c r="S494" s="177">
        <f>31*9</f>
        <v>279</v>
      </c>
      <c r="T494" s="222">
        <f t="shared" si="238"/>
        <v>8.1573350400000031</v>
      </c>
    </row>
    <row r="495" spans="7:20" ht="14" x14ac:dyDescent="0.25">
      <c r="G495" s="185" t="s">
        <v>20</v>
      </c>
      <c r="H495" s="223">
        <v>36.799999999999997</v>
      </c>
      <c r="I495" s="223">
        <v>8.3000000000000007</v>
      </c>
      <c r="J495" s="220">
        <f t="shared" si="233"/>
        <v>4.1500000000000004</v>
      </c>
      <c r="K495" s="220">
        <f t="shared" si="234"/>
        <v>32.65</v>
      </c>
      <c r="L495" s="221">
        <f>D173</f>
        <v>3</v>
      </c>
      <c r="M495" s="181">
        <v>23</v>
      </c>
      <c r="N495" s="181">
        <f t="shared" si="235"/>
        <v>2.5</v>
      </c>
      <c r="O495" s="181">
        <f t="shared" si="236"/>
        <v>3.25</v>
      </c>
      <c r="P495" s="177">
        <f t="shared" si="237"/>
        <v>8.75</v>
      </c>
      <c r="Q495" s="177">
        <v>2.35</v>
      </c>
      <c r="R495" s="177">
        <v>1.296</v>
      </c>
      <c r="S495" s="177">
        <f>30*9</f>
        <v>270</v>
      </c>
      <c r="T495" s="222">
        <f t="shared" si="238"/>
        <v>7.1952300000000005</v>
      </c>
    </row>
    <row r="496" spans="7:20" ht="14" x14ac:dyDescent="0.25">
      <c r="G496" s="185" t="s">
        <v>21</v>
      </c>
      <c r="H496" s="223">
        <v>35.200000000000003</v>
      </c>
      <c r="I496" s="223">
        <v>11.8</v>
      </c>
      <c r="J496" s="220">
        <f t="shared" si="233"/>
        <v>5.9</v>
      </c>
      <c r="K496" s="220">
        <f t="shared" si="234"/>
        <v>29.300000000000004</v>
      </c>
      <c r="L496" s="221">
        <f>D173</f>
        <v>3</v>
      </c>
      <c r="M496" s="181">
        <v>23</v>
      </c>
      <c r="N496" s="181">
        <f t="shared" si="235"/>
        <v>2.5</v>
      </c>
      <c r="O496" s="181">
        <f t="shared" si="236"/>
        <v>-9.9999999999994316E-2</v>
      </c>
      <c r="P496" s="177">
        <f t="shared" si="237"/>
        <v>5.4000000000000057</v>
      </c>
      <c r="Q496" s="177">
        <v>2.35</v>
      </c>
      <c r="R496" s="177">
        <v>1.296</v>
      </c>
      <c r="S496" s="177">
        <f>31*9</f>
        <v>279</v>
      </c>
      <c r="T496" s="222">
        <f t="shared" si="238"/>
        <v>4.5885009600000046</v>
      </c>
    </row>
    <row r="497" spans="7:20" ht="14" x14ac:dyDescent="0.25">
      <c r="G497" s="185" t="s">
        <v>22</v>
      </c>
      <c r="H497" s="223">
        <v>30.8</v>
      </c>
      <c r="I497" s="223">
        <v>13</v>
      </c>
      <c r="J497" s="220">
        <f t="shared" si="233"/>
        <v>6.5</v>
      </c>
      <c r="K497" s="220">
        <f t="shared" si="234"/>
        <v>24.3</v>
      </c>
      <c r="L497" s="221">
        <f>D173</f>
        <v>3</v>
      </c>
      <c r="M497" s="181">
        <v>23</v>
      </c>
      <c r="N497" s="181">
        <f t="shared" si="235"/>
        <v>2.5</v>
      </c>
      <c r="O497" s="181">
        <f t="shared" si="236"/>
        <v>-5.0999999999999979</v>
      </c>
      <c r="P497" s="177">
        <f t="shared" si="237"/>
        <v>0.40000000000000213</v>
      </c>
      <c r="Q497" s="177">
        <v>2.35</v>
      </c>
      <c r="R497" s="177">
        <v>1.296</v>
      </c>
      <c r="S497" s="177">
        <f>30*9</f>
        <v>270</v>
      </c>
      <c r="T497" s="222">
        <f t="shared" si="238"/>
        <v>0.32892480000000185</v>
      </c>
    </row>
    <row r="498" spans="7:20" ht="15" x14ac:dyDescent="0.25">
      <c r="G498" s="346" t="s">
        <v>154</v>
      </c>
      <c r="H498" s="347"/>
      <c r="I498" s="347"/>
      <c r="J498" s="347"/>
      <c r="K498" s="347"/>
      <c r="L498" s="347"/>
      <c r="M498" s="347"/>
      <c r="N498" s="347"/>
      <c r="O498" s="347"/>
      <c r="P498" s="347"/>
      <c r="Q498" s="347"/>
      <c r="R498" s="347"/>
      <c r="S498" s="348"/>
      <c r="T498" s="225">
        <f>SUM(T492:T497)</f>
        <v>42.295617720000017</v>
      </c>
    </row>
    <row r="499" spans="7:20" ht="14" x14ac:dyDescent="0.25">
      <c r="G499" s="185" t="s">
        <v>13</v>
      </c>
      <c r="H499" s="223">
        <v>43.8</v>
      </c>
      <c r="I499" s="223">
        <v>10.1</v>
      </c>
      <c r="J499" s="220">
        <f t="shared" ref="J499:J504" si="239">I499/2</f>
        <v>5.05</v>
      </c>
      <c r="K499" s="220">
        <f t="shared" ref="K499:K504" si="240">H499-J499</f>
        <v>38.75</v>
      </c>
      <c r="L499" s="221">
        <f>D173</f>
        <v>3</v>
      </c>
      <c r="M499" s="181">
        <v>24</v>
      </c>
      <c r="N499" s="181">
        <f t="shared" ref="N499:N504" si="241">25.5-M499</f>
        <v>1.5</v>
      </c>
      <c r="O499" s="181">
        <f t="shared" ref="O499:O504" si="242">K499-29.4</f>
        <v>9.3500000000000014</v>
      </c>
      <c r="P499" s="177">
        <f t="shared" ref="P499:P504" si="243">L499+N499+O499</f>
        <v>13.850000000000001</v>
      </c>
      <c r="Q499" s="177">
        <v>2.35</v>
      </c>
      <c r="R499" s="177">
        <v>1.296</v>
      </c>
      <c r="S499" s="177">
        <f>30*9</f>
        <v>270</v>
      </c>
      <c r="T499" s="222">
        <f t="shared" ref="T499:T504" si="244">(P499*Q499*R499*S499)/1000</f>
        <v>11.389021200000004</v>
      </c>
    </row>
    <row r="500" spans="7:20" ht="14" x14ac:dyDescent="0.25">
      <c r="G500" s="185" t="s">
        <v>24</v>
      </c>
      <c r="H500" s="223">
        <v>39</v>
      </c>
      <c r="I500" s="223">
        <v>7.1</v>
      </c>
      <c r="J500" s="220">
        <f t="shared" si="239"/>
        <v>3.55</v>
      </c>
      <c r="K500" s="220">
        <f t="shared" si="240"/>
        <v>35.450000000000003</v>
      </c>
      <c r="L500" s="221">
        <f>D173</f>
        <v>3</v>
      </c>
      <c r="M500" s="181">
        <v>24</v>
      </c>
      <c r="N500" s="192">
        <f t="shared" si="241"/>
        <v>1.5</v>
      </c>
      <c r="O500" s="192">
        <f t="shared" si="242"/>
        <v>6.0500000000000043</v>
      </c>
      <c r="P500" s="177">
        <f t="shared" si="243"/>
        <v>10.550000000000004</v>
      </c>
      <c r="Q500" s="177">
        <v>2.35</v>
      </c>
      <c r="R500" s="177">
        <v>1.296</v>
      </c>
      <c r="S500" s="177">
        <f>31*9</f>
        <v>279</v>
      </c>
      <c r="T500" s="222">
        <f t="shared" si="244"/>
        <v>8.9645713200000046</v>
      </c>
    </row>
    <row r="501" spans="7:20" ht="14" x14ac:dyDescent="0.25">
      <c r="G501" s="185" t="s">
        <v>19</v>
      </c>
      <c r="H501" s="223">
        <v>36.9</v>
      </c>
      <c r="I501" s="223">
        <v>6.8</v>
      </c>
      <c r="J501" s="220">
        <f t="shared" si="239"/>
        <v>3.4</v>
      </c>
      <c r="K501" s="220">
        <f t="shared" si="240"/>
        <v>33.5</v>
      </c>
      <c r="L501" s="221">
        <f>D173</f>
        <v>3</v>
      </c>
      <c r="M501" s="181">
        <v>24</v>
      </c>
      <c r="N501" s="192">
        <f t="shared" si="241"/>
        <v>1.5</v>
      </c>
      <c r="O501" s="192">
        <f t="shared" si="242"/>
        <v>4.1000000000000014</v>
      </c>
      <c r="P501" s="177">
        <f t="shared" si="243"/>
        <v>8.6000000000000014</v>
      </c>
      <c r="Q501" s="177">
        <v>2.35</v>
      </c>
      <c r="R501" s="177">
        <v>1.296</v>
      </c>
      <c r="S501" s="177">
        <f>31*9</f>
        <v>279</v>
      </c>
      <c r="T501" s="222">
        <f t="shared" si="244"/>
        <v>7.3076126400000012</v>
      </c>
    </row>
    <row r="502" spans="7:20" ht="14" x14ac:dyDescent="0.25">
      <c r="G502" s="185" t="s">
        <v>20</v>
      </c>
      <c r="H502" s="223">
        <v>36.799999999999997</v>
      </c>
      <c r="I502" s="223">
        <v>8.3000000000000007</v>
      </c>
      <c r="J502" s="220">
        <f t="shared" si="239"/>
        <v>4.1500000000000004</v>
      </c>
      <c r="K502" s="220">
        <f t="shared" si="240"/>
        <v>32.65</v>
      </c>
      <c r="L502" s="221">
        <f>D173</f>
        <v>3</v>
      </c>
      <c r="M502" s="181">
        <v>24</v>
      </c>
      <c r="N502" s="192">
        <f t="shared" si="241"/>
        <v>1.5</v>
      </c>
      <c r="O502" s="192">
        <f t="shared" si="242"/>
        <v>3.25</v>
      </c>
      <c r="P502" s="177">
        <f t="shared" si="243"/>
        <v>7.75</v>
      </c>
      <c r="Q502" s="177">
        <v>2.35</v>
      </c>
      <c r="R502" s="177">
        <v>1.296</v>
      </c>
      <c r="S502" s="177">
        <f>30*9</f>
        <v>270</v>
      </c>
      <c r="T502" s="222">
        <f t="shared" si="244"/>
        <v>6.3729180000000012</v>
      </c>
    </row>
    <row r="503" spans="7:20" ht="14" x14ac:dyDescent="0.25">
      <c r="G503" s="185" t="s">
        <v>21</v>
      </c>
      <c r="H503" s="223">
        <v>35.200000000000003</v>
      </c>
      <c r="I503" s="223">
        <v>11.8</v>
      </c>
      <c r="J503" s="220">
        <f t="shared" si="239"/>
        <v>5.9</v>
      </c>
      <c r="K503" s="220">
        <f t="shared" si="240"/>
        <v>29.300000000000004</v>
      </c>
      <c r="L503" s="221">
        <f>D173</f>
        <v>3</v>
      </c>
      <c r="M503" s="181">
        <v>24</v>
      </c>
      <c r="N503" s="192">
        <f t="shared" si="241"/>
        <v>1.5</v>
      </c>
      <c r="O503" s="192">
        <f t="shared" si="242"/>
        <v>-9.9999999999994316E-2</v>
      </c>
      <c r="P503" s="177">
        <f t="shared" si="243"/>
        <v>4.4000000000000057</v>
      </c>
      <c r="Q503" s="177">
        <v>2.35</v>
      </c>
      <c r="R503" s="177">
        <v>1.296</v>
      </c>
      <c r="S503" s="177">
        <f>31*9</f>
        <v>279</v>
      </c>
      <c r="T503" s="222">
        <f t="shared" si="244"/>
        <v>3.7387785600000054</v>
      </c>
    </row>
    <row r="504" spans="7:20" ht="14" x14ac:dyDescent="0.25">
      <c r="G504" s="185" t="s">
        <v>22</v>
      </c>
      <c r="H504" s="223">
        <v>30.8</v>
      </c>
      <c r="I504" s="223">
        <v>13</v>
      </c>
      <c r="J504" s="220">
        <f t="shared" si="239"/>
        <v>6.5</v>
      </c>
      <c r="K504" s="220">
        <f t="shared" si="240"/>
        <v>24.3</v>
      </c>
      <c r="L504" s="221">
        <f>D173</f>
        <v>3</v>
      </c>
      <c r="M504" s="181">
        <v>24</v>
      </c>
      <c r="N504" s="181">
        <f t="shared" si="241"/>
        <v>1.5</v>
      </c>
      <c r="O504" s="181">
        <f t="shared" si="242"/>
        <v>-5.0999999999999979</v>
      </c>
      <c r="P504" s="177">
        <f t="shared" si="243"/>
        <v>-0.59999999999999787</v>
      </c>
      <c r="Q504" s="177">
        <v>2.35</v>
      </c>
      <c r="R504" s="177">
        <v>1.296</v>
      </c>
      <c r="S504" s="177">
        <f>30*9</f>
        <v>270</v>
      </c>
      <c r="T504" s="222">
        <f t="shared" si="244"/>
        <v>-0.4933871999999983</v>
      </c>
    </row>
    <row r="505" spans="7:20" ht="15" x14ac:dyDescent="0.25">
      <c r="G505" s="346" t="s">
        <v>155</v>
      </c>
      <c r="H505" s="347"/>
      <c r="I505" s="347"/>
      <c r="J505" s="347"/>
      <c r="K505" s="347"/>
      <c r="L505" s="347"/>
      <c r="M505" s="347"/>
      <c r="N505" s="347"/>
      <c r="O505" s="347"/>
      <c r="P505" s="347"/>
      <c r="Q505" s="347"/>
      <c r="R505" s="347"/>
      <c r="S505" s="348"/>
      <c r="T505" s="225">
        <f>SUM(T499:T504)</f>
        <v>37.279514520000014</v>
      </c>
    </row>
    <row r="506" spans="7:20" ht="14" x14ac:dyDescent="0.25">
      <c r="G506" s="185" t="s">
        <v>13</v>
      </c>
      <c r="H506" s="223">
        <v>43.8</v>
      </c>
      <c r="I506" s="223">
        <v>10.1</v>
      </c>
      <c r="J506" s="220">
        <f t="shared" ref="J506:J511" si="245">I506/2</f>
        <v>5.05</v>
      </c>
      <c r="K506" s="220">
        <f t="shared" ref="K506:K511" si="246">H506-J506</f>
        <v>38.75</v>
      </c>
      <c r="L506" s="221">
        <f>D173</f>
        <v>3</v>
      </c>
      <c r="M506" s="181">
        <v>25</v>
      </c>
      <c r="N506" s="181">
        <f t="shared" ref="N506:N511" si="247">25.5-M506</f>
        <v>0.5</v>
      </c>
      <c r="O506" s="181">
        <f t="shared" ref="O506:O511" si="248">K506-29.4</f>
        <v>9.3500000000000014</v>
      </c>
      <c r="P506" s="177">
        <f t="shared" ref="P506:P511" si="249">L506+N506+O506</f>
        <v>12.850000000000001</v>
      </c>
      <c r="Q506" s="177">
        <v>2.35</v>
      </c>
      <c r="R506" s="177">
        <v>1.296</v>
      </c>
      <c r="S506" s="177">
        <f>30*9</f>
        <v>270</v>
      </c>
      <c r="T506" s="222">
        <f t="shared" ref="T506:T511" si="250">(P506*Q506*R506*S506)/1000</f>
        <v>10.566709200000004</v>
      </c>
    </row>
    <row r="507" spans="7:20" ht="14" x14ac:dyDescent="0.25">
      <c r="G507" s="185" t="s">
        <v>24</v>
      </c>
      <c r="H507" s="223">
        <v>39</v>
      </c>
      <c r="I507" s="223">
        <v>7.1</v>
      </c>
      <c r="J507" s="223">
        <f t="shared" si="245"/>
        <v>3.55</v>
      </c>
      <c r="K507" s="220">
        <f t="shared" si="246"/>
        <v>35.450000000000003</v>
      </c>
      <c r="L507" s="190">
        <f>D173</f>
        <v>3</v>
      </c>
      <c r="M507" s="177">
        <v>25</v>
      </c>
      <c r="N507" s="177">
        <f t="shared" si="247"/>
        <v>0.5</v>
      </c>
      <c r="O507" s="177">
        <f t="shared" si="248"/>
        <v>6.0500000000000043</v>
      </c>
      <c r="P507" s="177">
        <f t="shared" si="249"/>
        <v>9.5500000000000043</v>
      </c>
      <c r="Q507" s="177">
        <v>2.35</v>
      </c>
      <c r="R507" s="177">
        <v>1.296</v>
      </c>
      <c r="S507" s="177">
        <f>31*9</f>
        <v>279</v>
      </c>
      <c r="T507" s="222">
        <f t="shared" si="250"/>
        <v>8.1148489200000036</v>
      </c>
    </row>
    <row r="508" spans="7:20" ht="14" x14ac:dyDescent="0.25">
      <c r="G508" s="185" t="s">
        <v>19</v>
      </c>
      <c r="H508" s="223">
        <v>36.9</v>
      </c>
      <c r="I508" s="223">
        <v>6.8</v>
      </c>
      <c r="J508" s="223">
        <f t="shared" si="245"/>
        <v>3.4</v>
      </c>
      <c r="K508" s="220">
        <f t="shared" si="246"/>
        <v>33.5</v>
      </c>
      <c r="L508" s="190">
        <f>D173</f>
        <v>3</v>
      </c>
      <c r="M508" s="177">
        <v>25</v>
      </c>
      <c r="N508" s="177">
        <f t="shared" si="247"/>
        <v>0.5</v>
      </c>
      <c r="O508" s="177">
        <f t="shared" si="248"/>
        <v>4.1000000000000014</v>
      </c>
      <c r="P508" s="177">
        <f t="shared" si="249"/>
        <v>7.6000000000000014</v>
      </c>
      <c r="Q508" s="177">
        <v>2.35</v>
      </c>
      <c r="R508" s="177">
        <v>1.296</v>
      </c>
      <c r="S508" s="177">
        <f>31*9</f>
        <v>279</v>
      </c>
      <c r="T508" s="222">
        <f t="shared" si="250"/>
        <v>6.4578902400000011</v>
      </c>
    </row>
    <row r="509" spans="7:20" ht="14" x14ac:dyDescent="0.25">
      <c r="G509" s="185" t="s">
        <v>20</v>
      </c>
      <c r="H509" s="223">
        <v>36.799999999999997</v>
      </c>
      <c r="I509" s="223">
        <v>8.3000000000000007</v>
      </c>
      <c r="J509" s="223">
        <f t="shared" si="245"/>
        <v>4.1500000000000004</v>
      </c>
      <c r="K509" s="220">
        <f t="shared" si="246"/>
        <v>32.65</v>
      </c>
      <c r="L509" s="190">
        <f>D173</f>
        <v>3</v>
      </c>
      <c r="M509" s="177">
        <v>25</v>
      </c>
      <c r="N509" s="177">
        <f t="shared" si="247"/>
        <v>0.5</v>
      </c>
      <c r="O509" s="177">
        <f t="shared" si="248"/>
        <v>3.25</v>
      </c>
      <c r="P509" s="177">
        <f t="shared" si="249"/>
        <v>6.75</v>
      </c>
      <c r="Q509" s="177">
        <v>2.35</v>
      </c>
      <c r="R509" s="177">
        <v>1.296</v>
      </c>
      <c r="S509" s="177">
        <f>30*9</f>
        <v>270</v>
      </c>
      <c r="T509" s="222">
        <f t="shared" si="250"/>
        <v>5.5506060000000002</v>
      </c>
    </row>
    <row r="510" spans="7:20" ht="14" x14ac:dyDescent="0.25">
      <c r="G510" s="185" t="s">
        <v>21</v>
      </c>
      <c r="H510" s="223">
        <v>35.200000000000003</v>
      </c>
      <c r="I510" s="223">
        <v>11.8</v>
      </c>
      <c r="J510" s="223">
        <f t="shared" si="245"/>
        <v>5.9</v>
      </c>
      <c r="K510" s="220">
        <f t="shared" si="246"/>
        <v>29.300000000000004</v>
      </c>
      <c r="L510" s="190">
        <f>D173</f>
        <v>3</v>
      </c>
      <c r="M510" s="177">
        <v>25</v>
      </c>
      <c r="N510" s="177">
        <f t="shared" si="247"/>
        <v>0.5</v>
      </c>
      <c r="O510" s="177">
        <f t="shared" si="248"/>
        <v>-9.9999999999994316E-2</v>
      </c>
      <c r="P510" s="177">
        <f t="shared" si="249"/>
        <v>3.4000000000000057</v>
      </c>
      <c r="Q510" s="177">
        <v>2.35</v>
      </c>
      <c r="R510" s="177">
        <v>1.296</v>
      </c>
      <c r="S510" s="177">
        <f>31*9</f>
        <v>279</v>
      </c>
      <c r="T510" s="222">
        <f t="shared" si="250"/>
        <v>2.8890561600000053</v>
      </c>
    </row>
    <row r="511" spans="7:20" ht="14" x14ac:dyDescent="0.25">
      <c r="G511" s="185" t="s">
        <v>22</v>
      </c>
      <c r="H511" s="223">
        <v>30.8</v>
      </c>
      <c r="I511" s="223">
        <v>13</v>
      </c>
      <c r="J511" s="220">
        <f t="shared" si="245"/>
        <v>6.5</v>
      </c>
      <c r="K511" s="220">
        <f t="shared" si="246"/>
        <v>24.3</v>
      </c>
      <c r="L511" s="221">
        <f>D173</f>
        <v>3</v>
      </c>
      <c r="M511" s="181">
        <v>25</v>
      </c>
      <c r="N511" s="181">
        <f t="shared" si="247"/>
        <v>0.5</v>
      </c>
      <c r="O511" s="181">
        <f t="shared" si="248"/>
        <v>-5.0999999999999979</v>
      </c>
      <c r="P511" s="177">
        <f t="shared" si="249"/>
        <v>-1.5999999999999979</v>
      </c>
      <c r="Q511" s="177">
        <v>2.35</v>
      </c>
      <c r="R511" s="177">
        <v>1.296</v>
      </c>
      <c r="S511" s="177">
        <f>30*9</f>
        <v>270</v>
      </c>
      <c r="T511" s="222">
        <f t="shared" si="250"/>
        <v>-1.3156991999999983</v>
      </c>
    </row>
    <row r="512" spans="7:20" ht="15.5" thickBot="1" x14ac:dyDescent="0.3">
      <c r="G512" s="349" t="s">
        <v>155</v>
      </c>
      <c r="H512" s="350"/>
      <c r="I512" s="350"/>
      <c r="J512" s="350"/>
      <c r="K512" s="350"/>
      <c r="L512" s="350"/>
      <c r="M512" s="350"/>
      <c r="N512" s="350"/>
      <c r="O512" s="350"/>
      <c r="P512" s="350"/>
      <c r="Q512" s="350"/>
      <c r="R512" s="350"/>
      <c r="S512" s="351"/>
      <c r="T512" s="246">
        <f>SUM(T506:T511)</f>
        <v>32.26341132000001</v>
      </c>
    </row>
    <row r="513" spans="7:20" hidden="1" x14ac:dyDescent="0.25"/>
    <row r="514" spans="7:20" ht="13" thickBot="1" x14ac:dyDescent="0.3"/>
    <row r="515" spans="7:20" ht="13" x14ac:dyDescent="0.3">
      <c r="G515" s="295" t="s">
        <v>166</v>
      </c>
      <c r="H515" s="296"/>
      <c r="I515" s="296"/>
      <c r="J515" s="296"/>
      <c r="K515" s="296"/>
      <c r="L515" s="296"/>
      <c r="M515" s="297"/>
    </row>
    <row r="516" spans="7:20" ht="15" x14ac:dyDescent="0.25">
      <c r="G516" s="230" t="s">
        <v>78</v>
      </c>
      <c r="H516" s="218" t="s">
        <v>63</v>
      </c>
      <c r="I516" s="218" t="s">
        <v>64</v>
      </c>
      <c r="J516" s="218" t="s">
        <v>79</v>
      </c>
      <c r="K516" s="218" t="s">
        <v>82</v>
      </c>
      <c r="L516" s="218" t="s">
        <v>57</v>
      </c>
      <c r="M516" s="231" t="s">
        <v>80</v>
      </c>
    </row>
    <row r="517" spans="7:20" x14ac:dyDescent="0.25">
      <c r="G517" s="185" t="s">
        <v>13</v>
      </c>
      <c r="H517" s="177">
        <v>0.55000000000000004</v>
      </c>
      <c r="I517" s="177">
        <v>0.51</v>
      </c>
      <c r="J517" s="244">
        <v>138.80000000000001</v>
      </c>
      <c r="K517" s="177">
        <v>1.296</v>
      </c>
      <c r="L517" s="177">
        <f>30*9</f>
        <v>270</v>
      </c>
      <c r="M517" s="222">
        <f t="shared" ref="M517" si="251">(H517*I517*J517*K517*L517)/1000</f>
        <v>13.623575328000003</v>
      </c>
    </row>
    <row r="518" spans="7:20" x14ac:dyDescent="0.25">
      <c r="G518" s="185" t="s">
        <v>24</v>
      </c>
      <c r="H518" s="177">
        <v>0.55000000000000004</v>
      </c>
      <c r="I518" s="177">
        <v>0.51</v>
      </c>
      <c r="J518" s="244">
        <v>126.18</v>
      </c>
      <c r="K518" s="177">
        <v>1.296</v>
      </c>
      <c r="L518" s="177">
        <f>31*9</f>
        <v>279</v>
      </c>
      <c r="M518" s="222">
        <f t="shared" ref="M518:M521" si="252">(H518*I518*J518*K518*L518)/1000</f>
        <v>12.797719688160003</v>
      </c>
    </row>
    <row r="519" spans="7:20" x14ac:dyDescent="0.25">
      <c r="G519" s="185" t="s">
        <v>19</v>
      </c>
      <c r="H519" s="177">
        <v>0.55000000000000004</v>
      </c>
      <c r="I519" s="177">
        <v>0.51</v>
      </c>
      <c r="J519" s="244">
        <v>116.71</v>
      </c>
      <c r="K519" s="177">
        <v>1.296</v>
      </c>
      <c r="L519" s="177">
        <f>31*9</f>
        <v>279</v>
      </c>
      <c r="M519" s="222">
        <f t="shared" si="252"/>
        <v>11.837231453520001</v>
      </c>
    </row>
    <row r="520" spans="7:20" x14ac:dyDescent="0.25">
      <c r="G520" s="185" t="s">
        <v>20</v>
      </c>
      <c r="H520" s="177">
        <v>0.55000000000000004</v>
      </c>
      <c r="I520" s="177">
        <v>0.51</v>
      </c>
      <c r="J520" s="244">
        <v>104.1</v>
      </c>
      <c r="K520" s="177">
        <v>1.296</v>
      </c>
      <c r="L520" s="177">
        <f>30*9</f>
        <v>270</v>
      </c>
      <c r="M520" s="222">
        <f t="shared" si="252"/>
        <v>10.217681495999999</v>
      </c>
    </row>
    <row r="521" spans="7:20" x14ac:dyDescent="0.25">
      <c r="G521" s="185" t="s">
        <v>21</v>
      </c>
      <c r="H521" s="177">
        <v>0.55000000000000004</v>
      </c>
      <c r="I521" s="177">
        <v>0.51</v>
      </c>
      <c r="J521" s="244">
        <v>88.32</v>
      </c>
      <c r="K521" s="177">
        <v>1.296</v>
      </c>
      <c r="L521" s="177">
        <f>31*9</f>
        <v>279</v>
      </c>
      <c r="M521" s="222">
        <f t="shared" si="252"/>
        <v>8.957795235839999</v>
      </c>
    </row>
    <row r="522" spans="7:20" x14ac:dyDescent="0.25">
      <c r="G522" s="185" t="s">
        <v>22</v>
      </c>
      <c r="H522" s="177">
        <v>0.55000000000000004</v>
      </c>
      <c r="I522" s="177">
        <v>0.51</v>
      </c>
      <c r="J522" s="244">
        <v>75.709999999999994</v>
      </c>
      <c r="K522" s="177">
        <v>1.296</v>
      </c>
      <c r="L522" s="177">
        <f>30*9</f>
        <v>270</v>
      </c>
      <c r="M522" s="222">
        <f t="shared" ref="M522" si="253">(H522*I522*J522*K522*L522)/1000</f>
        <v>7.4311303176000001</v>
      </c>
    </row>
    <row r="523" spans="7:20" ht="15.5" thickBot="1" x14ac:dyDescent="0.45">
      <c r="G523" s="364" t="s">
        <v>158</v>
      </c>
      <c r="H523" s="365"/>
      <c r="I523" s="365"/>
      <c r="J523" s="365"/>
      <c r="K523" s="365"/>
      <c r="L523" s="365"/>
      <c r="M523" s="233">
        <f>SUM(M517:M522)</f>
        <v>64.865133519119993</v>
      </c>
    </row>
    <row r="524" spans="7:20" ht="13" thickBot="1" x14ac:dyDescent="0.3"/>
    <row r="525" spans="7:20" hidden="1" x14ac:dyDescent="0.25"/>
    <row r="526" spans="7:20" ht="13" hidden="1" thickBot="1" x14ac:dyDescent="0.3"/>
    <row r="527" spans="7:20" ht="13" x14ac:dyDescent="0.3">
      <c r="G527" s="295" t="s">
        <v>167</v>
      </c>
      <c r="H527" s="296"/>
      <c r="I527" s="296"/>
      <c r="J527" s="296"/>
      <c r="K527" s="296"/>
      <c r="L527" s="296"/>
      <c r="M527" s="296"/>
      <c r="N527" s="296"/>
      <c r="O527" s="296"/>
      <c r="P527" s="296"/>
      <c r="Q527" s="296"/>
      <c r="R527" s="296"/>
      <c r="S527" s="297"/>
      <c r="T527" s="234"/>
    </row>
    <row r="528" spans="7:20" ht="15" x14ac:dyDescent="0.25">
      <c r="G528" s="230" t="s">
        <v>0</v>
      </c>
      <c r="H528" s="218" t="s">
        <v>84</v>
      </c>
      <c r="I528" s="218" t="s">
        <v>95</v>
      </c>
      <c r="J528" s="218" t="s">
        <v>96</v>
      </c>
      <c r="K528" s="218" t="s">
        <v>97</v>
      </c>
      <c r="L528" s="218" t="s">
        <v>98</v>
      </c>
      <c r="M528" s="218" t="s">
        <v>99</v>
      </c>
      <c r="N528" s="218" t="s">
        <v>100</v>
      </c>
      <c r="O528" s="218" t="s">
        <v>101</v>
      </c>
      <c r="P528" s="218" t="s">
        <v>85</v>
      </c>
      <c r="Q528" s="218" t="s">
        <v>102</v>
      </c>
      <c r="R528" s="218" t="s">
        <v>86</v>
      </c>
      <c r="S528" s="231" t="s">
        <v>103</v>
      </c>
    </row>
    <row r="529" spans="7:19" ht="14" x14ac:dyDescent="0.25">
      <c r="G529" s="185" t="s">
        <v>13</v>
      </c>
      <c r="H529" s="177">
        <v>0.6</v>
      </c>
      <c r="I529" s="177">
        <v>38.880000000000003</v>
      </c>
      <c r="J529" s="177">
        <v>1.0049999999999999</v>
      </c>
      <c r="K529" s="177">
        <v>1.2929999999999999</v>
      </c>
      <c r="L529" s="223">
        <v>43.8</v>
      </c>
      <c r="M529" s="177">
        <v>18</v>
      </c>
      <c r="N529" s="177">
        <f t="shared" ref="N529:N534" si="254">L529-M529</f>
        <v>25.799999999999997</v>
      </c>
      <c r="O529" s="190">
        <f t="shared" ref="O529:O534" si="255">H529*I529*J529*K529*N529</f>
        <v>782.0991236159997</v>
      </c>
      <c r="P529" s="177">
        <v>0.27700000000000002</v>
      </c>
      <c r="Q529" s="50">
        <f t="shared" ref="Q529:Q534" si="256">O529*P529</f>
        <v>216.64145724163194</v>
      </c>
      <c r="R529" s="177">
        <f>30*9</f>
        <v>270</v>
      </c>
      <c r="S529" s="222">
        <f t="shared" ref="S529:S534" si="257">(Q529*R529)/1000</f>
        <v>58.493193455240622</v>
      </c>
    </row>
    <row r="530" spans="7:19" ht="14" x14ac:dyDescent="0.25">
      <c r="G530" s="185" t="s">
        <v>24</v>
      </c>
      <c r="H530" s="177">
        <v>0.6</v>
      </c>
      <c r="I530" s="177">
        <v>38.880000000000003</v>
      </c>
      <c r="J530" s="177">
        <v>1.0049999999999999</v>
      </c>
      <c r="K530" s="177">
        <v>1.2929999999999999</v>
      </c>
      <c r="L530" s="223">
        <v>39</v>
      </c>
      <c r="M530" s="177">
        <v>18</v>
      </c>
      <c r="N530" s="177">
        <f t="shared" si="254"/>
        <v>21</v>
      </c>
      <c r="O530" s="190">
        <f t="shared" si="255"/>
        <v>636.59230991999982</v>
      </c>
      <c r="P530" s="177">
        <v>0.27700000000000002</v>
      </c>
      <c r="Q530" s="50">
        <f t="shared" si="256"/>
        <v>176.33606984783998</v>
      </c>
      <c r="R530" s="177">
        <f>31*9</f>
        <v>279</v>
      </c>
      <c r="S530" s="222">
        <f t="shared" si="257"/>
        <v>49.197763487547356</v>
      </c>
    </row>
    <row r="531" spans="7:19" ht="14" x14ac:dyDescent="0.25">
      <c r="G531" s="185" t="s">
        <v>19</v>
      </c>
      <c r="H531" s="177">
        <v>0.6</v>
      </c>
      <c r="I531" s="177">
        <v>38.880000000000003</v>
      </c>
      <c r="J531" s="177">
        <v>1.0049999999999999</v>
      </c>
      <c r="K531" s="177">
        <v>1.2929999999999999</v>
      </c>
      <c r="L531" s="223">
        <v>36.9</v>
      </c>
      <c r="M531" s="177">
        <v>18</v>
      </c>
      <c r="N531" s="177">
        <f t="shared" si="254"/>
        <v>18.899999999999999</v>
      </c>
      <c r="O531" s="190">
        <f t="shared" si="255"/>
        <v>572.93307892799976</v>
      </c>
      <c r="P531" s="177">
        <v>0.27700000000000002</v>
      </c>
      <c r="Q531" s="50">
        <f t="shared" si="256"/>
        <v>158.70246286305596</v>
      </c>
      <c r="R531" s="177">
        <f>31*9</f>
        <v>279</v>
      </c>
      <c r="S531" s="222">
        <f t="shared" si="257"/>
        <v>44.277987138792611</v>
      </c>
    </row>
    <row r="532" spans="7:19" ht="14" x14ac:dyDescent="0.25">
      <c r="G532" s="185" t="s">
        <v>20</v>
      </c>
      <c r="H532" s="177">
        <v>0.6</v>
      </c>
      <c r="I532" s="177">
        <v>38.880000000000003</v>
      </c>
      <c r="J532" s="177">
        <v>1.0049999999999999</v>
      </c>
      <c r="K532" s="177">
        <v>1.2929999999999999</v>
      </c>
      <c r="L532" s="223">
        <v>36.799999999999997</v>
      </c>
      <c r="M532" s="177">
        <v>18</v>
      </c>
      <c r="N532" s="177">
        <f t="shared" si="254"/>
        <v>18.799999999999997</v>
      </c>
      <c r="O532" s="190">
        <f t="shared" si="255"/>
        <v>569.90168697599972</v>
      </c>
      <c r="P532" s="177">
        <v>0.27700000000000002</v>
      </c>
      <c r="Q532" s="50">
        <f t="shared" si="256"/>
        <v>157.86276729235195</v>
      </c>
      <c r="R532" s="177">
        <f>30*9</f>
        <v>270</v>
      </c>
      <c r="S532" s="222">
        <f t="shared" si="257"/>
        <v>42.622947168935028</v>
      </c>
    </row>
    <row r="533" spans="7:19" ht="14" x14ac:dyDescent="0.25">
      <c r="G533" s="185" t="s">
        <v>21</v>
      </c>
      <c r="H533" s="177">
        <v>0.6</v>
      </c>
      <c r="I533" s="177">
        <v>38.880000000000003</v>
      </c>
      <c r="J533" s="177">
        <v>1.0049999999999999</v>
      </c>
      <c r="K533" s="177">
        <v>1.2929999999999999</v>
      </c>
      <c r="L533" s="223">
        <v>35.200000000000003</v>
      </c>
      <c r="M533" s="177">
        <v>18</v>
      </c>
      <c r="N533" s="177">
        <f t="shared" si="254"/>
        <v>17.200000000000003</v>
      </c>
      <c r="O533" s="190">
        <f t="shared" si="255"/>
        <v>521.39941574399995</v>
      </c>
      <c r="P533" s="177">
        <v>0.27700000000000002</v>
      </c>
      <c r="Q533" s="50">
        <f t="shared" si="256"/>
        <v>144.427638161088</v>
      </c>
      <c r="R533" s="177">
        <f>31*9</f>
        <v>279</v>
      </c>
      <c r="S533" s="222">
        <f t="shared" si="257"/>
        <v>40.295311046943546</v>
      </c>
    </row>
    <row r="534" spans="7:19" ht="14" x14ac:dyDescent="0.25">
      <c r="G534" s="185" t="s">
        <v>22</v>
      </c>
      <c r="H534" s="177">
        <v>0.6</v>
      </c>
      <c r="I534" s="177">
        <v>38.880000000000003</v>
      </c>
      <c r="J534" s="177">
        <v>1.0049999999999999</v>
      </c>
      <c r="K534" s="177">
        <v>1.2929999999999999</v>
      </c>
      <c r="L534" s="223">
        <v>30.8</v>
      </c>
      <c r="M534" s="177">
        <v>18</v>
      </c>
      <c r="N534" s="177">
        <f t="shared" si="254"/>
        <v>12.8</v>
      </c>
      <c r="O534" s="190">
        <f t="shared" si="255"/>
        <v>388.01816985599993</v>
      </c>
      <c r="P534" s="177">
        <v>0.27700000000000002</v>
      </c>
      <c r="Q534" s="50">
        <f t="shared" si="256"/>
        <v>107.48103305011199</v>
      </c>
      <c r="R534" s="177">
        <f>30*9</f>
        <v>270</v>
      </c>
      <c r="S534" s="222">
        <f t="shared" si="257"/>
        <v>29.019878923530236</v>
      </c>
    </row>
    <row r="535" spans="7:19" ht="15" x14ac:dyDescent="0.4">
      <c r="G535" s="343" t="s">
        <v>189</v>
      </c>
      <c r="H535" s="344"/>
      <c r="I535" s="344"/>
      <c r="J535" s="344"/>
      <c r="K535" s="344"/>
      <c r="L535" s="344"/>
      <c r="M535" s="344"/>
      <c r="N535" s="344"/>
      <c r="O535" s="344"/>
      <c r="P535" s="344"/>
      <c r="Q535" s="344"/>
      <c r="R535" s="345"/>
      <c r="S535" s="235">
        <f>SUM(S530:S533)</f>
        <v>176.39400884221851</v>
      </c>
    </row>
    <row r="536" spans="7:19" ht="14" x14ac:dyDescent="0.25">
      <c r="G536" s="185" t="s">
        <v>13</v>
      </c>
      <c r="H536" s="177">
        <v>0.6</v>
      </c>
      <c r="I536" s="177">
        <v>38.880000000000003</v>
      </c>
      <c r="J536" s="177">
        <v>1.0049999999999999</v>
      </c>
      <c r="K536" s="177">
        <v>1.2929999999999999</v>
      </c>
      <c r="L536" s="223">
        <v>43.8</v>
      </c>
      <c r="M536" s="177">
        <v>19</v>
      </c>
      <c r="N536" s="177">
        <f t="shared" ref="N536:N541" si="258">L536-M536</f>
        <v>24.799999999999997</v>
      </c>
      <c r="O536" s="190">
        <f t="shared" ref="O536:O541" si="259">H536*I536*J536*K536*N536</f>
        <v>751.78520409599969</v>
      </c>
      <c r="P536" s="177">
        <v>0.27700000000000002</v>
      </c>
      <c r="Q536" s="50">
        <f t="shared" ref="Q536:Q541" si="260">O536*P536</f>
        <v>208.24450153459193</v>
      </c>
      <c r="R536" s="177">
        <f>30*9</f>
        <v>270</v>
      </c>
      <c r="S536" s="222">
        <f t="shared" ref="S536:S541" si="261">(Q536*R536)/1000</f>
        <v>56.226015414339827</v>
      </c>
    </row>
    <row r="537" spans="7:19" ht="14" x14ac:dyDescent="0.25">
      <c r="G537" s="185" t="s">
        <v>24</v>
      </c>
      <c r="H537" s="177">
        <v>0.6</v>
      </c>
      <c r="I537" s="177">
        <v>38.880000000000003</v>
      </c>
      <c r="J537" s="177">
        <v>1.0049999999999999</v>
      </c>
      <c r="K537" s="177">
        <v>1.2929999999999999</v>
      </c>
      <c r="L537" s="223">
        <v>39</v>
      </c>
      <c r="M537" s="177">
        <v>19</v>
      </c>
      <c r="N537" s="177">
        <f t="shared" si="258"/>
        <v>20</v>
      </c>
      <c r="O537" s="190">
        <f t="shared" si="259"/>
        <v>606.27839039999981</v>
      </c>
      <c r="P537" s="177">
        <v>0.27700000000000002</v>
      </c>
      <c r="Q537" s="50">
        <f t="shared" si="260"/>
        <v>167.93911414079997</v>
      </c>
      <c r="R537" s="177">
        <f>31*9</f>
        <v>279</v>
      </c>
      <c r="S537" s="222">
        <f t="shared" si="261"/>
        <v>46.855012845283191</v>
      </c>
    </row>
    <row r="538" spans="7:19" ht="14" x14ac:dyDescent="0.25">
      <c r="G538" s="185" t="s">
        <v>19</v>
      </c>
      <c r="H538" s="177">
        <v>0.6</v>
      </c>
      <c r="I538" s="177">
        <v>38.880000000000003</v>
      </c>
      <c r="J538" s="177">
        <v>1.0049999999999999</v>
      </c>
      <c r="K538" s="177">
        <v>1.2929999999999999</v>
      </c>
      <c r="L538" s="223">
        <v>36.9</v>
      </c>
      <c r="M538" s="177">
        <v>19</v>
      </c>
      <c r="N538" s="177">
        <f t="shared" si="258"/>
        <v>17.899999999999999</v>
      </c>
      <c r="O538" s="190">
        <f t="shared" si="259"/>
        <v>542.61915940799986</v>
      </c>
      <c r="P538" s="177">
        <v>0.27700000000000002</v>
      </c>
      <c r="Q538" s="50">
        <f t="shared" si="260"/>
        <v>150.30550715601598</v>
      </c>
      <c r="R538" s="177">
        <f>31*9</f>
        <v>279</v>
      </c>
      <c r="S538" s="222">
        <f t="shared" si="261"/>
        <v>41.935236496528461</v>
      </c>
    </row>
    <row r="539" spans="7:19" ht="14" x14ac:dyDescent="0.25">
      <c r="G539" s="185" t="s">
        <v>20</v>
      </c>
      <c r="H539" s="177">
        <v>0.6</v>
      </c>
      <c r="I539" s="177">
        <v>38.880000000000003</v>
      </c>
      <c r="J539" s="177">
        <v>1.0049999999999999</v>
      </c>
      <c r="K539" s="177">
        <v>1.2929999999999999</v>
      </c>
      <c r="L539" s="223">
        <v>36.799999999999997</v>
      </c>
      <c r="M539" s="177">
        <v>19</v>
      </c>
      <c r="N539" s="177">
        <f t="shared" si="258"/>
        <v>17.799999999999997</v>
      </c>
      <c r="O539" s="190">
        <f t="shared" si="259"/>
        <v>539.58776745599982</v>
      </c>
      <c r="P539" s="177">
        <v>0.27700000000000002</v>
      </c>
      <c r="Q539" s="50">
        <f t="shared" si="260"/>
        <v>149.46581158531197</v>
      </c>
      <c r="R539" s="177">
        <f>30*9</f>
        <v>270</v>
      </c>
      <c r="S539" s="222">
        <f t="shared" si="261"/>
        <v>40.355769128034233</v>
      </c>
    </row>
    <row r="540" spans="7:19" ht="14" x14ac:dyDescent="0.25">
      <c r="G540" s="185" t="s">
        <v>21</v>
      </c>
      <c r="H540" s="177">
        <v>0.6</v>
      </c>
      <c r="I540" s="177">
        <v>38.880000000000003</v>
      </c>
      <c r="J540" s="177">
        <v>1.0049999999999999</v>
      </c>
      <c r="K540" s="177">
        <v>1.2929999999999999</v>
      </c>
      <c r="L540" s="223">
        <v>35.200000000000003</v>
      </c>
      <c r="M540" s="177">
        <v>19</v>
      </c>
      <c r="N540" s="177">
        <f t="shared" si="258"/>
        <v>16.200000000000003</v>
      </c>
      <c r="O540" s="190">
        <f t="shared" si="259"/>
        <v>491.08549622399994</v>
      </c>
      <c r="P540" s="177">
        <v>0.27700000000000002</v>
      </c>
      <c r="Q540" s="50">
        <f t="shared" si="260"/>
        <v>136.03068245404799</v>
      </c>
      <c r="R540" s="177">
        <f>31*9</f>
        <v>279</v>
      </c>
      <c r="S540" s="222">
        <f t="shared" si="261"/>
        <v>37.952560404679389</v>
      </c>
    </row>
    <row r="541" spans="7:19" ht="14" x14ac:dyDescent="0.25">
      <c r="G541" s="185" t="s">
        <v>22</v>
      </c>
      <c r="H541" s="177">
        <v>0.6</v>
      </c>
      <c r="I541" s="177">
        <v>38.880000000000003</v>
      </c>
      <c r="J541" s="177">
        <v>1.0049999999999999</v>
      </c>
      <c r="K541" s="177">
        <v>1.2929999999999999</v>
      </c>
      <c r="L541" s="223">
        <v>30.8</v>
      </c>
      <c r="M541" s="177">
        <v>19</v>
      </c>
      <c r="N541" s="177">
        <f t="shared" si="258"/>
        <v>11.8</v>
      </c>
      <c r="O541" s="190">
        <f t="shared" si="259"/>
        <v>357.70425033599992</v>
      </c>
      <c r="P541" s="177">
        <v>0.27700000000000002</v>
      </c>
      <c r="Q541" s="50">
        <f t="shared" si="260"/>
        <v>99.084077343071982</v>
      </c>
      <c r="R541" s="177">
        <f>30*9</f>
        <v>270</v>
      </c>
      <c r="S541" s="222">
        <f t="shared" si="261"/>
        <v>26.752700882629437</v>
      </c>
    </row>
    <row r="542" spans="7:19" ht="15" x14ac:dyDescent="0.4">
      <c r="G542" s="343" t="s">
        <v>192</v>
      </c>
      <c r="H542" s="344"/>
      <c r="I542" s="344"/>
      <c r="J542" s="344"/>
      <c r="K542" s="344"/>
      <c r="L542" s="344"/>
      <c r="M542" s="344"/>
      <c r="N542" s="344"/>
      <c r="O542" s="344"/>
      <c r="P542" s="344"/>
      <c r="Q542" s="344"/>
      <c r="R542" s="345"/>
      <c r="S542" s="235">
        <f>SUM(S537:S540)</f>
        <v>167.09857887452529</v>
      </c>
    </row>
    <row r="543" spans="7:19" ht="14" x14ac:dyDescent="0.25">
      <c r="G543" s="185" t="s">
        <v>13</v>
      </c>
      <c r="H543" s="177">
        <v>0.6</v>
      </c>
      <c r="I543" s="177">
        <v>38.880000000000003</v>
      </c>
      <c r="J543" s="177">
        <v>1.0049999999999999</v>
      </c>
      <c r="K543" s="177">
        <v>1.2929999999999999</v>
      </c>
      <c r="L543" s="223">
        <v>43.8</v>
      </c>
      <c r="M543" s="177">
        <v>20</v>
      </c>
      <c r="N543" s="177">
        <f t="shared" ref="N543:N548" si="262">L543-M543</f>
        <v>23.799999999999997</v>
      </c>
      <c r="O543" s="190">
        <f t="shared" ref="O543:O548" si="263">H543*I543*J543*K543*N543</f>
        <v>721.47128457599968</v>
      </c>
      <c r="P543" s="177">
        <v>0.27700000000000002</v>
      </c>
      <c r="Q543" s="50">
        <f t="shared" ref="Q543:Q548" si="264">O543*P543</f>
        <v>199.84754582755193</v>
      </c>
      <c r="R543" s="177">
        <f>30*9</f>
        <v>270</v>
      </c>
      <c r="S543" s="222">
        <f t="shared" ref="S543:S548" si="265">(Q543*R543)/1000</f>
        <v>53.958837373439017</v>
      </c>
    </row>
    <row r="544" spans="7:19" ht="14" x14ac:dyDescent="0.25">
      <c r="G544" s="185" t="s">
        <v>24</v>
      </c>
      <c r="H544" s="177">
        <v>0.6</v>
      </c>
      <c r="I544" s="177">
        <v>38.880000000000003</v>
      </c>
      <c r="J544" s="177">
        <v>1.0049999999999999</v>
      </c>
      <c r="K544" s="177">
        <v>1.2929999999999999</v>
      </c>
      <c r="L544" s="223">
        <v>39</v>
      </c>
      <c r="M544" s="177">
        <v>20</v>
      </c>
      <c r="N544" s="177">
        <f t="shared" si="262"/>
        <v>19</v>
      </c>
      <c r="O544" s="190">
        <f t="shared" si="263"/>
        <v>575.96447087999979</v>
      </c>
      <c r="P544" s="177">
        <v>0.27700000000000002</v>
      </c>
      <c r="Q544" s="50">
        <f t="shared" si="264"/>
        <v>159.54215843375997</v>
      </c>
      <c r="R544" s="177">
        <f>31*9</f>
        <v>279</v>
      </c>
      <c r="S544" s="222">
        <f t="shared" si="265"/>
        <v>44.512262203019034</v>
      </c>
    </row>
    <row r="545" spans="7:19" ht="14" x14ac:dyDescent="0.25">
      <c r="G545" s="185" t="s">
        <v>19</v>
      </c>
      <c r="H545" s="177">
        <v>0.6</v>
      </c>
      <c r="I545" s="177">
        <v>38.880000000000003</v>
      </c>
      <c r="J545" s="177">
        <v>1.0049999999999999</v>
      </c>
      <c r="K545" s="177">
        <v>1.2929999999999999</v>
      </c>
      <c r="L545" s="223">
        <v>36.9</v>
      </c>
      <c r="M545" s="177">
        <v>20</v>
      </c>
      <c r="N545" s="177">
        <f t="shared" si="262"/>
        <v>16.899999999999999</v>
      </c>
      <c r="O545" s="190">
        <f t="shared" si="263"/>
        <v>512.30523988799985</v>
      </c>
      <c r="P545" s="177">
        <v>0.27700000000000002</v>
      </c>
      <c r="Q545" s="50">
        <f t="shared" si="264"/>
        <v>141.90855144897597</v>
      </c>
      <c r="R545" s="177">
        <f>31*9</f>
        <v>279</v>
      </c>
      <c r="S545" s="222">
        <f t="shared" si="265"/>
        <v>39.592485854264297</v>
      </c>
    </row>
    <row r="546" spans="7:19" ht="14" x14ac:dyDescent="0.25">
      <c r="G546" s="185" t="s">
        <v>20</v>
      </c>
      <c r="H546" s="177">
        <v>0.6</v>
      </c>
      <c r="I546" s="177">
        <v>38.880000000000003</v>
      </c>
      <c r="J546" s="177">
        <v>1.0049999999999999</v>
      </c>
      <c r="K546" s="177">
        <v>1.2929999999999999</v>
      </c>
      <c r="L546" s="223">
        <v>36.799999999999997</v>
      </c>
      <c r="M546" s="177">
        <v>20</v>
      </c>
      <c r="N546" s="177">
        <f t="shared" si="262"/>
        <v>16.799999999999997</v>
      </c>
      <c r="O546" s="190">
        <f t="shared" si="263"/>
        <v>509.27384793599975</v>
      </c>
      <c r="P546" s="177">
        <v>0.27700000000000002</v>
      </c>
      <c r="Q546" s="50">
        <f t="shared" si="264"/>
        <v>141.06885587827193</v>
      </c>
      <c r="R546" s="177">
        <f>30*9</f>
        <v>270</v>
      </c>
      <c r="S546" s="222">
        <f t="shared" si="265"/>
        <v>38.088591087133423</v>
      </c>
    </row>
    <row r="547" spans="7:19" ht="14" x14ac:dyDescent="0.25">
      <c r="G547" s="185" t="s">
        <v>21</v>
      </c>
      <c r="H547" s="177">
        <v>0.6</v>
      </c>
      <c r="I547" s="177">
        <v>38.880000000000003</v>
      </c>
      <c r="J547" s="177">
        <v>1.0049999999999999</v>
      </c>
      <c r="K547" s="177">
        <v>1.2929999999999999</v>
      </c>
      <c r="L547" s="223">
        <v>35.200000000000003</v>
      </c>
      <c r="M547" s="177">
        <v>20</v>
      </c>
      <c r="N547" s="177">
        <f t="shared" si="262"/>
        <v>15.200000000000003</v>
      </c>
      <c r="O547" s="190">
        <f t="shared" si="263"/>
        <v>460.77157670399998</v>
      </c>
      <c r="P547" s="177">
        <v>0.27700000000000002</v>
      </c>
      <c r="Q547" s="50">
        <f t="shared" si="264"/>
        <v>127.63372674700801</v>
      </c>
      <c r="R547" s="177">
        <f>31*9</f>
        <v>279</v>
      </c>
      <c r="S547" s="222">
        <f t="shared" si="265"/>
        <v>35.609809762415239</v>
      </c>
    </row>
    <row r="548" spans="7:19" ht="14" x14ac:dyDescent="0.25">
      <c r="G548" s="185" t="s">
        <v>22</v>
      </c>
      <c r="H548" s="177">
        <v>0.6</v>
      </c>
      <c r="I548" s="177">
        <v>38.880000000000003</v>
      </c>
      <c r="J548" s="177">
        <v>1.0049999999999999</v>
      </c>
      <c r="K548" s="177">
        <v>1.2929999999999999</v>
      </c>
      <c r="L548" s="223">
        <v>30.8</v>
      </c>
      <c r="M548" s="177">
        <v>20</v>
      </c>
      <c r="N548" s="177">
        <f t="shared" si="262"/>
        <v>10.8</v>
      </c>
      <c r="O548" s="190">
        <f t="shared" si="263"/>
        <v>327.39033081599996</v>
      </c>
      <c r="P548" s="177">
        <v>0.27700000000000002</v>
      </c>
      <c r="Q548" s="50">
        <f t="shared" si="264"/>
        <v>90.687121636032003</v>
      </c>
      <c r="R548" s="177">
        <f>30*9</f>
        <v>270</v>
      </c>
      <c r="S548" s="222">
        <f t="shared" si="265"/>
        <v>24.485522841728642</v>
      </c>
    </row>
    <row r="549" spans="7:19" ht="15" x14ac:dyDescent="0.4">
      <c r="G549" s="343" t="s">
        <v>177</v>
      </c>
      <c r="H549" s="344"/>
      <c r="I549" s="344"/>
      <c r="J549" s="344"/>
      <c r="K549" s="344"/>
      <c r="L549" s="344"/>
      <c r="M549" s="344"/>
      <c r="N549" s="344"/>
      <c r="O549" s="344"/>
      <c r="P549" s="344"/>
      <c r="Q549" s="344"/>
      <c r="R549" s="345"/>
      <c r="S549" s="235">
        <f>SUM(S544:S547)</f>
        <v>157.80314890683201</v>
      </c>
    </row>
    <row r="550" spans="7:19" ht="14" x14ac:dyDescent="0.25">
      <c r="G550" s="185" t="s">
        <v>13</v>
      </c>
      <c r="H550" s="177">
        <v>0.6</v>
      </c>
      <c r="I550" s="177">
        <v>38.880000000000003</v>
      </c>
      <c r="J550" s="177">
        <v>1.0049999999999999</v>
      </c>
      <c r="K550" s="177">
        <v>1.2929999999999999</v>
      </c>
      <c r="L550" s="223">
        <v>43.8</v>
      </c>
      <c r="M550" s="177">
        <v>21</v>
      </c>
      <c r="N550" s="177">
        <f t="shared" ref="N550:N555" si="266">L550-M550</f>
        <v>22.799999999999997</v>
      </c>
      <c r="O550" s="190">
        <f t="shared" ref="O550:O555" si="267">H550*I550*J550*K550*N550</f>
        <v>691.15736505599978</v>
      </c>
      <c r="P550" s="177">
        <v>0.27700000000000002</v>
      </c>
      <c r="Q550" s="50">
        <f t="shared" ref="Q550:Q555" si="268">O550*P550</f>
        <v>191.45059012051195</v>
      </c>
      <c r="R550" s="177">
        <f>30*9</f>
        <v>270</v>
      </c>
      <c r="S550" s="222">
        <f t="shared" ref="S550:S555" si="269">(Q550*R550)/1000</f>
        <v>51.691659332538229</v>
      </c>
    </row>
    <row r="551" spans="7:19" ht="14" x14ac:dyDescent="0.25">
      <c r="G551" s="185" t="s">
        <v>24</v>
      </c>
      <c r="H551" s="177">
        <v>0.6</v>
      </c>
      <c r="I551" s="177">
        <v>38.880000000000003</v>
      </c>
      <c r="J551" s="177">
        <v>1.0049999999999999</v>
      </c>
      <c r="K551" s="177">
        <v>1.2929999999999999</v>
      </c>
      <c r="L551" s="223">
        <v>39</v>
      </c>
      <c r="M551" s="177">
        <v>21</v>
      </c>
      <c r="N551" s="177">
        <f t="shared" si="266"/>
        <v>18</v>
      </c>
      <c r="O551" s="190">
        <f t="shared" si="267"/>
        <v>545.65055135999989</v>
      </c>
      <c r="P551" s="177">
        <v>0.27700000000000002</v>
      </c>
      <c r="Q551" s="50">
        <f t="shared" si="268"/>
        <v>151.14520272671999</v>
      </c>
      <c r="R551" s="177">
        <f>31*9</f>
        <v>279</v>
      </c>
      <c r="S551" s="222">
        <f t="shared" si="269"/>
        <v>42.169511560754877</v>
      </c>
    </row>
    <row r="552" spans="7:19" ht="14" x14ac:dyDescent="0.25">
      <c r="G552" s="185" t="s">
        <v>19</v>
      </c>
      <c r="H552" s="177">
        <v>0.6</v>
      </c>
      <c r="I552" s="177">
        <v>38.880000000000003</v>
      </c>
      <c r="J552" s="177">
        <v>1.0049999999999999</v>
      </c>
      <c r="K552" s="177">
        <v>1.2929999999999999</v>
      </c>
      <c r="L552" s="223">
        <v>36.9</v>
      </c>
      <c r="M552" s="177">
        <v>21</v>
      </c>
      <c r="N552" s="177">
        <f t="shared" si="266"/>
        <v>15.899999999999999</v>
      </c>
      <c r="O552" s="190">
        <f t="shared" si="267"/>
        <v>481.99132036799983</v>
      </c>
      <c r="P552" s="177">
        <v>0.27700000000000002</v>
      </c>
      <c r="Q552" s="50">
        <f t="shared" si="268"/>
        <v>133.51159574193596</v>
      </c>
      <c r="R552" s="177">
        <f>31*9</f>
        <v>279</v>
      </c>
      <c r="S552" s="222">
        <f t="shared" si="269"/>
        <v>37.249735212000132</v>
      </c>
    </row>
    <row r="553" spans="7:19" ht="14" x14ac:dyDescent="0.25">
      <c r="G553" s="185" t="s">
        <v>20</v>
      </c>
      <c r="H553" s="177">
        <v>0.6</v>
      </c>
      <c r="I553" s="177">
        <v>38.880000000000003</v>
      </c>
      <c r="J553" s="177">
        <v>1.0049999999999999</v>
      </c>
      <c r="K553" s="177">
        <v>1.2929999999999999</v>
      </c>
      <c r="L553" s="223">
        <v>36.799999999999997</v>
      </c>
      <c r="M553" s="177">
        <v>21</v>
      </c>
      <c r="N553" s="177">
        <f t="shared" si="266"/>
        <v>15.799999999999997</v>
      </c>
      <c r="O553" s="190">
        <f t="shared" si="267"/>
        <v>478.9599284159998</v>
      </c>
      <c r="P553" s="177">
        <v>0.27700000000000002</v>
      </c>
      <c r="Q553" s="50">
        <f t="shared" si="268"/>
        <v>132.67190017123195</v>
      </c>
      <c r="R553" s="177">
        <f>30*9</f>
        <v>270</v>
      </c>
      <c r="S553" s="222">
        <f t="shared" si="269"/>
        <v>35.821413046232628</v>
      </c>
    </row>
    <row r="554" spans="7:19" ht="14" x14ac:dyDescent="0.25">
      <c r="G554" s="185" t="s">
        <v>21</v>
      </c>
      <c r="H554" s="177">
        <v>0.6</v>
      </c>
      <c r="I554" s="177">
        <v>38.880000000000003</v>
      </c>
      <c r="J554" s="177">
        <v>1.0049999999999999</v>
      </c>
      <c r="K554" s="177">
        <v>1.2929999999999999</v>
      </c>
      <c r="L554" s="223">
        <v>35.200000000000003</v>
      </c>
      <c r="M554" s="177">
        <v>21</v>
      </c>
      <c r="N554" s="177">
        <f t="shared" si="266"/>
        <v>14.200000000000003</v>
      </c>
      <c r="O554" s="190">
        <f t="shared" si="267"/>
        <v>430.45765718399997</v>
      </c>
      <c r="P554" s="177">
        <v>0.27700000000000002</v>
      </c>
      <c r="Q554" s="50">
        <f t="shared" si="268"/>
        <v>119.236771039968</v>
      </c>
      <c r="R554" s="177">
        <f>31*9</f>
        <v>279</v>
      </c>
      <c r="S554" s="222">
        <f t="shared" si="269"/>
        <v>33.267059120151075</v>
      </c>
    </row>
    <row r="555" spans="7:19" ht="14" x14ac:dyDescent="0.25">
      <c r="G555" s="185" t="s">
        <v>22</v>
      </c>
      <c r="H555" s="177">
        <v>0.6</v>
      </c>
      <c r="I555" s="177">
        <v>38.880000000000003</v>
      </c>
      <c r="J555" s="177">
        <v>1.0049999999999999</v>
      </c>
      <c r="K555" s="177">
        <v>1.2929999999999999</v>
      </c>
      <c r="L555" s="223">
        <v>30.8</v>
      </c>
      <c r="M555" s="177">
        <v>21</v>
      </c>
      <c r="N555" s="177">
        <f t="shared" si="266"/>
        <v>9.8000000000000007</v>
      </c>
      <c r="O555" s="190">
        <f t="shared" si="267"/>
        <v>297.07641129599995</v>
      </c>
      <c r="P555" s="177">
        <v>0.27700000000000002</v>
      </c>
      <c r="Q555" s="50">
        <f t="shared" si="268"/>
        <v>82.290165928991996</v>
      </c>
      <c r="R555" s="177">
        <f>30*9</f>
        <v>270</v>
      </c>
      <c r="S555" s="222">
        <f t="shared" si="269"/>
        <v>22.21834480082784</v>
      </c>
    </row>
    <row r="556" spans="7:19" ht="15" x14ac:dyDescent="0.4">
      <c r="G556" s="343" t="s">
        <v>178</v>
      </c>
      <c r="H556" s="344"/>
      <c r="I556" s="344"/>
      <c r="J556" s="344"/>
      <c r="K556" s="344"/>
      <c r="L556" s="344"/>
      <c r="M556" s="344"/>
      <c r="N556" s="344"/>
      <c r="O556" s="344"/>
      <c r="P556" s="344"/>
      <c r="Q556" s="344"/>
      <c r="R556" s="345"/>
      <c r="S556" s="235">
        <f>SUM(S551:S554)</f>
        <v>148.50771893913873</v>
      </c>
    </row>
    <row r="557" spans="7:19" ht="14" x14ac:dyDescent="0.25">
      <c r="G557" s="185" t="s">
        <v>13</v>
      </c>
      <c r="H557" s="177">
        <v>0.6</v>
      </c>
      <c r="I557" s="177">
        <v>38.880000000000003</v>
      </c>
      <c r="J557" s="177">
        <v>1.0049999999999999</v>
      </c>
      <c r="K557" s="177">
        <v>1.2929999999999999</v>
      </c>
      <c r="L557" s="223">
        <v>43.8</v>
      </c>
      <c r="M557" s="177">
        <v>22</v>
      </c>
      <c r="N557" s="177">
        <f t="shared" ref="N557" si="270">L557-M557</f>
        <v>21.799999999999997</v>
      </c>
      <c r="O557" s="190">
        <f t="shared" ref="O557" si="271">H557*I557*J557*K557*N557</f>
        <v>660.84344553599976</v>
      </c>
      <c r="P557" s="177">
        <v>0.27700000000000002</v>
      </c>
      <c r="Q557" s="50">
        <f t="shared" ref="Q557:Q562" si="272">O557*P557</f>
        <v>183.05363441347194</v>
      </c>
      <c r="R557" s="177">
        <f>30*9</f>
        <v>270</v>
      </c>
      <c r="S557" s="222">
        <f t="shared" ref="S557" si="273">(Q557*R557)/1000</f>
        <v>49.42448129163742</v>
      </c>
    </row>
    <row r="558" spans="7:19" ht="14" x14ac:dyDescent="0.25">
      <c r="G558" s="185" t="s">
        <v>24</v>
      </c>
      <c r="H558" s="177">
        <v>0.6</v>
      </c>
      <c r="I558" s="177">
        <v>38.880000000000003</v>
      </c>
      <c r="J558" s="177">
        <v>1.0049999999999999</v>
      </c>
      <c r="K558" s="177">
        <v>1.2929999999999999</v>
      </c>
      <c r="L558" s="223">
        <v>39</v>
      </c>
      <c r="M558" s="177">
        <v>22</v>
      </c>
      <c r="N558" s="177">
        <f t="shared" ref="N558:N561" si="274">L558-M558</f>
        <v>17</v>
      </c>
      <c r="O558" s="190">
        <f t="shared" ref="O558:O561" si="275">H558*I558*J558*K558*N558</f>
        <v>515.33663183999988</v>
      </c>
      <c r="P558" s="177">
        <v>0.27700000000000002</v>
      </c>
      <c r="Q558" s="50">
        <f t="shared" si="272"/>
        <v>142.74824701967998</v>
      </c>
      <c r="R558" s="177">
        <f>31*9</f>
        <v>279</v>
      </c>
      <c r="S558" s="222">
        <f t="shared" ref="S558:S561" si="276">(Q558*R558)/1000</f>
        <v>39.826760918490713</v>
      </c>
    </row>
    <row r="559" spans="7:19" ht="14" x14ac:dyDescent="0.25">
      <c r="G559" s="185" t="s">
        <v>19</v>
      </c>
      <c r="H559" s="177">
        <v>0.6</v>
      </c>
      <c r="I559" s="177">
        <v>38.880000000000003</v>
      </c>
      <c r="J559" s="177">
        <v>1.0049999999999999</v>
      </c>
      <c r="K559" s="177">
        <v>1.2929999999999999</v>
      </c>
      <c r="L559" s="223">
        <v>36.9</v>
      </c>
      <c r="M559" s="177">
        <v>22</v>
      </c>
      <c r="N559" s="177">
        <f t="shared" si="274"/>
        <v>14.899999999999999</v>
      </c>
      <c r="O559" s="190">
        <f t="shared" si="275"/>
        <v>451.67740084799982</v>
      </c>
      <c r="P559" s="177">
        <v>0.27700000000000002</v>
      </c>
      <c r="Q559" s="50">
        <f t="shared" si="272"/>
        <v>125.11464003489596</v>
      </c>
      <c r="R559" s="177">
        <f>31*9</f>
        <v>279</v>
      </c>
      <c r="S559" s="222">
        <f t="shared" si="276"/>
        <v>34.906984569735968</v>
      </c>
    </row>
    <row r="560" spans="7:19" ht="14" x14ac:dyDescent="0.25">
      <c r="G560" s="185" t="s">
        <v>20</v>
      </c>
      <c r="H560" s="177">
        <v>0.6</v>
      </c>
      <c r="I560" s="177">
        <v>38.880000000000003</v>
      </c>
      <c r="J560" s="177">
        <v>1.0049999999999999</v>
      </c>
      <c r="K560" s="177">
        <v>1.2929999999999999</v>
      </c>
      <c r="L560" s="223">
        <v>36.799999999999997</v>
      </c>
      <c r="M560" s="177">
        <v>22</v>
      </c>
      <c r="N560" s="177">
        <f t="shared" si="274"/>
        <v>14.799999999999997</v>
      </c>
      <c r="O560" s="190">
        <f t="shared" si="275"/>
        <v>448.64600889599978</v>
      </c>
      <c r="P560" s="177">
        <v>0.27700000000000002</v>
      </c>
      <c r="Q560" s="50">
        <f t="shared" si="272"/>
        <v>124.27494446419195</v>
      </c>
      <c r="R560" s="177">
        <f>30*9</f>
        <v>270</v>
      </c>
      <c r="S560" s="222">
        <f t="shared" si="276"/>
        <v>33.554235005331819</v>
      </c>
    </row>
    <row r="561" spans="7:19" ht="14" x14ac:dyDescent="0.25">
      <c r="G561" s="185" t="s">
        <v>21</v>
      </c>
      <c r="H561" s="177">
        <v>0.6</v>
      </c>
      <c r="I561" s="177">
        <v>38.880000000000003</v>
      </c>
      <c r="J561" s="177">
        <v>1.0049999999999999</v>
      </c>
      <c r="K561" s="177">
        <v>1.2929999999999999</v>
      </c>
      <c r="L561" s="223">
        <v>35.200000000000003</v>
      </c>
      <c r="M561" s="177">
        <v>22</v>
      </c>
      <c r="N561" s="177">
        <f t="shared" si="274"/>
        <v>13.200000000000003</v>
      </c>
      <c r="O561" s="190">
        <f t="shared" si="275"/>
        <v>400.14373766399996</v>
      </c>
      <c r="P561" s="177">
        <v>0.27700000000000002</v>
      </c>
      <c r="Q561" s="50">
        <f t="shared" si="272"/>
        <v>110.839815332928</v>
      </c>
      <c r="R561" s="177">
        <f>31*9</f>
        <v>279</v>
      </c>
      <c r="S561" s="222">
        <f t="shared" si="276"/>
        <v>30.924308477886914</v>
      </c>
    </row>
    <row r="562" spans="7:19" ht="14" x14ac:dyDescent="0.25">
      <c r="G562" s="185" t="s">
        <v>22</v>
      </c>
      <c r="H562" s="177">
        <v>0.6</v>
      </c>
      <c r="I562" s="177">
        <v>38.880000000000003</v>
      </c>
      <c r="J562" s="177">
        <v>1.0049999999999999</v>
      </c>
      <c r="K562" s="177">
        <v>1.2929999999999999</v>
      </c>
      <c r="L562" s="223">
        <v>30.8</v>
      </c>
      <c r="M562" s="177">
        <v>22</v>
      </c>
      <c r="N562" s="177">
        <f t="shared" ref="N562" si="277">L562-M562</f>
        <v>8.8000000000000007</v>
      </c>
      <c r="O562" s="190">
        <f t="shared" ref="O562" si="278">H562*I562*J562*K562*N562</f>
        <v>266.76249177599993</v>
      </c>
      <c r="P562" s="177">
        <v>0.27700000000000002</v>
      </c>
      <c r="Q562" s="50">
        <f t="shared" si="272"/>
        <v>73.893210221951989</v>
      </c>
      <c r="R562" s="177">
        <f>30*9</f>
        <v>270</v>
      </c>
      <c r="S562" s="222">
        <f t="shared" ref="S562" si="279">(Q562*R562)/1000</f>
        <v>19.951166759927037</v>
      </c>
    </row>
    <row r="563" spans="7:19" ht="15" x14ac:dyDescent="0.4">
      <c r="G563" s="343" t="s">
        <v>133</v>
      </c>
      <c r="H563" s="344"/>
      <c r="I563" s="344"/>
      <c r="J563" s="344"/>
      <c r="K563" s="344"/>
      <c r="L563" s="344"/>
      <c r="M563" s="344"/>
      <c r="N563" s="344"/>
      <c r="O563" s="344"/>
      <c r="P563" s="344"/>
      <c r="Q563" s="344"/>
      <c r="R563" s="345"/>
      <c r="S563" s="235">
        <f>SUM(S558:S561)</f>
        <v>139.21228897144542</v>
      </c>
    </row>
    <row r="564" spans="7:19" ht="14" x14ac:dyDescent="0.25">
      <c r="G564" s="185" t="s">
        <v>13</v>
      </c>
      <c r="H564" s="177">
        <v>0.6</v>
      </c>
      <c r="I564" s="177">
        <v>38.880000000000003</v>
      </c>
      <c r="J564" s="177">
        <v>1.0049999999999999</v>
      </c>
      <c r="K564" s="177">
        <v>1.2929999999999999</v>
      </c>
      <c r="L564" s="223">
        <v>43.8</v>
      </c>
      <c r="M564" s="177">
        <v>22</v>
      </c>
      <c r="N564" s="177">
        <f t="shared" ref="N564" si="280">L564-M564</f>
        <v>21.799999999999997</v>
      </c>
      <c r="O564" s="190">
        <f t="shared" ref="O564" si="281">H564*I564*J564*K564*N564</f>
        <v>660.84344553599976</v>
      </c>
      <c r="P564" s="177">
        <v>0.27700000000000002</v>
      </c>
      <c r="Q564" s="50">
        <f t="shared" ref="Q564:Q569" si="282">O564*P564</f>
        <v>183.05363441347194</v>
      </c>
      <c r="R564" s="177">
        <f>30*9</f>
        <v>270</v>
      </c>
      <c r="S564" s="222">
        <f t="shared" ref="S564" si="283">(Q564*R564)/1000</f>
        <v>49.42448129163742</v>
      </c>
    </row>
    <row r="565" spans="7:19" ht="14" x14ac:dyDescent="0.25">
      <c r="G565" s="185" t="s">
        <v>24</v>
      </c>
      <c r="H565" s="177">
        <v>0.6</v>
      </c>
      <c r="I565" s="177">
        <v>38.880000000000003</v>
      </c>
      <c r="J565" s="177">
        <v>1.0049999999999999</v>
      </c>
      <c r="K565" s="177">
        <v>1.2929999999999999</v>
      </c>
      <c r="L565" s="223">
        <v>39</v>
      </c>
      <c r="M565" s="177">
        <v>23</v>
      </c>
      <c r="N565" s="177">
        <f t="shared" ref="N565:N569" si="284">L565-M565</f>
        <v>16</v>
      </c>
      <c r="O565" s="190">
        <f t="shared" ref="O565:O569" si="285">H565*I565*J565*K565*N565</f>
        <v>485.02271231999987</v>
      </c>
      <c r="P565" s="177">
        <v>0.27700000000000002</v>
      </c>
      <c r="Q565" s="50">
        <f t="shared" si="282"/>
        <v>134.35129131263997</v>
      </c>
      <c r="R565" s="177">
        <f>31*9</f>
        <v>279</v>
      </c>
      <c r="S565" s="222">
        <f t="shared" ref="S565:S569" si="286">(Q565*R565)/1000</f>
        <v>37.484010276226556</v>
      </c>
    </row>
    <row r="566" spans="7:19" ht="14" x14ac:dyDescent="0.25">
      <c r="G566" s="185" t="s">
        <v>19</v>
      </c>
      <c r="H566" s="177">
        <v>0.6</v>
      </c>
      <c r="I566" s="177">
        <v>38.880000000000003</v>
      </c>
      <c r="J566" s="177">
        <v>1.0049999999999999</v>
      </c>
      <c r="K566" s="177">
        <v>1.2929999999999999</v>
      </c>
      <c r="L566" s="223">
        <v>36.9</v>
      </c>
      <c r="M566" s="177">
        <v>23</v>
      </c>
      <c r="N566" s="177">
        <f t="shared" si="284"/>
        <v>13.899999999999999</v>
      </c>
      <c r="O566" s="190">
        <f t="shared" si="285"/>
        <v>421.36348132799986</v>
      </c>
      <c r="P566" s="177">
        <v>0.27700000000000002</v>
      </c>
      <c r="Q566" s="50">
        <f t="shared" si="282"/>
        <v>116.71768432785598</v>
      </c>
      <c r="R566" s="177">
        <f>31*9</f>
        <v>279</v>
      </c>
      <c r="S566" s="222">
        <f t="shared" si="286"/>
        <v>32.564233927471818</v>
      </c>
    </row>
    <row r="567" spans="7:19" ht="14" x14ac:dyDescent="0.25">
      <c r="G567" s="185" t="s">
        <v>20</v>
      </c>
      <c r="H567" s="177">
        <v>0.6</v>
      </c>
      <c r="I567" s="177">
        <v>38.880000000000003</v>
      </c>
      <c r="J567" s="177">
        <v>1.0049999999999999</v>
      </c>
      <c r="K567" s="177">
        <v>1.2929999999999999</v>
      </c>
      <c r="L567" s="223">
        <v>36.799999999999997</v>
      </c>
      <c r="M567" s="177">
        <v>23</v>
      </c>
      <c r="N567" s="177">
        <f t="shared" si="284"/>
        <v>13.799999999999997</v>
      </c>
      <c r="O567" s="190">
        <f t="shared" si="285"/>
        <v>418.33208937599983</v>
      </c>
      <c r="P567" s="177">
        <v>0.27700000000000002</v>
      </c>
      <c r="Q567" s="50">
        <f t="shared" si="282"/>
        <v>115.87798875715197</v>
      </c>
      <c r="R567" s="177">
        <f>30*9</f>
        <v>270</v>
      </c>
      <c r="S567" s="222">
        <f t="shared" si="286"/>
        <v>31.287056964431031</v>
      </c>
    </row>
    <row r="568" spans="7:19" ht="14" x14ac:dyDescent="0.25">
      <c r="G568" s="185" t="s">
        <v>21</v>
      </c>
      <c r="H568" s="177">
        <v>0.6</v>
      </c>
      <c r="I568" s="177">
        <v>38.880000000000003</v>
      </c>
      <c r="J568" s="177">
        <v>1.0049999999999999</v>
      </c>
      <c r="K568" s="177">
        <v>1.2929999999999999</v>
      </c>
      <c r="L568" s="223">
        <v>35.200000000000003</v>
      </c>
      <c r="M568" s="177">
        <v>23</v>
      </c>
      <c r="N568" s="177">
        <f t="shared" si="284"/>
        <v>12.200000000000003</v>
      </c>
      <c r="O568" s="190">
        <f t="shared" si="285"/>
        <v>369.829818144</v>
      </c>
      <c r="P568" s="177">
        <v>0.27700000000000002</v>
      </c>
      <c r="Q568" s="50">
        <f t="shared" si="282"/>
        <v>102.442859625888</v>
      </c>
      <c r="R568" s="177">
        <f>31*9</f>
        <v>279</v>
      </c>
      <c r="S568" s="222">
        <f>(Q568*R568)/1000</f>
        <v>28.581557835622753</v>
      </c>
    </row>
    <row r="569" spans="7:19" ht="14" x14ac:dyDescent="0.25">
      <c r="G569" s="185" t="s">
        <v>22</v>
      </c>
      <c r="H569" s="177">
        <v>0.6</v>
      </c>
      <c r="I569" s="177">
        <v>38.880000000000003</v>
      </c>
      <c r="J569" s="177">
        <v>1.0049999999999999</v>
      </c>
      <c r="K569" s="177">
        <v>1.2929999999999999</v>
      </c>
      <c r="L569" s="223">
        <v>30.8</v>
      </c>
      <c r="M569" s="177">
        <v>22</v>
      </c>
      <c r="N569" s="177">
        <f t="shared" si="284"/>
        <v>8.8000000000000007</v>
      </c>
      <c r="O569" s="190">
        <f t="shared" si="285"/>
        <v>266.76249177599993</v>
      </c>
      <c r="P569" s="177">
        <v>0.27700000000000002</v>
      </c>
      <c r="Q569" s="50">
        <f t="shared" si="282"/>
        <v>73.893210221951989</v>
      </c>
      <c r="R569" s="177">
        <f>30*9</f>
        <v>270</v>
      </c>
      <c r="S569" s="222">
        <f t="shared" si="286"/>
        <v>19.951166759927037</v>
      </c>
    </row>
    <row r="570" spans="7:19" ht="15" x14ac:dyDescent="0.4">
      <c r="G570" s="343" t="s">
        <v>88</v>
      </c>
      <c r="H570" s="344"/>
      <c r="I570" s="344"/>
      <c r="J570" s="344"/>
      <c r="K570" s="344"/>
      <c r="L570" s="344"/>
      <c r="M570" s="344"/>
      <c r="N570" s="344"/>
      <c r="O570" s="344"/>
      <c r="P570" s="344"/>
      <c r="Q570" s="344"/>
      <c r="R570" s="345"/>
      <c r="S570" s="235">
        <f>SUM(S565:S568)</f>
        <v>129.91685900375217</v>
      </c>
    </row>
    <row r="571" spans="7:19" ht="14" x14ac:dyDescent="0.25">
      <c r="G571" s="185" t="s">
        <v>13</v>
      </c>
      <c r="H571" s="177">
        <v>0.6</v>
      </c>
      <c r="I571" s="177">
        <v>38.880000000000003</v>
      </c>
      <c r="J571" s="177">
        <v>1.0049999999999999</v>
      </c>
      <c r="K571" s="177">
        <v>1.2929999999999999</v>
      </c>
      <c r="L571" s="223">
        <v>43.8</v>
      </c>
      <c r="M571" s="177">
        <v>22</v>
      </c>
      <c r="N571" s="177">
        <f t="shared" ref="N571" si="287">L571-M571</f>
        <v>21.799999999999997</v>
      </c>
      <c r="O571" s="190">
        <f t="shared" ref="O571" si="288">H571*I571*J571*K571*N571</f>
        <v>660.84344553599976</v>
      </c>
      <c r="P571" s="177">
        <v>0.27700000000000002</v>
      </c>
      <c r="Q571" s="50">
        <f t="shared" ref="Q571:Q576" si="289">O571*P571</f>
        <v>183.05363441347194</v>
      </c>
      <c r="R571" s="177">
        <f>30*9</f>
        <v>270</v>
      </c>
      <c r="S571" s="222">
        <f t="shared" ref="S571" si="290">(Q571*R571)/1000</f>
        <v>49.42448129163742</v>
      </c>
    </row>
    <row r="572" spans="7:19" ht="14" x14ac:dyDescent="0.25">
      <c r="G572" s="185" t="s">
        <v>24</v>
      </c>
      <c r="H572" s="177">
        <v>0.6</v>
      </c>
      <c r="I572" s="177">
        <v>38.880000000000003</v>
      </c>
      <c r="J572" s="177">
        <v>1.0049999999999999</v>
      </c>
      <c r="K572" s="177">
        <v>1.2929999999999999</v>
      </c>
      <c r="L572" s="223">
        <v>39</v>
      </c>
      <c r="M572" s="177">
        <v>24</v>
      </c>
      <c r="N572" s="177">
        <f t="shared" ref="N572:N576" si="291">L572-M572</f>
        <v>15</v>
      </c>
      <c r="O572" s="190">
        <f t="shared" ref="O572:O576" si="292">H572*I572*J572*K572*N572</f>
        <v>454.70879279999986</v>
      </c>
      <c r="P572" s="177">
        <v>0.27700000000000002</v>
      </c>
      <c r="Q572" s="50">
        <f t="shared" si="289"/>
        <v>125.95433560559997</v>
      </c>
      <c r="R572" s="177">
        <f>31*9</f>
        <v>279</v>
      </c>
      <c r="S572" s="222">
        <f t="shared" ref="S572:S576" si="293">(Q572*R572)/1000</f>
        <v>35.141259633962392</v>
      </c>
    </row>
    <row r="573" spans="7:19" ht="14" x14ac:dyDescent="0.25">
      <c r="G573" s="185" t="s">
        <v>19</v>
      </c>
      <c r="H573" s="177">
        <v>0.6</v>
      </c>
      <c r="I573" s="177">
        <v>38.880000000000003</v>
      </c>
      <c r="J573" s="177">
        <v>1.0049999999999999</v>
      </c>
      <c r="K573" s="177">
        <v>1.2929999999999999</v>
      </c>
      <c r="L573" s="223">
        <v>36.9</v>
      </c>
      <c r="M573" s="177">
        <v>24</v>
      </c>
      <c r="N573" s="177">
        <f t="shared" si="291"/>
        <v>12.899999999999999</v>
      </c>
      <c r="O573" s="190">
        <f t="shared" si="292"/>
        <v>391.04956180799985</v>
      </c>
      <c r="P573" s="177">
        <v>0.27700000000000002</v>
      </c>
      <c r="Q573" s="50">
        <f t="shared" si="289"/>
        <v>108.32072862081597</v>
      </c>
      <c r="R573" s="177">
        <f>31*9</f>
        <v>279</v>
      </c>
      <c r="S573" s="222">
        <f t="shared" si="293"/>
        <v>30.221483285207654</v>
      </c>
    </row>
    <row r="574" spans="7:19" ht="14" x14ac:dyDescent="0.25">
      <c r="G574" s="185" t="s">
        <v>20</v>
      </c>
      <c r="H574" s="177">
        <v>0.6</v>
      </c>
      <c r="I574" s="177">
        <v>38.880000000000003</v>
      </c>
      <c r="J574" s="177">
        <v>1.0049999999999999</v>
      </c>
      <c r="K574" s="177">
        <v>1.2929999999999999</v>
      </c>
      <c r="L574" s="223">
        <v>36.799999999999997</v>
      </c>
      <c r="M574" s="177">
        <v>24</v>
      </c>
      <c r="N574" s="177">
        <f t="shared" si="291"/>
        <v>12.799999999999997</v>
      </c>
      <c r="O574" s="190">
        <f t="shared" si="292"/>
        <v>388.01816985599982</v>
      </c>
      <c r="P574" s="177">
        <v>0.27700000000000002</v>
      </c>
      <c r="Q574" s="50">
        <f t="shared" si="289"/>
        <v>107.48103305011196</v>
      </c>
      <c r="R574" s="177">
        <f>30*9</f>
        <v>270</v>
      </c>
      <c r="S574" s="222">
        <f t="shared" si="293"/>
        <v>29.019878923530229</v>
      </c>
    </row>
    <row r="575" spans="7:19" ht="14" x14ac:dyDescent="0.25">
      <c r="G575" s="185" t="s">
        <v>21</v>
      </c>
      <c r="H575" s="177">
        <v>0.6</v>
      </c>
      <c r="I575" s="177">
        <v>38.880000000000003</v>
      </c>
      <c r="J575" s="177">
        <v>1.0049999999999999</v>
      </c>
      <c r="K575" s="177">
        <v>1.2929999999999999</v>
      </c>
      <c r="L575" s="223">
        <v>35.200000000000003</v>
      </c>
      <c r="M575" s="177">
        <v>24</v>
      </c>
      <c r="N575" s="177">
        <f t="shared" si="291"/>
        <v>11.200000000000003</v>
      </c>
      <c r="O575" s="190">
        <f t="shared" si="292"/>
        <v>339.51589862399999</v>
      </c>
      <c r="P575" s="177">
        <v>0.27700000000000002</v>
      </c>
      <c r="Q575" s="50">
        <f t="shared" si="289"/>
        <v>94.045903918847998</v>
      </c>
      <c r="R575" s="177">
        <f>31*9</f>
        <v>279</v>
      </c>
      <c r="S575" s="222">
        <f t="shared" si="293"/>
        <v>26.238807193358593</v>
      </c>
    </row>
    <row r="576" spans="7:19" ht="14" x14ac:dyDescent="0.25">
      <c r="G576" s="185" t="s">
        <v>22</v>
      </c>
      <c r="H576" s="177">
        <v>0.6</v>
      </c>
      <c r="I576" s="177">
        <v>38.880000000000003</v>
      </c>
      <c r="J576" s="177">
        <v>1.0049999999999999</v>
      </c>
      <c r="K576" s="177">
        <v>1.2929999999999999</v>
      </c>
      <c r="L576" s="223">
        <v>30.8</v>
      </c>
      <c r="M576" s="177">
        <v>22</v>
      </c>
      <c r="N576" s="177">
        <f t="shared" si="291"/>
        <v>8.8000000000000007</v>
      </c>
      <c r="O576" s="190">
        <f t="shared" si="292"/>
        <v>266.76249177599993</v>
      </c>
      <c r="P576" s="177">
        <v>0.27700000000000002</v>
      </c>
      <c r="Q576" s="50">
        <f t="shared" si="289"/>
        <v>73.893210221951989</v>
      </c>
      <c r="R576" s="177">
        <f>30*9</f>
        <v>270</v>
      </c>
      <c r="S576" s="222">
        <f t="shared" si="293"/>
        <v>19.951166759927037</v>
      </c>
    </row>
    <row r="577" spans="7:19" ht="15" x14ac:dyDescent="0.4">
      <c r="G577" s="343" t="s">
        <v>90</v>
      </c>
      <c r="H577" s="344"/>
      <c r="I577" s="344"/>
      <c r="J577" s="344"/>
      <c r="K577" s="344"/>
      <c r="L577" s="344"/>
      <c r="M577" s="344"/>
      <c r="N577" s="344"/>
      <c r="O577" s="344"/>
      <c r="P577" s="344"/>
      <c r="Q577" s="344"/>
      <c r="R577" s="345"/>
      <c r="S577" s="235">
        <f>SUM(S572:S575)</f>
        <v>120.62142903605887</v>
      </c>
    </row>
    <row r="578" spans="7:19" ht="13" thickBot="1" x14ac:dyDescent="0.3"/>
    <row r="579" spans="7:19" hidden="1" x14ac:dyDescent="0.25"/>
    <row r="580" spans="7:19" hidden="1" x14ac:dyDescent="0.25"/>
    <row r="581" spans="7:19" ht="13" hidden="1" thickBot="1" x14ac:dyDescent="0.3"/>
    <row r="582" spans="7:19" ht="13" x14ac:dyDescent="0.3">
      <c r="G582" s="295" t="s">
        <v>160</v>
      </c>
      <c r="H582" s="296"/>
      <c r="I582" s="296"/>
      <c r="J582" s="296"/>
      <c r="K582" s="296"/>
      <c r="L582" s="296"/>
      <c r="M582" s="296"/>
      <c r="N582" s="297"/>
    </row>
    <row r="583" spans="7:19" ht="13" x14ac:dyDescent="0.25">
      <c r="G583" s="224" t="s">
        <v>125</v>
      </c>
      <c r="H583" s="218" t="s">
        <v>126</v>
      </c>
      <c r="I583" s="218" t="s">
        <v>127</v>
      </c>
      <c r="J583" s="218" t="s">
        <v>87</v>
      </c>
      <c r="K583" s="218" t="s">
        <v>128</v>
      </c>
      <c r="L583" s="218" t="s">
        <v>129</v>
      </c>
      <c r="M583" s="218" t="s">
        <v>130</v>
      </c>
      <c r="N583" s="245" t="s">
        <v>134</v>
      </c>
    </row>
    <row r="584" spans="7:19" ht="13" x14ac:dyDescent="0.25">
      <c r="G584" s="224">
        <v>18</v>
      </c>
      <c r="H584" s="247">
        <f>T463</f>
        <v>67.376133720000027</v>
      </c>
      <c r="I584" s="247">
        <f>M523</f>
        <v>64.865133519119993</v>
      </c>
      <c r="J584" s="247">
        <f>S535</f>
        <v>176.39400884221851</v>
      </c>
      <c r="K584" s="218">
        <f>Q292</f>
        <v>691.7399999999999</v>
      </c>
      <c r="L584" s="247">
        <f>M299</f>
        <v>129.39886080000002</v>
      </c>
      <c r="M584" s="218">
        <f>J305</f>
        <v>32.94</v>
      </c>
      <c r="N584" s="242">
        <f>H584+I584+J584+K584+L584+M584</f>
        <v>1162.7141368813384</v>
      </c>
    </row>
    <row r="585" spans="7:19" ht="13" x14ac:dyDescent="0.25">
      <c r="G585" s="224">
        <v>19</v>
      </c>
      <c r="H585" s="247">
        <f>T470</f>
        <v>62.360030520000016</v>
      </c>
      <c r="I585" s="247">
        <f>M523</f>
        <v>64.865133519119993</v>
      </c>
      <c r="J585" s="247">
        <f>S542</f>
        <v>167.09857887452529</v>
      </c>
      <c r="K585" s="218">
        <f>Q292</f>
        <v>691.7399999999999</v>
      </c>
      <c r="L585" s="247">
        <f>M299</f>
        <v>129.39886080000002</v>
      </c>
      <c r="M585" s="218">
        <f>J305</f>
        <v>32.94</v>
      </c>
      <c r="N585" s="242">
        <f>H585+I585+J585+K585+L585+M585</f>
        <v>1148.4026037136452</v>
      </c>
    </row>
    <row r="586" spans="7:19" ht="13" x14ac:dyDescent="0.25">
      <c r="G586" s="224">
        <v>20</v>
      </c>
      <c r="H586" s="247">
        <f>T477</f>
        <v>57.343927320000006</v>
      </c>
      <c r="I586" s="247">
        <f>M523</f>
        <v>64.865133519119993</v>
      </c>
      <c r="J586" s="247">
        <f>S549</f>
        <v>157.80314890683201</v>
      </c>
      <c r="K586" s="218">
        <f>Q292</f>
        <v>691.7399999999999</v>
      </c>
      <c r="L586" s="247">
        <f>M299</f>
        <v>129.39886080000002</v>
      </c>
      <c r="M586" s="218">
        <f>J305</f>
        <v>32.94</v>
      </c>
      <c r="N586" s="242">
        <f>H586+I586+J586+K586+L586+M586</f>
        <v>1134.0910705459519</v>
      </c>
    </row>
    <row r="587" spans="7:19" ht="13" x14ac:dyDescent="0.25">
      <c r="G587" s="224">
        <v>21</v>
      </c>
      <c r="H587" s="247">
        <f>T484</f>
        <v>52.327824120000024</v>
      </c>
      <c r="I587" s="247">
        <f>M523</f>
        <v>64.865133519119993</v>
      </c>
      <c r="J587" s="247">
        <f>S556</f>
        <v>148.50771893913873</v>
      </c>
      <c r="K587" s="218">
        <f>Q292</f>
        <v>691.7399999999999</v>
      </c>
      <c r="L587" s="247">
        <f>M299</f>
        <v>129.39886080000002</v>
      </c>
      <c r="M587" s="218">
        <f>J305</f>
        <v>32.94</v>
      </c>
      <c r="N587" s="242">
        <f>H587+I587+J587+K587+L587+M587</f>
        <v>1119.7795373782587</v>
      </c>
    </row>
    <row r="588" spans="7:19" x14ac:dyDescent="0.25">
      <c r="G588" s="240">
        <v>22</v>
      </c>
      <c r="H588" s="190">
        <f>T491</f>
        <v>47.311720920000006</v>
      </c>
      <c r="I588" s="190">
        <f>M523</f>
        <v>64.865133519119993</v>
      </c>
      <c r="J588" s="190">
        <f>S563</f>
        <v>139.21228897144542</v>
      </c>
      <c r="K588" s="177">
        <f>Q292</f>
        <v>691.7399999999999</v>
      </c>
      <c r="L588" s="190">
        <f>M299</f>
        <v>129.39886080000002</v>
      </c>
      <c r="M588" s="177">
        <f>J305</f>
        <v>32.94</v>
      </c>
      <c r="N588" s="242">
        <f>H588+I588+J588+K588+L588+M588</f>
        <v>1105.4680042105654</v>
      </c>
    </row>
    <row r="589" spans="7:19" x14ac:dyDescent="0.25">
      <c r="G589" s="240">
        <v>23</v>
      </c>
      <c r="H589" s="190">
        <f>T498</f>
        <v>42.295617720000017</v>
      </c>
      <c r="I589" s="190">
        <f>M523</f>
        <v>64.865133519119993</v>
      </c>
      <c r="J589" s="190">
        <f>S570</f>
        <v>129.91685900375217</v>
      </c>
      <c r="K589" s="177">
        <f>Q292</f>
        <v>691.7399999999999</v>
      </c>
      <c r="L589" s="190">
        <f>M299</f>
        <v>129.39886080000002</v>
      </c>
      <c r="M589" s="177">
        <f>J305</f>
        <v>32.94</v>
      </c>
      <c r="N589" s="242">
        <f t="shared" ref="N589:N590" si="294">H589+I589+J589+K589+L589+M589</f>
        <v>1091.1564710428722</v>
      </c>
    </row>
    <row r="590" spans="7:19" x14ac:dyDescent="0.25">
      <c r="G590" s="240">
        <v>24</v>
      </c>
      <c r="H590" s="190">
        <f>T505</f>
        <v>37.279514520000014</v>
      </c>
      <c r="I590" s="190">
        <f>M523</f>
        <v>64.865133519119993</v>
      </c>
      <c r="J590" s="190">
        <f>S577</f>
        <v>120.62142903605887</v>
      </c>
      <c r="K590" s="177">
        <f>Q292</f>
        <v>691.7399999999999</v>
      </c>
      <c r="L590" s="190">
        <f>M299</f>
        <v>129.39886080000002</v>
      </c>
      <c r="M590" s="177">
        <f>J305</f>
        <v>32.94</v>
      </c>
      <c r="N590" s="242">
        <f t="shared" si="294"/>
        <v>1076.8449378751789</v>
      </c>
    </row>
  </sheetData>
  <mergeCells count="94">
    <mergeCell ref="G273:R273"/>
    <mergeCell ref="G284:Q284"/>
    <mergeCell ref="G292:O292"/>
    <mergeCell ref="G280:R280"/>
    <mergeCell ref="H151:O151"/>
    <mergeCell ref="H158:O158"/>
    <mergeCell ref="G238:R238"/>
    <mergeCell ref="G245:R245"/>
    <mergeCell ref="G252:R252"/>
    <mergeCell ref="G230:S230"/>
    <mergeCell ref="G218:M218"/>
    <mergeCell ref="G364:S364"/>
    <mergeCell ref="G371:S371"/>
    <mergeCell ref="G350:S350"/>
    <mergeCell ref="G343:S343"/>
    <mergeCell ref="G302:J302"/>
    <mergeCell ref="G308:N308"/>
    <mergeCell ref="G305:I305"/>
    <mergeCell ref="G582:N582"/>
    <mergeCell ref="G515:M515"/>
    <mergeCell ref="G523:L523"/>
    <mergeCell ref="G527:S527"/>
    <mergeCell ref="G375:M375"/>
    <mergeCell ref="G383:L383"/>
    <mergeCell ref="G386:S386"/>
    <mergeCell ref="G454:T455"/>
    <mergeCell ref="G441:N441"/>
    <mergeCell ref="G422:R422"/>
    <mergeCell ref="G429:R429"/>
    <mergeCell ref="G436:R436"/>
    <mergeCell ref="G415:R415"/>
    <mergeCell ref="G408:R408"/>
    <mergeCell ref="G401:R401"/>
    <mergeCell ref="G577:R577"/>
    <mergeCell ref="G3:AL3"/>
    <mergeCell ref="G4:AL4"/>
    <mergeCell ref="H40:O40"/>
    <mergeCell ref="H47:O47"/>
    <mergeCell ref="H54:O54"/>
    <mergeCell ref="C162:D163"/>
    <mergeCell ref="G199:S199"/>
    <mergeCell ref="G213:S213"/>
    <mergeCell ref="G206:S206"/>
    <mergeCell ref="G162:T163"/>
    <mergeCell ref="G171:S171"/>
    <mergeCell ref="G178:S178"/>
    <mergeCell ref="G185:S185"/>
    <mergeCell ref="G192:S192"/>
    <mergeCell ref="AS4:AU4"/>
    <mergeCell ref="H12:N12"/>
    <mergeCell ref="H19:N19"/>
    <mergeCell ref="H26:N26"/>
    <mergeCell ref="H33:N33"/>
    <mergeCell ref="G55:AK55"/>
    <mergeCell ref="G107:AK107"/>
    <mergeCell ref="G159:AK159"/>
    <mergeCell ref="G259:R259"/>
    <mergeCell ref="G266:R266"/>
    <mergeCell ref="H85:N85"/>
    <mergeCell ref="H92:N92"/>
    <mergeCell ref="H106:N106"/>
    <mergeCell ref="H130:P130"/>
    <mergeCell ref="H123:P123"/>
    <mergeCell ref="H116:P116"/>
    <mergeCell ref="G226:L226"/>
    <mergeCell ref="G56:AL56"/>
    <mergeCell ref="H99:O99"/>
    <mergeCell ref="G108:AL108"/>
    <mergeCell ref="H144:O144"/>
    <mergeCell ref="H64:N64"/>
    <mergeCell ref="H71:N71"/>
    <mergeCell ref="H78:N78"/>
    <mergeCell ref="G463:S463"/>
    <mergeCell ref="G563:R563"/>
    <mergeCell ref="G477:S477"/>
    <mergeCell ref="G470:S470"/>
    <mergeCell ref="G484:S484"/>
    <mergeCell ref="G394:R394"/>
    <mergeCell ref="H137:P137"/>
    <mergeCell ref="G336:S336"/>
    <mergeCell ref="G329:S329"/>
    <mergeCell ref="G296:M296"/>
    <mergeCell ref="G320:T321"/>
    <mergeCell ref="G299:L299"/>
    <mergeCell ref="G357:S357"/>
    <mergeCell ref="G570:R570"/>
    <mergeCell ref="G535:R535"/>
    <mergeCell ref="G491:S491"/>
    <mergeCell ref="G498:S498"/>
    <mergeCell ref="G505:S505"/>
    <mergeCell ref="G556:R556"/>
    <mergeCell ref="G549:R549"/>
    <mergeCell ref="G542:R542"/>
    <mergeCell ref="G512:S51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9AF1A-6E44-4064-9C21-A9FADCF9EB35}">
  <dimension ref="B1:AN369"/>
  <sheetViews>
    <sheetView topLeftCell="E2" zoomScale="90" zoomScaleNormal="90" workbookViewId="0">
      <selection activeCell="AL100" sqref="AL100"/>
    </sheetView>
  </sheetViews>
  <sheetFormatPr defaultColWidth="9.1796875" defaultRowHeight="12.5" x14ac:dyDescent="0.25"/>
  <cols>
    <col min="1" max="1" width="0" style="183" hidden="1" customWidth="1"/>
    <col min="2" max="2" width="14.26953125" style="183" hidden="1" customWidth="1"/>
    <col min="3" max="3" width="11.7265625" style="183" hidden="1" customWidth="1"/>
    <col min="4" max="4" width="0" style="183" hidden="1" customWidth="1"/>
    <col min="5" max="5" width="13.453125" style="183" bestFit="1" customWidth="1"/>
    <col min="6" max="6" width="10.81640625" style="183" bestFit="1" customWidth="1"/>
    <col min="7" max="7" width="11.7265625" style="183" bestFit="1" customWidth="1"/>
    <col min="8" max="8" width="10.81640625" style="183" bestFit="1" customWidth="1"/>
    <col min="9" max="9" width="18.453125" style="183" bestFit="1" customWidth="1"/>
    <col min="10" max="10" width="14.453125" style="183" bestFit="1" customWidth="1"/>
    <col min="11" max="11" width="11.453125" style="183" customWidth="1"/>
    <col min="12" max="12" width="15.453125" style="183" bestFit="1" customWidth="1"/>
    <col min="13" max="13" width="12" style="183" bestFit="1" customWidth="1"/>
    <col min="14" max="14" width="14.26953125" style="183" bestFit="1" customWidth="1"/>
    <col min="15" max="15" width="18.1796875" style="183" bestFit="1" customWidth="1"/>
    <col min="16" max="16" width="19" style="183" bestFit="1" customWidth="1"/>
    <col min="17" max="17" width="13.54296875" style="183" bestFit="1" customWidth="1"/>
    <col min="18" max="18" width="19.7265625" style="183" bestFit="1" customWidth="1"/>
    <col min="19" max="20" width="12.54296875" style="183" bestFit="1" customWidth="1"/>
    <col min="21" max="21" width="5.1796875" style="183" bestFit="1" customWidth="1"/>
    <col min="22" max="22" width="6.26953125" style="183" bestFit="1" customWidth="1"/>
    <col min="23" max="24" width="12.54296875" style="183" bestFit="1" customWidth="1"/>
    <col min="25" max="25" width="5.1796875" style="183" bestFit="1" customWidth="1"/>
    <col min="26" max="26" width="7.453125" style="183" bestFit="1" customWidth="1"/>
    <col min="27" max="28" width="12.54296875" style="183" bestFit="1" customWidth="1"/>
    <col min="29" max="29" width="18.81640625" style="183" bestFit="1" customWidth="1"/>
    <col min="30" max="30" width="15.26953125" style="183" bestFit="1" customWidth="1"/>
    <col min="31" max="31" width="12.54296875" style="183" bestFit="1" customWidth="1"/>
    <col min="32" max="32" width="8.81640625" style="183" bestFit="1" customWidth="1"/>
    <col min="33" max="33" width="4.81640625" style="183" bestFit="1" customWidth="1"/>
    <col min="34" max="34" width="10.7265625" style="183" bestFit="1" customWidth="1"/>
    <col min="35" max="35" width="3.1796875" style="184" bestFit="1" customWidth="1"/>
    <col min="36" max="37" width="9.1796875" style="183"/>
    <col min="38" max="38" width="20.54296875" style="183" bestFit="1" customWidth="1"/>
    <col min="39" max="39" width="13.1796875" style="183" bestFit="1" customWidth="1"/>
    <col min="40" max="40" width="10.453125" style="183" bestFit="1" customWidth="1"/>
    <col min="41" max="16384" width="9.1796875" style="183"/>
  </cols>
  <sheetData>
    <row r="1" spans="2:40" hidden="1" x14ac:dyDescent="0.25"/>
    <row r="2" spans="2:40" ht="13" thickBot="1" x14ac:dyDescent="0.3"/>
    <row r="3" spans="2:40" ht="13" x14ac:dyDescent="0.3">
      <c r="E3" s="376" t="s">
        <v>9</v>
      </c>
      <c r="F3" s="377"/>
      <c r="G3" s="377"/>
      <c r="H3" s="377"/>
      <c r="I3" s="377"/>
      <c r="J3" s="377"/>
      <c r="K3" s="377"/>
      <c r="L3" s="377"/>
      <c r="M3" s="377"/>
      <c r="N3" s="377"/>
      <c r="O3" s="377"/>
      <c r="P3" s="377"/>
      <c r="Q3" s="377"/>
      <c r="R3" s="377"/>
      <c r="S3" s="377"/>
      <c r="T3" s="377"/>
      <c r="U3" s="377"/>
      <c r="V3" s="377"/>
      <c r="W3" s="377"/>
      <c r="X3" s="377"/>
      <c r="Y3" s="377"/>
      <c r="Z3" s="377"/>
      <c r="AA3" s="377"/>
      <c r="AB3" s="377"/>
      <c r="AC3" s="377"/>
      <c r="AD3" s="377"/>
      <c r="AE3" s="377"/>
      <c r="AF3" s="377"/>
      <c r="AG3" s="377"/>
      <c r="AH3" s="378"/>
      <c r="AL3" s="295" t="s">
        <v>202</v>
      </c>
      <c r="AM3" s="296"/>
      <c r="AN3" s="297"/>
    </row>
    <row r="4" spans="2:40" ht="15" customHeight="1" x14ac:dyDescent="0.4">
      <c r="E4" s="185" t="s">
        <v>0</v>
      </c>
      <c r="F4" s="187"/>
      <c r="G4" s="180"/>
      <c r="H4" s="180"/>
      <c r="I4" s="180"/>
      <c r="J4" s="180"/>
      <c r="K4" s="180"/>
      <c r="L4" s="180"/>
      <c r="M4" s="187"/>
      <c r="N4" s="180" t="s">
        <v>2</v>
      </c>
      <c r="O4" s="180" t="s">
        <v>10</v>
      </c>
      <c r="P4" s="180" t="s">
        <v>11</v>
      </c>
      <c r="Q4" s="180"/>
      <c r="R4" s="180"/>
      <c r="S4" s="180" t="s">
        <v>3</v>
      </c>
      <c r="T4" s="180"/>
      <c r="U4" s="180"/>
      <c r="V4" s="180"/>
      <c r="W4" s="180" t="s">
        <v>3</v>
      </c>
      <c r="X4" s="180"/>
      <c r="Y4" s="180"/>
      <c r="Z4" s="180"/>
      <c r="AA4" s="180" t="s">
        <v>3</v>
      </c>
      <c r="AB4" s="180"/>
      <c r="AC4" s="180" t="s">
        <v>4</v>
      </c>
      <c r="AD4" s="180" t="s">
        <v>5</v>
      </c>
      <c r="AE4" s="180" t="s">
        <v>6</v>
      </c>
      <c r="AF4" s="180"/>
      <c r="AG4" s="180" t="s">
        <v>7</v>
      </c>
      <c r="AH4" s="205" t="s">
        <v>8</v>
      </c>
      <c r="AL4" s="255" t="s">
        <v>195</v>
      </c>
      <c r="AM4" s="190" t="s">
        <v>196</v>
      </c>
      <c r="AN4" s="239" t="s">
        <v>201</v>
      </c>
    </row>
    <row r="5" spans="2:40" ht="15" customHeight="1" x14ac:dyDescent="0.25">
      <c r="B5" s="209"/>
      <c r="E5" s="185" t="s">
        <v>15</v>
      </c>
      <c r="F5" s="186">
        <v>22</v>
      </c>
      <c r="G5" s="202">
        <v>34.400654639999999</v>
      </c>
      <c r="H5" s="180">
        <v>420</v>
      </c>
      <c r="I5" s="180">
        <v>118.8</v>
      </c>
      <c r="J5" s="180">
        <v>36</v>
      </c>
      <c r="K5" s="177">
        <v>191.96</v>
      </c>
      <c r="L5" s="177">
        <v>8.4700000000000006</v>
      </c>
      <c r="M5" s="191">
        <f>(F5-((G5+H5+I5+J5)/(K5+L5)))</f>
        <v>18.960531583894628</v>
      </c>
      <c r="N5" s="184">
        <v>216.7</v>
      </c>
      <c r="O5" s="180"/>
      <c r="P5" s="180"/>
      <c r="Q5" s="180"/>
      <c r="R5" s="180"/>
      <c r="S5" s="180"/>
      <c r="T5" s="180"/>
      <c r="U5" s="180"/>
      <c r="V5" s="180"/>
      <c r="W5" s="180"/>
      <c r="X5" s="180"/>
      <c r="Y5" s="180"/>
      <c r="Z5" s="180"/>
      <c r="AA5" s="180"/>
      <c r="AB5" s="180"/>
      <c r="AC5" s="180"/>
      <c r="AD5" s="180"/>
      <c r="AE5" s="180"/>
      <c r="AF5" s="180"/>
      <c r="AG5" s="180"/>
      <c r="AH5" s="205"/>
      <c r="AL5" s="255">
        <v>22</v>
      </c>
      <c r="AM5" s="190">
        <v>16</v>
      </c>
      <c r="AN5" s="256">
        <f>AM5/AM8</f>
        <v>0.34782608695652173</v>
      </c>
    </row>
    <row r="6" spans="2:40" ht="15" customHeight="1" x14ac:dyDescent="0.25">
      <c r="B6" s="209"/>
      <c r="E6" s="185" t="s">
        <v>16</v>
      </c>
      <c r="F6" s="186">
        <v>22</v>
      </c>
      <c r="G6" s="202">
        <v>37.843264800000007</v>
      </c>
      <c r="H6" s="180">
        <v>420</v>
      </c>
      <c r="I6" s="180">
        <v>118.8</v>
      </c>
      <c r="J6" s="180">
        <v>36</v>
      </c>
      <c r="K6" s="177">
        <v>191.96</v>
      </c>
      <c r="L6" s="177">
        <v>8.4700000000000006</v>
      </c>
      <c r="M6" s="191">
        <f t="shared" ref="M6:M16" si="0">(F6-((G6+H6+I6+J6)/(K6+L6)))</f>
        <v>18.943355461757221</v>
      </c>
      <c r="N6" s="184">
        <v>233.5</v>
      </c>
      <c r="O6" s="180"/>
      <c r="P6" s="180"/>
      <c r="Q6" s="180"/>
      <c r="R6" s="180"/>
      <c r="S6" s="180"/>
      <c r="T6" s="180"/>
      <c r="U6" s="180"/>
      <c r="V6" s="180"/>
      <c r="W6" s="180"/>
      <c r="X6" s="180"/>
      <c r="Y6" s="180"/>
      <c r="Z6" s="180"/>
      <c r="AA6" s="180"/>
      <c r="AB6" s="180"/>
      <c r="AC6" s="180"/>
      <c r="AD6" s="180"/>
      <c r="AE6" s="180"/>
      <c r="AF6" s="180"/>
      <c r="AG6" s="180"/>
      <c r="AH6" s="205"/>
      <c r="AL6" s="255">
        <v>23</v>
      </c>
      <c r="AM6" s="190">
        <v>10</v>
      </c>
      <c r="AN6" s="256">
        <f>AM6/AM8</f>
        <v>0.21739130434782608</v>
      </c>
    </row>
    <row r="7" spans="2:40" ht="15" customHeight="1" x14ac:dyDescent="0.25">
      <c r="B7" s="209"/>
      <c r="E7" s="185" t="s">
        <v>17</v>
      </c>
      <c r="F7" s="186">
        <v>22</v>
      </c>
      <c r="G7" s="202">
        <v>40.137126480000006</v>
      </c>
      <c r="H7" s="180">
        <v>420</v>
      </c>
      <c r="I7" s="180">
        <v>118.8</v>
      </c>
      <c r="J7" s="180">
        <v>36</v>
      </c>
      <c r="K7" s="177">
        <v>191.96</v>
      </c>
      <c r="L7" s="177">
        <v>8.4700000000000006</v>
      </c>
      <c r="M7" s="191">
        <f t="shared" si="0"/>
        <v>18.931910759467147</v>
      </c>
      <c r="N7" s="184">
        <v>326.10000000000002</v>
      </c>
      <c r="O7" s="180"/>
      <c r="P7" s="180"/>
      <c r="Q7" s="180"/>
      <c r="R7" s="180"/>
      <c r="S7" s="180"/>
      <c r="T7" s="180"/>
      <c r="U7" s="180"/>
      <c r="V7" s="180"/>
      <c r="W7" s="180"/>
      <c r="X7" s="180"/>
      <c r="Y7" s="180"/>
      <c r="Z7" s="180"/>
      <c r="AA7" s="180"/>
      <c r="AB7" s="180"/>
      <c r="AC7" s="180"/>
      <c r="AD7" s="180"/>
      <c r="AE7" s="180"/>
      <c r="AF7" s="180"/>
      <c r="AG7" s="180"/>
      <c r="AH7" s="205"/>
      <c r="AL7" s="255">
        <v>24</v>
      </c>
      <c r="AM7" s="190">
        <v>20</v>
      </c>
      <c r="AN7" s="256">
        <f>AM7/AM8</f>
        <v>0.43478260869565216</v>
      </c>
    </row>
    <row r="8" spans="2:40" ht="15" customHeight="1" thickBot="1" x14ac:dyDescent="0.3">
      <c r="B8" s="209"/>
      <c r="E8" s="185" t="s">
        <v>18</v>
      </c>
      <c r="F8" s="186">
        <v>22</v>
      </c>
      <c r="G8" s="202">
        <v>44.721214560000007</v>
      </c>
      <c r="H8" s="180">
        <v>420</v>
      </c>
      <c r="I8" s="180">
        <v>118.8</v>
      </c>
      <c r="J8" s="180">
        <v>36</v>
      </c>
      <c r="K8" s="177">
        <v>191.96</v>
      </c>
      <c r="L8" s="177">
        <v>8.4700000000000006</v>
      </c>
      <c r="M8" s="191">
        <f t="shared" si="0"/>
        <v>18.909039492291573</v>
      </c>
      <c r="N8" s="184">
        <v>364.1</v>
      </c>
      <c r="O8" s="180"/>
      <c r="P8" s="180"/>
      <c r="Q8" s="180"/>
      <c r="R8" s="180"/>
      <c r="S8" s="180"/>
      <c r="T8" s="180"/>
      <c r="U8" s="180"/>
      <c r="V8" s="180"/>
      <c r="W8" s="180"/>
      <c r="X8" s="180"/>
      <c r="Y8" s="180"/>
      <c r="Z8" s="180"/>
      <c r="AA8" s="180"/>
      <c r="AB8" s="180"/>
      <c r="AC8" s="180"/>
      <c r="AD8" s="180"/>
      <c r="AE8" s="180"/>
      <c r="AF8" s="180"/>
      <c r="AG8" s="180"/>
      <c r="AH8" s="205"/>
      <c r="AL8" s="257"/>
      <c r="AM8" s="258">
        <f>AM5+AM6+AM7</f>
        <v>46</v>
      </c>
      <c r="AN8" s="259">
        <f>AN5+AN6+AN7</f>
        <v>1</v>
      </c>
    </row>
    <row r="9" spans="2:40" ht="15" customHeight="1" x14ac:dyDescent="0.25">
      <c r="B9" s="209"/>
      <c r="E9" s="185" t="s">
        <v>12</v>
      </c>
      <c r="F9" s="186">
        <v>22</v>
      </c>
      <c r="G9" s="202">
        <v>59.629497840000013</v>
      </c>
      <c r="H9" s="180">
        <v>420</v>
      </c>
      <c r="I9" s="180">
        <v>118.8</v>
      </c>
      <c r="J9" s="180">
        <v>36</v>
      </c>
      <c r="K9" s="177">
        <v>191.96</v>
      </c>
      <c r="L9" s="177">
        <v>8.4700000000000006</v>
      </c>
      <c r="M9" s="191">
        <f t="shared" si="0"/>
        <v>18.834657996108369</v>
      </c>
      <c r="N9" s="184">
        <v>419.6</v>
      </c>
      <c r="O9" s="180"/>
      <c r="P9" s="180"/>
      <c r="Q9" s="180"/>
      <c r="R9" s="180"/>
      <c r="S9" s="180"/>
      <c r="T9" s="180"/>
      <c r="U9" s="180"/>
      <c r="V9" s="180"/>
      <c r="W9" s="180"/>
      <c r="X9" s="180"/>
      <c r="Y9" s="180"/>
      <c r="Z9" s="180"/>
      <c r="AA9" s="180"/>
      <c r="AB9" s="180"/>
      <c r="AC9" s="180"/>
      <c r="AD9" s="180"/>
      <c r="AE9" s="180"/>
      <c r="AF9" s="180"/>
      <c r="AG9" s="180"/>
      <c r="AH9" s="205"/>
    </row>
    <row r="10" spans="2:40" ht="15" customHeight="1" x14ac:dyDescent="0.25">
      <c r="B10" s="209"/>
      <c r="E10" s="185" t="s">
        <v>13</v>
      </c>
      <c r="F10" s="186">
        <v>22</v>
      </c>
      <c r="G10" s="202">
        <v>75.686529600000014</v>
      </c>
      <c r="H10" s="180">
        <v>420</v>
      </c>
      <c r="I10" s="180">
        <v>118.8</v>
      </c>
      <c r="J10" s="180">
        <v>36</v>
      </c>
      <c r="K10" s="177">
        <v>191.96</v>
      </c>
      <c r="L10" s="177">
        <v>8.4700000000000006</v>
      </c>
      <c r="M10" s="191">
        <f t="shared" si="0"/>
        <v>18.754545080077833</v>
      </c>
      <c r="N10" s="184">
        <v>360.7</v>
      </c>
      <c r="O10" s="180"/>
      <c r="P10" s="180"/>
      <c r="Q10" s="180"/>
      <c r="R10" s="180"/>
      <c r="S10" s="180"/>
      <c r="T10" s="180"/>
      <c r="U10" s="180"/>
      <c r="V10" s="180"/>
      <c r="W10" s="180"/>
      <c r="X10" s="180"/>
      <c r="Y10" s="180"/>
      <c r="Z10" s="180"/>
      <c r="AA10" s="180"/>
      <c r="AB10" s="180"/>
      <c r="AC10" s="180"/>
      <c r="AD10" s="180"/>
      <c r="AE10" s="180"/>
      <c r="AF10" s="180"/>
      <c r="AG10" s="180"/>
      <c r="AH10" s="205"/>
    </row>
    <row r="11" spans="2:40" x14ac:dyDescent="0.25">
      <c r="B11" s="209"/>
      <c r="E11" s="185" t="s">
        <v>1</v>
      </c>
      <c r="F11" s="186">
        <v>22</v>
      </c>
      <c r="G11" s="202">
        <v>63.072108000000007</v>
      </c>
      <c r="H11" s="180">
        <v>420</v>
      </c>
      <c r="I11" s="180">
        <v>118.8</v>
      </c>
      <c r="J11" s="180">
        <v>36</v>
      </c>
      <c r="K11" s="177">
        <v>191.96</v>
      </c>
      <c r="L11" s="177">
        <v>8.4700000000000006</v>
      </c>
      <c r="M11" s="191">
        <f t="shared" si="0"/>
        <v>18.817481873970962</v>
      </c>
      <c r="N11" s="184">
        <v>362.9</v>
      </c>
      <c r="O11" s="177"/>
      <c r="P11" s="177"/>
      <c r="Q11" s="180"/>
      <c r="R11" s="180"/>
      <c r="S11" s="180"/>
      <c r="T11" s="180"/>
      <c r="U11" s="180"/>
      <c r="V11" s="180"/>
      <c r="W11" s="180"/>
      <c r="X11" s="180"/>
      <c r="Y11" s="180"/>
      <c r="Z11" s="180"/>
      <c r="AA11" s="180"/>
      <c r="AB11" s="180"/>
      <c r="AC11" s="180"/>
      <c r="AD11" s="180"/>
      <c r="AE11" s="180"/>
      <c r="AF11" s="180"/>
      <c r="AG11" s="180"/>
      <c r="AH11" s="205"/>
    </row>
    <row r="12" spans="2:40" x14ac:dyDescent="0.25">
      <c r="B12" s="209"/>
      <c r="E12" s="185" t="s">
        <v>19</v>
      </c>
      <c r="F12" s="186">
        <v>22</v>
      </c>
      <c r="G12" s="202">
        <v>47.015076240000013</v>
      </c>
      <c r="H12" s="180">
        <v>420</v>
      </c>
      <c r="I12" s="180">
        <v>118.8</v>
      </c>
      <c r="J12" s="180">
        <v>36</v>
      </c>
      <c r="K12" s="177">
        <v>191.96</v>
      </c>
      <c r="L12" s="177">
        <v>8.4700000000000006</v>
      </c>
      <c r="M12" s="191">
        <f t="shared" si="0"/>
        <v>18.897594790001499</v>
      </c>
      <c r="N12" s="184">
        <v>354</v>
      </c>
      <c r="O12" s="177"/>
      <c r="P12" s="177"/>
      <c r="Q12" s="180"/>
      <c r="R12" s="180"/>
      <c r="S12" s="180"/>
      <c r="T12" s="180"/>
      <c r="U12" s="180"/>
      <c r="V12" s="180"/>
      <c r="W12" s="180"/>
      <c r="X12" s="180"/>
      <c r="Y12" s="180"/>
      <c r="Z12" s="180"/>
      <c r="AA12" s="180"/>
      <c r="AB12" s="180"/>
      <c r="AC12" s="180"/>
      <c r="AD12" s="180"/>
      <c r="AE12" s="180"/>
      <c r="AF12" s="180"/>
      <c r="AG12" s="180"/>
      <c r="AH12" s="205"/>
    </row>
    <row r="13" spans="2:40" x14ac:dyDescent="0.25">
      <c r="B13" s="209"/>
      <c r="E13" s="185" t="s">
        <v>20</v>
      </c>
      <c r="F13" s="186">
        <v>22</v>
      </c>
      <c r="G13" s="202">
        <v>41.282239680000004</v>
      </c>
      <c r="H13" s="180">
        <v>420</v>
      </c>
      <c r="I13" s="180">
        <v>118.8</v>
      </c>
      <c r="J13" s="180">
        <v>36</v>
      </c>
      <c r="K13" s="177">
        <v>191.96</v>
      </c>
      <c r="L13" s="177">
        <v>8.4700000000000006</v>
      </c>
      <c r="M13" s="191">
        <f t="shared" si="0"/>
        <v>18.926197477024399</v>
      </c>
      <c r="N13" s="184">
        <v>348.1</v>
      </c>
      <c r="O13" s="177"/>
      <c r="P13" s="177"/>
      <c r="Q13" s="180"/>
      <c r="R13" s="180"/>
      <c r="S13" s="180"/>
      <c r="T13" s="180"/>
      <c r="U13" s="180"/>
      <c r="V13" s="180"/>
      <c r="W13" s="180"/>
      <c r="X13" s="180"/>
      <c r="Y13" s="180"/>
      <c r="Z13" s="180"/>
      <c r="AA13" s="180"/>
      <c r="AB13" s="180"/>
      <c r="AC13" s="180"/>
      <c r="AD13" s="180"/>
      <c r="AE13" s="180"/>
      <c r="AF13" s="180"/>
      <c r="AG13" s="180"/>
      <c r="AH13" s="205"/>
      <c r="AL13" s="202"/>
      <c r="AM13" s="202"/>
      <c r="AN13" s="209"/>
    </row>
    <row r="14" spans="2:40" x14ac:dyDescent="0.25">
      <c r="B14" s="209"/>
      <c r="E14" s="185" t="s">
        <v>21</v>
      </c>
      <c r="F14" s="186">
        <v>22</v>
      </c>
      <c r="G14" s="202">
        <v>37.843264800000007</v>
      </c>
      <c r="H14" s="180">
        <v>420</v>
      </c>
      <c r="I14" s="180">
        <v>118.8</v>
      </c>
      <c r="J14" s="180">
        <v>36</v>
      </c>
      <c r="K14" s="177">
        <v>191.96</v>
      </c>
      <c r="L14" s="177">
        <v>8.4700000000000006</v>
      </c>
      <c r="M14" s="191">
        <f t="shared" si="0"/>
        <v>18.943355461757221</v>
      </c>
      <c r="N14" s="184">
        <v>322.7</v>
      </c>
      <c r="O14" s="177"/>
      <c r="P14" s="177"/>
      <c r="Q14" s="180"/>
      <c r="R14" s="180"/>
      <c r="S14" s="180"/>
      <c r="T14" s="180"/>
      <c r="U14" s="180"/>
      <c r="V14" s="180"/>
      <c r="W14" s="180"/>
      <c r="X14" s="180"/>
      <c r="Y14" s="180"/>
      <c r="Z14" s="180"/>
      <c r="AA14" s="180"/>
      <c r="AB14" s="180"/>
      <c r="AC14" s="180"/>
      <c r="AD14" s="180"/>
      <c r="AE14" s="180"/>
      <c r="AF14" s="180"/>
      <c r="AG14" s="180"/>
      <c r="AH14" s="205"/>
      <c r="AL14" s="202"/>
      <c r="AM14" s="202"/>
      <c r="AN14" s="209"/>
    </row>
    <row r="15" spans="2:40" x14ac:dyDescent="0.25">
      <c r="B15" s="209"/>
      <c r="E15" s="185" t="s">
        <v>22</v>
      </c>
      <c r="F15" s="186">
        <v>22</v>
      </c>
      <c r="G15" s="202">
        <v>34.400654639999999</v>
      </c>
      <c r="H15" s="180">
        <v>420</v>
      </c>
      <c r="I15" s="180">
        <v>118.8</v>
      </c>
      <c r="J15" s="180">
        <v>36</v>
      </c>
      <c r="K15" s="177">
        <v>191.96</v>
      </c>
      <c r="L15" s="177">
        <v>8.4700000000000006</v>
      </c>
      <c r="M15" s="191">
        <f t="shared" si="0"/>
        <v>18.960531583894628</v>
      </c>
      <c r="N15" s="184">
        <v>252.8</v>
      </c>
      <c r="O15" s="177"/>
      <c r="P15" s="177"/>
      <c r="Q15" s="180"/>
      <c r="R15" s="180"/>
      <c r="S15" s="180"/>
      <c r="T15" s="180"/>
      <c r="U15" s="180"/>
      <c r="V15" s="180"/>
      <c r="W15" s="180"/>
      <c r="X15" s="180"/>
      <c r="Y15" s="180"/>
      <c r="Z15" s="180"/>
      <c r="AA15" s="180"/>
      <c r="AB15" s="180"/>
      <c r="AC15" s="180"/>
      <c r="AD15" s="180"/>
      <c r="AE15" s="180"/>
      <c r="AF15" s="180"/>
      <c r="AG15" s="180"/>
      <c r="AH15" s="205"/>
      <c r="AL15" s="202"/>
      <c r="AM15" s="202"/>
      <c r="AN15" s="209"/>
    </row>
    <row r="16" spans="2:40" x14ac:dyDescent="0.25">
      <c r="B16" s="209"/>
      <c r="E16" s="185" t="s">
        <v>23</v>
      </c>
      <c r="F16" s="186">
        <v>22</v>
      </c>
      <c r="G16" s="202">
        <v>33.255541440000002</v>
      </c>
      <c r="H16" s="180">
        <v>420</v>
      </c>
      <c r="I16" s="180">
        <v>118.8</v>
      </c>
      <c r="J16" s="180">
        <v>36</v>
      </c>
      <c r="K16" s="177">
        <v>191.96</v>
      </c>
      <c r="L16" s="177">
        <v>8.4700000000000006</v>
      </c>
      <c r="M16" s="191">
        <f t="shared" si="0"/>
        <v>18.966244866337377</v>
      </c>
      <c r="N16" s="184">
        <v>240.3</v>
      </c>
      <c r="O16" s="177"/>
      <c r="P16" s="177"/>
      <c r="Q16" s="180"/>
      <c r="R16" s="180"/>
      <c r="S16" s="180"/>
      <c r="T16" s="180"/>
      <c r="U16" s="180"/>
      <c r="V16" s="180"/>
      <c r="W16" s="180"/>
      <c r="X16" s="180"/>
      <c r="Y16" s="180"/>
      <c r="Z16" s="180"/>
      <c r="AA16" s="180"/>
      <c r="AB16" s="180"/>
      <c r="AC16" s="180"/>
      <c r="AD16" s="180"/>
      <c r="AE16" s="180"/>
      <c r="AF16" s="180"/>
      <c r="AG16" s="180"/>
      <c r="AH16" s="205"/>
      <c r="AL16" s="209"/>
      <c r="AM16" s="209"/>
      <c r="AN16" s="209"/>
    </row>
    <row r="17" spans="5:35" ht="14" x14ac:dyDescent="0.3">
      <c r="E17" s="147" t="s">
        <v>3</v>
      </c>
      <c r="F17" s="178"/>
      <c r="G17" s="260"/>
      <c r="H17" s="178"/>
      <c r="I17" s="148"/>
      <c r="J17" s="178"/>
      <c r="K17" s="178"/>
      <c r="L17" s="178"/>
      <c r="M17" s="261"/>
      <c r="N17" s="148">
        <f>SUM(N5:N16)</f>
        <v>3801.5</v>
      </c>
      <c r="O17" s="193">
        <f>16/24</f>
        <v>0.66666666666666663</v>
      </c>
      <c r="P17" s="262">
        <f>24/1000</f>
        <v>2.4E-2</v>
      </c>
      <c r="Q17" s="177">
        <v>3.59</v>
      </c>
      <c r="R17" s="177">
        <v>12.96</v>
      </c>
      <c r="S17" s="180">
        <f>N17</f>
        <v>3801.5</v>
      </c>
      <c r="T17" s="194">
        <f>O17*P17*Q17*R17*S17</f>
        <v>2829.9217536000001</v>
      </c>
      <c r="U17" s="180">
        <v>3.94</v>
      </c>
      <c r="V17" s="180">
        <v>12.96</v>
      </c>
      <c r="W17" s="180">
        <f>N17</f>
        <v>3801.5</v>
      </c>
      <c r="X17" s="194">
        <f>(O17*P17*U17*V17*W17)</f>
        <v>3105.8194176000002</v>
      </c>
      <c r="Y17" s="177">
        <v>2.13</v>
      </c>
      <c r="Z17" s="177">
        <v>41.904000000000003</v>
      </c>
      <c r="AA17" s="177">
        <f>N17</f>
        <v>3801.5</v>
      </c>
      <c r="AB17" s="195">
        <f>(O17*P17*Y17*Z17*AA17)</f>
        <v>5428.8777484800003</v>
      </c>
      <c r="AC17" s="196">
        <f>L355</f>
        <v>3849.2555059225915</v>
      </c>
      <c r="AD17" s="50">
        <f>T17+X17+AB17+AC17</f>
        <v>15213.874425602593</v>
      </c>
      <c r="AE17" s="180">
        <f>AD17*0.1</f>
        <v>1521.3874425602594</v>
      </c>
      <c r="AF17" s="197">
        <f>AD17+AE17</f>
        <v>16735.261868162852</v>
      </c>
      <c r="AG17" s="177">
        <v>3.1</v>
      </c>
      <c r="AH17" s="263">
        <f>ROUND((AF17/AG17),0)</f>
        <v>5398</v>
      </c>
      <c r="AI17" s="264">
        <v>22</v>
      </c>
    </row>
    <row r="18" spans="5:35" ht="15.5" x14ac:dyDescent="0.4">
      <c r="E18" s="185" t="s">
        <v>0</v>
      </c>
      <c r="F18" s="187"/>
      <c r="G18" s="180"/>
      <c r="H18" s="180"/>
      <c r="I18" s="180"/>
      <c r="J18" s="180"/>
      <c r="K18" s="180"/>
      <c r="L18" s="180"/>
      <c r="M18" s="187"/>
      <c r="N18" s="180" t="s">
        <v>2</v>
      </c>
      <c r="O18" s="180"/>
      <c r="P18" s="180"/>
      <c r="Q18" s="180"/>
      <c r="R18" s="180"/>
      <c r="S18" s="180"/>
      <c r="T18" s="180"/>
      <c r="U18" s="180"/>
      <c r="V18" s="180"/>
      <c r="W18" s="180"/>
      <c r="X18" s="180"/>
      <c r="Y18" s="180"/>
      <c r="Z18" s="180"/>
      <c r="AA18" s="180"/>
      <c r="AB18" s="180"/>
      <c r="AC18" s="180"/>
      <c r="AD18" s="180"/>
      <c r="AE18" s="180"/>
      <c r="AF18" s="180"/>
      <c r="AG18" s="180"/>
      <c r="AH18" s="205"/>
    </row>
    <row r="19" spans="5:35" x14ac:dyDescent="0.25">
      <c r="E19" s="185" t="s">
        <v>15</v>
      </c>
      <c r="F19" s="186">
        <v>23</v>
      </c>
      <c r="G19" s="202">
        <v>34.400654639999999</v>
      </c>
      <c r="H19" s="180">
        <v>420</v>
      </c>
      <c r="I19" s="180">
        <v>118.8</v>
      </c>
      <c r="J19" s="180">
        <v>36</v>
      </c>
      <c r="K19" s="177">
        <v>191.96</v>
      </c>
      <c r="L19" s="177">
        <v>8.4700000000000006</v>
      </c>
      <c r="M19" s="191">
        <f>(F19-((G19+H19+I19+J19)/(K19+L19)))</f>
        <v>19.960531583894628</v>
      </c>
      <c r="N19" s="184">
        <v>185.7</v>
      </c>
      <c r="O19" s="180"/>
      <c r="P19" s="180"/>
      <c r="Q19" s="180"/>
      <c r="R19" s="180"/>
      <c r="S19" s="180"/>
      <c r="T19" s="180"/>
      <c r="U19" s="180"/>
      <c r="V19" s="180"/>
      <c r="W19" s="180"/>
      <c r="X19" s="180"/>
      <c r="Y19" s="180"/>
      <c r="Z19" s="180"/>
      <c r="AA19" s="180"/>
      <c r="AB19" s="180"/>
      <c r="AC19" s="180"/>
      <c r="AD19" s="180"/>
      <c r="AE19" s="180"/>
      <c r="AF19" s="180"/>
      <c r="AG19" s="180"/>
      <c r="AH19" s="205"/>
    </row>
    <row r="20" spans="5:35" x14ac:dyDescent="0.25">
      <c r="E20" s="185" t="s">
        <v>16</v>
      </c>
      <c r="F20" s="186">
        <v>23</v>
      </c>
      <c r="G20" s="202">
        <v>37.843264800000007</v>
      </c>
      <c r="H20" s="180">
        <v>420</v>
      </c>
      <c r="I20" s="180">
        <v>118.8</v>
      </c>
      <c r="J20" s="180">
        <v>36</v>
      </c>
      <c r="K20" s="177">
        <v>191.96</v>
      </c>
      <c r="L20" s="177">
        <v>8.4700000000000006</v>
      </c>
      <c r="M20" s="191">
        <f t="shared" ref="M20:M30" si="1">(F20-((G20+H20+I20+J20)/(K20+L20)))</f>
        <v>19.943355461757221</v>
      </c>
      <c r="N20" s="184">
        <v>205.5</v>
      </c>
      <c r="O20" s="180"/>
      <c r="P20" s="180"/>
      <c r="Q20" s="180"/>
      <c r="R20" s="180"/>
      <c r="S20" s="180"/>
      <c r="T20" s="180"/>
      <c r="U20" s="180"/>
      <c r="V20" s="180"/>
      <c r="W20" s="180"/>
      <c r="X20" s="180"/>
      <c r="Y20" s="180"/>
      <c r="Z20" s="180"/>
      <c r="AA20" s="180"/>
      <c r="AB20" s="180"/>
      <c r="AC20" s="180"/>
      <c r="AD20" s="180"/>
      <c r="AE20" s="180"/>
      <c r="AF20" s="180"/>
      <c r="AG20" s="180"/>
      <c r="AH20" s="205"/>
    </row>
    <row r="21" spans="5:35" x14ac:dyDescent="0.25">
      <c r="E21" s="185" t="s">
        <v>17</v>
      </c>
      <c r="F21" s="186">
        <v>23</v>
      </c>
      <c r="G21" s="202">
        <v>40.137126480000006</v>
      </c>
      <c r="H21" s="180">
        <v>420</v>
      </c>
      <c r="I21" s="180">
        <v>118.8</v>
      </c>
      <c r="J21" s="180">
        <v>36</v>
      </c>
      <c r="K21" s="177">
        <v>191.96</v>
      </c>
      <c r="L21" s="177">
        <v>8.4700000000000006</v>
      </c>
      <c r="M21" s="191">
        <f t="shared" si="1"/>
        <v>19.931910759467147</v>
      </c>
      <c r="N21" s="184">
        <v>295.10000000000002</v>
      </c>
      <c r="O21" s="180"/>
      <c r="P21" s="180"/>
      <c r="Q21" s="180"/>
      <c r="R21" s="180"/>
      <c r="S21" s="180"/>
      <c r="T21" s="180"/>
      <c r="U21" s="180"/>
      <c r="V21" s="180"/>
      <c r="W21" s="180"/>
      <c r="X21" s="180"/>
      <c r="Y21" s="180"/>
      <c r="Z21" s="180"/>
      <c r="AA21" s="180"/>
      <c r="AB21" s="180"/>
      <c r="AC21" s="180"/>
      <c r="AD21" s="180"/>
      <c r="AE21" s="180"/>
      <c r="AF21" s="180"/>
      <c r="AG21" s="180"/>
      <c r="AH21" s="205"/>
    </row>
    <row r="22" spans="5:35" x14ac:dyDescent="0.25">
      <c r="E22" s="185" t="s">
        <v>18</v>
      </c>
      <c r="F22" s="186">
        <v>23</v>
      </c>
      <c r="G22" s="202">
        <v>44.721214560000007</v>
      </c>
      <c r="H22" s="180">
        <v>420</v>
      </c>
      <c r="I22" s="180">
        <v>118.8</v>
      </c>
      <c r="J22" s="180">
        <v>36</v>
      </c>
      <c r="K22" s="177">
        <v>191.96</v>
      </c>
      <c r="L22" s="177">
        <v>8.4700000000000006</v>
      </c>
      <c r="M22" s="191">
        <f t="shared" si="1"/>
        <v>19.909039492291573</v>
      </c>
      <c r="N22" s="184">
        <v>334.1</v>
      </c>
      <c r="O22" s="180"/>
      <c r="P22" s="180"/>
      <c r="Q22" s="180"/>
      <c r="R22" s="180"/>
      <c r="S22" s="180"/>
      <c r="T22" s="180"/>
      <c r="U22" s="180"/>
      <c r="V22" s="180"/>
      <c r="W22" s="180"/>
      <c r="X22" s="180"/>
      <c r="Y22" s="180"/>
      <c r="Z22" s="180"/>
      <c r="AA22" s="180"/>
      <c r="AB22" s="180"/>
      <c r="AC22" s="180"/>
      <c r="AD22" s="180"/>
      <c r="AE22" s="180"/>
      <c r="AF22" s="180"/>
      <c r="AG22" s="180"/>
      <c r="AH22" s="205"/>
    </row>
    <row r="23" spans="5:35" x14ac:dyDescent="0.25">
      <c r="E23" s="185" t="s">
        <v>12</v>
      </c>
      <c r="F23" s="186">
        <v>23</v>
      </c>
      <c r="G23" s="202">
        <v>59.629497840000013</v>
      </c>
      <c r="H23" s="180">
        <v>420</v>
      </c>
      <c r="I23" s="180">
        <v>118.8</v>
      </c>
      <c r="J23" s="180">
        <v>36</v>
      </c>
      <c r="K23" s="177">
        <v>191.96</v>
      </c>
      <c r="L23" s="177">
        <v>8.4700000000000006</v>
      </c>
      <c r="M23" s="191">
        <f t="shared" si="1"/>
        <v>19.834657996108369</v>
      </c>
      <c r="N23" s="184">
        <v>388.6</v>
      </c>
      <c r="O23" s="180"/>
      <c r="P23" s="180"/>
      <c r="Q23" s="180"/>
      <c r="R23" s="180"/>
      <c r="S23" s="180"/>
      <c r="T23" s="180"/>
      <c r="U23" s="180"/>
      <c r="V23" s="180"/>
      <c r="W23" s="180"/>
      <c r="X23" s="180"/>
      <c r="Y23" s="180"/>
      <c r="Z23" s="180"/>
      <c r="AA23" s="180"/>
      <c r="AB23" s="180"/>
      <c r="AC23" s="180"/>
      <c r="AD23" s="180"/>
      <c r="AE23" s="180"/>
      <c r="AF23" s="180"/>
      <c r="AG23" s="180"/>
      <c r="AH23" s="205"/>
    </row>
    <row r="24" spans="5:35" x14ac:dyDescent="0.25">
      <c r="E24" s="185" t="s">
        <v>13</v>
      </c>
      <c r="F24" s="186">
        <v>23</v>
      </c>
      <c r="G24" s="202">
        <v>75.686529600000014</v>
      </c>
      <c r="H24" s="180">
        <v>420</v>
      </c>
      <c r="I24" s="180">
        <v>118.8</v>
      </c>
      <c r="J24" s="180">
        <v>36</v>
      </c>
      <c r="K24" s="177">
        <v>191.96</v>
      </c>
      <c r="L24" s="177">
        <v>8.4700000000000006</v>
      </c>
      <c r="M24" s="191">
        <f t="shared" si="1"/>
        <v>19.754545080077833</v>
      </c>
      <c r="N24" s="184">
        <v>330.7</v>
      </c>
      <c r="O24" s="180"/>
      <c r="P24" s="180"/>
      <c r="Q24" s="180"/>
      <c r="R24" s="180"/>
      <c r="S24" s="180"/>
      <c r="T24" s="180"/>
      <c r="U24" s="180"/>
      <c r="V24" s="180"/>
      <c r="W24" s="180"/>
      <c r="X24" s="180"/>
      <c r="Y24" s="180"/>
      <c r="Z24" s="180"/>
      <c r="AA24" s="180"/>
      <c r="AB24" s="180"/>
      <c r="AC24" s="180"/>
      <c r="AD24" s="180"/>
      <c r="AE24" s="180"/>
      <c r="AF24" s="180"/>
      <c r="AG24" s="180"/>
      <c r="AH24" s="205"/>
    </row>
    <row r="25" spans="5:35" x14ac:dyDescent="0.25">
      <c r="E25" s="185" t="s">
        <v>1</v>
      </c>
      <c r="F25" s="186">
        <v>23</v>
      </c>
      <c r="G25" s="202">
        <v>63.072108000000007</v>
      </c>
      <c r="H25" s="180">
        <v>420</v>
      </c>
      <c r="I25" s="180">
        <v>118.8</v>
      </c>
      <c r="J25" s="180">
        <v>36</v>
      </c>
      <c r="K25" s="177">
        <v>191.96</v>
      </c>
      <c r="L25" s="177">
        <v>8.4700000000000006</v>
      </c>
      <c r="M25" s="191">
        <f t="shared" si="1"/>
        <v>19.817481873970962</v>
      </c>
      <c r="N25" s="184">
        <v>331.9</v>
      </c>
      <c r="O25" s="204"/>
      <c r="P25" s="204"/>
      <c r="Q25" s="180"/>
      <c r="R25" s="180"/>
      <c r="S25" s="180"/>
      <c r="T25" s="180"/>
      <c r="U25" s="180"/>
      <c r="V25" s="180"/>
      <c r="W25" s="180"/>
      <c r="X25" s="180"/>
      <c r="Y25" s="180"/>
      <c r="Z25" s="180"/>
      <c r="AA25" s="180"/>
      <c r="AB25" s="180"/>
      <c r="AC25" s="180"/>
      <c r="AD25" s="180"/>
      <c r="AE25" s="180"/>
      <c r="AF25" s="180"/>
      <c r="AG25" s="180"/>
      <c r="AH25" s="205"/>
    </row>
    <row r="26" spans="5:35" x14ac:dyDescent="0.25">
      <c r="E26" s="185" t="s">
        <v>19</v>
      </c>
      <c r="F26" s="186">
        <v>23</v>
      </c>
      <c r="G26" s="202">
        <v>47.015076240000013</v>
      </c>
      <c r="H26" s="180">
        <v>420</v>
      </c>
      <c r="I26" s="180">
        <v>118.8</v>
      </c>
      <c r="J26" s="180">
        <v>36</v>
      </c>
      <c r="K26" s="177">
        <v>191.96</v>
      </c>
      <c r="L26" s="177">
        <v>8.4700000000000006</v>
      </c>
      <c r="M26" s="191">
        <f t="shared" si="1"/>
        <v>19.897594790001499</v>
      </c>
      <c r="N26" s="184">
        <v>323</v>
      </c>
      <c r="O26" s="204"/>
      <c r="P26" s="204"/>
      <c r="Q26" s="180"/>
      <c r="R26" s="180"/>
      <c r="S26" s="180"/>
      <c r="T26" s="180"/>
      <c r="U26" s="180"/>
      <c r="V26" s="180"/>
      <c r="W26" s="180"/>
      <c r="X26" s="180"/>
      <c r="Y26" s="180"/>
      <c r="Z26" s="180"/>
      <c r="AA26" s="180"/>
      <c r="AB26" s="180"/>
      <c r="AC26" s="180"/>
      <c r="AD26" s="180"/>
      <c r="AE26" s="180"/>
      <c r="AF26" s="180"/>
      <c r="AG26" s="180"/>
      <c r="AH26" s="205"/>
    </row>
    <row r="27" spans="5:35" x14ac:dyDescent="0.25">
      <c r="E27" s="185" t="s">
        <v>20</v>
      </c>
      <c r="F27" s="186">
        <v>23</v>
      </c>
      <c r="G27" s="202">
        <v>41.282239680000004</v>
      </c>
      <c r="H27" s="180">
        <v>420</v>
      </c>
      <c r="I27" s="180">
        <v>118.8</v>
      </c>
      <c r="J27" s="180">
        <v>36</v>
      </c>
      <c r="K27" s="177">
        <v>191.96</v>
      </c>
      <c r="L27" s="177">
        <v>8.4700000000000006</v>
      </c>
      <c r="M27" s="191">
        <f t="shared" si="1"/>
        <v>19.926197477024399</v>
      </c>
      <c r="N27" s="184">
        <v>318.10000000000002</v>
      </c>
      <c r="O27" s="204"/>
      <c r="P27" s="204"/>
      <c r="Q27" s="180"/>
      <c r="R27" s="180"/>
      <c r="S27" s="180"/>
      <c r="T27" s="180"/>
      <c r="U27" s="180"/>
      <c r="V27" s="180"/>
      <c r="W27" s="180"/>
      <c r="X27" s="180"/>
      <c r="Y27" s="180"/>
      <c r="Z27" s="180"/>
      <c r="AA27" s="180"/>
      <c r="AB27" s="180"/>
      <c r="AC27" s="180"/>
      <c r="AD27" s="180"/>
      <c r="AE27" s="180"/>
      <c r="AF27" s="180"/>
      <c r="AG27" s="180"/>
      <c r="AH27" s="205"/>
    </row>
    <row r="28" spans="5:35" x14ac:dyDescent="0.25">
      <c r="E28" s="185" t="s">
        <v>21</v>
      </c>
      <c r="F28" s="186">
        <v>23</v>
      </c>
      <c r="G28" s="202">
        <v>37.843264800000007</v>
      </c>
      <c r="H28" s="180">
        <v>420</v>
      </c>
      <c r="I28" s="180">
        <v>118.8</v>
      </c>
      <c r="J28" s="180">
        <v>36</v>
      </c>
      <c r="K28" s="177">
        <v>191.96</v>
      </c>
      <c r="L28" s="177">
        <v>8.4700000000000006</v>
      </c>
      <c r="M28" s="191">
        <f t="shared" si="1"/>
        <v>19.943355461757221</v>
      </c>
      <c r="N28" s="184">
        <v>291.7</v>
      </c>
      <c r="O28" s="204"/>
      <c r="P28" s="204"/>
      <c r="Q28" s="180"/>
      <c r="R28" s="180"/>
      <c r="S28" s="180"/>
      <c r="T28" s="180"/>
      <c r="U28" s="180"/>
      <c r="V28" s="180"/>
      <c r="W28" s="180"/>
      <c r="X28" s="180"/>
      <c r="Y28" s="180"/>
      <c r="Z28" s="180"/>
      <c r="AA28" s="180"/>
      <c r="AB28" s="180"/>
      <c r="AC28" s="180"/>
      <c r="AD28" s="180"/>
      <c r="AE28" s="180"/>
      <c r="AF28" s="180"/>
      <c r="AG28" s="180"/>
      <c r="AH28" s="205"/>
    </row>
    <row r="29" spans="5:35" x14ac:dyDescent="0.25">
      <c r="E29" s="185" t="s">
        <v>22</v>
      </c>
      <c r="F29" s="186">
        <v>23</v>
      </c>
      <c r="G29" s="202">
        <v>34.400654639999999</v>
      </c>
      <c r="H29" s="180">
        <v>420</v>
      </c>
      <c r="I29" s="180">
        <v>118.8</v>
      </c>
      <c r="J29" s="180">
        <v>36</v>
      </c>
      <c r="K29" s="177">
        <v>191.96</v>
      </c>
      <c r="L29" s="177">
        <v>8.4700000000000006</v>
      </c>
      <c r="M29" s="191">
        <f t="shared" si="1"/>
        <v>19.960531583894628</v>
      </c>
      <c r="N29" s="184">
        <v>222.8</v>
      </c>
      <c r="O29" s="204"/>
      <c r="P29" s="204"/>
      <c r="Q29" s="180"/>
      <c r="R29" s="180"/>
      <c r="S29" s="180"/>
      <c r="T29" s="180"/>
      <c r="U29" s="180"/>
      <c r="V29" s="180"/>
      <c r="W29" s="180"/>
      <c r="X29" s="180"/>
      <c r="Y29" s="180"/>
      <c r="Z29" s="180"/>
      <c r="AA29" s="180"/>
      <c r="AB29" s="180"/>
      <c r="AC29" s="180"/>
      <c r="AD29" s="180"/>
      <c r="AE29" s="180"/>
      <c r="AF29" s="180"/>
      <c r="AG29" s="180"/>
      <c r="AH29" s="205"/>
    </row>
    <row r="30" spans="5:35" x14ac:dyDescent="0.25">
      <c r="E30" s="185" t="s">
        <v>23</v>
      </c>
      <c r="F30" s="186">
        <v>23</v>
      </c>
      <c r="G30" s="202">
        <v>33.255541440000002</v>
      </c>
      <c r="H30" s="180">
        <v>420</v>
      </c>
      <c r="I30" s="180">
        <v>118.8</v>
      </c>
      <c r="J30" s="180">
        <v>36</v>
      </c>
      <c r="K30" s="177">
        <v>191.96</v>
      </c>
      <c r="L30" s="177">
        <v>8.4700000000000006</v>
      </c>
      <c r="M30" s="191">
        <f t="shared" si="1"/>
        <v>19.966244866337377</v>
      </c>
      <c r="N30" s="184">
        <v>209.3</v>
      </c>
      <c r="O30" s="204"/>
      <c r="P30" s="204"/>
      <c r="Q30" s="180"/>
      <c r="R30" s="180"/>
      <c r="S30" s="180"/>
      <c r="T30" s="180"/>
      <c r="U30" s="180"/>
      <c r="V30" s="180"/>
      <c r="W30" s="180"/>
      <c r="X30" s="180"/>
      <c r="Y30" s="180"/>
      <c r="Z30" s="180"/>
      <c r="AA30" s="180"/>
      <c r="AB30" s="180"/>
      <c r="AC30" s="180"/>
      <c r="AD30" s="180"/>
      <c r="AE30" s="180"/>
      <c r="AF30" s="180"/>
      <c r="AG30" s="180"/>
      <c r="AH30" s="205"/>
    </row>
    <row r="31" spans="5:35" ht="13" x14ac:dyDescent="0.3">
      <c r="E31" s="147" t="s">
        <v>3</v>
      </c>
      <c r="F31" s="180"/>
      <c r="G31" s="180"/>
      <c r="H31" s="180"/>
      <c r="I31" s="180"/>
      <c r="J31" s="180"/>
      <c r="K31" s="180"/>
      <c r="L31" s="180"/>
      <c r="M31" s="180"/>
      <c r="N31" s="148">
        <f>SUM(N19:N30)</f>
        <v>3436.5</v>
      </c>
      <c r="O31" s="193">
        <f>16/24</f>
        <v>0.66666666666666663</v>
      </c>
      <c r="P31" s="193">
        <f>24/1000</f>
        <v>2.4E-2</v>
      </c>
      <c r="Q31" s="177">
        <v>3.59</v>
      </c>
      <c r="R31" s="177">
        <v>12.96</v>
      </c>
      <c r="S31" s="180">
        <f>N31</f>
        <v>3436.5</v>
      </c>
      <c r="T31" s="194">
        <f>O31*P31*Q31*R31*S31</f>
        <v>2558.2075776000001</v>
      </c>
      <c r="U31" s="180">
        <v>3.94</v>
      </c>
      <c r="V31" s="180">
        <v>12.96</v>
      </c>
      <c r="W31" s="180">
        <f>N31</f>
        <v>3436.5</v>
      </c>
      <c r="X31" s="194">
        <f>(O31*P31*U31*V31*W31)</f>
        <v>2807.6150016000001</v>
      </c>
      <c r="Y31" s="177">
        <v>2.13</v>
      </c>
      <c r="Z31" s="177">
        <v>41.904000000000003</v>
      </c>
      <c r="AA31" s="177">
        <f>N31</f>
        <v>3436.5</v>
      </c>
      <c r="AB31" s="195">
        <f>(O31*P31*Y31*Z31*AA31)</f>
        <v>4907.6255116800003</v>
      </c>
      <c r="AC31" s="196">
        <f>L356</f>
        <v>3771.8348845934779</v>
      </c>
      <c r="AD31" s="50">
        <f>T31+X31+AB31+AC31</f>
        <v>14045.282975473478</v>
      </c>
      <c r="AE31" s="180">
        <f>AD31*0.1</f>
        <v>1404.5282975473478</v>
      </c>
      <c r="AF31" s="197">
        <f>AD31+AE31</f>
        <v>15449.811273020825</v>
      </c>
      <c r="AG31" s="177">
        <v>3.1</v>
      </c>
      <c r="AH31" s="263">
        <f>ROUND((AF31/AG31),0)</f>
        <v>4984</v>
      </c>
      <c r="AI31" s="264">
        <v>23</v>
      </c>
    </row>
    <row r="32" spans="5:35" ht="15.5" x14ac:dyDescent="0.4">
      <c r="E32" s="185" t="s">
        <v>0</v>
      </c>
      <c r="F32" s="187"/>
      <c r="G32" s="180"/>
      <c r="H32" s="180"/>
      <c r="I32" s="180"/>
      <c r="J32" s="180"/>
      <c r="K32" s="180"/>
      <c r="L32" s="180"/>
      <c r="M32" s="187"/>
      <c r="N32" s="180" t="s">
        <v>2</v>
      </c>
      <c r="O32" s="180"/>
      <c r="P32" s="180"/>
      <c r="Q32" s="180"/>
      <c r="R32" s="180"/>
      <c r="S32" s="180"/>
      <c r="T32" s="180"/>
      <c r="U32" s="180"/>
      <c r="V32" s="180"/>
      <c r="W32" s="180"/>
      <c r="X32" s="180"/>
      <c r="Y32" s="180"/>
      <c r="Z32" s="180"/>
      <c r="AA32" s="180"/>
      <c r="AB32" s="180"/>
      <c r="AC32" s="180"/>
      <c r="AD32" s="180"/>
      <c r="AE32" s="180"/>
      <c r="AF32" s="180"/>
      <c r="AG32" s="180"/>
      <c r="AH32" s="205"/>
    </row>
    <row r="33" spans="5:37" x14ac:dyDescent="0.25">
      <c r="E33" s="185" t="s">
        <v>15</v>
      </c>
      <c r="F33" s="187">
        <v>24</v>
      </c>
      <c r="G33" s="202">
        <v>34.400654639999999</v>
      </c>
      <c r="H33" s="180">
        <v>420</v>
      </c>
      <c r="I33" s="180">
        <v>118.8</v>
      </c>
      <c r="J33" s="180">
        <v>36</v>
      </c>
      <c r="K33" s="177">
        <v>191.96</v>
      </c>
      <c r="L33" s="177">
        <v>8.4700000000000006</v>
      </c>
      <c r="M33" s="191">
        <f>(F33-((G33+H33+I33+J33)/(K33+L33)))</f>
        <v>20.960531583894628</v>
      </c>
      <c r="N33" s="184">
        <v>154.69999999999999</v>
      </c>
      <c r="O33" s="180"/>
      <c r="P33" s="180"/>
      <c r="Q33" s="180"/>
      <c r="R33" s="180"/>
      <c r="S33" s="180"/>
      <c r="T33" s="180"/>
      <c r="U33" s="180"/>
      <c r="V33" s="180"/>
      <c r="W33" s="180"/>
      <c r="X33" s="180"/>
      <c r="Y33" s="180"/>
      <c r="Z33" s="180"/>
      <c r="AA33" s="180"/>
      <c r="AB33" s="180"/>
      <c r="AC33" s="180"/>
      <c r="AD33" s="180"/>
      <c r="AE33" s="180"/>
      <c r="AF33" s="180"/>
      <c r="AG33" s="180"/>
      <c r="AH33" s="205"/>
    </row>
    <row r="34" spans="5:37" x14ac:dyDescent="0.25">
      <c r="E34" s="185" t="s">
        <v>16</v>
      </c>
      <c r="F34" s="187">
        <v>24</v>
      </c>
      <c r="G34" s="202">
        <v>37.843264800000007</v>
      </c>
      <c r="H34" s="180">
        <v>420</v>
      </c>
      <c r="I34" s="180">
        <v>118.8</v>
      </c>
      <c r="J34" s="180">
        <v>36</v>
      </c>
      <c r="K34" s="177">
        <v>191.96</v>
      </c>
      <c r="L34" s="177">
        <v>8.4700000000000006</v>
      </c>
      <c r="M34" s="191">
        <f t="shared" ref="M34:M44" si="2">(F34-((G34+H34+I34+J34)/(K34+L34)))</f>
        <v>20.943355461757221</v>
      </c>
      <c r="N34" s="184">
        <v>177.5</v>
      </c>
      <c r="O34" s="180"/>
      <c r="P34" s="180"/>
      <c r="Q34" s="180"/>
      <c r="R34" s="180"/>
      <c r="S34" s="180"/>
      <c r="T34" s="180"/>
      <c r="U34" s="180"/>
      <c r="V34" s="180"/>
      <c r="W34" s="180"/>
      <c r="X34" s="180"/>
      <c r="Y34" s="180"/>
      <c r="Z34" s="180"/>
      <c r="AA34" s="180"/>
      <c r="AB34" s="180"/>
      <c r="AC34" s="180"/>
      <c r="AD34" s="180"/>
      <c r="AE34" s="180"/>
      <c r="AF34" s="180"/>
      <c r="AG34" s="180"/>
      <c r="AH34" s="205"/>
    </row>
    <row r="35" spans="5:37" x14ac:dyDescent="0.25">
      <c r="E35" s="185" t="s">
        <v>17</v>
      </c>
      <c r="F35" s="187">
        <v>24</v>
      </c>
      <c r="G35" s="202">
        <v>40.137126480000006</v>
      </c>
      <c r="H35" s="180">
        <v>420</v>
      </c>
      <c r="I35" s="180">
        <v>118.8</v>
      </c>
      <c r="J35" s="180">
        <v>36</v>
      </c>
      <c r="K35" s="177">
        <v>191.96</v>
      </c>
      <c r="L35" s="177">
        <v>8.4700000000000006</v>
      </c>
      <c r="M35" s="191">
        <f t="shared" si="2"/>
        <v>20.931910759467147</v>
      </c>
      <c r="N35" s="184">
        <v>264.10000000000002</v>
      </c>
      <c r="O35" s="180"/>
      <c r="P35" s="180"/>
      <c r="Q35" s="180"/>
      <c r="R35" s="180"/>
      <c r="S35" s="180"/>
      <c r="T35" s="180"/>
      <c r="U35" s="180"/>
      <c r="V35" s="180"/>
      <c r="W35" s="180"/>
      <c r="X35" s="180"/>
      <c r="Y35" s="180"/>
      <c r="Z35" s="180"/>
      <c r="AA35" s="180"/>
      <c r="AB35" s="180"/>
      <c r="AC35" s="180"/>
      <c r="AD35" s="180"/>
      <c r="AE35" s="180"/>
      <c r="AF35" s="180"/>
      <c r="AG35" s="180"/>
      <c r="AH35" s="205"/>
    </row>
    <row r="36" spans="5:37" x14ac:dyDescent="0.25">
      <c r="E36" s="185" t="s">
        <v>18</v>
      </c>
      <c r="F36" s="187">
        <v>24</v>
      </c>
      <c r="G36" s="202">
        <v>44.721214560000007</v>
      </c>
      <c r="H36" s="180">
        <v>420</v>
      </c>
      <c r="I36" s="180">
        <v>118.8</v>
      </c>
      <c r="J36" s="180">
        <v>36</v>
      </c>
      <c r="K36" s="177">
        <v>191.96</v>
      </c>
      <c r="L36" s="177">
        <v>8.4700000000000006</v>
      </c>
      <c r="M36" s="191">
        <f t="shared" si="2"/>
        <v>20.909039492291573</v>
      </c>
      <c r="N36" s="184">
        <v>304.10000000000002</v>
      </c>
      <c r="O36" s="180"/>
      <c r="P36" s="180"/>
      <c r="Q36" s="180"/>
      <c r="R36" s="180"/>
      <c r="S36" s="180"/>
      <c r="T36" s="180"/>
      <c r="U36" s="180"/>
      <c r="V36" s="180"/>
      <c r="W36" s="180"/>
      <c r="X36" s="180"/>
      <c r="Y36" s="180"/>
      <c r="Z36" s="180"/>
      <c r="AA36" s="180"/>
      <c r="AB36" s="180"/>
      <c r="AC36" s="180"/>
      <c r="AD36" s="180"/>
      <c r="AE36" s="180"/>
      <c r="AF36" s="180"/>
      <c r="AG36" s="180"/>
      <c r="AH36" s="205"/>
    </row>
    <row r="37" spans="5:37" x14ac:dyDescent="0.25">
      <c r="E37" s="185" t="s">
        <v>12</v>
      </c>
      <c r="F37" s="187">
        <v>24</v>
      </c>
      <c r="G37" s="202">
        <v>59.629497840000013</v>
      </c>
      <c r="H37" s="180">
        <v>420</v>
      </c>
      <c r="I37" s="180">
        <v>118.8</v>
      </c>
      <c r="J37" s="180">
        <v>36</v>
      </c>
      <c r="K37" s="177">
        <v>191.96</v>
      </c>
      <c r="L37" s="177">
        <v>8.4700000000000006</v>
      </c>
      <c r="M37" s="191">
        <f t="shared" si="2"/>
        <v>20.834657996108369</v>
      </c>
      <c r="N37" s="184">
        <v>357.6</v>
      </c>
      <c r="O37" s="180"/>
      <c r="P37" s="180"/>
      <c r="Q37" s="180"/>
      <c r="R37" s="180"/>
      <c r="S37" s="180"/>
      <c r="T37" s="180"/>
      <c r="U37" s="180"/>
      <c r="V37" s="180"/>
      <c r="W37" s="180"/>
      <c r="X37" s="180"/>
      <c r="Y37" s="180"/>
      <c r="Z37" s="180"/>
      <c r="AA37" s="180"/>
      <c r="AB37" s="180"/>
      <c r="AC37" s="180"/>
      <c r="AD37" s="180"/>
      <c r="AE37" s="180"/>
      <c r="AF37" s="180"/>
      <c r="AG37" s="180"/>
      <c r="AH37" s="205"/>
    </row>
    <row r="38" spans="5:37" x14ac:dyDescent="0.25">
      <c r="E38" s="185" t="s">
        <v>13</v>
      </c>
      <c r="F38" s="187">
        <v>24</v>
      </c>
      <c r="G38" s="202">
        <v>75.686529600000014</v>
      </c>
      <c r="H38" s="180">
        <v>420</v>
      </c>
      <c r="I38" s="180">
        <v>118.8</v>
      </c>
      <c r="J38" s="180">
        <v>36</v>
      </c>
      <c r="K38" s="177">
        <v>191.96</v>
      </c>
      <c r="L38" s="177">
        <v>8.4700000000000006</v>
      </c>
      <c r="M38" s="191">
        <f t="shared" si="2"/>
        <v>20.754545080077833</v>
      </c>
      <c r="N38" s="184">
        <v>300.7</v>
      </c>
      <c r="O38" s="180"/>
      <c r="P38" s="180"/>
      <c r="Q38" s="180"/>
      <c r="R38" s="180"/>
      <c r="S38" s="180"/>
      <c r="T38" s="180"/>
      <c r="U38" s="180"/>
      <c r="V38" s="180"/>
      <c r="W38" s="180"/>
      <c r="X38" s="180"/>
      <c r="Y38" s="180"/>
      <c r="Z38" s="180"/>
      <c r="AA38" s="180"/>
      <c r="AB38" s="180"/>
      <c r="AC38" s="180"/>
      <c r="AD38" s="180"/>
      <c r="AE38" s="180"/>
      <c r="AF38" s="180"/>
      <c r="AG38" s="180"/>
      <c r="AH38" s="205"/>
    </row>
    <row r="39" spans="5:37" x14ac:dyDescent="0.25">
      <c r="E39" s="185" t="s">
        <v>24</v>
      </c>
      <c r="F39" s="187">
        <v>24</v>
      </c>
      <c r="G39" s="202">
        <v>63.072108000000007</v>
      </c>
      <c r="H39" s="180">
        <v>420</v>
      </c>
      <c r="I39" s="180">
        <v>118.8</v>
      </c>
      <c r="J39" s="180">
        <v>36</v>
      </c>
      <c r="K39" s="177">
        <v>191.96</v>
      </c>
      <c r="L39" s="177">
        <v>8.4700000000000006</v>
      </c>
      <c r="M39" s="191">
        <f t="shared" si="2"/>
        <v>20.817481873970962</v>
      </c>
      <c r="N39" s="184">
        <v>300.89999999999998</v>
      </c>
      <c r="O39" s="180"/>
      <c r="P39" s="180"/>
      <c r="Q39" s="180"/>
      <c r="R39" s="180"/>
      <c r="S39" s="180"/>
      <c r="T39" s="180"/>
      <c r="U39" s="180"/>
      <c r="V39" s="180"/>
      <c r="W39" s="180"/>
      <c r="X39" s="180"/>
      <c r="Y39" s="180"/>
      <c r="Z39" s="180"/>
      <c r="AA39" s="180"/>
      <c r="AB39" s="180"/>
      <c r="AC39" s="180"/>
      <c r="AD39" s="180"/>
      <c r="AE39" s="180"/>
      <c r="AF39" s="180"/>
      <c r="AG39" s="180"/>
      <c r="AH39" s="205"/>
    </row>
    <row r="40" spans="5:37" x14ac:dyDescent="0.25">
      <c r="E40" s="185" t="s">
        <v>19</v>
      </c>
      <c r="F40" s="187">
        <v>24</v>
      </c>
      <c r="G40" s="202">
        <v>47.015076240000013</v>
      </c>
      <c r="H40" s="180">
        <v>420</v>
      </c>
      <c r="I40" s="180">
        <v>118.8</v>
      </c>
      <c r="J40" s="180">
        <v>36</v>
      </c>
      <c r="K40" s="177">
        <v>191.96</v>
      </c>
      <c r="L40" s="177">
        <v>8.4700000000000006</v>
      </c>
      <c r="M40" s="191">
        <f t="shared" si="2"/>
        <v>20.897594790001499</v>
      </c>
      <c r="N40" s="184">
        <v>292</v>
      </c>
      <c r="O40" s="180"/>
      <c r="P40" s="180"/>
      <c r="Q40" s="180"/>
      <c r="R40" s="180"/>
      <c r="S40" s="180"/>
      <c r="T40" s="180"/>
      <c r="U40" s="180"/>
      <c r="V40" s="180"/>
      <c r="W40" s="180"/>
      <c r="X40" s="180"/>
      <c r="Y40" s="180"/>
      <c r="Z40" s="180"/>
      <c r="AA40" s="180"/>
      <c r="AB40" s="180"/>
      <c r="AC40" s="180"/>
      <c r="AD40" s="180"/>
      <c r="AE40" s="180"/>
      <c r="AF40" s="180"/>
      <c r="AG40" s="180"/>
      <c r="AH40" s="205"/>
    </row>
    <row r="41" spans="5:37" x14ac:dyDescent="0.25">
      <c r="E41" s="185" t="s">
        <v>20</v>
      </c>
      <c r="F41" s="187">
        <v>24</v>
      </c>
      <c r="G41" s="202">
        <v>41.282239680000004</v>
      </c>
      <c r="H41" s="180">
        <v>420</v>
      </c>
      <c r="I41" s="180">
        <v>118.8</v>
      </c>
      <c r="J41" s="180">
        <v>36</v>
      </c>
      <c r="K41" s="177">
        <v>191.96</v>
      </c>
      <c r="L41" s="177">
        <v>8.4700000000000006</v>
      </c>
      <c r="M41" s="191">
        <f t="shared" si="2"/>
        <v>20.926197477024399</v>
      </c>
      <c r="N41" s="184">
        <v>288.10000000000002</v>
      </c>
      <c r="O41" s="180"/>
      <c r="P41" s="180"/>
      <c r="Q41" s="180"/>
      <c r="R41" s="180"/>
      <c r="S41" s="180"/>
      <c r="T41" s="180"/>
      <c r="U41" s="180"/>
      <c r="V41" s="180"/>
      <c r="W41" s="180"/>
      <c r="X41" s="180"/>
      <c r="Y41" s="180"/>
      <c r="Z41" s="180"/>
      <c r="AA41" s="180"/>
      <c r="AB41" s="180"/>
      <c r="AC41" s="180"/>
      <c r="AD41" s="180"/>
      <c r="AE41" s="180"/>
      <c r="AF41" s="180"/>
      <c r="AG41" s="180"/>
      <c r="AH41" s="205"/>
    </row>
    <row r="42" spans="5:37" x14ac:dyDescent="0.25">
      <c r="E42" s="185" t="s">
        <v>21</v>
      </c>
      <c r="F42" s="187">
        <v>24</v>
      </c>
      <c r="G42" s="202">
        <v>37.843264800000007</v>
      </c>
      <c r="H42" s="180">
        <v>420</v>
      </c>
      <c r="I42" s="180">
        <v>118.8</v>
      </c>
      <c r="J42" s="180">
        <v>36</v>
      </c>
      <c r="K42" s="177">
        <v>191.96</v>
      </c>
      <c r="L42" s="177">
        <v>8.4700000000000006</v>
      </c>
      <c r="M42" s="191">
        <f t="shared" si="2"/>
        <v>20.943355461757221</v>
      </c>
      <c r="N42" s="184">
        <v>260.7</v>
      </c>
      <c r="O42" s="180"/>
      <c r="P42" s="180"/>
      <c r="Q42" s="180"/>
      <c r="R42" s="180"/>
      <c r="S42" s="180"/>
      <c r="T42" s="180"/>
      <c r="U42" s="180"/>
      <c r="V42" s="180"/>
      <c r="W42" s="180"/>
      <c r="X42" s="180"/>
      <c r="Y42" s="180"/>
      <c r="Z42" s="180"/>
      <c r="AA42" s="180"/>
      <c r="AB42" s="180"/>
      <c r="AC42" s="180"/>
      <c r="AD42" s="180"/>
      <c r="AE42" s="180"/>
      <c r="AF42" s="180"/>
      <c r="AG42" s="180"/>
      <c r="AH42" s="205"/>
    </row>
    <row r="43" spans="5:37" x14ac:dyDescent="0.25">
      <c r="E43" s="185" t="s">
        <v>22</v>
      </c>
      <c r="F43" s="187">
        <v>24</v>
      </c>
      <c r="G43" s="202">
        <v>34.400654639999999</v>
      </c>
      <c r="H43" s="180">
        <v>420</v>
      </c>
      <c r="I43" s="180">
        <v>118.8</v>
      </c>
      <c r="J43" s="180">
        <v>36</v>
      </c>
      <c r="K43" s="177">
        <v>191.96</v>
      </c>
      <c r="L43" s="177">
        <v>8.4700000000000006</v>
      </c>
      <c r="M43" s="191">
        <f t="shared" si="2"/>
        <v>20.960531583894628</v>
      </c>
      <c r="N43" s="184">
        <v>192.8</v>
      </c>
      <c r="O43" s="180"/>
      <c r="P43" s="180"/>
      <c r="Q43" s="180"/>
      <c r="R43" s="180"/>
      <c r="S43" s="180"/>
      <c r="T43" s="180"/>
      <c r="U43" s="180"/>
      <c r="V43" s="180"/>
      <c r="W43" s="180"/>
      <c r="X43" s="180"/>
      <c r="Y43" s="180"/>
      <c r="Z43" s="180"/>
      <c r="AA43" s="180"/>
      <c r="AB43" s="180"/>
      <c r="AC43" s="180"/>
      <c r="AD43" s="180"/>
      <c r="AE43" s="180"/>
      <c r="AF43" s="180"/>
      <c r="AG43" s="180"/>
      <c r="AH43" s="205"/>
    </row>
    <row r="44" spans="5:37" x14ac:dyDescent="0.25">
      <c r="E44" s="185" t="s">
        <v>23</v>
      </c>
      <c r="F44" s="187">
        <v>24</v>
      </c>
      <c r="G44" s="202">
        <v>33.255541440000002</v>
      </c>
      <c r="H44" s="180">
        <v>420</v>
      </c>
      <c r="I44" s="180">
        <v>118.8</v>
      </c>
      <c r="J44" s="180">
        <v>36</v>
      </c>
      <c r="K44" s="177">
        <v>191.96</v>
      </c>
      <c r="L44" s="177">
        <v>8.4700000000000006</v>
      </c>
      <c r="M44" s="191">
        <f t="shared" si="2"/>
        <v>20.966244866337377</v>
      </c>
      <c r="N44" s="184">
        <v>178.3</v>
      </c>
      <c r="O44" s="180"/>
      <c r="P44" s="180"/>
      <c r="Q44" s="180"/>
      <c r="R44" s="180"/>
      <c r="S44" s="180"/>
      <c r="T44" s="180"/>
      <c r="U44" s="180"/>
      <c r="V44" s="180"/>
      <c r="W44" s="180"/>
      <c r="X44" s="180"/>
      <c r="Y44" s="180"/>
      <c r="Z44" s="180"/>
      <c r="AA44" s="180"/>
      <c r="AB44" s="180"/>
      <c r="AC44" s="180"/>
      <c r="AD44" s="180"/>
      <c r="AE44" s="180"/>
      <c r="AF44" s="180"/>
      <c r="AG44" s="180"/>
      <c r="AH44" s="205"/>
    </row>
    <row r="45" spans="5:37" ht="13" x14ac:dyDescent="0.3">
      <c r="E45" s="147" t="s">
        <v>3</v>
      </c>
      <c r="F45" s="148"/>
      <c r="G45" s="148"/>
      <c r="H45" s="148"/>
      <c r="I45" s="148"/>
      <c r="J45" s="148"/>
      <c r="K45" s="148"/>
      <c r="L45" s="148"/>
      <c r="M45" s="148"/>
      <c r="N45" s="148">
        <f>SUM(N33:N44)</f>
        <v>3071.5</v>
      </c>
      <c r="O45" s="193">
        <f>16/24</f>
        <v>0.66666666666666663</v>
      </c>
      <c r="P45" s="193">
        <f>24/1000</f>
        <v>2.4E-2</v>
      </c>
      <c r="Q45" s="177">
        <v>3.59</v>
      </c>
      <c r="R45" s="177">
        <v>12.96</v>
      </c>
      <c r="S45" s="180">
        <f>N45</f>
        <v>3071.5</v>
      </c>
      <c r="T45" s="194">
        <f>O45*P45*Q45*R45*S45</f>
        <v>2286.4934016000002</v>
      </c>
      <c r="U45" s="180">
        <v>3.94</v>
      </c>
      <c r="V45" s="180">
        <v>12.96</v>
      </c>
      <c r="W45" s="180">
        <f>N45</f>
        <v>3071.5</v>
      </c>
      <c r="X45" s="194">
        <f>(O45*P45*U45*V45*W45)</f>
        <v>2509.4105856000001</v>
      </c>
      <c r="Y45" s="177">
        <v>2.13</v>
      </c>
      <c r="Z45" s="177">
        <v>41.904000000000003</v>
      </c>
      <c r="AA45" s="177">
        <f>N45</f>
        <v>3071.5</v>
      </c>
      <c r="AB45" s="195">
        <f>(O45*P45*Y45*Z45*AA45)</f>
        <v>4386.3732748800003</v>
      </c>
      <c r="AC45" s="196">
        <f>L357</f>
        <v>3694.4142632643643</v>
      </c>
      <c r="AD45" s="50">
        <f>T45+X45+AB45+AC45</f>
        <v>12876.691525344366</v>
      </c>
      <c r="AE45" s="180">
        <f>AD45*0.1</f>
        <v>1287.6691525344368</v>
      </c>
      <c r="AF45" s="197">
        <f>AD45+AE45</f>
        <v>14164.360677878802</v>
      </c>
      <c r="AG45" s="177">
        <v>3.1</v>
      </c>
      <c r="AH45" s="263">
        <f>ROUND((AF45/AG45),0)</f>
        <v>4569</v>
      </c>
      <c r="AI45" s="264">
        <v>24</v>
      </c>
      <c r="AJ45" s="265"/>
      <c r="AK45" s="265"/>
    </row>
    <row r="46" spans="5:37" ht="13" x14ac:dyDescent="0.3">
      <c r="E46" s="385" t="s">
        <v>211</v>
      </c>
      <c r="F46" s="386"/>
      <c r="G46" s="386"/>
      <c r="H46" s="386"/>
      <c r="I46" s="386"/>
      <c r="J46" s="386"/>
      <c r="K46" s="386"/>
      <c r="L46" s="386"/>
      <c r="M46" s="386"/>
      <c r="N46" s="386"/>
      <c r="O46" s="386"/>
      <c r="P46" s="386"/>
      <c r="Q46" s="386"/>
      <c r="R46" s="386"/>
      <c r="S46" s="386"/>
      <c r="T46" s="386"/>
      <c r="U46" s="386"/>
      <c r="V46" s="386"/>
      <c r="W46" s="386"/>
      <c r="X46" s="386"/>
      <c r="Y46" s="386"/>
      <c r="Z46" s="386"/>
      <c r="AA46" s="386"/>
      <c r="AB46" s="386"/>
      <c r="AC46" s="386"/>
      <c r="AD46" s="386"/>
      <c r="AE46" s="386"/>
      <c r="AF46" s="386"/>
      <c r="AG46" s="387"/>
      <c r="AH46" s="266">
        <f>(AH17*AN5+AH31*AN6+AH45*AN7)</f>
        <v>4947.565217391304</v>
      </c>
      <c r="AI46" s="264"/>
      <c r="AJ46" s="265"/>
      <c r="AK46" s="265"/>
    </row>
    <row r="47" spans="5:37" ht="15.5" x14ac:dyDescent="0.4">
      <c r="E47" s="185" t="s">
        <v>0</v>
      </c>
      <c r="F47" s="180"/>
      <c r="G47" s="180"/>
      <c r="H47" s="180"/>
      <c r="I47" s="180"/>
      <c r="J47" s="180"/>
      <c r="K47" s="180"/>
      <c r="L47" s="180"/>
      <c r="M47" s="187"/>
      <c r="N47" s="180" t="s">
        <v>2</v>
      </c>
      <c r="O47" s="180"/>
      <c r="P47" s="180"/>
      <c r="Q47" s="180"/>
      <c r="R47" s="180"/>
      <c r="S47" s="180"/>
      <c r="T47" s="180"/>
      <c r="U47" s="180"/>
      <c r="V47" s="180"/>
      <c r="W47" s="180"/>
      <c r="X47" s="180"/>
      <c r="Y47" s="180"/>
      <c r="Z47" s="180"/>
      <c r="AA47" s="180"/>
      <c r="AB47" s="180"/>
      <c r="AC47" s="180"/>
      <c r="AD47" s="180"/>
      <c r="AE47" s="180"/>
      <c r="AF47" s="180"/>
      <c r="AG47" s="180"/>
      <c r="AH47" s="205"/>
    </row>
    <row r="48" spans="5:37" x14ac:dyDescent="0.25">
      <c r="E48" s="185" t="s">
        <v>15</v>
      </c>
      <c r="F48" s="186">
        <v>25</v>
      </c>
      <c r="G48" s="202">
        <v>34.400654639999999</v>
      </c>
      <c r="H48" s="180">
        <v>420</v>
      </c>
      <c r="I48" s="180">
        <v>118.8</v>
      </c>
      <c r="J48" s="180">
        <v>36</v>
      </c>
      <c r="K48" s="177">
        <v>191.96</v>
      </c>
      <c r="L48" s="177">
        <v>8.4700000000000006</v>
      </c>
      <c r="M48" s="191">
        <f>(F48-((G48+H48+I48+J48)/(K48+L48)))</f>
        <v>21.960531583894628</v>
      </c>
      <c r="N48" s="184">
        <v>123.7</v>
      </c>
      <c r="O48" s="180"/>
      <c r="P48" s="180"/>
      <c r="Q48" s="180"/>
      <c r="R48" s="180"/>
      <c r="S48" s="180"/>
      <c r="T48" s="180"/>
      <c r="U48" s="180"/>
      <c r="V48" s="180"/>
      <c r="W48" s="180"/>
      <c r="X48" s="180"/>
      <c r="Y48" s="180"/>
      <c r="Z48" s="180"/>
      <c r="AA48" s="180"/>
      <c r="AB48" s="180"/>
      <c r="AC48" s="180"/>
      <c r="AD48" s="180"/>
      <c r="AE48" s="180"/>
      <c r="AF48" s="180"/>
      <c r="AG48" s="180"/>
      <c r="AH48" s="205"/>
    </row>
    <row r="49" spans="5:40" x14ac:dyDescent="0.25">
      <c r="E49" s="185" t="s">
        <v>16</v>
      </c>
      <c r="F49" s="186">
        <v>25</v>
      </c>
      <c r="G49" s="202">
        <v>37.843264800000007</v>
      </c>
      <c r="H49" s="180">
        <v>420</v>
      </c>
      <c r="I49" s="180">
        <v>118.8</v>
      </c>
      <c r="J49" s="180">
        <v>36</v>
      </c>
      <c r="K49" s="177">
        <v>191.96</v>
      </c>
      <c r="L49" s="177">
        <v>8.4700000000000006</v>
      </c>
      <c r="M49" s="191">
        <f t="shared" ref="M49:M59" si="3">(F49-((G49+H49+I49+J49)/(K49+L49)))</f>
        <v>21.943355461757221</v>
      </c>
      <c r="N49" s="184">
        <v>149.5</v>
      </c>
      <c r="O49" s="180"/>
      <c r="P49" s="180"/>
      <c r="Q49" s="180"/>
      <c r="R49" s="180"/>
      <c r="S49" s="180"/>
      <c r="T49" s="180"/>
      <c r="U49" s="180"/>
      <c r="V49" s="180"/>
      <c r="W49" s="180"/>
      <c r="X49" s="180"/>
      <c r="Y49" s="180"/>
      <c r="Z49" s="180"/>
      <c r="AA49" s="180"/>
      <c r="AB49" s="180"/>
      <c r="AC49" s="180"/>
      <c r="AD49" s="180"/>
      <c r="AE49" s="180"/>
      <c r="AF49" s="180"/>
      <c r="AG49" s="180"/>
      <c r="AH49" s="205"/>
    </row>
    <row r="50" spans="5:40" ht="13" thickBot="1" x14ac:dyDescent="0.3">
      <c r="E50" s="185" t="s">
        <v>17</v>
      </c>
      <c r="F50" s="186">
        <v>25</v>
      </c>
      <c r="G50" s="202">
        <v>40.137126480000006</v>
      </c>
      <c r="H50" s="180">
        <v>420</v>
      </c>
      <c r="I50" s="180">
        <v>118.8</v>
      </c>
      <c r="J50" s="180">
        <v>36</v>
      </c>
      <c r="K50" s="177">
        <v>191.96</v>
      </c>
      <c r="L50" s="177">
        <v>8.4700000000000006</v>
      </c>
      <c r="M50" s="191">
        <f t="shared" si="3"/>
        <v>21.931910759467147</v>
      </c>
      <c r="N50" s="184">
        <v>233.1</v>
      </c>
      <c r="O50" s="180"/>
      <c r="P50" s="180"/>
      <c r="Q50" s="180"/>
      <c r="R50" s="180"/>
      <c r="S50" s="180"/>
      <c r="T50" s="180"/>
      <c r="U50" s="180"/>
      <c r="V50" s="180"/>
      <c r="W50" s="180"/>
      <c r="X50" s="180"/>
      <c r="Y50" s="180"/>
      <c r="Z50" s="180"/>
      <c r="AA50" s="180"/>
      <c r="AB50" s="180"/>
      <c r="AC50" s="180"/>
      <c r="AD50" s="180"/>
      <c r="AE50" s="180"/>
      <c r="AF50" s="180"/>
      <c r="AG50" s="180"/>
      <c r="AH50" s="205"/>
    </row>
    <row r="51" spans="5:40" ht="13" x14ac:dyDescent="0.3">
      <c r="E51" s="185" t="s">
        <v>18</v>
      </c>
      <c r="F51" s="186">
        <v>25</v>
      </c>
      <c r="G51" s="202">
        <v>44.721214560000007</v>
      </c>
      <c r="H51" s="180">
        <v>420</v>
      </c>
      <c r="I51" s="180">
        <v>118.8</v>
      </c>
      <c r="J51" s="180">
        <v>36</v>
      </c>
      <c r="K51" s="177">
        <v>191.96</v>
      </c>
      <c r="L51" s="177">
        <v>8.4700000000000006</v>
      </c>
      <c r="M51" s="191">
        <f t="shared" si="3"/>
        <v>21.909039492291573</v>
      </c>
      <c r="N51" s="184">
        <v>274.10000000000002</v>
      </c>
      <c r="O51" s="180"/>
      <c r="P51" s="180"/>
      <c r="Q51" s="180"/>
      <c r="R51" s="180"/>
      <c r="S51" s="180"/>
      <c r="T51" s="180"/>
      <c r="U51" s="180"/>
      <c r="V51" s="180"/>
      <c r="W51" s="180"/>
      <c r="X51" s="180"/>
      <c r="Y51" s="180"/>
      <c r="Z51" s="180"/>
      <c r="AA51" s="180"/>
      <c r="AB51" s="180"/>
      <c r="AC51" s="180"/>
      <c r="AD51" s="180"/>
      <c r="AE51" s="180"/>
      <c r="AF51" s="180"/>
      <c r="AG51" s="180"/>
      <c r="AH51" s="205"/>
      <c r="AL51" s="295" t="s">
        <v>203</v>
      </c>
      <c r="AM51" s="296"/>
      <c r="AN51" s="297"/>
    </row>
    <row r="52" spans="5:40" x14ac:dyDescent="0.25">
      <c r="E52" s="185" t="s">
        <v>12</v>
      </c>
      <c r="F52" s="186">
        <v>25</v>
      </c>
      <c r="G52" s="202">
        <v>59.629497840000013</v>
      </c>
      <c r="H52" s="180">
        <v>420</v>
      </c>
      <c r="I52" s="180">
        <v>118.8</v>
      </c>
      <c r="J52" s="180">
        <v>36</v>
      </c>
      <c r="K52" s="177">
        <v>191.96</v>
      </c>
      <c r="L52" s="177">
        <v>8.4700000000000006</v>
      </c>
      <c r="M52" s="191">
        <f t="shared" si="3"/>
        <v>21.834657996108369</v>
      </c>
      <c r="N52" s="184">
        <v>326.60000000000002</v>
      </c>
      <c r="O52" s="180"/>
      <c r="P52" s="180"/>
      <c r="Q52" s="180"/>
      <c r="R52" s="180"/>
      <c r="S52" s="180"/>
      <c r="T52" s="180"/>
      <c r="U52" s="180"/>
      <c r="V52" s="180"/>
      <c r="W52" s="180"/>
      <c r="X52" s="180"/>
      <c r="Y52" s="180"/>
      <c r="Z52" s="180"/>
      <c r="AA52" s="180"/>
      <c r="AB52" s="180"/>
      <c r="AC52" s="180"/>
      <c r="AD52" s="180"/>
      <c r="AE52" s="180"/>
      <c r="AF52" s="180"/>
      <c r="AG52" s="180"/>
      <c r="AH52" s="205"/>
      <c r="AL52" s="255" t="s">
        <v>195</v>
      </c>
      <c r="AM52" s="190" t="s">
        <v>196</v>
      </c>
      <c r="AN52" s="239" t="s">
        <v>201</v>
      </c>
    </row>
    <row r="53" spans="5:40" x14ac:dyDescent="0.25">
      <c r="E53" s="185" t="s">
        <v>13</v>
      </c>
      <c r="F53" s="186">
        <v>25</v>
      </c>
      <c r="G53" s="202">
        <v>75.686529600000014</v>
      </c>
      <c r="H53" s="180">
        <v>420</v>
      </c>
      <c r="I53" s="180">
        <v>118.8</v>
      </c>
      <c r="J53" s="180">
        <v>36</v>
      </c>
      <c r="K53" s="177">
        <v>191.96</v>
      </c>
      <c r="L53" s="177">
        <v>8.4700000000000006</v>
      </c>
      <c r="M53" s="191">
        <f t="shared" si="3"/>
        <v>21.754545080077833</v>
      </c>
      <c r="N53" s="184">
        <v>270.7</v>
      </c>
      <c r="O53" s="180"/>
      <c r="P53" s="180"/>
      <c r="Q53" s="180"/>
      <c r="R53" s="180"/>
      <c r="S53" s="180"/>
      <c r="T53" s="180"/>
      <c r="U53" s="180"/>
      <c r="V53" s="180"/>
      <c r="W53" s="180"/>
      <c r="X53" s="180"/>
      <c r="Y53" s="180"/>
      <c r="Z53" s="180"/>
      <c r="AA53" s="180"/>
      <c r="AB53" s="180"/>
      <c r="AC53" s="180"/>
      <c r="AD53" s="180"/>
      <c r="AE53" s="180"/>
      <c r="AF53" s="180"/>
      <c r="AG53" s="180"/>
      <c r="AH53" s="205"/>
      <c r="AL53" s="255">
        <v>25</v>
      </c>
      <c r="AM53" s="190">
        <v>12</v>
      </c>
      <c r="AN53" s="239">
        <v>1</v>
      </c>
    </row>
    <row r="54" spans="5:40" x14ac:dyDescent="0.25">
      <c r="E54" s="185" t="s">
        <v>24</v>
      </c>
      <c r="F54" s="186">
        <v>25</v>
      </c>
      <c r="G54" s="202">
        <v>63.072108000000007</v>
      </c>
      <c r="H54" s="180">
        <v>420</v>
      </c>
      <c r="I54" s="180">
        <v>118.8</v>
      </c>
      <c r="J54" s="180">
        <v>36</v>
      </c>
      <c r="K54" s="177">
        <v>191.96</v>
      </c>
      <c r="L54" s="177">
        <v>8.4700000000000006</v>
      </c>
      <c r="M54" s="191">
        <f t="shared" si="3"/>
        <v>21.817481873970962</v>
      </c>
      <c r="N54" s="184">
        <v>269.89999999999998</v>
      </c>
      <c r="O54" s="180"/>
      <c r="P54" s="180"/>
      <c r="Q54" s="180"/>
      <c r="R54" s="180"/>
      <c r="S54" s="180"/>
      <c r="T54" s="180"/>
      <c r="U54" s="180"/>
      <c r="V54" s="180"/>
      <c r="W54" s="180"/>
      <c r="X54" s="180"/>
      <c r="Y54" s="180"/>
      <c r="Z54" s="180"/>
      <c r="AA54" s="180"/>
      <c r="AB54" s="180"/>
      <c r="AC54" s="180"/>
      <c r="AD54" s="180"/>
      <c r="AE54" s="180"/>
      <c r="AF54" s="180"/>
      <c r="AG54" s="180"/>
      <c r="AH54" s="205"/>
    </row>
    <row r="55" spans="5:40" x14ac:dyDescent="0.25">
      <c r="E55" s="185" t="s">
        <v>19</v>
      </c>
      <c r="F55" s="186">
        <v>25</v>
      </c>
      <c r="G55" s="202">
        <v>47.015076240000013</v>
      </c>
      <c r="H55" s="180">
        <v>420</v>
      </c>
      <c r="I55" s="180">
        <v>118.8</v>
      </c>
      <c r="J55" s="180">
        <v>36</v>
      </c>
      <c r="K55" s="177">
        <v>191.96</v>
      </c>
      <c r="L55" s="177">
        <v>8.4700000000000006</v>
      </c>
      <c r="M55" s="191">
        <f t="shared" si="3"/>
        <v>21.897594790001499</v>
      </c>
      <c r="N55" s="184">
        <v>261</v>
      </c>
      <c r="O55" s="180"/>
      <c r="P55" s="180"/>
      <c r="Q55" s="180"/>
      <c r="R55" s="180"/>
      <c r="S55" s="180"/>
      <c r="T55" s="180"/>
      <c r="U55" s="180"/>
      <c r="V55" s="180"/>
      <c r="W55" s="180"/>
      <c r="X55" s="180"/>
      <c r="Y55" s="180"/>
      <c r="Z55" s="180"/>
      <c r="AA55" s="180"/>
      <c r="AB55" s="180"/>
      <c r="AC55" s="180"/>
      <c r="AD55" s="180"/>
      <c r="AE55" s="180"/>
      <c r="AF55" s="180"/>
      <c r="AG55" s="180"/>
      <c r="AH55" s="205"/>
      <c r="AL55" s="202"/>
      <c r="AM55" s="202"/>
      <c r="AN55" s="209"/>
    </row>
    <row r="56" spans="5:40" x14ac:dyDescent="0.25">
      <c r="E56" s="185" t="s">
        <v>20</v>
      </c>
      <c r="F56" s="186">
        <v>25</v>
      </c>
      <c r="G56" s="202">
        <v>41.282239680000004</v>
      </c>
      <c r="H56" s="180">
        <v>420</v>
      </c>
      <c r="I56" s="180">
        <v>118.8</v>
      </c>
      <c r="J56" s="180">
        <v>36</v>
      </c>
      <c r="K56" s="177">
        <v>191.96</v>
      </c>
      <c r="L56" s="177">
        <v>8.4700000000000006</v>
      </c>
      <c r="M56" s="191">
        <f t="shared" si="3"/>
        <v>21.926197477024399</v>
      </c>
      <c r="N56" s="184">
        <v>258.10000000000002</v>
      </c>
      <c r="O56" s="180"/>
      <c r="P56" s="180"/>
      <c r="Q56" s="180"/>
      <c r="R56" s="180"/>
      <c r="S56" s="180"/>
      <c r="T56" s="180"/>
      <c r="U56" s="180"/>
      <c r="V56" s="180"/>
      <c r="W56" s="180"/>
      <c r="X56" s="180"/>
      <c r="Y56" s="180"/>
      <c r="Z56" s="180"/>
      <c r="AA56" s="180"/>
      <c r="AB56" s="180"/>
      <c r="AC56" s="180"/>
      <c r="AD56" s="180"/>
      <c r="AE56" s="180"/>
      <c r="AF56" s="180"/>
      <c r="AG56" s="180"/>
      <c r="AH56" s="205"/>
      <c r="AL56" s="202"/>
      <c r="AM56" s="202"/>
      <c r="AN56" s="209"/>
    </row>
    <row r="57" spans="5:40" x14ac:dyDescent="0.25">
      <c r="E57" s="185" t="s">
        <v>21</v>
      </c>
      <c r="F57" s="186">
        <v>25</v>
      </c>
      <c r="G57" s="202">
        <v>37.843264800000007</v>
      </c>
      <c r="H57" s="180">
        <v>420</v>
      </c>
      <c r="I57" s="180">
        <v>118.8</v>
      </c>
      <c r="J57" s="180">
        <v>36</v>
      </c>
      <c r="K57" s="177">
        <v>191.96</v>
      </c>
      <c r="L57" s="177">
        <v>8.4700000000000006</v>
      </c>
      <c r="M57" s="191">
        <f t="shared" si="3"/>
        <v>21.943355461757221</v>
      </c>
      <c r="N57" s="184">
        <v>229.7</v>
      </c>
      <c r="O57" s="180"/>
      <c r="P57" s="180"/>
      <c r="Q57" s="180"/>
      <c r="R57" s="180"/>
      <c r="S57" s="180"/>
      <c r="T57" s="180"/>
      <c r="U57" s="180"/>
      <c r="V57" s="180"/>
      <c r="W57" s="180"/>
      <c r="X57" s="180"/>
      <c r="Y57" s="180"/>
      <c r="Z57" s="180"/>
      <c r="AA57" s="180"/>
      <c r="AB57" s="180"/>
      <c r="AC57" s="180"/>
      <c r="AD57" s="180"/>
      <c r="AE57" s="180"/>
      <c r="AF57" s="180"/>
      <c r="AG57" s="180"/>
      <c r="AH57" s="205"/>
      <c r="AL57" s="202"/>
      <c r="AM57" s="202"/>
      <c r="AN57" s="209"/>
    </row>
    <row r="58" spans="5:40" x14ac:dyDescent="0.25">
      <c r="E58" s="185" t="s">
        <v>22</v>
      </c>
      <c r="F58" s="186">
        <v>25</v>
      </c>
      <c r="G58" s="202">
        <v>34.400654639999999</v>
      </c>
      <c r="H58" s="180">
        <v>420</v>
      </c>
      <c r="I58" s="180">
        <v>118.8</v>
      </c>
      <c r="J58" s="180">
        <v>36</v>
      </c>
      <c r="K58" s="177">
        <v>191.96</v>
      </c>
      <c r="L58" s="177">
        <v>8.4700000000000006</v>
      </c>
      <c r="M58" s="191">
        <f t="shared" si="3"/>
        <v>21.960531583894628</v>
      </c>
      <c r="N58" s="184">
        <v>162.80000000000001</v>
      </c>
      <c r="O58" s="180"/>
      <c r="P58" s="180"/>
      <c r="Q58" s="180"/>
      <c r="R58" s="180"/>
      <c r="S58" s="180"/>
      <c r="T58" s="180"/>
      <c r="U58" s="180"/>
      <c r="V58" s="180"/>
      <c r="W58" s="180"/>
      <c r="X58" s="180"/>
      <c r="Y58" s="180"/>
      <c r="Z58" s="180"/>
      <c r="AA58" s="180"/>
      <c r="AB58" s="180"/>
      <c r="AC58" s="180"/>
      <c r="AD58" s="180"/>
      <c r="AE58" s="180"/>
      <c r="AF58" s="180"/>
      <c r="AG58" s="180"/>
      <c r="AH58" s="205"/>
      <c r="AL58" s="209"/>
      <c r="AM58" s="209"/>
      <c r="AN58" s="209"/>
    </row>
    <row r="59" spans="5:40" x14ac:dyDescent="0.25">
      <c r="E59" s="185" t="s">
        <v>23</v>
      </c>
      <c r="F59" s="186">
        <v>25</v>
      </c>
      <c r="G59" s="202">
        <v>33.255541440000002</v>
      </c>
      <c r="H59" s="180">
        <v>420</v>
      </c>
      <c r="I59" s="180">
        <v>118.8</v>
      </c>
      <c r="J59" s="180">
        <v>36</v>
      </c>
      <c r="K59" s="177">
        <v>191.96</v>
      </c>
      <c r="L59" s="177">
        <v>8.4700000000000006</v>
      </c>
      <c r="M59" s="191">
        <f t="shared" si="3"/>
        <v>21.966244866337377</v>
      </c>
      <c r="N59" s="184">
        <v>147.30000000000001</v>
      </c>
      <c r="O59" s="180"/>
      <c r="P59" s="180"/>
      <c r="Q59" s="180"/>
      <c r="R59" s="180"/>
      <c r="S59" s="180"/>
      <c r="T59" s="180"/>
      <c r="U59" s="180"/>
      <c r="V59" s="180"/>
      <c r="W59" s="180"/>
      <c r="X59" s="180"/>
      <c r="Y59" s="180"/>
      <c r="Z59" s="180"/>
      <c r="AA59" s="180"/>
      <c r="AB59" s="180"/>
      <c r="AC59" s="180"/>
      <c r="AD59" s="180"/>
      <c r="AE59" s="180"/>
      <c r="AF59" s="180"/>
      <c r="AG59" s="180"/>
      <c r="AH59" s="205"/>
    </row>
    <row r="60" spans="5:40" ht="13" x14ac:dyDescent="0.3">
      <c r="E60" s="147" t="s">
        <v>3</v>
      </c>
      <c r="F60" s="148"/>
      <c r="G60" s="148"/>
      <c r="H60" s="148"/>
      <c r="I60" s="148"/>
      <c r="J60" s="148"/>
      <c r="K60" s="148"/>
      <c r="L60" s="148"/>
      <c r="M60" s="148"/>
      <c r="N60" s="148">
        <f>SUM(N48:N59)</f>
        <v>2706.5</v>
      </c>
      <c r="O60" s="193">
        <f>16/24</f>
        <v>0.66666666666666663</v>
      </c>
      <c r="P60" s="193">
        <f>24/1000</f>
        <v>2.4E-2</v>
      </c>
      <c r="Q60" s="177">
        <v>3.59</v>
      </c>
      <c r="R60" s="177">
        <v>12.96</v>
      </c>
      <c r="S60" s="180">
        <f>N60</f>
        <v>2706.5</v>
      </c>
      <c r="T60" s="194">
        <f>O60*P60*Q60*R60*S60</f>
        <v>2014.7792256</v>
      </c>
      <c r="U60" s="180">
        <v>3.94</v>
      </c>
      <c r="V60" s="180">
        <v>12.96</v>
      </c>
      <c r="W60" s="180">
        <f>N60</f>
        <v>2706.5</v>
      </c>
      <c r="X60" s="194">
        <f>(O60*P60*U60*V60*W60)</f>
        <v>2211.2061696000001</v>
      </c>
      <c r="Y60" s="177">
        <v>2.13</v>
      </c>
      <c r="Z60" s="177">
        <v>41.904000000000003</v>
      </c>
      <c r="AA60" s="177">
        <f>N60</f>
        <v>2706.5</v>
      </c>
      <c r="AB60" s="195">
        <f>(O60*P60*Y60*Z60*AA60)</f>
        <v>3865.1210380800003</v>
      </c>
      <c r="AC60" s="196">
        <f>L358</f>
        <v>3616.9936419352507</v>
      </c>
      <c r="AD60" s="50">
        <f>T60+X60+AB60+AC60</f>
        <v>11708.10007521525</v>
      </c>
      <c r="AE60" s="180">
        <f>AD60*0.1</f>
        <v>1170.810007521525</v>
      </c>
      <c r="AF60" s="197">
        <f>AD60+AE60</f>
        <v>12878.910082736775</v>
      </c>
      <c r="AG60" s="177">
        <v>3.1</v>
      </c>
      <c r="AH60" s="263">
        <f>ROUND((AF60/AG60),0)</f>
        <v>4154</v>
      </c>
    </row>
    <row r="61" spans="5:40" ht="13" x14ac:dyDescent="0.3">
      <c r="E61" s="385" t="s">
        <v>212</v>
      </c>
      <c r="F61" s="386"/>
      <c r="G61" s="386"/>
      <c r="H61" s="386"/>
      <c r="I61" s="386"/>
      <c r="J61" s="386"/>
      <c r="K61" s="386"/>
      <c r="L61" s="386"/>
      <c r="M61" s="386"/>
      <c r="N61" s="386"/>
      <c r="O61" s="386"/>
      <c r="P61" s="386"/>
      <c r="Q61" s="386"/>
      <c r="R61" s="386"/>
      <c r="S61" s="386"/>
      <c r="T61" s="386"/>
      <c r="U61" s="386"/>
      <c r="V61" s="386"/>
      <c r="W61" s="386"/>
      <c r="X61" s="386"/>
      <c r="Y61" s="386"/>
      <c r="Z61" s="386"/>
      <c r="AA61" s="386"/>
      <c r="AB61" s="386"/>
      <c r="AC61" s="386"/>
      <c r="AD61" s="386"/>
      <c r="AE61" s="386"/>
      <c r="AF61" s="386"/>
      <c r="AG61" s="387"/>
      <c r="AH61" s="266">
        <f>AH60</f>
        <v>4154</v>
      </c>
      <c r="AI61" s="264">
        <v>25</v>
      </c>
    </row>
    <row r="62" spans="5:40" ht="15.5" x14ac:dyDescent="0.4">
      <c r="E62" s="185" t="s">
        <v>0</v>
      </c>
      <c r="F62" s="187"/>
      <c r="G62" s="180"/>
      <c r="H62" s="180"/>
      <c r="I62" s="180"/>
      <c r="J62" s="180"/>
      <c r="K62" s="180"/>
      <c r="L62" s="180"/>
      <c r="M62" s="187"/>
      <c r="N62" s="180" t="s">
        <v>2</v>
      </c>
      <c r="O62" s="180"/>
      <c r="P62" s="180"/>
      <c r="Q62" s="180"/>
      <c r="R62" s="180"/>
      <c r="S62" s="180"/>
      <c r="T62" s="180"/>
      <c r="U62" s="180"/>
      <c r="V62" s="180"/>
      <c r="W62" s="180"/>
      <c r="X62" s="180"/>
      <c r="Y62" s="180"/>
      <c r="Z62" s="180"/>
      <c r="AA62" s="180"/>
      <c r="AB62" s="180"/>
      <c r="AC62" s="180"/>
      <c r="AD62" s="180"/>
      <c r="AE62" s="180"/>
      <c r="AF62" s="180"/>
      <c r="AG62" s="180"/>
      <c r="AH62" s="205"/>
    </row>
    <row r="63" spans="5:40" x14ac:dyDescent="0.25">
      <c r="E63" s="185" t="s">
        <v>15</v>
      </c>
      <c r="F63" s="186">
        <v>26</v>
      </c>
      <c r="G63" s="202">
        <v>34.400654639999999</v>
      </c>
      <c r="H63" s="180">
        <v>420</v>
      </c>
      <c r="I63" s="180">
        <v>118.8</v>
      </c>
      <c r="J63" s="180">
        <v>36</v>
      </c>
      <c r="K63" s="177">
        <v>191.96</v>
      </c>
      <c r="L63" s="177">
        <v>8.4700000000000006</v>
      </c>
      <c r="M63" s="191">
        <f>(F63-((G63+H63+I63+J63)/(K63+L63)))</f>
        <v>22.960531583894628</v>
      </c>
      <c r="N63" s="184">
        <v>93</v>
      </c>
      <c r="O63" s="180"/>
      <c r="P63" s="180"/>
      <c r="Q63" s="180"/>
      <c r="R63" s="180"/>
      <c r="S63" s="180"/>
      <c r="T63" s="180"/>
      <c r="U63" s="180"/>
      <c r="V63" s="180"/>
      <c r="W63" s="180"/>
      <c r="X63" s="180"/>
      <c r="Y63" s="180"/>
      <c r="Z63" s="180"/>
      <c r="AA63" s="180"/>
      <c r="AB63" s="180"/>
      <c r="AC63" s="180"/>
      <c r="AD63" s="180"/>
      <c r="AE63" s="180"/>
      <c r="AF63" s="180"/>
      <c r="AG63" s="180"/>
      <c r="AH63" s="205"/>
    </row>
    <row r="64" spans="5:40" x14ac:dyDescent="0.25">
      <c r="E64" s="185" t="s">
        <v>16</v>
      </c>
      <c r="F64" s="186">
        <v>26</v>
      </c>
      <c r="G64" s="202">
        <v>37.843264800000007</v>
      </c>
      <c r="H64" s="180">
        <v>420</v>
      </c>
      <c r="I64" s="180">
        <v>118.8</v>
      </c>
      <c r="J64" s="180">
        <v>36</v>
      </c>
      <c r="K64" s="177">
        <v>191.96</v>
      </c>
      <c r="L64" s="177">
        <v>8.4700000000000006</v>
      </c>
      <c r="M64" s="191">
        <f t="shared" ref="M64:M74" si="4">(F64-((G64+H64+I64+J64)/(K64+L64)))</f>
        <v>22.943355461757221</v>
      </c>
      <c r="N64" s="184">
        <v>121.6</v>
      </c>
      <c r="O64" s="180"/>
      <c r="P64" s="180"/>
      <c r="Q64" s="180"/>
      <c r="R64" s="180"/>
      <c r="S64" s="180"/>
      <c r="T64" s="180"/>
      <c r="U64" s="180"/>
      <c r="V64" s="180"/>
      <c r="W64" s="180"/>
      <c r="X64" s="180"/>
      <c r="Y64" s="180"/>
      <c r="Z64" s="180"/>
      <c r="AA64" s="180"/>
      <c r="AB64" s="180"/>
      <c r="AC64" s="180"/>
      <c r="AD64" s="180"/>
      <c r="AE64" s="180"/>
      <c r="AF64" s="180"/>
      <c r="AG64" s="180"/>
      <c r="AH64" s="205"/>
    </row>
    <row r="65" spans="5:40" x14ac:dyDescent="0.25">
      <c r="E65" s="185" t="s">
        <v>17</v>
      </c>
      <c r="F65" s="186">
        <v>26</v>
      </c>
      <c r="G65" s="202">
        <v>40.137126480000006</v>
      </c>
      <c r="H65" s="180">
        <v>420</v>
      </c>
      <c r="I65" s="180">
        <v>118.8</v>
      </c>
      <c r="J65" s="180">
        <v>36</v>
      </c>
      <c r="K65" s="177">
        <v>191.96</v>
      </c>
      <c r="L65" s="177">
        <v>8.4700000000000006</v>
      </c>
      <c r="M65" s="191">
        <f t="shared" si="4"/>
        <v>22.931910759467147</v>
      </c>
      <c r="N65" s="184">
        <v>202.1</v>
      </c>
      <c r="O65" s="180"/>
      <c r="P65" s="180"/>
      <c r="Q65" s="180"/>
      <c r="R65" s="180"/>
      <c r="S65" s="180"/>
      <c r="T65" s="180"/>
      <c r="U65" s="180"/>
      <c r="V65" s="180"/>
      <c r="W65" s="180"/>
      <c r="X65" s="180"/>
      <c r="Y65" s="180"/>
      <c r="Z65" s="180"/>
      <c r="AA65" s="180"/>
      <c r="AB65" s="180"/>
      <c r="AC65" s="180"/>
      <c r="AD65" s="180"/>
      <c r="AE65" s="180"/>
      <c r="AF65" s="180"/>
      <c r="AG65" s="180"/>
      <c r="AH65" s="205"/>
    </row>
    <row r="66" spans="5:40" x14ac:dyDescent="0.25">
      <c r="E66" s="185" t="s">
        <v>18</v>
      </c>
      <c r="F66" s="186">
        <v>26</v>
      </c>
      <c r="G66" s="202">
        <v>44.721214560000007</v>
      </c>
      <c r="H66" s="180">
        <v>420</v>
      </c>
      <c r="I66" s="180">
        <v>118.8</v>
      </c>
      <c r="J66" s="180">
        <v>36</v>
      </c>
      <c r="K66" s="177">
        <v>191.96</v>
      </c>
      <c r="L66" s="177">
        <v>8.4700000000000006</v>
      </c>
      <c r="M66" s="191">
        <f t="shared" si="4"/>
        <v>22.909039492291573</v>
      </c>
      <c r="N66" s="184">
        <v>244.1</v>
      </c>
      <c r="O66" s="180"/>
      <c r="P66" s="180"/>
      <c r="Q66" s="180"/>
      <c r="R66" s="180"/>
      <c r="S66" s="180"/>
      <c r="T66" s="180"/>
      <c r="U66" s="180"/>
      <c r="V66" s="180"/>
      <c r="W66" s="180"/>
      <c r="X66" s="180"/>
      <c r="Y66" s="180"/>
      <c r="Z66" s="180"/>
      <c r="AA66" s="180"/>
      <c r="AB66" s="180"/>
      <c r="AC66" s="180"/>
      <c r="AD66" s="180"/>
      <c r="AE66" s="180"/>
      <c r="AF66" s="180"/>
      <c r="AG66" s="180"/>
      <c r="AH66" s="205"/>
    </row>
    <row r="67" spans="5:40" x14ac:dyDescent="0.25">
      <c r="E67" s="185" t="s">
        <v>12</v>
      </c>
      <c r="F67" s="186">
        <v>26</v>
      </c>
      <c r="G67" s="202">
        <v>59.629497840000013</v>
      </c>
      <c r="H67" s="180">
        <v>420</v>
      </c>
      <c r="I67" s="180">
        <v>118.8</v>
      </c>
      <c r="J67" s="180">
        <v>36</v>
      </c>
      <c r="K67" s="177">
        <v>191.96</v>
      </c>
      <c r="L67" s="177">
        <v>8.4700000000000006</v>
      </c>
      <c r="M67" s="191">
        <f t="shared" si="4"/>
        <v>22.834657996108369</v>
      </c>
      <c r="N67" s="184">
        <v>295.60000000000002</v>
      </c>
      <c r="O67" s="180"/>
      <c r="P67" s="180"/>
      <c r="Q67" s="180"/>
      <c r="R67" s="180"/>
      <c r="S67" s="180"/>
      <c r="T67" s="180"/>
      <c r="U67" s="180"/>
      <c r="V67" s="180"/>
      <c r="W67" s="180"/>
      <c r="X67" s="180"/>
      <c r="Y67" s="180"/>
      <c r="Z67" s="180"/>
      <c r="AA67" s="180"/>
      <c r="AB67" s="180"/>
      <c r="AC67" s="180"/>
      <c r="AD67" s="180"/>
      <c r="AE67" s="180"/>
      <c r="AF67" s="180"/>
      <c r="AG67" s="180"/>
      <c r="AH67" s="205"/>
    </row>
    <row r="68" spans="5:40" x14ac:dyDescent="0.25">
      <c r="E68" s="185" t="s">
        <v>13</v>
      </c>
      <c r="F68" s="186">
        <v>26</v>
      </c>
      <c r="G68" s="202">
        <v>75.686529600000014</v>
      </c>
      <c r="H68" s="180">
        <v>420</v>
      </c>
      <c r="I68" s="180">
        <v>118.8</v>
      </c>
      <c r="J68" s="180">
        <v>36</v>
      </c>
      <c r="K68" s="177">
        <v>191.96</v>
      </c>
      <c r="L68" s="177">
        <v>8.4700000000000006</v>
      </c>
      <c r="M68" s="191">
        <f t="shared" si="4"/>
        <v>22.754545080077833</v>
      </c>
      <c r="N68" s="184">
        <v>240.7</v>
      </c>
      <c r="O68" s="180"/>
      <c r="P68" s="180"/>
      <c r="Q68" s="180"/>
      <c r="R68" s="180"/>
      <c r="S68" s="180"/>
      <c r="T68" s="180"/>
      <c r="U68" s="180"/>
      <c r="V68" s="180"/>
      <c r="W68" s="180"/>
      <c r="X68" s="180"/>
      <c r="Y68" s="180"/>
      <c r="Z68" s="180"/>
      <c r="AA68" s="180"/>
      <c r="AB68" s="180"/>
      <c r="AC68" s="180"/>
      <c r="AD68" s="180"/>
      <c r="AE68" s="180"/>
      <c r="AF68" s="180"/>
      <c r="AG68" s="180"/>
      <c r="AH68" s="205"/>
    </row>
    <row r="69" spans="5:40" x14ac:dyDescent="0.25">
      <c r="E69" s="185" t="s">
        <v>1</v>
      </c>
      <c r="F69" s="186">
        <v>26</v>
      </c>
      <c r="G69" s="202">
        <v>63.072108000000007</v>
      </c>
      <c r="H69" s="180">
        <v>420</v>
      </c>
      <c r="I69" s="180">
        <v>118.8</v>
      </c>
      <c r="J69" s="180">
        <v>36</v>
      </c>
      <c r="K69" s="177">
        <v>191.96</v>
      </c>
      <c r="L69" s="177">
        <v>8.4700000000000006</v>
      </c>
      <c r="M69" s="191">
        <f t="shared" si="4"/>
        <v>22.817481873970962</v>
      </c>
      <c r="N69" s="184">
        <v>238.9</v>
      </c>
      <c r="O69" s="190"/>
      <c r="P69" s="190"/>
      <c r="Q69" s="180"/>
      <c r="R69" s="180"/>
      <c r="S69" s="180"/>
      <c r="T69" s="180"/>
      <c r="U69" s="180"/>
      <c r="V69" s="180"/>
      <c r="W69" s="180"/>
      <c r="X69" s="180"/>
      <c r="Y69" s="180"/>
      <c r="Z69" s="180"/>
      <c r="AA69" s="180"/>
      <c r="AB69" s="180"/>
      <c r="AC69" s="180"/>
      <c r="AD69" s="180"/>
      <c r="AE69" s="180"/>
      <c r="AF69" s="180"/>
      <c r="AG69" s="180"/>
      <c r="AH69" s="205"/>
    </row>
    <row r="70" spans="5:40" x14ac:dyDescent="0.25">
      <c r="E70" s="185" t="s">
        <v>19</v>
      </c>
      <c r="F70" s="186">
        <v>26</v>
      </c>
      <c r="G70" s="202">
        <v>47.015076240000013</v>
      </c>
      <c r="H70" s="180">
        <v>420</v>
      </c>
      <c r="I70" s="180">
        <v>118.8</v>
      </c>
      <c r="J70" s="180">
        <v>36</v>
      </c>
      <c r="K70" s="177">
        <v>191.96</v>
      </c>
      <c r="L70" s="177">
        <v>8.4700000000000006</v>
      </c>
      <c r="M70" s="191">
        <f t="shared" si="4"/>
        <v>22.897594790001499</v>
      </c>
      <c r="N70" s="184">
        <v>230</v>
      </c>
      <c r="O70" s="190"/>
      <c r="P70" s="190"/>
      <c r="Q70" s="180"/>
      <c r="R70" s="180"/>
      <c r="S70" s="180"/>
      <c r="T70" s="180"/>
      <c r="U70" s="180"/>
      <c r="V70" s="180"/>
      <c r="W70" s="180"/>
      <c r="X70" s="180"/>
      <c r="Y70" s="180"/>
      <c r="Z70" s="180"/>
      <c r="AA70" s="180"/>
      <c r="AB70" s="180"/>
      <c r="AC70" s="180"/>
      <c r="AD70" s="180"/>
      <c r="AE70" s="180"/>
      <c r="AF70" s="180"/>
      <c r="AG70" s="180"/>
      <c r="AH70" s="205"/>
    </row>
    <row r="71" spans="5:40" x14ac:dyDescent="0.25">
      <c r="E71" s="185" t="s">
        <v>20</v>
      </c>
      <c r="F71" s="186">
        <v>26</v>
      </c>
      <c r="G71" s="202">
        <v>41.282239680000004</v>
      </c>
      <c r="H71" s="180">
        <v>420</v>
      </c>
      <c r="I71" s="180">
        <v>118.8</v>
      </c>
      <c r="J71" s="180">
        <v>36</v>
      </c>
      <c r="K71" s="177">
        <v>191.96</v>
      </c>
      <c r="L71" s="177">
        <v>8.4700000000000006</v>
      </c>
      <c r="M71" s="191">
        <f t="shared" si="4"/>
        <v>22.926197477024399</v>
      </c>
      <c r="N71" s="184">
        <v>228.1</v>
      </c>
      <c r="O71" s="190"/>
      <c r="P71" s="190"/>
      <c r="Q71" s="180"/>
      <c r="R71" s="180"/>
      <c r="S71" s="180"/>
      <c r="T71" s="180"/>
      <c r="U71" s="180"/>
      <c r="V71" s="180"/>
      <c r="W71" s="180"/>
      <c r="X71" s="180"/>
      <c r="Y71" s="180"/>
      <c r="Z71" s="180"/>
      <c r="AA71" s="180"/>
      <c r="AB71" s="180"/>
      <c r="AC71" s="180"/>
      <c r="AD71" s="180"/>
      <c r="AE71" s="180"/>
      <c r="AF71" s="180"/>
      <c r="AG71" s="180"/>
      <c r="AH71" s="205"/>
    </row>
    <row r="72" spans="5:40" x14ac:dyDescent="0.25">
      <c r="E72" s="185" t="s">
        <v>21</v>
      </c>
      <c r="F72" s="186">
        <v>26</v>
      </c>
      <c r="G72" s="202">
        <v>37.843264800000007</v>
      </c>
      <c r="H72" s="180">
        <v>420</v>
      </c>
      <c r="I72" s="180">
        <v>118.8</v>
      </c>
      <c r="J72" s="180">
        <v>36</v>
      </c>
      <c r="K72" s="177">
        <v>191.96</v>
      </c>
      <c r="L72" s="177">
        <v>8.4700000000000006</v>
      </c>
      <c r="M72" s="191">
        <f t="shared" si="4"/>
        <v>22.943355461757221</v>
      </c>
      <c r="N72" s="184">
        <v>198.7</v>
      </c>
      <c r="O72" s="190"/>
      <c r="P72" s="190"/>
      <c r="Q72" s="180"/>
      <c r="R72" s="180"/>
      <c r="S72" s="180"/>
      <c r="T72" s="180"/>
      <c r="U72" s="180"/>
      <c r="V72" s="180"/>
      <c r="W72" s="180"/>
      <c r="X72" s="180"/>
      <c r="Y72" s="180"/>
      <c r="Z72" s="180"/>
      <c r="AA72" s="180"/>
      <c r="AB72" s="180"/>
      <c r="AC72" s="180"/>
      <c r="AD72" s="180"/>
      <c r="AE72" s="180"/>
      <c r="AF72" s="180"/>
      <c r="AG72" s="180"/>
      <c r="AH72" s="205"/>
    </row>
    <row r="73" spans="5:40" x14ac:dyDescent="0.25">
      <c r="E73" s="185" t="s">
        <v>22</v>
      </c>
      <c r="F73" s="186">
        <v>26</v>
      </c>
      <c r="G73" s="202">
        <v>34.400654639999999</v>
      </c>
      <c r="H73" s="180">
        <v>420</v>
      </c>
      <c r="I73" s="180">
        <v>118.8</v>
      </c>
      <c r="J73" s="180">
        <v>36</v>
      </c>
      <c r="K73" s="177">
        <v>191.96</v>
      </c>
      <c r="L73" s="177">
        <v>8.4700000000000006</v>
      </c>
      <c r="M73" s="191">
        <f t="shared" si="4"/>
        <v>22.960531583894628</v>
      </c>
      <c r="N73" s="184">
        <v>132.80000000000001</v>
      </c>
      <c r="O73" s="190"/>
      <c r="P73" s="190"/>
      <c r="Q73" s="180"/>
      <c r="R73" s="180"/>
      <c r="S73" s="180"/>
      <c r="T73" s="180"/>
      <c r="U73" s="180"/>
      <c r="V73" s="180"/>
      <c r="W73" s="180"/>
      <c r="X73" s="180"/>
      <c r="Y73" s="180"/>
      <c r="Z73" s="180"/>
      <c r="AA73" s="180"/>
      <c r="AB73" s="180"/>
      <c r="AC73" s="180"/>
      <c r="AD73" s="180"/>
      <c r="AE73" s="180"/>
      <c r="AF73" s="180"/>
      <c r="AG73" s="180"/>
      <c r="AH73" s="205"/>
    </row>
    <row r="74" spans="5:40" ht="13" thickBot="1" x14ac:dyDescent="0.3">
      <c r="E74" s="185" t="s">
        <v>23</v>
      </c>
      <c r="F74" s="186">
        <v>26</v>
      </c>
      <c r="G74" s="202">
        <v>33.255541440000002</v>
      </c>
      <c r="H74" s="180">
        <v>420</v>
      </c>
      <c r="I74" s="180">
        <v>118.8</v>
      </c>
      <c r="J74" s="180">
        <v>36</v>
      </c>
      <c r="K74" s="177">
        <v>191.96</v>
      </c>
      <c r="L74" s="177">
        <v>8.4700000000000006</v>
      </c>
      <c r="M74" s="191">
        <f t="shared" si="4"/>
        <v>22.966244866337377</v>
      </c>
      <c r="N74" s="184">
        <v>116.3</v>
      </c>
      <c r="O74" s="190"/>
      <c r="P74" s="190"/>
      <c r="Q74" s="180"/>
      <c r="R74" s="180"/>
      <c r="S74" s="180"/>
      <c r="T74" s="180"/>
      <c r="U74" s="180"/>
      <c r="V74" s="180"/>
      <c r="W74" s="180"/>
      <c r="X74" s="180"/>
      <c r="Y74" s="180"/>
      <c r="Z74" s="180"/>
      <c r="AA74" s="180"/>
      <c r="AB74" s="180"/>
      <c r="AC74" s="180"/>
      <c r="AD74" s="180"/>
      <c r="AE74" s="180"/>
      <c r="AF74" s="180"/>
      <c r="AG74" s="180"/>
      <c r="AH74" s="205"/>
    </row>
    <row r="75" spans="5:40" ht="13" x14ac:dyDescent="0.3">
      <c r="E75" s="147" t="s">
        <v>3</v>
      </c>
      <c r="F75" s="148"/>
      <c r="G75" s="148"/>
      <c r="H75" s="148"/>
      <c r="I75" s="148"/>
      <c r="J75" s="148"/>
      <c r="K75" s="148"/>
      <c r="L75" s="148"/>
      <c r="M75" s="148"/>
      <c r="N75" s="148">
        <f>SUM(N63:N74)</f>
        <v>2341.9</v>
      </c>
      <c r="O75" s="193">
        <f>16/24</f>
        <v>0.66666666666666663</v>
      </c>
      <c r="P75" s="193">
        <f>24/1000</f>
        <v>2.4E-2</v>
      </c>
      <c r="Q75" s="177">
        <v>3.59</v>
      </c>
      <c r="R75" s="177">
        <v>12.96</v>
      </c>
      <c r="S75" s="180">
        <f>N75</f>
        <v>2341.9</v>
      </c>
      <c r="T75" s="194">
        <f>O75*P75*Q75*R75*S75</f>
        <v>1743.3628185600001</v>
      </c>
      <c r="U75" s="180">
        <v>3.94</v>
      </c>
      <c r="V75" s="180">
        <v>12.96</v>
      </c>
      <c r="W75" s="180">
        <f>N75</f>
        <v>2341.9</v>
      </c>
      <c r="X75" s="194">
        <f>(O75*P75*U75*V75*W75)</f>
        <v>1913.32855296</v>
      </c>
      <c r="Y75" s="177">
        <v>2.13</v>
      </c>
      <c r="Z75" s="177">
        <v>41.904000000000003</v>
      </c>
      <c r="AA75" s="177">
        <f>N75</f>
        <v>2341.9</v>
      </c>
      <c r="AB75" s="195">
        <f>(O75*P75*Y75*Z75*AA75)</f>
        <v>3344.4400366080004</v>
      </c>
      <c r="AC75" s="196">
        <f>L359</f>
        <v>3539.5730206061371</v>
      </c>
      <c r="AD75" s="50">
        <f>T75+X75+AB75+AC75</f>
        <v>10540.704428734138</v>
      </c>
      <c r="AE75" s="180">
        <f>AD75*0.1</f>
        <v>1054.0704428734139</v>
      </c>
      <c r="AF75" s="197">
        <f>AD75+AE75</f>
        <v>11594.774871607551</v>
      </c>
      <c r="AG75" s="177">
        <v>3.1</v>
      </c>
      <c r="AH75" s="263">
        <f>ROUND((AF75/AG75),0)</f>
        <v>3740</v>
      </c>
      <c r="AI75" s="264">
        <v>26</v>
      </c>
      <c r="AJ75" s="265"/>
      <c r="AK75" s="265"/>
      <c r="AL75" s="295" t="s">
        <v>204</v>
      </c>
      <c r="AM75" s="296"/>
      <c r="AN75" s="297"/>
    </row>
    <row r="76" spans="5:40" ht="15.5" x14ac:dyDescent="0.4">
      <c r="E76" s="185" t="s">
        <v>0</v>
      </c>
      <c r="F76" s="187"/>
      <c r="G76" s="180"/>
      <c r="H76" s="180"/>
      <c r="I76" s="180"/>
      <c r="J76" s="180"/>
      <c r="K76" s="180"/>
      <c r="L76" s="180"/>
      <c r="M76" s="187"/>
      <c r="N76" s="180" t="s">
        <v>2</v>
      </c>
      <c r="O76" s="180"/>
      <c r="P76" s="180"/>
      <c r="Q76" s="180"/>
      <c r="R76" s="180"/>
      <c r="S76" s="180"/>
      <c r="T76" s="180"/>
      <c r="U76" s="180"/>
      <c r="V76" s="180"/>
      <c r="W76" s="180"/>
      <c r="X76" s="180"/>
      <c r="Y76" s="180"/>
      <c r="Z76" s="180"/>
      <c r="AA76" s="180"/>
      <c r="AB76" s="180"/>
      <c r="AC76" s="180"/>
      <c r="AD76" s="180"/>
      <c r="AE76" s="180"/>
      <c r="AF76" s="180"/>
      <c r="AG76" s="180"/>
      <c r="AH76" s="205"/>
      <c r="AL76" s="255" t="s">
        <v>195</v>
      </c>
      <c r="AM76" s="190" t="s">
        <v>196</v>
      </c>
      <c r="AN76" s="239" t="s">
        <v>201</v>
      </c>
    </row>
    <row r="77" spans="5:40" x14ac:dyDescent="0.25">
      <c r="E77" s="185" t="s">
        <v>15</v>
      </c>
      <c r="F77" s="186">
        <v>27</v>
      </c>
      <c r="G77" s="202">
        <v>34.400654639999999</v>
      </c>
      <c r="H77" s="180">
        <v>420</v>
      </c>
      <c r="I77" s="180">
        <v>118.8</v>
      </c>
      <c r="J77" s="180">
        <v>36</v>
      </c>
      <c r="K77" s="177">
        <v>191.96</v>
      </c>
      <c r="L77" s="177">
        <v>8.4700000000000006</v>
      </c>
      <c r="M77" s="191">
        <f>(F77-((G77+H77+I77+J77)/(K77+L77)))</f>
        <v>23.960531583894628</v>
      </c>
      <c r="N77" s="184">
        <v>64.8</v>
      </c>
      <c r="O77" s="180"/>
      <c r="P77" s="180"/>
      <c r="Q77" s="180"/>
      <c r="R77" s="180"/>
      <c r="S77" s="180"/>
      <c r="T77" s="180"/>
      <c r="U77" s="180"/>
      <c r="V77" s="180"/>
      <c r="W77" s="180"/>
      <c r="X77" s="180"/>
      <c r="Y77" s="180"/>
      <c r="Z77" s="180"/>
      <c r="AA77" s="180"/>
      <c r="AB77" s="180"/>
      <c r="AC77" s="180"/>
      <c r="AD77" s="180"/>
      <c r="AE77" s="180"/>
      <c r="AF77" s="180"/>
      <c r="AG77" s="180"/>
      <c r="AH77" s="205"/>
      <c r="AL77" s="255">
        <v>26</v>
      </c>
      <c r="AM77" s="190">
        <v>10</v>
      </c>
      <c r="AN77" s="239">
        <f>AM77/AM80</f>
        <v>0.5</v>
      </c>
    </row>
    <row r="78" spans="5:40" x14ac:dyDescent="0.25">
      <c r="E78" s="185" t="s">
        <v>16</v>
      </c>
      <c r="F78" s="186">
        <v>27</v>
      </c>
      <c r="G78" s="202">
        <v>37.843264800000007</v>
      </c>
      <c r="H78" s="180">
        <v>420</v>
      </c>
      <c r="I78" s="180">
        <v>118.8</v>
      </c>
      <c r="J78" s="180">
        <v>36</v>
      </c>
      <c r="K78" s="177">
        <v>191.96</v>
      </c>
      <c r="L78" s="177">
        <v>8.4700000000000006</v>
      </c>
      <c r="M78" s="191">
        <f t="shared" ref="M78:M88" si="5">(F78-((G78+H78+I78+J78)/(K78+L78)))</f>
        <v>23.943355461757221</v>
      </c>
      <c r="N78" s="184">
        <v>94.8</v>
      </c>
      <c r="O78" s="180"/>
      <c r="P78" s="180"/>
      <c r="Q78" s="180"/>
      <c r="R78" s="180"/>
      <c r="S78" s="180"/>
      <c r="T78" s="180"/>
      <c r="U78" s="180"/>
      <c r="V78" s="180"/>
      <c r="W78" s="180"/>
      <c r="X78" s="180"/>
      <c r="Y78" s="180"/>
      <c r="Z78" s="180"/>
      <c r="AA78" s="180"/>
      <c r="AB78" s="180"/>
      <c r="AC78" s="180"/>
      <c r="AD78" s="180"/>
      <c r="AE78" s="180"/>
      <c r="AF78" s="180"/>
      <c r="AG78" s="180"/>
      <c r="AH78" s="205"/>
      <c r="AL78" s="255">
        <v>27</v>
      </c>
      <c r="AM78" s="190">
        <v>8</v>
      </c>
      <c r="AN78" s="239">
        <f>AM78/AM80</f>
        <v>0.4</v>
      </c>
    </row>
    <row r="79" spans="5:40" x14ac:dyDescent="0.25">
      <c r="E79" s="185" t="s">
        <v>17</v>
      </c>
      <c r="F79" s="186">
        <v>27</v>
      </c>
      <c r="G79" s="202">
        <v>40.137126480000006</v>
      </c>
      <c r="H79" s="180">
        <v>420</v>
      </c>
      <c r="I79" s="180">
        <v>118.8</v>
      </c>
      <c r="J79" s="180">
        <v>36</v>
      </c>
      <c r="K79" s="177">
        <v>191.96</v>
      </c>
      <c r="L79" s="177">
        <v>8.4700000000000006</v>
      </c>
      <c r="M79" s="191">
        <f t="shared" si="5"/>
        <v>23.931910759467147</v>
      </c>
      <c r="N79" s="184">
        <v>171.1</v>
      </c>
      <c r="O79" s="180"/>
      <c r="P79" s="180"/>
      <c r="Q79" s="180"/>
      <c r="R79" s="180"/>
      <c r="S79" s="180"/>
      <c r="T79" s="180"/>
      <c r="U79" s="180"/>
      <c r="V79" s="180"/>
      <c r="W79" s="180"/>
      <c r="X79" s="180"/>
      <c r="Y79" s="180"/>
      <c r="Z79" s="180"/>
      <c r="AA79" s="180"/>
      <c r="AB79" s="180"/>
      <c r="AC79" s="180"/>
      <c r="AD79" s="180"/>
      <c r="AE79" s="180"/>
      <c r="AF79" s="180"/>
      <c r="AG79" s="180"/>
      <c r="AH79" s="205"/>
      <c r="AL79" s="255">
        <v>28</v>
      </c>
      <c r="AM79" s="190">
        <v>2</v>
      </c>
      <c r="AN79" s="239">
        <f>AM79/AM80</f>
        <v>0.1</v>
      </c>
    </row>
    <row r="80" spans="5:40" ht="13" thickBot="1" x14ac:dyDescent="0.3">
      <c r="E80" s="185" t="s">
        <v>18</v>
      </c>
      <c r="F80" s="186">
        <v>27</v>
      </c>
      <c r="G80" s="202">
        <v>44.721214560000007</v>
      </c>
      <c r="H80" s="180">
        <v>420</v>
      </c>
      <c r="I80" s="180">
        <v>118.8</v>
      </c>
      <c r="J80" s="180">
        <v>36</v>
      </c>
      <c r="K80" s="177">
        <v>191.96</v>
      </c>
      <c r="L80" s="177">
        <v>8.4700000000000006</v>
      </c>
      <c r="M80" s="191">
        <f t="shared" si="5"/>
        <v>23.909039492291573</v>
      </c>
      <c r="N80" s="184">
        <v>214.1</v>
      </c>
      <c r="O80" s="180"/>
      <c r="P80" s="180"/>
      <c r="Q80" s="180"/>
      <c r="R80" s="180"/>
      <c r="S80" s="180"/>
      <c r="T80" s="180"/>
      <c r="U80" s="180"/>
      <c r="V80" s="180"/>
      <c r="W80" s="180"/>
      <c r="X80" s="180"/>
      <c r="Y80" s="180"/>
      <c r="Z80" s="180"/>
      <c r="AA80" s="180"/>
      <c r="AB80" s="180"/>
      <c r="AC80" s="180"/>
      <c r="AD80" s="180"/>
      <c r="AE80" s="180"/>
      <c r="AF80" s="180"/>
      <c r="AG80" s="180"/>
      <c r="AH80" s="205"/>
      <c r="AL80" s="257"/>
      <c r="AM80" s="258">
        <f>AM77+AM78+AM79</f>
        <v>20</v>
      </c>
      <c r="AN80" s="259"/>
    </row>
    <row r="81" spans="5:40" x14ac:dyDescent="0.25">
      <c r="E81" s="185" t="s">
        <v>12</v>
      </c>
      <c r="F81" s="186">
        <v>27</v>
      </c>
      <c r="G81" s="202">
        <v>59.629497840000013</v>
      </c>
      <c r="H81" s="180">
        <v>420</v>
      </c>
      <c r="I81" s="180">
        <v>118.8</v>
      </c>
      <c r="J81" s="180">
        <v>36</v>
      </c>
      <c r="K81" s="177">
        <v>191.96</v>
      </c>
      <c r="L81" s="177">
        <v>8.4700000000000006</v>
      </c>
      <c r="M81" s="191">
        <f t="shared" si="5"/>
        <v>23.834657996108369</v>
      </c>
      <c r="N81" s="184">
        <v>264.60000000000002</v>
      </c>
      <c r="O81" s="180"/>
      <c r="P81" s="180"/>
      <c r="Q81" s="180"/>
      <c r="R81" s="180"/>
      <c r="S81" s="180"/>
      <c r="T81" s="180"/>
      <c r="U81" s="180"/>
      <c r="V81" s="180"/>
      <c r="W81" s="180"/>
      <c r="X81" s="180"/>
      <c r="Y81" s="180"/>
      <c r="Z81" s="180"/>
      <c r="AA81" s="180"/>
      <c r="AB81" s="180"/>
      <c r="AC81" s="180"/>
      <c r="AD81" s="180"/>
      <c r="AE81" s="180"/>
      <c r="AF81" s="180"/>
      <c r="AG81" s="180"/>
      <c r="AH81" s="205"/>
      <c r="AL81" s="267"/>
      <c r="AM81" s="267"/>
      <c r="AN81" s="268"/>
    </row>
    <row r="82" spans="5:40" x14ac:dyDescent="0.25">
      <c r="E82" s="185" t="s">
        <v>13</v>
      </c>
      <c r="F82" s="186">
        <v>27</v>
      </c>
      <c r="G82" s="202">
        <v>75.686529600000014</v>
      </c>
      <c r="H82" s="180">
        <v>420</v>
      </c>
      <c r="I82" s="180">
        <v>118.8</v>
      </c>
      <c r="J82" s="180">
        <v>36</v>
      </c>
      <c r="K82" s="177">
        <v>191.96</v>
      </c>
      <c r="L82" s="177">
        <v>8.4700000000000006</v>
      </c>
      <c r="M82" s="191">
        <f t="shared" si="5"/>
        <v>23.754545080077833</v>
      </c>
      <c r="N82" s="184">
        <v>210.7</v>
      </c>
      <c r="O82" s="180"/>
      <c r="P82" s="180"/>
      <c r="Q82" s="180"/>
      <c r="R82" s="180"/>
      <c r="S82" s="180"/>
      <c r="T82" s="180"/>
      <c r="U82" s="180"/>
      <c r="V82" s="180"/>
      <c r="W82" s="180"/>
      <c r="X82" s="180"/>
      <c r="Y82" s="180"/>
      <c r="Z82" s="180"/>
      <c r="AA82" s="180"/>
      <c r="AB82" s="180"/>
      <c r="AC82" s="180"/>
      <c r="AD82" s="180"/>
      <c r="AE82" s="180"/>
      <c r="AF82" s="180"/>
      <c r="AG82" s="180"/>
      <c r="AH82" s="205"/>
      <c r="AL82" s="202"/>
      <c r="AM82" s="202"/>
      <c r="AN82" s="209"/>
    </row>
    <row r="83" spans="5:40" x14ac:dyDescent="0.25">
      <c r="E83" s="185" t="s">
        <v>24</v>
      </c>
      <c r="F83" s="186">
        <v>27</v>
      </c>
      <c r="G83" s="202">
        <v>63.072108000000007</v>
      </c>
      <c r="H83" s="180">
        <v>420</v>
      </c>
      <c r="I83" s="180">
        <v>118.8</v>
      </c>
      <c r="J83" s="180">
        <v>36</v>
      </c>
      <c r="K83" s="177">
        <v>191.96</v>
      </c>
      <c r="L83" s="177">
        <v>8.4700000000000006</v>
      </c>
      <c r="M83" s="191">
        <f t="shared" si="5"/>
        <v>23.817481873970962</v>
      </c>
      <c r="N83" s="184">
        <v>207.9</v>
      </c>
      <c r="O83" s="190"/>
      <c r="P83" s="190"/>
      <c r="Q83" s="180"/>
      <c r="R83" s="180"/>
      <c r="S83" s="180"/>
      <c r="T83" s="180"/>
      <c r="U83" s="180"/>
      <c r="V83" s="180"/>
      <c r="W83" s="180"/>
      <c r="X83" s="180"/>
      <c r="Y83" s="180"/>
      <c r="Z83" s="180"/>
      <c r="AA83" s="180"/>
      <c r="AB83" s="180"/>
      <c r="AC83" s="180"/>
      <c r="AD83" s="180"/>
      <c r="AE83" s="180"/>
      <c r="AF83" s="180"/>
      <c r="AG83" s="180"/>
      <c r="AH83" s="205"/>
      <c r="AL83" s="202"/>
      <c r="AM83" s="202"/>
      <c r="AN83" s="209"/>
    </row>
    <row r="84" spans="5:40" x14ac:dyDescent="0.25">
      <c r="E84" s="185" t="s">
        <v>19</v>
      </c>
      <c r="F84" s="186">
        <v>27</v>
      </c>
      <c r="G84" s="202">
        <v>47.015076240000013</v>
      </c>
      <c r="H84" s="180">
        <v>420</v>
      </c>
      <c r="I84" s="180">
        <v>118.8</v>
      </c>
      <c r="J84" s="180">
        <v>36</v>
      </c>
      <c r="K84" s="177">
        <v>191.96</v>
      </c>
      <c r="L84" s="177">
        <v>8.4700000000000006</v>
      </c>
      <c r="M84" s="191">
        <f t="shared" si="5"/>
        <v>23.897594790001499</v>
      </c>
      <c r="N84" s="184">
        <v>199</v>
      </c>
      <c r="O84" s="190"/>
      <c r="P84" s="190"/>
      <c r="Q84" s="180"/>
      <c r="R84" s="180"/>
      <c r="S84" s="180"/>
      <c r="T84" s="180"/>
      <c r="U84" s="180"/>
      <c r="V84" s="180"/>
      <c r="W84" s="180"/>
      <c r="X84" s="180"/>
      <c r="Y84" s="180"/>
      <c r="Z84" s="180"/>
      <c r="AA84" s="180"/>
      <c r="AB84" s="180"/>
      <c r="AC84" s="180"/>
      <c r="AD84" s="180"/>
      <c r="AE84" s="180"/>
      <c r="AF84" s="180"/>
      <c r="AG84" s="180"/>
      <c r="AH84" s="205"/>
      <c r="AL84" s="202"/>
      <c r="AM84" s="202"/>
      <c r="AN84" s="209"/>
    </row>
    <row r="85" spans="5:40" x14ac:dyDescent="0.25">
      <c r="E85" s="185" t="s">
        <v>20</v>
      </c>
      <c r="F85" s="186">
        <v>27</v>
      </c>
      <c r="G85" s="202">
        <v>41.282239680000004</v>
      </c>
      <c r="H85" s="180">
        <v>420</v>
      </c>
      <c r="I85" s="180">
        <v>118.8</v>
      </c>
      <c r="J85" s="180">
        <v>36</v>
      </c>
      <c r="K85" s="177">
        <v>191.96</v>
      </c>
      <c r="L85" s="177">
        <v>8.4700000000000006</v>
      </c>
      <c r="M85" s="191">
        <f t="shared" si="5"/>
        <v>23.926197477024399</v>
      </c>
      <c r="N85" s="184">
        <v>198.1</v>
      </c>
      <c r="O85" s="190"/>
      <c r="P85" s="190"/>
      <c r="Q85" s="180"/>
      <c r="R85" s="180"/>
      <c r="S85" s="180"/>
      <c r="T85" s="180"/>
      <c r="U85" s="180"/>
      <c r="V85" s="180"/>
      <c r="W85" s="180"/>
      <c r="X85" s="180"/>
      <c r="Y85" s="180"/>
      <c r="Z85" s="180"/>
      <c r="AA85" s="180"/>
      <c r="AB85" s="180"/>
      <c r="AC85" s="180"/>
      <c r="AD85" s="180"/>
      <c r="AE85" s="180"/>
      <c r="AF85" s="180"/>
      <c r="AG85" s="180"/>
      <c r="AH85" s="205"/>
    </row>
    <row r="86" spans="5:40" x14ac:dyDescent="0.25">
      <c r="E86" s="185" t="s">
        <v>21</v>
      </c>
      <c r="F86" s="186">
        <v>27</v>
      </c>
      <c r="G86" s="202">
        <v>37.843264800000007</v>
      </c>
      <c r="H86" s="180">
        <v>420</v>
      </c>
      <c r="I86" s="180">
        <v>118.8</v>
      </c>
      <c r="J86" s="180">
        <v>36</v>
      </c>
      <c r="K86" s="177">
        <v>191.96</v>
      </c>
      <c r="L86" s="177">
        <v>8.4700000000000006</v>
      </c>
      <c r="M86" s="191">
        <f t="shared" si="5"/>
        <v>23.943355461757221</v>
      </c>
      <c r="N86" s="184">
        <v>167.7</v>
      </c>
      <c r="O86" s="190"/>
      <c r="P86" s="190"/>
      <c r="Q86" s="180"/>
      <c r="R86" s="180"/>
      <c r="S86" s="180"/>
      <c r="T86" s="180"/>
      <c r="U86" s="180"/>
      <c r="V86" s="180"/>
      <c r="W86" s="180"/>
      <c r="X86" s="180"/>
      <c r="Y86" s="180"/>
      <c r="Z86" s="180"/>
      <c r="AA86" s="180"/>
      <c r="AB86" s="180"/>
      <c r="AC86" s="180"/>
      <c r="AD86" s="180"/>
      <c r="AE86" s="180"/>
      <c r="AF86" s="180"/>
      <c r="AG86" s="180"/>
      <c r="AH86" s="205"/>
    </row>
    <row r="87" spans="5:40" x14ac:dyDescent="0.25">
      <c r="E87" s="185" t="s">
        <v>22</v>
      </c>
      <c r="F87" s="186">
        <v>27</v>
      </c>
      <c r="G87" s="202">
        <v>34.400654639999999</v>
      </c>
      <c r="H87" s="180">
        <v>420</v>
      </c>
      <c r="I87" s="180">
        <v>118.8</v>
      </c>
      <c r="J87" s="180">
        <v>36</v>
      </c>
      <c r="K87" s="177">
        <v>191.96</v>
      </c>
      <c r="L87" s="177">
        <v>8.4700000000000006</v>
      </c>
      <c r="M87" s="191">
        <f t="shared" si="5"/>
        <v>23.960531583894628</v>
      </c>
      <c r="N87" s="184">
        <v>103.5</v>
      </c>
      <c r="O87" s="190"/>
      <c r="P87" s="190"/>
      <c r="Q87" s="180"/>
      <c r="R87" s="180"/>
      <c r="S87" s="180"/>
      <c r="T87" s="180"/>
      <c r="U87" s="180"/>
      <c r="V87" s="180"/>
      <c r="W87" s="180"/>
      <c r="X87" s="180"/>
      <c r="Y87" s="180"/>
      <c r="Z87" s="180"/>
      <c r="AA87" s="180"/>
      <c r="AB87" s="180"/>
      <c r="AC87" s="180"/>
      <c r="AD87" s="180"/>
      <c r="AE87" s="180"/>
      <c r="AF87" s="180"/>
      <c r="AG87" s="180"/>
      <c r="AH87" s="205"/>
    </row>
    <row r="88" spans="5:40" x14ac:dyDescent="0.25">
      <c r="E88" s="185" t="s">
        <v>23</v>
      </c>
      <c r="F88" s="186">
        <v>27</v>
      </c>
      <c r="G88" s="202">
        <v>33.255541440000002</v>
      </c>
      <c r="H88" s="180">
        <v>420</v>
      </c>
      <c r="I88" s="180">
        <v>118.8</v>
      </c>
      <c r="J88" s="180">
        <v>36</v>
      </c>
      <c r="K88" s="177">
        <v>191.96</v>
      </c>
      <c r="L88" s="177">
        <v>8.4700000000000006</v>
      </c>
      <c r="M88" s="191">
        <f t="shared" si="5"/>
        <v>23.966244866337377</v>
      </c>
      <c r="N88" s="184">
        <v>85.6</v>
      </c>
      <c r="O88" s="190"/>
      <c r="P88" s="190"/>
      <c r="Q88" s="180"/>
      <c r="R88" s="180"/>
      <c r="S88" s="180"/>
      <c r="T88" s="180"/>
      <c r="U88" s="180"/>
      <c r="V88" s="180"/>
      <c r="W88" s="180"/>
      <c r="X88" s="180"/>
      <c r="Y88" s="180"/>
      <c r="Z88" s="180"/>
      <c r="AA88" s="180"/>
      <c r="AB88" s="180"/>
      <c r="AC88" s="180"/>
      <c r="AD88" s="180"/>
      <c r="AE88" s="180"/>
      <c r="AF88" s="180"/>
      <c r="AG88" s="180"/>
      <c r="AH88" s="205"/>
      <c r="AL88" s="209"/>
      <c r="AM88" s="209"/>
      <c r="AN88" s="209"/>
    </row>
    <row r="89" spans="5:40" ht="13" x14ac:dyDescent="0.3">
      <c r="E89" s="147" t="s">
        <v>3</v>
      </c>
      <c r="F89" s="148"/>
      <c r="G89" s="148"/>
      <c r="H89" s="148"/>
      <c r="I89" s="148"/>
      <c r="J89" s="148"/>
      <c r="K89" s="148"/>
      <c r="L89" s="148"/>
      <c r="M89" s="148"/>
      <c r="N89" s="193">
        <f>SUM(N77:N88)</f>
        <v>1981.8999999999999</v>
      </c>
      <c r="O89" s="193">
        <f>16/24</f>
        <v>0.66666666666666663</v>
      </c>
      <c r="P89" s="193">
        <f>24/1000</f>
        <v>2.4E-2</v>
      </c>
      <c r="Q89" s="177">
        <v>3.59</v>
      </c>
      <c r="R89" s="177">
        <v>12.96</v>
      </c>
      <c r="S89" s="180">
        <f>N89</f>
        <v>1981.8999999999999</v>
      </c>
      <c r="T89" s="194">
        <f>O89*P89*Q89*R89*S89</f>
        <v>1475.37075456</v>
      </c>
      <c r="U89" s="180">
        <v>3.94</v>
      </c>
      <c r="V89" s="180">
        <v>12.96</v>
      </c>
      <c r="W89" s="180">
        <f>N89</f>
        <v>1981.8999999999999</v>
      </c>
      <c r="X89" s="194">
        <f>(O89*P89*U89*V89*W89)</f>
        <v>1619.2091289599998</v>
      </c>
      <c r="Y89" s="177">
        <v>2.13</v>
      </c>
      <c r="Z89" s="177">
        <v>41.904000000000003</v>
      </c>
      <c r="AA89" s="177">
        <f>N89</f>
        <v>1981.8999999999999</v>
      </c>
      <c r="AB89" s="195">
        <f>(O89*P89*Y89*Z89*AA89)</f>
        <v>2830.3282414079999</v>
      </c>
      <c r="AC89" s="196">
        <f>L360</f>
        <v>3462.1523992770235</v>
      </c>
      <c r="AD89" s="50">
        <f>T89+X89+AB89+AC89</f>
        <v>9387.0605242050224</v>
      </c>
      <c r="AE89" s="180">
        <f>AD89*0.1</f>
        <v>938.70605242050226</v>
      </c>
      <c r="AF89" s="197">
        <f>AD89+AE89</f>
        <v>10325.766576625525</v>
      </c>
      <c r="AG89" s="177">
        <v>3.1</v>
      </c>
      <c r="AH89" s="263">
        <f>ROUND((AF89/AG89),0)</f>
        <v>3331</v>
      </c>
      <c r="AI89" s="264">
        <v>27</v>
      </c>
    </row>
    <row r="90" spans="5:40" ht="15.5" x14ac:dyDescent="0.4">
      <c r="E90" s="185" t="s">
        <v>0</v>
      </c>
      <c r="F90" s="187"/>
      <c r="G90" s="180"/>
      <c r="H90" s="180"/>
      <c r="I90" s="180"/>
      <c r="J90" s="180"/>
      <c r="K90" s="180"/>
      <c r="L90" s="180"/>
      <c r="M90" s="187"/>
      <c r="N90" s="180" t="s">
        <v>2</v>
      </c>
      <c r="O90" s="180"/>
      <c r="P90" s="180"/>
      <c r="Q90" s="180"/>
      <c r="R90" s="180"/>
      <c r="S90" s="180"/>
      <c r="T90" s="180"/>
      <c r="U90" s="180"/>
      <c r="V90" s="180"/>
      <c r="W90" s="180"/>
      <c r="X90" s="180"/>
      <c r="Y90" s="180"/>
      <c r="Z90" s="180"/>
      <c r="AA90" s="180"/>
      <c r="AB90" s="180"/>
      <c r="AC90" s="180"/>
      <c r="AD90" s="180"/>
      <c r="AE90" s="180"/>
      <c r="AF90" s="180"/>
      <c r="AG90" s="180"/>
      <c r="AH90" s="205"/>
    </row>
    <row r="91" spans="5:40" x14ac:dyDescent="0.25">
      <c r="E91" s="185" t="s">
        <v>15</v>
      </c>
      <c r="F91" s="186">
        <v>28</v>
      </c>
      <c r="G91" s="202">
        <v>34.400654639999999</v>
      </c>
      <c r="H91" s="180">
        <v>420</v>
      </c>
      <c r="I91" s="180">
        <v>118.8</v>
      </c>
      <c r="J91" s="180">
        <v>36</v>
      </c>
      <c r="K91" s="177">
        <v>191.96</v>
      </c>
      <c r="L91" s="177">
        <v>8.4700000000000006</v>
      </c>
      <c r="M91" s="191">
        <f>(F91-((G91+H91+I91+J91)/(K91+L91)))</f>
        <v>24.960531583894628</v>
      </c>
      <c r="N91" s="184">
        <v>42.6</v>
      </c>
      <c r="O91" s="180"/>
      <c r="P91" s="180"/>
      <c r="Q91" s="180"/>
      <c r="R91" s="180"/>
      <c r="S91" s="180"/>
      <c r="T91" s="180"/>
      <c r="U91" s="180"/>
      <c r="V91" s="180"/>
      <c r="W91" s="180"/>
      <c r="X91" s="180"/>
      <c r="Y91" s="180"/>
      <c r="Z91" s="180"/>
      <c r="AA91" s="180"/>
      <c r="AB91" s="180"/>
      <c r="AC91" s="180"/>
      <c r="AD91" s="180"/>
      <c r="AE91" s="180"/>
      <c r="AF91" s="180"/>
      <c r="AG91" s="180"/>
      <c r="AH91" s="205"/>
    </row>
    <row r="92" spans="5:40" x14ac:dyDescent="0.25">
      <c r="E92" s="185" t="s">
        <v>16</v>
      </c>
      <c r="F92" s="186">
        <v>28</v>
      </c>
      <c r="G92" s="202">
        <v>37.843264800000007</v>
      </c>
      <c r="H92" s="180">
        <v>420</v>
      </c>
      <c r="I92" s="180">
        <v>118.8</v>
      </c>
      <c r="J92" s="180">
        <v>36</v>
      </c>
      <c r="K92" s="177">
        <v>191.96</v>
      </c>
      <c r="L92" s="177">
        <v>8.4700000000000006</v>
      </c>
      <c r="M92" s="191">
        <f t="shared" ref="M92:M102" si="6">(F92-((G92+H92+I92+J92)/(K92+L92)))</f>
        <v>24.943355461757221</v>
      </c>
      <c r="N92" s="184">
        <v>71.5</v>
      </c>
      <c r="O92" s="180"/>
      <c r="P92" s="180"/>
      <c r="Q92" s="180"/>
      <c r="R92" s="180"/>
      <c r="S92" s="180"/>
      <c r="T92" s="180"/>
      <c r="U92" s="180"/>
      <c r="V92" s="180"/>
      <c r="W92" s="180"/>
      <c r="X92" s="180"/>
      <c r="Y92" s="180"/>
      <c r="Z92" s="180"/>
      <c r="AA92" s="180"/>
      <c r="AB92" s="180"/>
      <c r="AC92" s="180"/>
      <c r="AD92" s="180"/>
      <c r="AE92" s="180"/>
      <c r="AF92" s="180"/>
      <c r="AG92" s="180"/>
      <c r="AH92" s="205"/>
    </row>
    <row r="93" spans="5:40" x14ac:dyDescent="0.25">
      <c r="E93" s="185" t="s">
        <v>17</v>
      </c>
      <c r="F93" s="186">
        <v>28</v>
      </c>
      <c r="G93" s="202">
        <v>40.137126480000006</v>
      </c>
      <c r="H93" s="180">
        <v>420</v>
      </c>
      <c r="I93" s="180">
        <v>118.8</v>
      </c>
      <c r="J93" s="180">
        <v>36</v>
      </c>
      <c r="K93" s="177">
        <v>191.96</v>
      </c>
      <c r="L93" s="177">
        <v>8.4700000000000006</v>
      </c>
      <c r="M93" s="191">
        <f t="shared" si="6"/>
        <v>24.931910759467147</v>
      </c>
      <c r="N93" s="184">
        <v>140.5</v>
      </c>
      <c r="O93" s="180"/>
      <c r="P93" s="180"/>
      <c r="Q93" s="180"/>
      <c r="R93" s="180"/>
      <c r="S93" s="180"/>
      <c r="T93" s="180"/>
      <c r="U93" s="180"/>
      <c r="V93" s="180"/>
      <c r="W93" s="180"/>
      <c r="X93" s="180"/>
      <c r="Y93" s="180"/>
      <c r="Z93" s="180"/>
      <c r="AA93" s="180"/>
      <c r="AB93" s="180"/>
      <c r="AC93" s="180"/>
      <c r="AD93" s="180"/>
      <c r="AE93" s="180"/>
      <c r="AF93" s="180"/>
      <c r="AG93" s="180"/>
      <c r="AH93" s="205"/>
    </row>
    <row r="94" spans="5:40" x14ac:dyDescent="0.25">
      <c r="E94" s="185" t="s">
        <v>18</v>
      </c>
      <c r="F94" s="186">
        <v>28</v>
      </c>
      <c r="G94" s="202">
        <v>44.721214560000007</v>
      </c>
      <c r="H94" s="180">
        <v>420</v>
      </c>
      <c r="I94" s="180">
        <v>118.8</v>
      </c>
      <c r="J94" s="180">
        <v>36</v>
      </c>
      <c r="K94" s="177">
        <v>191.96</v>
      </c>
      <c r="L94" s="177">
        <v>8.4700000000000006</v>
      </c>
      <c r="M94" s="191">
        <f t="shared" si="6"/>
        <v>24.909039492291573</v>
      </c>
      <c r="N94" s="184">
        <v>184.1</v>
      </c>
      <c r="O94" s="180"/>
      <c r="P94" s="180"/>
      <c r="Q94" s="180"/>
      <c r="R94" s="180"/>
      <c r="S94" s="180"/>
      <c r="T94" s="180"/>
      <c r="U94" s="180"/>
      <c r="V94" s="180"/>
      <c r="W94" s="180"/>
      <c r="X94" s="180"/>
      <c r="Y94" s="180"/>
      <c r="Z94" s="180"/>
      <c r="AA94" s="180"/>
      <c r="AB94" s="180"/>
      <c r="AC94" s="180"/>
      <c r="AD94" s="180"/>
      <c r="AE94" s="180"/>
      <c r="AF94" s="180"/>
      <c r="AG94" s="180"/>
      <c r="AH94" s="205"/>
    </row>
    <row r="95" spans="5:40" x14ac:dyDescent="0.25">
      <c r="E95" s="185" t="s">
        <v>12</v>
      </c>
      <c r="F95" s="186">
        <v>28</v>
      </c>
      <c r="G95" s="202">
        <v>59.629497840000013</v>
      </c>
      <c r="H95" s="180">
        <v>420</v>
      </c>
      <c r="I95" s="180">
        <v>118.8</v>
      </c>
      <c r="J95" s="180">
        <v>36</v>
      </c>
      <c r="K95" s="177">
        <v>191.96</v>
      </c>
      <c r="L95" s="177">
        <v>8.4700000000000006</v>
      </c>
      <c r="M95" s="191">
        <f t="shared" si="6"/>
        <v>24.834657996108369</v>
      </c>
      <c r="N95" s="184">
        <v>233.6</v>
      </c>
      <c r="O95" s="180"/>
      <c r="P95" s="180"/>
      <c r="Q95" s="180"/>
      <c r="R95" s="180"/>
      <c r="S95" s="180"/>
      <c r="T95" s="180"/>
      <c r="U95" s="180"/>
      <c r="V95" s="180"/>
      <c r="W95" s="180"/>
      <c r="X95" s="180"/>
      <c r="Y95" s="180"/>
      <c r="Z95" s="180"/>
      <c r="AA95" s="180"/>
      <c r="AB95" s="180"/>
      <c r="AC95" s="180"/>
      <c r="AD95" s="180"/>
      <c r="AE95" s="180"/>
      <c r="AF95" s="180"/>
      <c r="AG95" s="180"/>
      <c r="AH95" s="205"/>
    </row>
    <row r="96" spans="5:40" x14ac:dyDescent="0.25">
      <c r="E96" s="185" t="s">
        <v>13</v>
      </c>
      <c r="F96" s="186">
        <v>28</v>
      </c>
      <c r="G96" s="202">
        <v>75.686529600000014</v>
      </c>
      <c r="H96" s="180">
        <v>420</v>
      </c>
      <c r="I96" s="180">
        <v>118.8</v>
      </c>
      <c r="J96" s="180">
        <v>36</v>
      </c>
      <c r="K96" s="177">
        <v>191.96</v>
      </c>
      <c r="L96" s="177">
        <v>8.4700000000000006</v>
      </c>
      <c r="M96" s="191">
        <f t="shared" si="6"/>
        <v>24.754545080077833</v>
      </c>
      <c r="N96" s="184">
        <v>180.7</v>
      </c>
      <c r="O96" s="180"/>
      <c r="P96" s="180"/>
      <c r="Q96" s="180"/>
      <c r="R96" s="180"/>
      <c r="S96" s="180"/>
      <c r="T96" s="180"/>
      <c r="U96" s="180"/>
      <c r="V96" s="180"/>
      <c r="W96" s="180"/>
      <c r="X96" s="180"/>
      <c r="Y96" s="180"/>
      <c r="Z96" s="180"/>
      <c r="AA96" s="180"/>
      <c r="AB96" s="180"/>
      <c r="AC96" s="180"/>
      <c r="AD96" s="180"/>
      <c r="AE96" s="180"/>
      <c r="AF96" s="180"/>
      <c r="AG96" s="180"/>
      <c r="AH96" s="205"/>
    </row>
    <row r="97" spans="2:37" x14ac:dyDescent="0.25">
      <c r="E97" s="185" t="s">
        <v>24</v>
      </c>
      <c r="F97" s="186">
        <v>28</v>
      </c>
      <c r="G97" s="202">
        <v>63.072108000000007</v>
      </c>
      <c r="H97" s="180">
        <v>420</v>
      </c>
      <c r="I97" s="180">
        <v>118.8</v>
      </c>
      <c r="J97" s="180">
        <v>36</v>
      </c>
      <c r="K97" s="177">
        <v>191.96</v>
      </c>
      <c r="L97" s="177">
        <v>8.4700000000000006</v>
      </c>
      <c r="M97" s="191">
        <f t="shared" si="6"/>
        <v>24.817481873970962</v>
      </c>
      <c r="N97" s="184">
        <v>177</v>
      </c>
      <c r="O97" s="50"/>
      <c r="P97" s="50"/>
      <c r="Q97" s="180"/>
      <c r="R97" s="180"/>
      <c r="S97" s="180"/>
      <c r="T97" s="180"/>
      <c r="U97" s="180"/>
      <c r="V97" s="180"/>
      <c r="W97" s="180"/>
      <c r="X97" s="180"/>
      <c r="Y97" s="180"/>
      <c r="Z97" s="180"/>
      <c r="AA97" s="180"/>
      <c r="AB97" s="180"/>
      <c r="AC97" s="180"/>
      <c r="AD97" s="180"/>
      <c r="AE97" s="180"/>
      <c r="AF97" s="180"/>
      <c r="AG97" s="180"/>
      <c r="AH97" s="205"/>
    </row>
    <row r="98" spans="2:37" x14ac:dyDescent="0.25">
      <c r="E98" s="185" t="s">
        <v>19</v>
      </c>
      <c r="F98" s="186">
        <v>28</v>
      </c>
      <c r="G98" s="202">
        <v>47.015076240000013</v>
      </c>
      <c r="H98" s="180">
        <v>420</v>
      </c>
      <c r="I98" s="180">
        <v>118.8</v>
      </c>
      <c r="J98" s="180">
        <v>36</v>
      </c>
      <c r="K98" s="177">
        <v>191.96</v>
      </c>
      <c r="L98" s="177">
        <v>8.4700000000000006</v>
      </c>
      <c r="M98" s="191">
        <f t="shared" si="6"/>
        <v>24.897594790001499</v>
      </c>
      <c r="N98" s="184">
        <v>168</v>
      </c>
      <c r="O98" s="50"/>
      <c r="P98" s="50"/>
      <c r="Q98" s="180"/>
      <c r="R98" s="180"/>
      <c r="S98" s="180"/>
      <c r="T98" s="180"/>
      <c r="U98" s="180"/>
      <c r="V98" s="180"/>
      <c r="W98" s="180"/>
      <c r="X98" s="180"/>
      <c r="Y98" s="180"/>
      <c r="Z98" s="180"/>
      <c r="AA98" s="180"/>
      <c r="AB98" s="180"/>
      <c r="AC98" s="180"/>
      <c r="AD98" s="180"/>
      <c r="AE98" s="180"/>
      <c r="AF98" s="180"/>
      <c r="AG98" s="180"/>
      <c r="AH98" s="205"/>
    </row>
    <row r="99" spans="2:37" x14ac:dyDescent="0.25">
      <c r="E99" s="185" t="s">
        <v>20</v>
      </c>
      <c r="F99" s="186">
        <v>28</v>
      </c>
      <c r="G99" s="202">
        <v>41.282239680000004</v>
      </c>
      <c r="H99" s="180">
        <v>420</v>
      </c>
      <c r="I99" s="180">
        <v>118.8</v>
      </c>
      <c r="J99" s="180">
        <v>36</v>
      </c>
      <c r="K99" s="177">
        <v>191.96</v>
      </c>
      <c r="L99" s="177">
        <v>8.4700000000000006</v>
      </c>
      <c r="M99" s="191">
        <f t="shared" si="6"/>
        <v>24.926197477024399</v>
      </c>
      <c r="N99" s="184">
        <v>168.3</v>
      </c>
      <c r="O99" s="50"/>
      <c r="P99" s="50"/>
      <c r="Q99" s="180"/>
      <c r="R99" s="180"/>
      <c r="S99" s="180"/>
      <c r="T99" s="180"/>
      <c r="U99" s="180"/>
      <c r="V99" s="180"/>
      <c r="W99" s="180"/>
      <c r="X99" s="180"/>
      <c r="Y99" s="180"/>
      <c r="Z99" s="180"/>
      <c r="AA99" s="180"/>
      <c r="AB99" s="180"/>
      <c r="AC99" s="180"/>
      <c r="AD99" s="180"/>
      <c r="AE99" s="180"/>
      <c r="AF99" s="180"/>
      <c r="AG99" s="180"/>
      <c r="AH99" s="205"/>
    </row>
    <row r="100" spans="2:37" x14ac:dyDescent="0.25">
      <c r="E100" s="185" t="s">
        <v>21</v>
      </c>
      <c r="F100" s="186">
        <v>28</v>
      </c>
      <c r="G100" s="202">
        <v>37.843264800000007</v>
      </c>
      <c r="H100" s="180">
        <v>420</v>
      </c>
      <c r="I100" s="180">
        <v>118.8</v>
      </c>
      <c r="J100" s="180">
        <v>36</v>
      </c>
      <c r="K100" s="177">
        <v>191.96</v>
      </c>
      <c r="L100" s="177">
        <v>8.4700000000000006</v>
      </c>
      <c r="M100" s="191">
        <f t="shared" si="6"/>
        <v>24.943355461757221</v>
      </c>
      <c r="N100" s="184">
        <v>136.9</v>
      </c>
      <c r="O100" s="50"/>
      <c r="P100" s="50"/>
      <c r="Q100" s="180"/>
      <c r="R100" s="180"/>
      <c r="S100" s="180"/>
      <c r="T100" s="180"/>
      <c r="U100" s="180"/>
      <c r="V100" s="180"/>
      <c r="W100" s="180"/>
      <c r="X100" s="180"/>
      <c r="Y100" s="180"/>
      <c r="Z100" s="180"/>
      <c r="AA100" s="180"/>
      <c r="AB100" s="180"/>
      <c r="AC100" s="180"/>
      <c r="AD100" s="180"/>
      <c r="AE100" s="180"/>
      <c r="AF100" s="180"/>
      <c r="AG100" s="180"/>
      <c r="AH100" s="205"/>
    </row>
    <row r="101" spans="2:37" x14ac:dyDescent="0.25">
      <c r="E101" s="185" t="s">
        <v>22</v>
      </c>
      <c r="F101" s="186">
        <v>28</v>
      </c>
      <c r="G101" s="202">
        <v>34.400654639999999</v>
      </c>
      <c r="H101" s="180">
        <v>420</v>
      </c>
      <c r="I101" s="180">
        <v>118.8</v>
      </c>
      <c r="J101" s="180">
        <v>36</v>
      </c>
      <c r="K101" s="177">
        <v>191.96</v>
      </c>
      <c r="L101" s="177">
        <v>8.4700000000000006</v>
      </c>
      <c r="M101" s="191">
        <f t="shared" si="6"/>
        <v>24.960531583894628</v>
      </c>
      <c r="N101" s="184">
        <v>75.599999999999994</v>
      </c>
      <c r="O101" s="50"/>
      <c r="P101" s="50"/>
      <c r="Q101" s="269"/>
      <c r="R101" s="269"/>
      <c r="S101" s="269"/>
      <c r="T101" s="180"/>
      <c r="U101" s="269"/>
      <c r="V101" s="269"/>
      <c r="W101" s="269"/>
      <c r="X101" s="180"/>
      <c r="Y101" s="269"/>
      <c r="Z101" s="269"/>
      <c r="AA101" s="269"/>
      <c r="AB101" s="180"/>
      <c r="AC101" s="269"/>
      <c r="AD101" s="269"/>
      <c r="AE101" s="269"/>
      <c r="AF101" s="269"/>
      <c r="AG101" s="269"/>
      <c r="AH101" s="270"/>
    </row>
    <row r="102" spans="2:37" x14ac:dyDescent="0.25">
      <c r="E102" s="185" t="s">
        <v>23</v>
      </c>
      <c r="F102" s="186">
        <v>28</v>
      </c>
      <c r="G102" s="202">
        <v>33.255541440000002</v>
      </c>
      <c r="H102" s="180">
        <v>420</v>
      </c>
      <c r="I102" s="180">
        <v>118.8</v>
      </c>
      <c r="J102" s="180">
        <v>36</v>
      </c>
      <c r="K102" s="177">
        <v>191.96</v>
      </c>
      <c r="L102" s="177">
        <v>8.4700000000000006</v>
      </c>
      <c r="M102" s="191">
        <f t="shared" si="6"/>
        <v>24.966244866337377</v>
      </c>
      <c r="N102" s="184">
        <v>57.7</v>
      </c>
      <c r="O102" s="50"/>
      <c r="P102" s="50"/>
      <c r="Q102" s="269"/>
      <c r="R102" s="269"/>
      <c r="S102" s="269"/>
      <c r="T102" s="180"/>
      <c r="U102" s="269"/>
      <c r="V102" s="269"/>
      <c r="W102" s="269"/>
      <c r="X102" s="180"/>
      <c r="Y102" s="269"/>
      <c r="Z102" s="269"/>
      <c r="AA102" s="269"/>
      <c r="AB102" s="180"/>
      <c r="AC102" s="269"/>
      <c r="AD102" s="269"/>
      <c r="AE102" s="269"/>
      <c r="AF102" s="269"/>
      <c r="AG102" s="269"/>
      <c r="AH102" s="270"/>
    </row>
    <row r="103" spans="2:37" ht="13.5" thickBot="1" x14ac:dyDescent="0.35">
      <c r="E103" s="271" t="s">
        <v>3</v>
      </c>
      <c r="F103" s="397"/>
      <c r="G103" s="398"/>
      <c r="H103" s="398"/>
      <c r="I103" s="398"/>
      <c r="J103" s="398"/>
      <c r="K103" s="398"/>
      <c r="L103" s="398"/>
      <c r="M103" s="399"/>
      <c r="N103" s="272">
        <f>SUM(N91:N102)</f>
        <v>1636.5</v>
      </c>
      <c r="O103" s="273">
        <f>16/24</f>
        <v>0.66666666666666663</v>
      </c>
      <c r="P103" s="273">
        <f>24/1000</f>
        <v>2.4E-2</v>
      </c>
      <c r="Q103" s="274">
        <v>3.59</v>
      </c>
      <c r="R103" s="274">
        <v>12.96</v>
      </c>
      <c r="S103" s="269">
        <f>N103</f>
        <v>1636.5</v>
      </c>
      <c r="T103" s="275">
        <f>O103*P103*Q103*R103*S103</f>
        <v>1218.2472576</v>
      </c>
      <c r="U103" s="269">
        <v>3.94</v>
      </c>
      <c r="V103" s="269">
        <v>12.96</v>
      </c>
      <c r="W103" s="269">
        <f>N103</f>
        <v>1636.5</v>
      </c>
      <c r="X103" s="275">
        <f>(O103*P103*U103*V103*W103)</f>
        <v>1337.0178816</v>
      </c>
      <c r="Y103" s="274">
        <v>2.13</v>
      </c>
      <c r="Z103" s="274">
        <v>41.904000000000003</v>
      </c>
      <c r="AA103" s="274">
        <f>N103</f>
        <v>1636.5</v>
      </c>
      <c r="AB103" s="276">
        <f>(O103*P103*Y103*Z103*AA103)</f>
        <v>2337.06653568</v>
      </c>
      <c r="AC103" s="277">
        <f>L361</f>
        <v>3384.7317779479099</v>
      </c>
      <c r="AD103" s="278">
        <f>T103+X103+AB103+AC103</f>
        <v>8277.0634528279097</v>
      </c>
      <c r="AE103" s="269">
        <f>AD103*0.1</f>
        <v>827.70634528279106</v>
      </c>
      <c r="AF103" s="279">
        <f>AD103+AE103</f>
        <v>9104.7697981107012</v>
      </c>
      <c r="AG103" s="274">
        <v>3.1</v>
      </c>
      <c r="AH103" s="280">
        <f>ROUND((AF103/AG103),0)</f>
        <v>2937</v>
      </c>
      <c r="AI103" s="264">
        <v>28</v>
      </c>
      <c r="AJ103" s="265"/>
      <c r="AK103" s="265"/>
    </row>
    <row r="104" spans="2:37" ht="13.5" thickBot="1" x14ac:dyDescent="0.35">
      <c r="E104" s="388" t="s">
        <v>213</v>
      </c>
      <c r="F104" s="389"/>
      <c r="G104" s="389"/>
      <c r="H104" s="389"/>
      <c r="I104" s="389"/>
      <c r="J104" s="389"/>
      <c r="K104" s="389"/>
      <c r="L104" s="389"/>
      <c r="M104" s="389"/>
      <c r="N104" s="389"/>
      <c r="O104" s="389"/>
      <c r="P104" s="389"/>
      <c r="Q104" s="389"/>
      <c r="R104" s="389"/>
      <c r="S104" s="389"/>
      <c r="T104" s="389"/>
      <c r="U104" s="389"/>
      <c r="V104" s="389"/>
      <c r="W104" s="389"/>
      <c r="X104" s="389"/>
      <c r="Y104" s="389"/>
      <c r="Z104" s="389"/>
      <c r="AA104" s="389"/>
      <c r="AB104" s="389"/>
      <c r="AC104" s="389"/>
      <c r="AD104" s="389"/>
      <c r="AE104" s="389"/>
      <c r="AF104" s="389"/>
      <c r="AG104" s="389"/>
      <c r="AH104" s="281">
        <f>ROUND((AH75*AN77+AH89*AN78+AH103*AN79),0)</f>
        <v>3496</v>
      </c>
    </row>
    <row r="106" spans="2:37" ht="13" thickBot="1" x14ac:dyDescent="0.3"/>
    <row r="107" spans="2:37" ht="15" x14ac:dyDescent="0.4">
      <c r="B107" s="390" t="s">
        <v>83</v>
      </c>
      <c r="C107" s="391"/>
      <c r="E107" s="295" t="s">
        <v>59</v>
      </c>
      <c r="F107" s="296"/>
      <c r="G107" s="296"/>
      <c r="H107" s="296"/>
      <c r="I107" s="296"/>
      <c r="J107" s="296"/>
      <c r="K107" s="296"/>
      <c r="L107" s="296"/>
      <c r="M107" s="296"/>
      <c r="N107" s="296"/>
      <c r="O107" s="296"/>
      <c r="P107" s="296"/>
      <c r="Q107" s="296"/>
      <c r="R107" s="297"/>
    </row>
    <row r="108" spans="2:37" ht="15" x14ac:dyDescent="0.4">
      <c r="B108" s="392"/>
      <c r="C108" s="393"/>
      <c r="E108" s="379" t="s">
        <v>132</v>
      </c>
      <c r="F108" s="380"/>
      <c r="G108" s="380"/>
      <c r="H108" s="380"/>
      <c r="I108" s="380"/>
      <c r="J108" s="380"/>
      <c r="K108" s="380"/>
      <c r="L108" s="380"/>
      <c r="M108" s="380"/>
      <c r="N108" s="380"/>
      <c r="O108" s="380"/>
      <c r="P108" s="380"/>
      <c r="Q108" s="380"/>
      <c r="R108" s="381"/>
    </row>
    <row r="109" spans="2:37" ht="21.65" customHeight="1" x14ac:dyDescent="0.25">
      <c r="B109" s="255" t="s">
        <v>57</v>
      </c>
      <c r="C109" s="282" t="s">
        <v>34</v>
      </c>
      <c r="E109" s="216" t="s">
        <v>0</v>
      </c>
      <c r="F109" s="217" t="s">
        <v>37</v>
      </c>
      <c r="G109" s="217" t="s">
        <v>36</v>
      </c>
      <c r="H109" s="217" t="s">
        <v>35</v>
      </c>
      <c r="I109" s="217" t="s">
        <v>47</v>
      </c>
      <c r="J109" s="179" t="s">
        <v>56</v>
      </c>
      <c r="K109" s="179" t="s">
        <v>50</v>
      </c>
      <c r="L109" s="179" t="s">
        <v>51</v>
      </c>
      <c r="M109" s="179" t="s">
        <v>48</v>
      </c>
      <c r="N109" s="179" t="s">
        <v>52</v>
      </c>
      <c r="O109" s="218" t="s">
        <v>53</v>
      </c>
      <c r="P109" s="218" t="s">
        <v>54</v>
      </c>
      <c r="Q109" s="218" t="s">
        <v>49</v>
      </c>
      <c r="R109" s="219" t="s">
        <v>55</v>
      </c>
    </row>
    <row r="110" spans="2:37" ht="15.65" customHeight="1" x14ac:dyDescent="0.25">
      <c r="B110" s="255" t="s">
        <v>65</v>
      </c>
      <c r="C110" s="282">
        <v>1</v>
      </c>
      <c r="E110" s="185" t="s">
        <v>15</v>
      </c>
      <c r="F110" s="220">
        <v>30.2</v>
      </c>
      <c r="G110" s="220">
        <v>7.9</v>
      </c>
      <c r="H110" s="220">
        <f>G110/2</f>
        <v>3.95</v>
      </c>
      <c r="I110" s="220">
        <f>F110-H110</f>
        <v>26.25</v>
      </c>
      <c r="J110" s="221">
        <f t="shared" ref="J110:J121" si="7">C$126</f>
        <v>1.75</v>
      </c>
      <c r="K110" s="181">
        <v>22</v>
      </c>
      <c r="L110" s="181">
        <f>25.5-K110</f>
        <v>3.5</v>
      </c>
      <c r="M110" s="181">
        <f>I110-29.4</f>
        <v>-3.1499999999999986</v>
      </c>
      <c r="N110" s="177">
        <f>J110+L110+M110</f>
        <v>2.1000000000000014</v>
      </c>
      <c r="O110" s="177">
        <v>3.75</v>
      </c>
      <c r="P110" s="177">
        <v>1.296</v>
      </c>
      <c r="Q110" s="177">
        <f>31*16</f>
        <v>496</v>
      </c>
      <c r="R110" s="222">
        <f>(N110*O110*P110*Q110)/1000</f>
        <v>5.0621760000000027</v>
      </c>
    </row>
    <row r="111" spans="2:37" ht="15" customHeight="1" x14ac:dyDescent="0.25">
      <c r="B111" s="255" t="s">
        <v>66</v>
      </c>
      <c r="C111" s="282">
        <v>1</v>
      </c>
      <c r="E111" s="185" t="s">
        <v>16</v>
      </c>
      <c r="F111" s="220">
        <v>32.200000000000003</v>
      </c>
      <c r="G111" s="220">
        <v>8.6999999999999993</v>
      </c>
      <c r="H111" s="220">
        <f t="shared" ref="H111:H121" si="8">G111/2</f>
        <v>4.3499999999999996</v>
      </c>
      <c r="I111" s="220">
        <f t="shared" ref="I111:I121" si="9">F111-H111</f>
        <v>27.85</v>
      </c>
      <c r="J111" s="181">
        <f t="shared" si="7"/>
        <v>1.75</v>
      </c>
      <c r="K111" s="181">
        <v>22</v>
      </c>
      <c r="L111" s="181">
        <f t="shared" ref="L111:L121" si="10">25.5-K111</f>
        <v>3.5</v>
      </c>
      <c r="M111" s="181">
        <f t="shared" ref="M111:M121" si="11">I111-29.4</f>
        <v>-1.5499999999999972</v>
      </c>
      <c r="N111" s="177">
        <f t="shared" ref="N111:N120" si="12">J111+L111+M111</f>
        <v>3.7000000000000028</v>
      </c>
      <c r="O111" s="177">
        <v>3.75</v>
      </c>
      <c r="P111" s="177">
        <v>1.296</v>
      </c>
      <c r="Q111" s="177">
        <f>28*16</f>
        <v>448</v>
      </c>
      <c r="R111" s="222">
        <f t="shared" ref="R111:R121" si="13">(N111*O111*P111*Q111)/1000</f>
        <v>8.0559360000000062</v>
      </c>
    </row>
    <row r="112" spans="2:37" ht="16" customHeight="1" x14ac:dyDescent="0.25">
      <c r="B112" s="255" t="s">
        <v>67</v>
      </c>
      <c r="C112" s="282">
        <v>0</v>
      </c>
      <c r="E112" s="185" t="s">
        <v>17</v>
      </c>
      <c r="F112" s="220">
        <v>34.9</v>
      </c>
      <c r="G112" s="220">
        <v>8.9</v>
      </c>
      <c r="H112" s="220">
        <f t="shared" si="8"/>
        <v>4.45</v>
      </c>
      <c r="I112" s="220">
        <f t="shared" si="9"/>
        <v>30.45</v>
      </c>
      <c r="J112" s="181">
        <f t="shared" si="7"/>
        <v>1.75</v>
      </c>
      <c r="K112" s="181">
        <v>22</v>
      </c>
      <c r="L112" s="181">
        <f t="shared" si="10"/>
        <v>3.5</v>
      </c>
      <c r="M112" s="181">
        <f t="shared" si="11"/>
        <v>1.0500000000000007</v>
      </c>
      <c r="N112" s="177">
        <f t="shared" si="12"/>
        <v>6.3000000000000007</v>
      </c>
      <c r="O112" s="177">
        <v>3.75</v>
      </c>
      <c r="P112" s="177">
        <v>1.296</v>
      </c>
      <c r="Q112" s="177">
        <f>31*16</f>
        <v>496</v>
      </c>
      <c r="R112" s="222">
        <f t="shared" si="13"/>
        <v>15.186528000000003</v>
      </c>
    </row>
    <row r="113" spans="2:18" ht="16" customHeight="1" x14ac:dyDescent="0.25">
      <c r="B113" s="255" t="s">
        <v>68</v>
      </c>
      <c r="C113" s="282">
        <v>-1</v>
      </c>
      <c r="E113" s="185" t="s">
        <v>18</v>
      </c>
      <c r="F113" s="220">
        <v>36.799999999999997</v>
      </c>
      <c r="G113" s="220">
        <v>8.1999999999999993</v>
      </c>
      <c r="H113" s="220">
        <f t="shared" si="8"/>
        <v>4.0999999999999996</v>
      </c>
      <c r="I113" s="220">
        <f t="shared" si="9"/>
        <v>32.699999999999996</v>
      </c>
      <c r="J113" s="181">
        <f t="shared" si="7"/>
        <v>1.75</v>
      </c>
      <c r="K113" s="181">
        <v>22</v>
      </c>
      <c r="L113" s="181">
        <f t="shared" si="10"/>
        <v>3.5</v>
      </c>
      <c r="M113" s="181">
        <f t="shared" si="11"/>
        <v>3.2999999999999972</v>
      </c>
      <c r="N113" s="177">
        <f t="shared" si="12"/>
        <v>8.5499999999999972</v>
      </c>
      <c r="O113" s="177">
        <v>3.75</v>
      </c>
      <c r="P113" s="177">
        <v>1.296</v>
      </c>
      <c r="Q113" s="177">
        <f>30*16</f>
        <v>480</v>
      </c>
      <c r="R113" s="222">
        <f t="shared" si="13"/>
        <v>19.945439999999991</v>
      </c>
    </row>
    <row r="114" spans="2:18" ht="16" customHeight="1" x14ac:dyDescent="0.25">
      <c r="B114" s="255" t="s">
        <v>69</v>
      </c>
      <c r="C114" s="282">
        <v>-1</v>
      </c>
      <c r="E114" s="185" t="s">
        <v>12</v>
      </c>
      <c r="F114" s="220">
        <v>39.799999999999997</v>
      </c>
      <c r="G114" s="220">
        <v>9.1999999999999993</v>
      </c>
      <c r="H114" s="220">
        <f t="shared" si="8"/>
        <v>4.5999999999999996</v>
      </c>
      <c r="I114" s="220">
        <f t="shared" si="9"/>
        <v>35.199999999999996</v>
      </c>
      <c r="J114" s="181">
        <f t="shared" si="7"/>
        <v>1.75</v>
      </c>
      <c r="K114" s="181">
        <v>22</v>
      </c>
      <c r="L114" s="181">
        <f t="shared" si="10"/>
        <v>3.5</v>
      </c>
      <c r="M114" s="181">
        <f t="shared" si="11"/>
        <v>5.7999999999999972</v>
      </c>
      <c r="N114" s="177">
        <f t="shared" si="12"/>
        <v>11.049999999999997</v>
      </c>
      <c r="O114" s="177">
        <v>3.75</v>
      </c>
      <c r="P114" s="177">
        <v>1.296</v>
      </c>
      <c r="Q114" s="177">
        <f>31*16</f>
        <v>496</v>
      </c>
      <c r="R114" s="222">
        <f t="shared" si="13"/>
        <v>26.636687999999992</v>
      </c>
    </row>
    <row r="115" spans="2:18" ht="15" customHeight="1" x14ac:dyDescent="0.25">
      <c r="B115" s="255" t="s">
        <v>70</v>
      </c>
      <c r="C115" s="282">
        <v>-1</v>
      </c>
      <c r="E115" s="185" t="s">
        <v>13</v>
      </c>
      <c r="F115" s="220">
        <v>38.4</v>
      </c>
      <c r="G115" s="220">
        <v>8.8000000000000007</v>
      </c>
      <c r="H115" s="220">
        <f t="shared" si="8"/>
        <v>4.4000000000000004</v>
      </c>
      <c r="I115" s="220">
        <f t="shared" si="9"/>
        <v>34</v>
      </c>
      <c r="J115" s="181">
        <f t="shared" si="7"/>
        <v>1.75</v>
      </c>
      <c r="K115" s="181">
        <v>22</v>
      </c>
      <c r="L115" s="181">
        <f t="shared" si="10"/>
        <v>3.5</v>
      </c>
      <c r="M115" s="181">
        <f t="shared" si="11"/>
        <v>4.6000000000000014</v>
      </c>
      <c r="N115" s="177">
        <f t="shared" si="12"/>
        <v>9.8500000000000014</v>
      </c>
      <c r="O115" s="177">
        <v>3.75</v>
      </c>
      <c r="P115" s="177">
        <v>1.296</v>
      </c>
      <c r="Q115" s="177">
        <f>30*16</f>
        <v>480</v>
      </c>
      <c r="R115" s="222">
        <f t="shared" si="13"/>
        <v>22.978080000000006</v>
      </c>
    </row>
    <row r="116" spans="2:18" ht="15.65" customHeight="1" x14ac:dyDescent="0.25">
      <c r="B116" s="214" t="s">
        <v>38</v>
      </c>
      <c r="C116" s="215">
        <v>-1</v>
      </c>
      <c r="E116" s="185" t="s">
        <v>24</v>
      </c>
      <c r="F116" s="223">
        <v>37</v>
      </c>
      <c r="G116" s="223">
        <v>8.1</v>
      </c>
      <c r="H116" s="220">
        <f t="shared" si="8"/>
        <v>4.05</v>
      </c>
      <c r="I116" s="220">
        <f t="shared" si="9"/>
        <v>32.950000000000003</v>
      </c>
      <c r="J116" s="181">
        <f t="shared" si="7"/>
        <v>1.75</v>
      </c>
      <c r="K116" s="181">
        <v>22</v>
      </c>
      <c r="L116" s="181">
        <f t="shared" si="10"/>
        <v>3.5</v>
      </c>
      <c r="M116" s="181">
        <f t="shared" si="11"/>
        <v>3.5500000000000043</v>
      </c>
      <c r="N116" s="177">
        <f t="shared" si="12"/>
        <v>8.8000000000000043</v>
      </c>
      <c r="O116" s="177">
        <v>3.75</v>
      </c>
      <c r="P116" s="177">
        <v>1.296</v>
      </c>
      <c r="Q116" s="177">
        <f>31*16</f>
        <v>496</v>
      </c>
      <c r="R116" s="222">
        <f t="shared" si="13"/>
        <v>21.212928000000012</v>
      </c>
    </row>
    <row r="117" spans="2:18" ht="15.65" customHeight="1" x14ac:dyDescent="0.25">
      <c r="B117" s="214" t="s">
        <v>39</v>
      </c>
      <c r="C117" s="215">
        <v>-1</v>
      </c>
      <c r="E117" s="185" t="s">
        <v>19</v>
      </c>
      <c r="F117" s="223">
        <v>35.9</v>
      </c>
      <c r="G117" s="223">
        <v>7.9</v>
      </c>
      <c r="H117" s="220">
        <f t="shared" si="8"/>
        <v>3.95</v>
      </c>
      <c r="I117" s="220">
        <f t="shared" si="9"/>
        <v>31.95</v>
      </c>
      <c r="J117" s="181">
        <f t="shared" si="7"/>
        <v>1.75</v>
      </c>
      <c r="K117" s="181">
        <v>22</v>
      </c>
      <c r="L117" s="181">
        <f t="shared" si="10"/>
        <v>3.5</v>
      </c>
      <c r="M117" s="181">
        <f t="shared" si="11"/>
        <v>2.5500000000000007</v>
      </c>
      <c r="N117" s="177">
        <f t="shared" si="12"/>
        <v>7.8000000000000007</v>
      </c>
      <c r="O117" s="177">
        <v>3.75</v>
      </c>
      <c r="P117" s="177">
        <v>1.296</v>
      </c>
      <c r="Q117" s="177">
        <f>31*16</f>
        <v>496</v>
      </c>
      <c r="R117" s="222">
        <f t="shared" si="13"/>
        <v>18.802368000000005</v>
      </c>
    </row>
    <row r="118" spans="2:18" ht="15" customHeight="1" x14ac:dyDescent="0.25">
      <c r="B118" s="214" t="s">
        <v>40</v>
      </c>
      <c r="C118" s="215">
        <v>0</v>
      </c>
      <c r="E118" s="185" t="s">
        <v>20</v>
      </c>
      <c r="F118" s="223">
        <v>35</v>
      </c>
      <c r="G118" s="223">
        <v>7.7</v>
      </c>
      <c r="H118" s="220">
        <f t="shared" si="8"/>
        <v>3.85</v>
      </c>
      <c r="I118" s="220">
        <f t="shared" si="9"/>
        <v>31.15</v>
      </c>
      <c r="J118" s="181">
        <f t="shared" si="7"/>
        <v>1.75</v>
      </c>
      <c r="K118" s="181">
        <v>22</v>
      </c>
      <c r="L118" s="181">
        <f t="shared" si="10"/>
        <v>3.5</v>
      </c>
      <c r="M118" s="181">
        <f t="shared" si="11"/>
        <v>1.75</v>
      </c>
      <c r="N118" s="177">
        <f t="shared" si="12"/>
        <v>7</v>
      </c>
      <c r="O118" s="177">
        <v>3.75</v>
      </c>
      <c r="P118" s="177">
        <v>1.296</v>
      </c>
      <c r="Q118" s="177">
        <f>30*16</f>
        <v>480</v>
      </c>
      <c r="R118" s="222">
        <f t="shared" si="13"/>
        <v>16.329600000000003</v>
      </c>
    </row>
    <row r="119" spans="2:18" ht="16.5" customHeight="1" x14ac:dyDescent="0.25">
      <c r="B119" s="214" t="s">
        <v>41</v>
      </c>
      <c r="C119" s="215">
        <v>7</v>
      </c>
      <c r="E119" s="185" t="s">
        <v>21</v>
      </c>
      <c r="F119" s="223">
        <v>34</v>
      </c>
      <c r="G119" s="223">
        <v>6.7</v>
      </c>
      <c r="H119" s="220">
        <f t="shared" si="8"/>
        <v>3.35</v>
      </c>
      <c r="I119" s="220">
        <f t="shared" si="9"/>
        <v>30.65</v>
      </c>
      <c r="J119" s="181">
        <f t="shared" si="7"/>
        <v>1.75</v>
      </c>
      <c r="K119" s="181">
        <v>22</v>
      </c>
      <c r="L119" s="181">
        <f t="shared" si="10"/>
        <v>3.5</v>
      </c>
      <c r="M119" s="181">
        <f t="shared" si="11"/>
        <v>1.25</v>
      </c>
      <c r="N119" s="177">
        <f t="shared" si="12"/>
        <v>6.5</v>
      </c>
      <c r="O119" s="177">
        <v>3.75</v>
      </c>
      <c r="P119" s="177">
        <v>1.296</v>
      </c>
      <c r="Q119" s="177">
        <f>31*16</f>
        <v>496</v>
      </c>
      <c r="R119" s="222">
        <f t="shared" si="13"/>
        <v>15.66864</v>
      </c>
    </row>
    <row r="120" spans="2:18" ht="14.5" customHeight="1" x14ac:dyDescent="0.25">
      <c r="B120" s="214" t="s">
        <v>42</v>
      </c>
      <c r="C120" s="215">
        <v>7</v>
      </c>
      <c r="E120" s="185" t="s">
        <v>22</v>
      </c>
      <c r="F120" s="223">
        <v>31.2</v>
      </c>
      <c r="G120" s="223">
        <v>6.1</v>
      </c>
      <c r="H120" s="220">
        <f t="shared" si="8"/>
        <v>3.05</v>
      </c>
      <c r="I120" s="220">
        <f t="shared" si="9"/>
        <v>28.15</v>
      </c>
      <c r="J120" s="181">
        <f t="shared" si="7"/>
        <v>1.75</v>
      </c>
      <c r="K120" s="181">
        <v>22</v>
      </c>
      <c r="L120" s="181">
        <f t="shared" si="10"/>
        <v>3.5</v>
      </c>
      <c r="M120" s="181">
        <f t="shared" si="11"/>
        <v>-1.25</v>
      </c>
      <c r="N120" s="177">
        <f t="shared" si="12"/>
        <v>4</v>
      </c>
      <c r="O120" s="177">
        <v>3.75</v>
      </c>
      <c r="P120" s="177">
        <v>1.296</v>
      </c>
      <c r="Q120" s="177">
        <f>30*16</f>
        <v>480</v>
      </c>
      <c r="R120" s="222">
        <f t="shared" si="13"/>
        <v>9.3312000000000008</v>
      </c>
    </row>
    <row r="121" spans="2:18" ht="14.5" customHeight="1" x14ac:dyDescent="0.25">
      <c r="B121" s="214" t="s">
        <v>43</v>
      </c>
      <c r="C121" s="215">
        <v>6</v>
      </c>
      <c r="E121" s="185" t="s">
        <v>23</v>
      </c>
      <c r="F121" s="223">
        <v>30.1</v>
      </c>
      <c r="G121" s="223">
        <v>6.7</v>
      </c>
      <c r="H121" s="220">
        <f t="shared" si="8"/>
        <v>3.35</v>
      </c>
      <c r="I121" s="220">
        <f t="shared" si="9"/>
        <v>26.75</v>
      </c>
      <c r="J121" s="181">
        <f t="shared" si="7"/>
        <v>1.75</v>
      </c>
      <c r="K121" s="181">
        <v>22</v>
      </c>
      <c r="L121" s="181">
        <f t="shared" si="10"/>
        <v>3.5</v>
      </c>
      <c r="M121" s="181">
        <f t="shared" si="11"/>
        <v>-2.6499999999999986</v>
      </c>
      <c r="N121" s="177">
        <f>J121+L121+M121</f>
        <v>2.6000000000000014</v>
      </c>
      <c r="O121" s="177">
        <v>3.75</v>
      </c>
      <c r="P121" s="177">
        <v>1.296</v>
      </c>
      <c r="Q121" s="177">
        <f>31*16</f>
        <v>496</v>
      </c>
      <c r="R121" s="222">
        <f t="shared" si="13"/>
        <v>6.2674560000000037</v>
      </c>
    </row>
    <row r="122" spans="2:18" ht="14.5" customHeight="1" x14ac:dyDescent="0.25">
      <c r="B122" s="214" t="s">
        <v>44</v>
      </c>
      <c r="C122" s="215">
        <v>4</v>
      </c>
      <c r="E122" s="366" t="s">
        <v>58</v>
      </c>
      <c r="F122" s="367"/>
      <c r="G122" s="367"/>
      <c r="H122" s="367"/>
      <c r="I122" s="367"/>
      <c r="J122" s="367"/>
      <c r="K122" s="367"/>
      <c r="L122" s="367"/>
      <c r="M122" s="367"/>
      <c r="N122" s="367"/>
      <c r="O122" s="367"/>
      <c r="P122" s="367"/>
      <c r="Q122" s="367"/>
      <c r="R122" s="225">
        <f>SUM(R110:R121)</f>
        <v>185.47704000000002</v>
      </c>
    </row>
    <row r="123" spans="2:18" ht="14.5" customHeight="1" x14ac:dyDescent="0.25">
      <c r="B123" s="214" t="s">
        <v>45</v>
      </c>
      <c r="C123" s="215">
        <v>3</v>
      </c>
      <c r="E123" s="394" t="s">
        <v>131</v>
      </c>
      <c r="F123" s="395"/>
      <c r="G123" s="395"/>
      <c r="H123" s="395"/>
      <c r="I123" s="395"/>
      <c r="J123" s="395"/>
      <c r="K123" s="395"/>
      <c r="L123" s="395"/>
      <c r="M123" s="395"/>
      <c r="N123" s="395"/>
      <c r="O123" s="395"/>
      <c r="P123" s="395"/>
      <c r="Q123" s="395"/>
      <c r="R123" s="396"/>
    </row>
    <row r="124" spans="2:18" ht="14" x14ac:dyDescent="0.25">
      <c r="B124" s="214" t="s">
        <v>46</v>
      </c>
      <c r="C124" s="215">
        <v>2</v>
      </c>
      <c r="E124" s="185" t="s">
        <v>15</v>
      </c>
      <c r="F124" s="220">
        <v>30.2</v>
      </c>
      <c r="G124" s="220">
        <v>7.9</v>
      </c>
      <c r="H124" s="220">
        <f>G124/2</f>
        <v>3.95</v>
      </c>
      <c r="I124" s="220">
        <f>F124-H124</f>
        <v>26.25</v>
      </c>
      <c r="J124" s="221">
        <f t="shared" ref="J124:J135" si="14">C$126</f>
        <v>1.75</v>
      </c>
      <c r="K124" s="181">
        <v>23</v>
      </c>
      <c r="L124" s="181">
        <f>25.5-K124</f>
        <v>2.5</v>
      </c>
      <c r="M124" s="181">
        <f>I124-29.4</f>
        <v>-3.1499999999999986</v>
      </c>
      <c r="N124" s="177">
        <f>J124+L124+M124</f>
        <v>1.1000000000000014</v>
      </c>
      <c r="O124" s="177">
        <v>3.75</v>
      </c>
      <c r="P124" s="177">
        <v>1.296</v>
      </c>
      <c r="Q124" s="177">
        <f>31*16</f>
        <v>496</v>
      </c>
      <c r="R124" s="222">
        <f>(N124*O124*P124*Q124)/1000</f>
        <v>2.6516160000000037</v>
      </c>
    </row>
    <row r="125" spans="2:18" ht="14" x14ac:dyDescent="0.25">
      <c r="B125" s="214" t="s">
        <v>71</v>
      </c>
      <c r="C125" s="215">
        <v>2</v>
      </c>
      <c r="E125" s="185" t="s">
        <v>16</v>
      </c>
      <c r="F125" s="220">
        <v>32.200000000000003</v>
      </c>
      <c r="G125" s="220">
        <v>8.6999999999999993</v>
      </c>
      <c r="H125" s="220">
        <f t="shared" ref="H125:H135" si="15">G125/2</f>
        <v>4.3499999999999996</v>
      </c>
      <c r="I125" s="220">
        <f t="shared" ref="I125:I135" si="16">F125-H125</f>
        <v>27.85</v>
      </c>
      <c r="J125" s="181">
        <f t="shared" si="14"/>
        <v>1.75</v>
      </c>
      <c r="K125" s="181">
        <v>23</v>
      </c>
      <c r="L125" s="181">
        <f t="shared" ref="L125:L135" si="17">25.5-K125</f>
        <v>2.5</v>
      </c>
      <c r="M125" s="181">
        <f t="shared" ref="M125:M135" si="18">I125-29.4</f>
        <v>-1.5499999999999972</v>
      </c>
      <c r="N125" s="177">
        <f t="shared" ref="N125:N134" si="19">J125+L125+M125</f>
        <v>2.7000000000000028</v>
      </c>
      <c r="O125" s="177">
        <v>3.75</v>
      </c>
      <c r="P125" s="177">
        <v>1.296</v>
      </c>
      <c r="Q125" s="177">
        <f>28*16</f>
        <v>448</v>
      </c>
      <c r="R125" s="222">
        <f t="shared" ref="R125:R135" si="20">(N125*O125*P125*Q125)/1000</f>
        <v>5.8786560000000065</v>
      </c>
    </row>
    <row r="126" spans="2:18" ht="16" thickBot="1" x14ac:dyDescent="0.3">
      <c r="B126" s="226" t="s">
        <v>77</v>
      </c>
      <c r="C126" s="227">
        <f>AVERAGE(C110:C125)</f>
        <v>1.75</v>
      </c>
      <c r="E126" s="185" t="s">
        <v>17</v>
      </c>
      <c r="F126" s="220">
        <v>34.9</v>
      </c>
      <c r="G126" s="220">
        <v>8.9</v>
      </c>
      <c r="H126" s="220">
        <f t="shared" si="15"/>
        <v>4.45</v>
      </c>
      <c r="I126" s="220">
        <f t="shared" si="16"/>
        <v>30.45</v>
      </c>
      <c r="J126" s="181">
        <f t="shared" si="14"/>
        <v>1.75</v>
      </c>
      <c r="K126" s="181">
        <v>23</v>
      </c>
      <c r="L126" s="181">
        <f t="shared" si="17"/>
        <v>2.5</v>
      </c>
      <c r="M126" s="181">
        <f t="shared" si="18"/>
        <v>1.0500000000000007</v>
      </c>
      <c r="N126" s="177">
        <f t="shared" si="19"/>
        <v>5.3000000000000007</v>
      </c>
      <c r="O126" s="177">
        <v>3.75</v>
      </c>
      <c r="P126" s="177">
        <v>1.296</v>
      </c>
      <c r="Q126" s="177">
        <f>31*16</f>
        <v>496</v>
      </c>
      <c r="R126" s="222">
        <f t="shared" si="20"/>
        <v>12.775968000000002</v>
      </c>
    </row>
    <row r="127" spans="2:18" ht="14" x14ac:dyDescent="0.25">
      <c r="E127" s="185" t="s">
        <v>18</v>
      </c>
      <c r="F127" s="220">
        <v>36.799999999999997</v>
      </c>
      <c r="G127" s="220">
        <v>8.1999999999999993</v>
      </c>
      <c r="H127" s="220">
        <f t="shared" si="15"/>
        <v>4.0999999999999996</v>
      </c>
      <c r="I127" s="220">
        <f t="shared" si="16"/>
        <v>32.699999999999996</v>
      </c>
      <c r="J127" s="181">
        <f t="shared" si="14"/>
        <v>1.75</v>
      </c>
      <c r="K127" s="181">
        <v>23</v>
      </c>
      <c r="L127" s="181">
        <f t="shared" si="17"/>
        <v>2.5</v>
      </c>
      <c r="M127" s="181">
        <f t="shared" si="18"/>
        <v>3.2999999999999972</v>
      </c>
      <c r="N127" s="177">
        <f t="shared" si="19"/>
        <v>7.5499999999999972</v>
      </c>
      <c r="O127" s="177">
        <v>3.75</v>
      </c>
      <c r="P127" s="177">
        <v>1.296</v>
      </c>
      <c r="Q127" s="177">
        <f>30*16</f>
        <v>480</v>
      </c>
      <c r="R127" s="222">
        <f t="shared" si="20"/>
        <v>17.612639999999995</v>
      </c>
    </row>
    <row r="128" spans="2:18" ht="14" x14ac:dyDescent="0.25">
      <c r="E128" s="185" t="s">
        <v>12</v>
      </c>
      <c r="F128" s="220">
        <v>39.799999999999997</v>
      </c>
      <c r="G128" s="220">
        <v>9.1999999999999993</v>
      </c>
      <c r="H128" s="220">
        <f t="shared" si="15"/>
        <v>4.5999999999999996</v>
      </c>
      <c r="I128" s="220">
        <f t="shared" si="16"/>
        <v>35.199999999999996</v>
      </c>
      <c r="J128" s="181">
        <f t="shared" si="14"/>
        <v>1.75</v>
      </c>
      <c r="K128" s="181">
        <v>23</v>
      </c>
      <c r="L128" s="181">
        <f t="shared" si="17"/>
        <v>2.5</v>
      </c>
      <c r="M128" s="181">
        <f t="shared" si="18"/>
        <v>5.7999999999999972</v>
      </c>
      <c r="N128" s="177">
        <f t="shared" si="19"/>
        <v>10.049999999999997</v>
      </c>
      <c r="O128" s="177">
        <v>3.75</v>
      </c>
      <c r="P128" s="177">
        <v>1.296</v>
      </c>
      <c r="Q128" s="177">
        <f>31*16</f>
        <v>496</v>
      </c>
      <c r="R128" s="222">
        <f t="shared" si="20"/>
        <v>24.226127999999989</v>
      </c>
    </row>
    <row r="129" spans="5:18" ht="14" x14ac:dyDescent="0.25">
      <c r="E129" s="185" t="s">
        <v>13</v>
      </c>
      <c r="F129" s="220">
        <v>38.4</v>
      </c>
      <c r="G129" s="220">
        <v>8.8000000000000007</v>
      </c>
      <c r="H129" s="220">
        <f t="shared" si="15"/>
        <v>4.4000000000000004</v>
      </c>
      <c r="I129" s="220">
        <f t="shared" si="16"/>
        <v>34</v>
      </c>
      <c r="J129" s="181">
        <f t="shared" si="14"/>
        <v>1.75</v>
      </c>
      <c r="K129" s="181">
        <v>23</v>
      </c>
      <c r="L129" s="181">
        <f t="shared" si="17"/>
        <v>2.5</v>
      </c>
      <c r="M129" s="181">
        <f t="shared" si="18"/>
        <v>4.6000000000000014</v>
      </c>
      <c r="N129" s="177">
        <f t="shared" si="19"/>
        <v>8.8500000000000014</v>
      </c>
      <c r="O129" s="177">
        <v>3.75</v>
      </c>
      <c r="P129" s="177">
        <v>1.296</v>
      </c>
      <c r="Q129" s="177">
        <f>30*16</f>
        <v>480</v>
      </c>
      <c r="R129" s="222">
        <f t="shared" si="20"/>
        <v>20.645280000000007</v>
      </c>
    </row>
    <row r="130" spans="5:18" ht="14" x14ac:dyDescent="0.25">
      <c r="E130" s="185" t="s">
        <v>24</v>
      </c>
      <c r="F130" s="223">
        <v>37</v>
      </c>
      <c r="G130" s="223">
        <v>8.1</v>
      </c>
      <c r="H130" s="220">
        <f t="shared" si="15"/>
        <v>4.05</v>
      </c>
      <c r="I130" s="220">
        <f t="shared" si="16"/>
        <v>32.950000000000003</v>
      </c>
      <c r="J130" s="181">
        <f t="shared" si="14"/>
        <v>1.75</v>
      </c>
      <c r="K130" s="181">
        <v>23</v>
      </c>
      <c r="L130" s="181">
        <f t="shared" si="17"/>
        <v>2.5</v>
      </c>
      <c r="M130" s="181">
        <f t="shared" si="18"/>
        <v>3.5500000000000043</v>
      </c>
      <c r="N130" s="177">
        <f t="shared" si="19"/>
        <v>7.8000000000000043</v>
      </c>
      <c r="O130" s="177">
        <v>3.75</v>
      </c>
      <c r="P130" s="177">
        <v>1.296</v>
      </c>
      <c r="Q130" s="177">
        <f>31*16</f>
        <v>496</v>
      </c>
      <c r="R130" s="222">
        <f t="shared" si="20"/>
        <v>18.802368000000008</v>
      </c>
    </row>
    <row r="131" spans="5:18" ht="14" x14ac:dyDescent="0.25">
      <c r="E131" s="185" t="s">
        <v>19</v>
      </c>
      <c r="F131" s="223">
        <v>35.9</v>
      </c>
      <c r="G131" s="223">
        <v>7.9</v>
      </c>
      <c r="H131" s="220">
        <f t="shared" si="15"/>
        <v>3.95</v>
      </c>
      <c r="I131" s="220">
        <f t="shared" si="16"/>
        <v>31.95</v>
      </c>
      <c r="J131" s="181">
        <f t="shared" si="14"/>
        <v>1.75</v>
      </c>
      <c r="K131" s="181">
        <v>23</v>
      </c>
      <c r="L131" s="181">
        <f t="shared" si="17"/>
        <v>2.5</v>
      </c>
      <c r="M131" s="181">
        <f t="shared" si="18"/>
        <v>2.5500000000000007</v>
      </c>
      <c r="N131" s="177">
        <f t="shared" si="19"/>
        <v>6.8000000000000007</v>
      </c>
      <c r="O131" s="177">
        <v>3.75</v>
      </c>
      <c r="P131" s="177">
        <v>1.296</v>
      </c>
      <c r="Q131" s="177">
        <f>31*16</f>
        <v>496</v>
      </c>
      <c r="R131" s="222">
        <f t="shared" si="20"/>
        <v>16.391808000000005</v>
      </c>
    </row>
    <row r="132" spans="5:18" ht="14" x14ac:dyDescent="0.25">
      <c r="E132" s="185" t="s">
        <v>20</v>
      </c>
      <c r="F132" s="223">
        <v>35</v>
      </c>
      <c r="G132" s="223">
        <v>7.7</v>
      </c>
      <c r="H132" s="220">
        <f t="shared" si="15"/>
        <v>3.85</v>
      </c>
      <c r="I132" s="220">
        <f t="shared" si="16"/>
        <v>31.15</v>
      </c>
      <c r="J132" s="181">
        <f t="shared" si="14"/>
        <v>1.75</v>
      </c>
      <c r="K132" s="181">
        <v>23</v>
      </c>
      <c r="L132" s="181">
        <f t="shared" si="17"/>
        <v>2.5</v>
      </c>
      <c r="M132" s="181">
        <f t="shared" si="18"/>
        <v>1.75</v>
      </c>
      <c r="N132" s="177">
        <f t="shared" si="19"/>
        <v>6</v>
      </c>
      <c r="O132" s="177">
        <v>3.75</v>
      </c>
      <c r="P132" s="177">
        <v>1.296</v>
      </c>
      <c r="Q132" s="177">
        <f>30*16</f>
        <v>480</v>
      </c>
      <c r="R132" s="222">
        <f t="shared" si="20"/>
        <v>13.996799999999999</v>
      </c>
    </row>
    <row r="133" spans="5:18" ht="14" x14ac:dyDescent="0.25">
      <c r="E133" s="185" t="s">
        <v>21</v>
      </c>
      <c r="F133" s="223">
        <v>34</v>
      </c>
      <c r="G133" s="223">
        <v>6.7</v>
      </c>
      <c r="H133" s="220">
        <f t="shared" si="15"/>
        <v>3.35</v>
      </c>
      <c r="I133" s="220">
        <f t="shared" si="16"/>
        <v>30.65</v>
      </c>
      <c r="J133" s="181">
        <f t="shared" si="14"/>
        <v>1.75</v>
      </c>
      <c r="K133" s="181">
        <v>23</v>
      </c>
      <c r="L133" s="181">
        <f t="shared" si="17"/>
        <v>2.5</v>
      </c>
      <c r="M133" s="181">
        <f t="shared" si="18"/>
        <v>1.25</v>
      </c>
      <c r="N133" s="177">
        <f t="shared" si="19"/>
        <v>5.5</v>
      </c>
      <c r="O133" s="177">
        <v>3.75</v>
      </c>
      <c r="P133" s="177">
        <v>1.296</v>
      </c>
      <c r="Q133" s="177">
        <f>31*16</f>
        <v>496</v>
      </c>
      <c r="R133" s="222">
        <f t="shared" si="20"/>
        <v>13.25808</v>
      </c>
    </row>
    <row r="134" spans="5:18" ht="14" x14ac:dyDescent="0.25">
      <c r="E134" s="185" t="s">
        <v>22</v>
      </c>
      <c r="F134" s="223">
        <v>31.2</v>
      </c>
      <c r="G134" s="223">
        <v>6.1</v>
      </c>
      <c r="H134" s="220">
        <f t="shared" si="15"/>
        <v>3.05</v>
      </c>
      <c r="I134" s="220">
        <f t="shared" si="16"/>
        <v>28.15</v>
      </c>
      <c r="J134" s="181">
        <f t="shared" si="14"/>
        <v>1.75</v>
      </c>
      <c r="K134" s="181">
        <v>23</v>
      </c>
      <c r="L134" s="181">
        <f t="shared" si="17"/>
        <v>2.5</v>
      </c>
      <c r="M134" s="181">
        <f t="shared" si="18"/>
        <v>-1.25</v>
      </c>
      <c r="N134" s="177">
        <f t="shared" si="19"/>
        <v>3</v>
      </c>
      <c r="O134" s="177">
        <v>3.75</v>
      </c>
      <c r="P134" s="177">
        <v>1.296</v>
      </c>
      <c r="Q134" s="177">
        <f>30*16</f>
        <v>480</v>
      </c>
      <c r="R134" s="222">
        <f t="shared" si="20"/>
        <v>6.9983999999999993</v>
      </c>
    </row>
    <row r="135" spans="5:18" ht="14" x14ac:dyDescent="0.25">
      <c r="E135" s="185" t="s">
        <v>23</v>
      </c>
      <c r="F135" s="223">
        <v>30.1</v>
      </c>
      <c r="G135" s="223">
        <v>6.7</v>
      </c>
      <c r="H135" s="220">
        <f t="shared" si="15"/>
        <v>3.35</v>
      </c>
      <c r="I135" s="220">
        <f t="shared" si="16"/>
        <v>26.75</v>
      </c>
      <c r="J135" s="181">
        <f t="shared" si="14"/>
        <v>1.75</v>
      </c>
      <c r="K135" s="181">
        <v>23</v>
      </c>
      <c r="L135" s="181">
        <f t="shared" si="17"/>
        <v>2.5</v>
      </c>
      <c r="M135" s="181">
        <f t="shared" si="18"/>
        <v>-2.6499999999999986</v>
      </c>
      <c r="N135" s="177">
        <f>J135+L135+M135</f>
        <v>1.6000000000000014</v>
      </c>
      <c r="O135" s="177">
        <v>3.75</v>
      </c>
      <c r="P135" s="177">
        <v>1.296</v>
      </c>
      <c r="Q135" s="177">
        <f>31*16</f>
        <v>496</v>
      </c>
      <c r="R135" s="222">
        <f t="shared" si="20"/>
        <v>3.8568960000000034</v>
      </c>
    </row>
    <row r="136" spans="5:18" ht="15" x14ac:dyDescent="0.25">
      <c r="E136" s="382" t="s">
        <v>58</v>
      </c>
      <c r="F136" s="383"/>
      <c r="G136" s="383"/>
      <c r="H136" s="383"/>
      <c r="I136" s="383"/>
      <c r="J136" s="383"/>
      <c r="K136" s="383"/>
      <c r="L136" s="383"/>
      <c r="M136" s="383"/>
      <c r="N136" s="383"/>
      <c r="O136" s="383"/>
      <c r="P136" s="383"/>
      <c r="Q136" s="383"/>
      <c r="R136" s="225">
        <f>SUM(R124:R135)</f>
        <v>157.09464000000003</v>
      </c>
    </row>
    <row r="137" spans="5:18" ht="15" x14ac:dyDescent="0.4">
      <c r="E137" s="379" t="s">
        <v>72</v>
      </c>
      <c r="F137" s="380"/>
      <c r="G137" s="380"/>
      <c r="H137" s="380"/>
      <c r="I137" s="380"/>
      <c r="J137" s="380"/>
      <c r="K137" s="380"/>
      <c r="L137" s="380"/>
      <c r="M137" s="380"/>
      <c r="N137" s="380"/>
      <c r="O137" s="380"/>
      <c r="P137" s="380"/>
      <c r="Q137" s="380"/>
      <c r="R137" s="381"/>
    </row>
    <row r="138" spans="5:18" ht="14" x14ac:dyDescent="0.25">
      <c r="E138" s="185" t="s">
        <v>15</v>
      </c>
      <c r="F138" s="220">
        <v>30.2</v>
      </c>
      <c r="G138" s="220">
        <v>7.9</v>
      </c>
      <c r="H138" s="220">
        <f>G138/2</f>
        <v>3.95</v>
      </c>
      <c r="I138" s="220">
        <f>F138-H138</f>
        <v>26.25</v>
      </c>
      <c r="J138" s="181">
        <f t="shared" ref="J138:J149" si="21">C$126</f>
        <v>1.75</v>
      </c>
      <c r="K138" s="181">
        <v>24</v>
      </c>
      <c r="L138" s="192">
        <f>25.5-K138</f>
        <v>1.5</v>
      </c>
      <c r="M138" s="192">
        <f>I138-29.4</f>
        <v>-3.1499999999999986</v>
      </c>
      <c r="N138" s="177">
        <f>J138+L138+M138</f>
        <v>0.10000000000000142</v>
      </c>
      <c r="O138" s="177">
        <v>3.75</v>
      </c>
      <c r="P138" s="177">
        <v>1.296</v>
      </c>
      <c r="Q138" s="177">
        <f>31*16</f>
        <v>496</v>
      </c>
      <c r="R138" s="222">
        <f>(N138*O138*P138*Q138)/1000</f>
        <v>0.24105600000000343</v>
      </c>
    </row>
    <row r="139" spans="5:18" ht="14" x14ac:dyDescent="0.25">
      <c r="E139" s="185" t="s">
        <v>16</v>
      </c>
      <c r="F139" s="220">
        <v>32.200000000000003</v>
      </c>
      <c r="G139" s="220">
        <v>8.6999999999999993</v>
      </c>
      <c r="H139" s="220">
        <f t="shared" ref="H139:H149" si="22">G139/2</f>
        <v>4.3499999999999996</v>
      </c>
      <c r="I139" s="220">
        <f t="shared" ref="I139:I149" si="23">F139-H139</f>
        <v>27.85</v>
      </c>
      <c r="J139" s="181">
        <f t="shared" si="21"/>
        <v>1.75</v>
      </c>
      <c r="K139" s="181">
        <v>24</v>
      </c>
      <c r="L139" s="192">
        <f t="shared" ref="L139:L149" si="24">25.5-K139</f>
        <v>1.5</v>
      </c>
      <c r="M139" s="192">
        <f t="shared" ref="M139:M149" si="25">I139-29.4</f>
        <v>-1.5499999999999972</v>
      </c>
      <c r="N139" s="177">
        <f t="shared" ref="N139:N149" si="26">J139+L139+M139</f>
        <v>1.7000000000000028</v>
      </c>
      <c r="O139" s="177">
        <v>3.75</v>
      </c>
      <c r="P139" s="177">
        <v>1.296</v>
      </c>
      <c r="Q139" s="177">
        <f>28*16</f>
        <v>448</v>
      </c>
      <c r="R139" s="222">
        <f t="shared" ref="R139:R149" si="27">(N139*O139*P139*Q139)/1000</f>
        <v>3.7013760000000064</v>
      </c>
    </row>
    <row r="140" spans="5:18" ht="14" x14ac:dyDescent="0.25">
      <c r="E140" s="185" t="s">
        <v>17</v>
      </c>
      <c r="F140" s="220">
        <v>34.9</v>
      </c>
      <c r="G140" s="220">
        <v>8.9</v>
      </c>
      <c r="H140" s="220">
        <f t="shared" si="22"/>
        <v>4.45</v>
      </c>
      <c r="I140" s="220">
        <f t="shared" si="23"/>
        <v>30.45</v>
      </c>
      <c r="J140" s="181">
        <f t="shared" si="21"/>
        <v>1.75</v>
      </c>
      <c r="K140" s="181">
        <v>24</v>
      </c>
      <c r="L140" s="192">
        <f t="shared" si="24"/>
        <v>1.5</v>
      </c>
      <c r="M140" s="192">
        <f t="shared" si="25"/>
        <v>1.0500000000000007</v>
      </c>
      <c r="N140" s="177">
        <f t="shared" si="26"/>
        <v>4.3000000000000007</v>
      </c>
      <c r="O140" s="177">
        <v>3.75</v>
      </c>
      <c r="P140" s="177">
        <v>1.296</v>
      </c>
      <c r="Q140" s="177">
        <f>31*16</f>
        <v>496</v>
      </c>
      <c r="R140" s="222">
        <f t="shared" si="27"/>
        <v>10.365408000000004</v>
      </c>
    </row>
    <row r="141" spans="5:18" ht="14" x14ac:dyDescent="0.25">
      <c r="E141" s="185" t="s">
        <v>18</v>
      </c>
      <c r="F141" s="220">
        <v>36.799999999999997</v>
      </c>
      <c r="G141" s="220">
        <v>8.1999999999999993</v>
      </c>
      <c r="H141" s="220">
        <f t="shared" si="22"/>
        <v>4.0999999999999996</v>
      </c>
      <c r="I141" s="220">
        <f t="shared" si="23"/>
        <v>32.699999999999996</v>
      </c>
      <c r="J141" s="181">
        <f t="shared" si="21"/>
        <v>1.75</v>
      </c>
      <c r="K141" s="181">
        <v>24</v>
      </c>
      <c r="L141" s="192">
        <f t="shared" si="24"/>
        <v>1.5</v>
      </c>
      <c r="M141" s="192">
        <f t="shared" si="25"/>
        <v>3.2999999999999972</v>
      </c>
      <c r="N141" s="177">
        <f t="shared" si="26"/>
        <v>6.5499999999999972</v>
      </c>
      <c r="O141" s="177">
        <v>3.75</v>
      </c>
      <c r="P141" s="177">
        <v>1.296</v>
      </c>
      <c r="Q141" s="177">
        <f>30*16</f>
        <v>480</v>
      </c>
      <c r="R141" s="222">
        <f t="shared" si="27"/>
        <v>15.279839999999995</v>
      </c>
    </row>
    <row r="142" spans="5:18" ht="14" x14ac:dyDescent="0.25">
      <c r="E142" s="185" t="s">
        <v>12</v>
      </c>
      <c r="F142" s="220">
        <v>39.799999999999997</v>
      </c>
      <c r="G142" s="220">
        <v>9.1999999999999993</v>
      </c>
      <c r="H142" s="220">
        <f t="shared" si="22"/>
        <v>4.5999999999999996</v>
      </c>
      <c r="I142" s="220">
        <f t="shared" si="23"/>
        <v>35.199999999999996</v>
      </c>
      <c r="J142" s="181">
        <f t="shared" si="21"/>
        <v>1.75</v>
      </c>
      <c r="K142" s="181">
        <v>24</v>
      </c>
      <c r="L142" s="192">
        <f t="shared" si="24"/>
        <v>1.5</v>
      </c>
      <c r="M142" s="192">
        <f t="shared" si="25"/>
        <v>5.7999999999999972</v>
      </c>
      <c r="N142" s="177">
        <f t="shared" si="26"/>
        <v>9.0499999999999972</v>
      </c>
      <c r="O142" s="177">
        <v>3.75</v>
      </c>
      <c r="P142" s="177">
        <v>1.296</v>
      </c>
      <c r="Q142" s="177">
        <f>31*16</f>
        <v>496</v>
      </c>
      <c r="R142" s="222">
        <f t="shared" si="27"/>
        <v>21.815567999999992</v>
      </c>
    </row>
    <row r="143" spans="5:18" ht="14" x14ac:dyDescent="0.25">
      <c r="E143" s="185" t="s">
        <v>13</v>
      </c>
      <c r="F143" s="220">
        <v>38.4</v>
      </c>
      <c r="G143" s="220">
        <v>8.8000000000000007</v>
      </c>
      <c r="H143" s="220">
        <f t="shared" si="22"/>
        <v>4.4000000000000004</v>
      </c>
      <c r="I143" s="220">
        <f t="shared" si="23"/>
        <v>34</v>
      </c>
      <c r="J143" s="181">
        <f t="shared" si="21"/>
        <v>1.75</v>
      </c>
      <c r="K143" s="181">
        <v>24</v>
      </c>
      <c r="L143" s="192">
        <f t="shared" si="24"/>
        <v>1.5</v>
      </c>
      <c r="M143" s="192">
        <f t="shared" si="25"/>
        <v>4.6000000000000014</v>
      </c>
      <c r="N143" s="177">
        <f t="shared" si="26"/>
        <v>7.8500000000000014</v>
      </c>
      <c r="O143" s="177">
        <v>3.75</v>
      </c>
      <c r="P143" s="177">
        <v>1.296</v>
      </c>
      <c r="Q143" s="177">
        <f>30*16</f>
        <v>480</v>
      </c>
      <c r="R143" s="222">
        <f t="shared" si="27"/>
        <v>18.312480000000004</v>
      </c>
    </row>
    <row r="144" spans="5:18" ht="14" x14ac:dyDescent="0.25">
      <c r="E144" s="185" t="s">
        <v>24</v>
      </c>
      <c r="F144" s="223">
        <v>37</v>
      </c>
      <c r="G144" s="223">
        <v>8.1</v>
      </c>
      <c r="H144" s="220">
        <f t="shared" si="22"/>
        <v>4.05</v>
      </c>
      <c r="I144" s="220">
        <f t="shared" si="23"/>
        <v>32.950000000000003</v>
      </c>
      <c r="J144" s="181">
        <f t="shared" si="21"/>
        <v>1.75</v>
      </c>
      <c r="K144" s="181">
        <v>24</v>
      </c>
      <c r="L144" s="192">
        <f t="shared" si="24"/>
        <v>1.5</v>
      </c>
      <c r="M144" s="192">
        <f t="shared" si="25"/>
        <v>3.5500000000000043</v>
      </c>
      <c r="N144" s="177">
        <f t="shared" si="26"/>
        <v>6.8000000000000043</v>
      </c>
      <c r="O144" s="177">
        <v>3.75</v>
      </c>
      <c r="P144" s="177">
        <v>1.296</v>
      </c>
      <c r="Q144" s="177">
        <f>31*16</f>
        <v>496</v>
      </c>
      <c r="R144" s="222">
        <f t="shared" si="27"/>
        <v>16.391808000000008</v>
      </c>
    </row>
    <row r="145" spans="5:18" ht="14" x14ac:dyDescent="0.25">
      <c r="E145" s="185" t="s">
        <v>19</v>
      </c>
      <c r="F145" s="223">
        <v>35.9</v>
      </c>
      <c r="G145" s="223">
        <v>7.9</v>
      </c>
      <c r="H145" s="220">
        <f t="shared" si="22"/>
        <v>3.95</v>
      </c>
      <c r="I145" s="220">
        <f t="shared" si="23"/>
        <v>31.95</v>
      </c>
      <c r="J145" s="181">
        <f t="shared" si="21"/>
        <v>1.75</v>
      </c>
      <c r="K145" s="181">
        <v>24</v>
      </c>
      <c r="L145" s="192">
        <f t="shared" si="24"/>
        <v>1.5</v>
      </c>
      <c r="M145" s="192">
        <f t="shared" si="25"/>
        <v>2.5500000000000007</v>
      </c>
      <c r="N145" s="177">
        <f t="shared" si="26"/>
        <v>5.8000000000000007</v>
      </c>
      <c r="O145" s="177">
        <v>3.75</v>
      </c>
      <c r="P145" s="177">
        <v>1.296</v>
      </c>
      <c r="Q145" s="177">
        <f>31*16</f>
        <v>496</v>
      </c>
      <c r="R145" s="222">
        <f t="shared" si="27"/>
        <v>13.981248000000003</v>
      </c>
    </row>
    <row r="146" spans="5:18" ht="14" x14ac:dyDescent="0.25">
      <c r="E146" s="185" t="s">
        <v>20</v>
      </c>
      <c r="F146" s="223">
        <v>35</v>
      </c>
      <c r="G146" s="223">
        <v>7.7</v>
      </c>
      <c r="H146" s="220">
        <f t="shared" si="22"/>
        <v>3.85</v>
      </c>
      <c r="I146" s="220">
        <f t="shared" si="23"/>
        <v>31.15</v>
      </c>
      <c r="J146" s="181">
        <f t="shared" si="21"/>
        <v>1.75</v>
      </c>
      <c r="K146" s="181">
        <v>24</v>
      </c>
      <c r="L146" s="192">
        <f t="shared" si="24"/>
        <v>1.5</v>
      </c>
      <c r="M146" s="192">
        <f t="shared" si="25"/>
        <v>1.75</v>
      </c>
      <c r="N146" s="177">
        <f t="shared" si="26"/>
        <v>5</v>
      </c>
      <c r="O146" s="177">
        <v>3.75</v>
      </c>
      <c r="P146" s="177">
        <v>1.296</v>
      </c>
      <c r="Q146" s="177">
        <f>30*16</f>
        <v>480</v>
      </c>
      <c r="R146" s="222">
        <f t="shared" si="27"/>
        <v>11.664</v>
      </c>
    </row>
    <row r="147" spans="5:18" ht="14" x14ac:dyDescent="0.25">
      <c r="E147" s="185" t="s">
        <v>21</v>
      </c>
      <c r="F147" s="223">
        <v>34</v>
      </c>
      <c r="G147" s="223">
        <v>6.7</v>
      </c>
      <c r="H147" s="220">
        <f t="shared" si="22"/>
        <v>3.35</v>
      </c>
      <c r="I147" s="220">
        <f t="shared" si="23"/>
        <v>30.65</v>
      </c>
      <c r="J147" s="181">
        <f t="shared" si="21"/>
        <v>1.75</v>
      </c>
      <c r="K147" s="181">
        <v>24</v>
      </c>
      <c r="L147" s="192">
        <f t="shared" si="24"/>
        <v>1.5</v>
      </c>
      <c r="M147" s="192">
        <f t="shared" si="25"/>
        <v>1.25</v>
      </c>
      <c r="N147" s="177">
        <f t="shared" si="26"/>
        <v>4.5</v>
      </c>
      <c r="O147" s="177">
        <v>3.75</v>
      </c>
      <c r="P147" s="177">
        <v>1.296</v>
      </c>
      <c r="Q147" s="177">
        <f>31*16</f>
        <v>496</v>
      </c>
      <c r="R147" s="222">
        <f t="shared" si="27"/>
        <v>10.847520000000001</v>
      </c>
    </row>
    <row r="148" spans="5:18" ht="14" x14ac:dyDescent="0.25">
      <c r="E148" s="185" t="s">
        <v>22</v>
      </c>
      <c r="F148" s="223">
        <v>31.2</v>
      </c>
      <c r="G148" s="223">
        <v>6.1</v>
      </c>
      <c r="H148" s="220">
        <f t="shared" si="22"/>
        <v>3.05</v>
      </c>
      <c r="I148" s="220">
        <f t="shared" si="23"/>
        <v>28.15</v>
      </c>
      <c r="J148" s="181">
        <f t="shared" si="21"/>
        <v>1.75</v>
      </c>
      <c r="K148" s="181">
        <v>24</v>
      </c>
      <c r="L148" s="192">
        <f t="shared" si="24"/>
        <v>1.5</v>
      </c>
      <c r="M148" s="192">
        <f t="shared" si="25"/>
        <v>-1.25</v>
      </c>
      <c r="N148" s="177">
        <f t="shared" si="26"/>
        <v>2</v>
      </c>
      <c r="O148" s="177">
        <v>3.75</v>
      </c>
      <c r="P148" s="177">
        <v>1.296</v>
      </c>
      <c r="Q148" s="177">
        <f>30*16</f>
        <v>480</v>
      </c>
      <c r="R148" s="222">
        <f t="shared" si="27"/>
        <v>4.6656000000000004</v>
      </c>
    </row>
    <row r="149" spans="5:18" ht="14" x14ac:dyDescent="0.25">
      <c r="E149" s="185" t="s">
        <v>23</v>
      </c>
      <c r="F149" s="223">
        <v>30.1</v>
      </c>
      <c r="G149" s="223">
        <v>6.7</v>
      </c>
      <c r="H149" s="220">
        <f t="shared" si="22"/>
        <v>3.35</v>
      </c>
      <c r="I149" s="220">
        <f t="shared" si="23"/>
        <v>26.75</v>
      </c>
      <c r="J149" s="181">
        <f t="shared" si="21"/>
        <v>1.75</v>
      </c>
      <c r="K149" s="181">
        <v>24</v>
      </c>
      <c r="L149" s="192">
        <f t="shared" si="24"/>
        <v>1.5</v>
      </c>
      <c r="M149" s="192">
        <f t="shared" si="25"/>
        <v>-2.6499999999999986</v>
      </c>
      <c r="N149" s="177">
        <f t="shared" si="26"/>
        <v>0.60000000000000142</v>
      </c>
      <c r="O149" s="177">
        <v>3.75</v>
      </c>
      <c r="P149" s="177">
        <v>1.296</v>
      </c>
      <c r="Q149" s="177">
        <f>31*16</f>
        <v>496</v>
      </c>
      <c r="R149" s="222">
        <f t="shared" si="27"/>
        <v>1.4463360000000034</v>
      </c>
    </row>
    <row r="150" spans="5:18" ht="15" x14ac:dyDescent="0.25">
      <c r="E150" s="382" t="s">
        <v>60</v>
      </c>
      <c r="F150" s="383"/>
      <c r="G150" s="383"/>
      <c r="H150" s="383"/>
      <c r="I150" s="383"/>
      <c r="J150" s="383"/>
      <c r="K150" s="383"/>
      <c r="L150" s="383"/>
      <c r="M150" s="383"/>
      <c r="N150" s="383"/>
      <c r="O150" s="383"/>
      <c r="P150" s="383"/>
      <c r="Q150" s="383"/>
      <c r="R150" s="225">
        <f>SUM(R138:R149)</f>
        <v>128.71224000000004</v>
      </c>
    </row>
    <row r="151" spans="5:18" ht="15" x14ac:dyDescent="0.4">
      <c r="E151" s="379" t="s">
        <v>73</v>
      </c>
      <c r="F151" s="380"/>
      <c r="G151" s="380"/>
      <c r="H151" s="380"/>
      <c r="I151" s="380"/>
      <c r="J151" s="380"/>
      <c r="K151" s="380"/>
      <c r="L151" s="380"/>
      <c r="M151" s="380"/>
      <c r="N151" s="380"/>
      <c r="O151" s="380"/>
      <c r="P151" s="380"/>
      <c r="Q151" s="380"/>
      <c r="R151" s="381"/>
    </row>
    <row r="152" spans="5:18" ht="14" x14ac:dyDescent="0.25">
      <c r="E152" s="185" t="s">
        <v>15</v>
      </c>
      <c r="F152" s="220">
        <v>30.2</v>
      </c>
      <c r="G152" s="220">
        <v>7.9</v>
      </c>
      <c r="H152" s="223">
        <f>G152/2</f>
        <v>3.95</v>
      </c>
      <c r="I152" s="220">
        <f>F152-H152</f>
        <v>26.25</v>
      </c>
      <c r="J152" s="177">
        <f t="shared" ref="J152:J163" si="28">C$126</f>
        <v>1.75</v>
      </c>
      <c r="K152" s="177">
        <v>25</v>
      </c>
      <c r="L152" s="177">
        <f>25.5-K152</f>
        <v>0.5</v>
      </c>
      <c r="M152" s="177">
        <f t="shared" ref="M152:M163" si="29">I152-29.4</f>
        <v>-3.1499999999999986</v>
      </c>
      <c r="N152" s="177">
        <f t="shared" ref="N152:N163" si="30">J152+L152+M152</f>
        <v>-0.89999999999999858</v>
      </c>
      <c r="O152" s="177">
        <v>3.75</v>
      </c>
      <c r="P152" s="177">
        <v>1.296</v>
      </c>
      <c r="Q152" s="177">
        <f>31*16</f>
        <v>496</v>
      </c>
      <c r="R152" s="222">
        <f t="shared" ref="R152:R163" si="31">(N152*O152*P152*Q152)/1000</f>
        <v>-2.1695039999999968</v>
      </c>
    </row>
    <row r="153" spans="5:18" ht="14" x14ac:dyDescent="0.25">
      <c r="E153" s="185" t="s">
        <v>16</v>
      </c>
      <c r="F153" s="220">
        <v>32.200000000000003</v>
      </c>
      <c r="G153" s="220">
        <v>8.6999999999999993</v>
      </c>
      <c r="H153" s="223">
        <f t="shared" ref="H153:H163" si="32">G153/2</f>
        <v>4.3499999999999996</v>
      </c>
      <c r="I153" s="220">
        <f t="shared" ref="I153:I163" si="33">F153-H153</f>
        <v>27.85</v>
      </c>
      <c r="J153" s="177">
        <f t="shared" si="28"/>
        <v>1.75</v>
      </c>
      <c r="K153" s="177">
        <v>25</v>
      </c>
      <c r="L153" s="177">
        <f t="shared" ref="L153:L163" si="34">25.5-K153</f>
        <v>0.5</v>
      </c>
      <c r="M153" s="177">
        <f t="shared" si="29"/>
        <v>-1.5499999999999972</v>
      </c>
      <c r="N153" s="177">
        <f t="shared" si="30"/>
        <v>0.70000000000000284</v>
      </c>
      <c r="O153" s="177">
        <v>3.75</v>
      </c>
      <c r="P153" s="177">
        <v>1.296</v>
      </c>
      <c r="Q153" s="177">
        <f>28*16</f>
        <v>448</v>
      </c>
      <c r="R153" s="222">
        <f t="shared" si="31"/>
        <v>1.5240960000000061</v>
      </c>
    </row>
    <row r="154" spans="5:18" ht="14" x14ac:dyDescent="0.25">
      <c r="E154" s="185" t="s">
        <v>17</v>
      </c>
      <c r="F154" s="220">
        <v>34.9</v>
      </c>
      <c r="G154" s="220">
        <v>8.9</v>
      </c>
      <c r="H154" s="223">
        <f t="shared" si="32"/>
        <v>4.45</v>
      </c>
      <c r="I154" s="220">
        <f t="shared" si="33"/>
        <v>30.45</v>
      </c>
      <c r="J154" s="177">
        <f t="shared" si="28"/>
        <v>1.75</v>
      </c>
      <c r="K154" s="177">
        <v>25</v>
      </c>
      <c r="L154" s="177">
        <f t="shared" si="34"/>
        <v>0.5</v>
      </c>
      <c r="M154" s="177">
        <f t="shared" si="29"/>
        <v>1.0500000000000007</v>
      </c>
      <c r="N154" s="177">
        <f t="shared" si="30"/>
        <v>3.3000000000000007</v>
      </c>
      <c r="O154" s="177">
        <v>3.75</v>
      </c>
      <c r="P154" s="177">
        <v>1.296</v>
      </c>
      <c r="Q154" s="177">
        <f>31*16</f>
        <v>496</v>
      </c>
      <c r="R154" s="222">
        <f t="shared" si="31"/>
        <v>7.9548480000000019</v>
      </c>
    </row>
    <row r="155" spans="5:18" ht="14" x14ac:dyDescent="0.25">
      <c r="E155" s="185" t="s">
        <v>18</v>
      </c>
      <c r="F155" s="220">
        <v>36.799999999999997</v>
      </c>
      <c r="G155" s="220">
        <v>8.1999999999999993</v>
      </c>
      <c r="H155" s="223">
        <f t="shared" si="32"/>
        <v>4.0999999999999996</v>
      </c>
      <c r="I155" s="220">
        <f t="shared" si="33"/>
        <v>32.699999999999996</v>
      </c>
      <c r="J155" s="177">
        <f t="shared" si="28"/>
        <v>1.75</v>
      </c>
      <c r="K155" s="177">
        <v>25</v>
      </c>
      <c r="L155" s="177">
        <f t="shared" si="34"/>
        <v>0.5</v>
      </c>
      <c r="M155" s="177">
        <f t="shared" si="29"/>
        <v>3.2999999999999972</v>
      </c>
      <c r="N155" s="177">
        <f t="shared" si="30"/>
        <v>5.5499999999999972</v>
      </c>
      <c r="O155" s="177">
        <v>3.75</v>
      </c>
      <c r="P155" s="177">
        <v>1.296</v>
      </c>
      <c r="Q155" s="177">
        <f>30*16</f>
        <v>480</v>
      </c>
      <c r="R155" s="222">
        <f t="shared" si="31"/>
        <v>12.947039999999994</v>
      </c>
    </row>
    <row r="156" spans="5:18" ht="14" x14ac:dyDescent="0.25">
      <c r="E156" s="185" t="s">
        <v>12</v>
      </c>
      <c r="F156" s="220">
        <v>39.799999999999997</v>
      </c>
      <c r="G156" s="220">
        <v>9.1999999999999993</v>
      </c>
      <c r="H156" s="223">
        <f t="shared" si="32"/>
        <v>4.5999999999999996</v>
      </c>
      <c r="I156" s="220">
        <f t="shared" si="33"/>
        <v>35.199999999999996</v>
      </c>
      <c r="J156" s="177">
        <f t="shared" si="28"/>
        <v>1.75</v>
      </c>
      <c r="K156" s="177">
        <v>25</v>
      </c>
      <c r="L156" s="177">
        <f t="shared" si="34"/>
        <v>0.5</v>
      </c>
      <c r="M156" s="177">
        <f t="shared" si="29"/>
        <v>5.7999999999999972</v>
      </c>
      <c r="N156" s="177">
        <f t="shared" si="30"/>
        <v>8.0499999999999972</v>
      </c>
      <c r="O156" s="177">
        <v>3.75</v>
      </c>
      <c r="P156" s="177">
        <v>1.296</v>
      </c>
      <c r="Q156" s="177">
        <f>31*16</f>
        <v>496</v>
      </c>
      <c r="R156" s="222">
        <f t="shared" si="31"/>
        <v>19.405007999999995</v>
      </c>
    </row>
    <row r="157" spans="5:18" ht="14" x14ac:dyDescent="0.25">
      <c r="E157" s="185" t="s">
        <v>13</v>
      </c>
      <c r="F157" s="220">
        <v>38.4</v>
      </c>
      <c r="G157" s="220">
        <v>8.8000000000000007</v>
      </c>
      <c r="H157" s="223">
        <f t="shared" si="32"/>
        <v>4.4000000000000004</v>
      </c>
      <c r="I157" s="220">
        <f t="shared" si="33"/>
        <v>34</v>
      </c>
      <c r="J157" s="177">
        <f t="shared" si="28"/>
        <v>1.75</v>
      </c>
      <c r="K157" s="177">
        <v>25</v>
      </c>
      <c r="L157" s="177">
        <f t="shared" si="34"/>
        <v>0.5</v>
      </c>
      <c r="M157" s="177">
        <f t="shared" si="29"/>
        <v>4.6000000000000014</v>
      </c>
      <c r="N157" s="177">
        <f t="shared" si="30"/>
        <v>6.8500000000000014</v>
      </c>
      <c r="O157" s="177">
        <v>3.75</v>
      </c>
      <c r="P157" s="177">
        <v>1.296</v>
      </c>
      <c r="Q157" s="177">
        <f>30*16</f>
        <v>480</v>
      </c>
      <c r="R157" s="222">
        <f t="shared" si="31"/>
        <v>15.979680000000005</v>
      </c>
    </row>
    <row r="158" spans="5:18" ht="14" x14ac:dyDescent="0.25">
      <c r="E158" s="185" t="s">
        <v>24</v>
      </c>
      <c r="F158" s="223">
        <v>37</v>
      </c>
      <c r="G158" s="223">
        <v>8.1</v>
      </c>
      <c r="H158" s="223">
        <f t="shared" si="32"/>
        <v>4.05</v>
      </c>
      <c r="I158" s="220">
        <f t="shared" si="33"/>
        <v>32.950000000000003</v>
      </c>
      <c r="J158" s="177">
        <f t="shared" si="28"/>
        <v>1.75</v>
      </c>
      <c r="K158" s="177">
        <v>25</v>
      </c>
      <c r="L158" s="177">
        <f t="shared" si="34"/>
        <v>0.5</v>
      </c>
      <c r="M158" s="177">
        <f t="shared" si="29"/>
        <v>3.5500000000000043</v>
      </c>
      <c r="N158" s="177">
        <f t="shared" si="30"/>
        <v>5.8000000000000043</v>
      </c>
      <c r="O158" s="177">
        <v>3.75</v>
      </c>
      <c r="P158" s="177">
        <v>1.296</v>
      </c>
      <c r="Q158" s="177">
        <f>31*16</f>
        <v>496</v>
      </c>
      <c r="R158" s="222">
        <f t="shared" si="31"/>
        <v>13.98124800000001</v>
      </c>
    </row>
    <row r="159" spans="5:18" ht="14" x14ac:dyDescent="0.25">
      <c r="E159" s="185" t="s">
        <v>19</v>
      </c>
      <c r="F159" s="223">
        <v>35.9</v>
      </c>
      <c r="G159" s="223">
        <v>7.9</v>
      </c>
      <c r="H159" s="223">
        <f t="shared" si="32"/>
        <v>3.95</v>
      </c>
      <c r="I159" s="220">
        <f t="shared" si="33"/>
        <v>31.95</v>
      </c>
      <c r="J159" s="177">
        <f t="shared" si="28"/>
        <v>1.75</v>
      </c>
      <c r="K159" s="177">
        <v>25</v>
      </c>
      <c r="L159" s="177">
        <f t="shared" si="34"/>
        <v>0.5</v>
      </c>
      <c r="M159" s="177">
        <f t="shared" si="29"/>
        <v>2.5500000000000007</v>
      </c>
      <c r="N159" s="177">
        <f t="shared" si="30"/>
        <v>4.8000000000000007</v>
      </c>
      <c r="O159" s="177">
        <v>3.75</v>
      </c>
      <c r="P159" s="177">
        <v>1.296</v>
      </c>
      <c r="Q159" s="177">
        <f>31*16</f>
        <v>496</v>
      </c>
      <c r="R159" s="222">
        <f t="shared" si="31"/>
        <v>11.570688000000004</v>
      </c>
    </row>
    <row r="160" spans="5:18" ht="14" x14ac:dyDescent="0.25">
      <c r="E160" s="185" t="s">
        <v>20</v>
      </c>
      <c r="F160" s="223">
        <v>35</v>
      </c>
      <c r="G160" s="223">
        <v>7.7</v>
      </c>
      <c r="H160" s="223">
        <f t="shared" si="32"/>
        <v>3.85</v>
      </c>
      <c r="I160" s="220">
        <f t="shared" si="33"/>
        <v>31.15</v>
      </c>
      <c r="J160" s="177">
        <f t="shared" si="28"/>
        <v>1.75</v>
      </c>
      <c r="K160" s="177">
        <v>25</v>
      </c>
      <c r="L160" s="177">
        <f t="shared" si="34"/>
        <v>0.5</v>
      </c>
      <c r="M160" s="177">
        <f t="shared" si="29"/>
        <v>1.75</v>
      </c>
      <c r="N160" s="177">
        <f t="shared" si="30"/>
        <v>4</v>
      </c>
      <c r="O160" s="177">
        <v>3.75</v>
      </c>
      <c r="P160" s="177">
        <v>1.296</v>
      </c>
      <c r="Q160" s="177">
        <f>30*16</f>
        <v>480</v>
      </c>
      <c r="R160" s="222">
        <f t="shared" si="31"/>
        <v>9.3312000000000008</v>
      </c>
    </row>
    <row r="161" spans="5:18" ht="14" x14ac:dyDescent="0.25">
      <c r="E161" s="185" t="s">
        <v>21</v>
      </c>
      <c r="F161" s="223">
        <v>34</v>
      </c>
      <c r="G161" s="223">
        <v>6.7</v>
      </c>
      <c r="H161" s="223">
        <f t="shared" si="32"/>
        <v>3.35</v>
      </c>
      <c r="I161" s="220">
        <f t="shared" si="33"/>
        <v>30.65</v>
      </c>
      <c r="J161" s="177">
        <f t="shared" si="28"/>
        <v>1.75</v>
      </c>
      <c r="K161" s="177">
        <v>25</v>
      </c>
      <c r="L161" s="177">
        <f t="shared" si="34"/>
        <v>0.5</v>
      </c>
      <c r="M161" s="177">
        <f t="shared" si="29"/>
        <v>1.25</v>
      </c>
      <c r="N161" s="177">
        <f t="shared" si="30"/>
        <v>3.5</v>
      </c>
      <c r="O161" s="177">
        <v>3.75</v>
      </c>
      <c r="P161" s="177">
        <v>1.296</v>
      </c>
      <c r="Q161" s="177">
        <f>31*16</f>
        <v>496</v>
      </c>
      <c r="R161" s="222">
        <f t="shared" si="31"/>
        <v>8.4369600000000009</v>
      </c>
    </row>
    <row r="162" spans="5:18" ht="14" x14ac:dyDescent="0.25">
      <c r="E162" s="185" t="s">
        <v>22</v>
      </c>
      <c r="F162" s="223">
        <v>31.2</v>
      </c>
      <c r="G162" s="223">
        <v>6.1</v>
      </c>
      <c r="H162" s="223">
        <f t="shared" si="32"/>
        <v>3.05</v>
      </c>
      <c r="I162" s="220">
        <f t="shared" si="33"/>
        <v>28.15</v>
      </c>
      <c r="J162" s="177">
        <f t="shared" si="28"/>
        <v>1.75</v>
      </c>
      <c r="K162" s="177">
        <v>25</v>
      </c>
      <c r="L162" s="177">
        <f t="shared" si="34"/>
        <v>0.5</v>
      </c>
      <c r="M162" s="177">
        <f t="shared" si="29"/>
        <v>-1.25</v>
      </c>
      <c r="N162" s="177">
        <f t="shared" si="30"/>
        <v>1</v>
      </c>
      <c r="O162" s="177">
        <v>3.75</v>
      </c>
      <c r="P162" s="177">
        <v>1.296</v>
      </c>
      <c r="Q162" s="177">
        <f>30*16</f>
        <v>480</v>
      </c>
      <c r="R162" s="222">
        <f t="shared" si="31"/>
        <v>2.3328000000000002</v>
      </c>
    </row>
    <row r="163" spans="5:18" ht="14" x14ac:dyDescent="0.25">
      <c r="E163" s="185" t="s">
        <v>23</v>
      </c>
      <c r="F163" s="223">
        <v>30.1</v>
      </c>
      <c r="G163" s="223">
        <v>6.7</v>
      </c>
      <c r="H163" s="223">
        <f t="shared" si="32"/>
        <v>3.35</v>
      </c>
      <c r="I163" s="220">
        <f t="shared" si="33"/>
        <v>26.75</v>
      </c>
      <c r="J163" s="177">
        <f t="shared" si="28"/>
        <v>1.75</v>
      </c>
      <c r="K163" s="177">
        <v>25</v>
      </c>
      <c r="L163" s="177">
        <f t="shared" si="34"/>
        <v>0.5</v>
      </c>
      <c r="M163" s="177">
        <f t="shared" si="29"/>
        <v>-2.6499999999999986</v>
      </c>
      <c r="N163" s="177">
        <f t="shared" si="30"/>
        <v>-0.39999999999999858</v>
      </c>
      <c r="O163" s="177">
        <v>3.75</v>
      </c>
      <c r="P163" s="177">
        <v>1.296</v>
      </c>
      <c r="Q163" s="177">
        <f>31*16</f>
        <v>496</v>
      </c>
      <c r="R163" s="222">
        <f t="shared" si="31"/>
        <v>-0.96422399999999653</v>
      </c>
    </row>
    <row r="164" spans="5:18" ht="15" x14ac:dyDescent="0.25">
      <c r="E164" s="382" t="s">
        <v>61</v>
      </c>
      <c r="F164" s="383"/>
      <c r="G164" s="383"/>
      <c r="H164" s="383"/>
      <c r="I164" s="383"/>
      <c r="J164" s="383"/>
      <c r="K164" s="383"/>
      <c r="L164" s="383"/>
      <c r="M164" s="383"/>
      <c r="N164" s="383"/>
      <c r="O164" s="383"/>
      <c r="P164" s="383"/>
      <c r="Q164" s="383"/>
      <c r="R164" s="225">
        <f>SUM(R152:R163)</f>
        <v>100.32984000000002</v>
      </c>
    </row>
    <row r="165" spans="5:18" ht="15" x14ac:dyDescent="0.4">
      <c r="E165" s="379" t="s">
        <v>74</v>
      </c>
      <c r="F165" s="380"/>
      <c r="G165" s="380"/>
      <c r="H165" s="380"/>
      <c r="I165" s="380"/>
      <c r="J165" s="380"/>
      <c r="K165" s="380"/>
      <c r="L165" s="380"/>
      <c r="M165" s="380"/>
      <c r="N165" s="380"/>
      <c r="O165" s="380"/>
      <c r="P165" s="380"/>
      <c r="Q165" s="380"/>
      <c r="R165" s="381"/>
    </row>
    <row r="166" spans="5:18" ht="14" x14ac:dyDescent="0.25">
      <c r="E166" s="185" t="s">
        <v>15</v>
      </c>
      <c r="F166" s="220">
        <v>30.2</v>
      </c>
      <c r="G166" s="220">
        <v>7.9</v>
      </c>
      <c r="H166" s="223">
        <f>G166/2</f>
        <v>3.95</v>
      </c>
      <c r="I166" s="220">
        <f>F166-H166</f>
        <v>26.25</v>
      </c>
      <c r="J166" s="180">
        <f t="shared" ref="J166:J177" si="35">C$126</f>
        <v>1.75</v>
      </c>
      <c r="K166" s="180">
        <v>26</v>
      </c>
      <c r="L166" s="180">
        <f>25.5-K166</f>
        <v>-0.5</v>
      </c>
      <c r="M166" s="177">
        <f t="shared" ref="M166:M177" si="36">I166-29.4</f>
        <v>-3.1499999999999986</v>
      </c>
      <c r="N166" s="177">
        <f>J166+L166+M166</f>
        <v>-1.8999999999999986</v>
      </c>
      <c r="O166" s="177">
        <v>3.75</v>
      </c>
      <c r="P166" s="177">
        <v>1.296</v>
      </c>
      <c r="Q166" s="177">
        <f>31*16</f>
        <v>496</v>
      </c>
      <c r="R166" s="222">
        <f t="shared" ref="R166:R177" si="37">(N166*O166*P166*Q166)/1000</f>
        <v>-4.5800639999999966</v>
      </c>
    </row>
    <row r="167" spans="5:18" ht="14" x14ac:dyDescent="0.25">
      <c r="E167" s="185" t="s">
        <v>16</v>
      </c>
      <c r="F167" s="220">
        <v>32.200000000000003</v>
      </c>
      <c r="G167" s="220">
        <v>8.6999999999999993</v>
      </c>
      <c r="H167" s="223">
        <f t="shared" ref="H167:H177" si="38">G167/2</f>
        <v>4.3499999999999996</v>
      </c>
      <c r="I167" s="220">
        <f t="shared" ref="I167:I177" si="39">F167-H167</f>
        <v>27.85</v>
      </c>
      <c r="J167" s="180">
        <f t="shared" si="35"/>
        <v>1.75</v>
      </c>
      <c r="K167" s="180">
        <v>26</v>
      </c>
      <c r="L167" s="180">
        <f t="shared" ref="L167:L177" si="40">25.5-K167</f>
        <v>-0.5</v>
      </c>
      <c r="M167" s="177">
        <f t="shared" si="36"/>
        <v>-1.5499999999999972</v>
      </c>
      <c r="N167" s="177">
        <f t="shared" ref="N167:N177" si="41">J167+L167+M167</f>
        <v>-0.29999999999999716</v>
      </c>
      <c r="O167" s="177">
        <v>3.75</v>
      </c>
      <c r="P167" s="177">
        <v>1.296</v>
      </c>
      <c r="Q167" s="177">
        <f>28*16</f>
        <v>448</v>
      </c>
      <c r="R167" s="222">
        <f t="shared" si="37"/>
        <v>-0.65318399999999388</v>
      </c>
    </row>
    <row r="168" spans="5:18" ht="14" x14ac:dyDescent="0.25">
      <c r="E168" s="185" t="s">
        <v>17</v>
      </c>
      <c r="F168" s="220">
        <v>34.9</v>
      </c>
      <c r="G168" s="220">
        <v>8.9</v>
      </c>
      <c r="H168" s="223">
        <f t="shared" si="38"/>
        <v>4.45</v>
      </c>
      <c r="I168" s="220">
        <f t="shared" si="39"/>
        <v>30.45</v>
      </c>
      <c r="J168" s="180">
        <f t="shared" si="35"/>
        <v>1.75</v>
      </c>
      <c r="K168" s="180">
        <v>26</v>
      </c>
      <c r="L168" s="180">
        <f t="shared" si="40"/>
        <v>-0.5</v>
      </c>
      <c r="M168" s="177">
        <f t="shared" si="36"/>
        <v>1.0500000000000007</v>
      </c>
      <c r="N168" s="177">
        <f t="shared" si="41"/>
        <v>2.3000000000000007</v>
      </c>
      <c r="O168" s="177">
        <v>3.75</v>
      </c>
      <c r="P168" s="177">
        <v>1.296</v>
      </c>
      <c r="Q168" s="177">
        <f>31*16</f>
        <v>496</v>
      </c>
      <c r="R168" s="222">
        <f t="shared" si="37"/>
        <v>5.5442880000000025</v>
      </c>
    </row>
    <row r="169" spans="5:18" ht="14" x14ac:dyDescent="0.25">
      <c r="E169" s="185" t="s">
        <v>18</v>
      </c>
      <c r="F169" s="220">
        <v>36.799999999999997</v>
      </c>
      <c r="G169" s="220">
        <v>8.1999999999999993</v>
      </c>
      <c r="H169" s="223">
        <f t="shared" si="38"/>
        <v>4.0999999999999996</v>
      </c>
      <c r="I169" s="220">
        <f t="shared" si="39"/>
        <v>32.699999999999996</v>
      </c>
      <c r="J169" s="180">
        <f t="shared" si="35"/>
        <v>1.75</v>
      </c>
      <c r="K169" s="180">
        <v>26</v>
      </c>
      <c r="L169" s="180">
        <f t="shared" si="40"/>
        <v>-0.5</v>
      </c>
      <c r="M169" s="177">
        <f t="shared" si="36"/>
        <v>3.2999999999999972</v>
      </c>
      <c r="N169" s="177">
        <f t="shared" si="41"/>
        <v>4.5499999999999972</v>
      </c>
      <c r="O169" s="177">
        <v>3.75</v>
      </c>
      <c r="P169" s="177">
        <v>1.296</v>
      </c>
      <c r="Q169" s="177">
        <f>30*16</f>
        <v>480</v>
      </c>
      <c r="R169" s="222">
        <f t="shared" si="37"/>
        <v>10.614239999999992</v>
      </c>
    </row>
    <row r="170" spans="5:18" ht="14" x14ac:dyDescent="0.25">
      <c r="E170" s="185" t="s">
        <v>12</v>
      </c>
      <c r="F170" s="220">
        <v>39.799999999999997</v>
      </c>
      <c r="G170" s="220">
        <v>9.1999999999999993</v>
      </c>
      <c r="H170" s="223">
        <f t="shared" si="38"/>
        <v>4.5999999999999996</v>
      </c>
      <c r="I170" s="220">
        <f t="shared" si="39"/>
        <v>35.199999999999996</v>
      </c>
      <c r="J170" s="180">
        <f t="shared" si="35"/>
        <v>1.75</v>
      </c>
      <c r="K170" s="180">
        <v>26</v>
      </c>
      <c r="L170" s="180">
        <f t="shared" si="40"/>
        <v>-0.5</v>
      </c>
      <c r="M170" s="177">
        <f t="shared" si="36"/>
        <v>5.7999999999999972</v>
      </c>
      <c r="N170" s="177">
        <f t="shared" si="41"/>
        <v>7.0499999999999972</v>
      </c>
      <c r="O170" s="177">
        <v>3.75</v>
      </c>
      <c r="P170" s="177">
        <v>1.296</v>
      </c>
      <c r="Q170" s="177">
        <f>31*16</f>
        <v>496</v>
      </c>
      <c r="R170" s="222">
        <f t="shared" si="37"/>
        <v>16.994447999999991</v>
      </c>
    </row>
    <row r="171" spans="5:18" ht="14" x14ac:dyDescent="0.25">
      <c r="E171" s="185" t="s">
        <v>13</v>
      </c>
      <c r="F171" s="220">
        <v>38.4</v>
      </c>
      <c r="G171" s="220">
        <v>8.8000000000000007</v>
      </c>
      <c r="H171" s="223">
        <f t="shared" si="38"/>
        <v>4.4000000000000004</v>
      </c>
      <c r="I171" s="220">
        <f t="shared" si="39"/>
        <v>34</v>
      </c>
      <c r="J171" s="180">
        <f t="shared" si="35"/>
        <v>1.75</v>
      </c>
      <c r="K171" s="180">
        <v>26</v>
      </c>
      <c r="L171" s="180">
        <f t="shared" si="40"/>
        <v>-0.5</v>
      </c>
      <c r="M171" s="177">
        <f t="shared" si="36"/>
        <v>4.6000000000000014</v>
      </c>
      <c r="N171" s="177">
        <f t="shared" si="41"/>
        <v>5.8500000000000014</v>
      </c>
      <c r="O171" s="177">
        <v>3.75</v>
      </c>
      <c r="P171" s="177">
        <v>1.296</v>
      </c>
      <c r="Q171" s="177">
        <f>30*16</f>
        <v>480</v>
      </c>
      <c r="R171" s="222">
        <f t="shared" si="37"/>
        <v>13.646880000000005</v>
      </c>
    </row>
    <row r="172" spans="5:18" ht="14" x14ac:dyDescent="0.25">
      <c r="E172" s="185" t="s">
        <v>24</v>
      </c>
      <c r="F172" s="223">
        <v>37</v>
      </c>
      <c r="G172" s="223">
        <v>8.1</v>
      </c>
      <c r="H172" s="223">
        <f t="shared" si="38"/>
        <v>4.05</v>
      </c>
      <c r="I172" s="220">
        <f t="shared" si="39"/>
        <v>32.950000000000003</v>
      </c>
      <c r="J172" s="180">
        <f t="shared" si="35"/>
        <v>1.75</v>
      </c>
      <c r="K172" s="180">
        <v>26</v>
      </c>
      <c r="L172" s="180">
        <f t="shared" si="40"/>
        <v>-0.5</v>
      </c>
      <c r="M172" s="177">
        <f t="shared" si="36"/>
        <v>3.5500000000000043</v>
      </c>
      <c r="N172" s="177">
        <f t="shared" si="41"/>
        <v>4.8000000000000043</v>
      </c>
      <c r="O172" s="177">
        <v>3.75</v>
      </c>
      <c r="P172" s="177">
        <v>1.296</v>
      </c>
      <c r="Q172" s="177">
        <f>31*16</f>
        <v>496</v>
      </c>
      <c r="R172" s="222">
        <f t="shared" si="37"/>
        <v>11.570688000000011</v>
      </c>
    </row>
    <row r="173" spans="5:18" ht="14" x14ac:dyDescent="0.25">
      <c r="E173" s="185" t="s">
        <v>19</v>
      </c>
      <c r="F173" s="223">
        <v>35.9</v>
      </c>
      <c r="G173" s="223">
        <v>7.9</v>
      </c>
      <c r="H173" s="223">
        <f t="shared" si="38"/>
        <v>3.95</v>
      </c>
      <c r="I173" s="220">
        <f t="shared" si="39"/>
        <v>31.95</v>
      </c>
      <c r="J173" s="180">
        <f t="shared" si="35"/>
        <v>1.75</v>
      </c>
      <c r="K173" s="180">
        <v>26</v>
      </c>
      <c r="L173" s="180">
        <f t="shared" si="40"/>
        <v>-0.5</v>
      </c>
      <c r="M173" s="177">
        <f t="shared" si="36"/>
        <v>2.5500000000000007</v>
      </c>
      <c r="N173" s="177">
        <f t="shared" si="41"/>
        <v>3.8000000000000007</v>
      </c>
      <c r="O173" s="177">
        <v>3.75</v>
      </c>
      <c r="P173" s="177">
        <v>1.296</v>
      </c>
      <c r="Q173" s="177">
        <f>31*16</f>
        <v>496</v>
      </c>
      <c r="R173" s="222">
        <f t="shared" si="37"/>
        <v>9.160128000000002</v>
      </c>
    </row>
    <row r="174" spans="5:18" ht="14" x14ac:dyDescent="0.25">
      <c r="E174" s="185" t="s">
        <v>20</v>
      </c>
      <c r="F174" s="223">
        <v>35</v>
      </c>
      <c r="G174" s="223">
        <v>7.7</v>
      </c>
      <c r="H174" s="223">
        <f t="shared" si="38"/>
        <v>3.85</v>
      </c>
      <c r="I174" s="220">
        <f t="shared" si="39"/>
        <v>31.15</v>
      </c>
      <c r="J174" s="180">
        <f t="shared" si="35"/>
        <v>1.75</v>
      </c>
      <c r="K174" s="180">
        <v>26</v>
      </c>
      <c r="L174" s="180">
        <f t="shared" si="40"/>
        <v>-0.5</v>
      </c>
      <c r="M174" s="177">
        <f t="shared" si="36"/>
        <v>1.75</v>
      </c>
      <c r="N174" s="177">
        <f t="shared" si="41"/>
        <v>3</v>
      </c>
      <c r="O174" s="177">
        <v>3.75</v>
      </c>
      <c r="P174" s="177">
        <v>1.296</v>
      </c>
      <c r="Q174" s="177">
        <f>30*16</f>
        <v>480</v>
      </c>
      <c r="R174" s="222">
        <f t="shared" si="37"/>
        <v>6.9983999999999993</v>
      </c>
    </row>
    <row r="175" spans="5:18" ht="14" x14ac:dyDescent="0.25">
      <c r="E175" s="185" t="s">
        <v>21</v>
      </c>
      <c r="F175" s="223">
        <v>34</v>
      </c>
      <c r="G175" s="223">
        <v>6.7</v>
      </c>
      <c r="H175" s="223">
        <f t="shared" si="38"/>
        <v>3.35</v>
      </c>
      <c r="I175" s="220">
        <f t="shared" si="39"/>
        <v>30.65</v>
      </c>
      <c r="J175" s="180">
        <f t="shared" si="35"/>
        <v>1.75</v>
      </c>
      <c r="K175" s="180">
        <v>26</v>
      </c>
      <c r="L175" s="180">
        <f t="shared" si="40"/>
        <v>-0.5</v>
      </c>
      <c r="M175" s="177">
        <f t="shared" si="36"/>
        <v>1.25</v>
      </c>
      <c r="N175" s="177">
        <f t="shared" si="41"/>
        <v>2.5</v>
      </c>
      <c r="O175" s="177">
        <v>3.75</v>
      </c>
      <c r="P175" s="177">
        <v>1.296</v>
      </c>
      <c r="Q175" s="177">
        <f>31*16</f>
        <v>496</v>
      </c>
      <c r="R175" s="222">
        <f t="shared" si="37"/>
        <v>6.0264000000000006</v>
      </c>
    </row>
    <row r="176" spans="5:18" ht="14" x14ac:dyDescent="0.25">
      <c r="E176" s="185" t="s">
        <v>22</v>
      </c>
      <c r="F176" s="223">
        <v>31.2</v>
      </c>
      <c r="G176" s="223">
        <v>6.1</v>
      </c>
      <c r="H176" s="223">
        <f t="shared" si="38"/>
        <v>3.05</v>
      </c>
      <c r="I176" s="220">
        <f t="shared" si="39"/>
        <v>28.15</v>
      </c>
      <c r="J176" s="180">
        <f t="shared" si="35"/>
        <v>1.75</v>
      </c>
      <c r="K176" s="180">
        <v>26</v>
      </c>
      <c r="L176" s="180">
        <f t="shared" si="40"/>
        <v>-0.5</v>
      </c>
      <c r="M176" s="177">
        <f t="shared" si="36"/>
        <v>-1.25</v>
      </c>
      <c r="N176" s="177">
        <f t="shared" si="41"/>
        <v>0</v>
      </c>
      <c r="O176" s="177">
        <v>3.75</v>
      </c>
      <c r="P176" s="177">
        <v>1.296</v>
      </c>
      <c r="Q176" s="177">
        <f>30*16</f>
        <v>480</v>
      </c>
      <c r="R176" s="222">
        <f t="shared" si="37"/>
        <v>0</v>
      </c>
    </row>
    <row r="177" spans="5:18" ht="14" x14ac:dyDescent="0.25">
      <c r="E177" s="185" t="s">
        <v>23</v>
      </c>
      <c r="F177" s="223">
        <v>30.1</v>
      </c>
      <c r="G177" s="223">
        <v>6.7</v>
      </c>
      <c r="H177" s="223">
        <f t="shared" si="38"/>
        <v>3.35</v>
      </c>
      <c r="I177" s="220">
        <f t="shared" si="39"/>
        <v>26.75</v>
      </c>
      <c r="J177" s="180">
        <f t="shared" si="35"/>
        <v>1.75</v>
      </c>
      <c r="K177" s="180">
        <v>26</v>
      </c>
      <c r="L177" s="180">
        <f t="shared" si="40"/>
        <v>-0.5</v>
      </c>
      <c r="M177" s="177">
        <f t="shared" si="36"/>
        <v>-2.6499999999999986</v>
      </c>
      <c r="N177" s="177">
        <f t="shared" si="41"/>
        <v>-1.3999999999999986</v>
      </c>
      <c r="O177" s="177">
        <v>3.75</v>
      </c>
      <c r="P177" s="177">
        <v>1.296</v>
      </c>
      <c r="Q177" s="177">
        <f>31*16</f>
        <v>496</v>
      </c>
      <c r="R177" s="222">
        <f t="shared" si="37"/>
        <v>-3.3747839999999965</v>
      </c>
    </row>
    <row r="178" spans="5:18" ht="15" x14ac:dyDescent="0.25">
      <c r="E178" s="382" t="s">
        <v>61</v>
      </c>
      <c r="F178" s="383"/>
      <c r="G178" s="383"/>
      <c r="H178" s="383"/>
      <c r="I178" s="383"/>
      <c r="J178" s="383"/>
      <c r="K178" s="383"/>
      <c r="L178" s="383"/>
      <c r="M178" s="383"/>
      <c r="N178" s="383"/>
      <c r="O178" s="383"/>
      <c r="P178" s="383"/>
      <c r="Q178" s="383"/>
      <c r="R178" s="225">
        <f>SUM(R166:R177)</f>
        <v>71.947440000000014</v>
      </c>
    </row>
    <row r="179" spans="5:18" ht="15" x14ac:dyDescent="0.4">
      <c r="E179" s="379" t="s">
        <v>75</v>
      </c>
      <c r="F179" s="380"/>
      <c r="G179" s="380"/>
      <c r="H179" s="380"/>
      <c r="I179" s="380"/>
      <c r="J179" s="380"/>
      <c r="K179" s="380"/>
      <c r="L179" s="380"/>
      <c r="M179" s="380"/>
      <c r="N179" s="380"/>
      <c r="O179" s="380"/>
      <c r="P179" s="380"/>
      <c r="Q179" s="380"/>
      <c r="R179" s="381"/>
    </row>
    <row r="180" spans="5:18" ht="14" x14ac:dyDescent="0.25">
      <c r="E180" s="185" t="s">
        <v>15</v>
      </c>
      <c r="F180" s="220">
        <v>30.2</v>
      </c>
      <c r="G180" s="220">
        <v>7.9</v>
      </c>
      <c r="H180" s="223">
        <f>G180/2</f>
        <v>3.95</v>
      </c>
      <c r="I180" s="220">
        <f>F180-H180</f>
        <v>26.25</v>
      </c>
      <c r="J180" s="180">
        <f t="shared" ref="J180:J191" si="42">C$126</f>
        <v>1.75</v>
      </c>
      <c r="K180" s="180">
        <v>27</v>
      </c>
      <c r="L180" s="180">
        <f>25.5-K180</f>
        <v>-1.5</v>
      </c>
      <c r="M180" s="177">
        <f t="shared" ref="M180:M191" si="43">I180-29.4</f>
        <v>-3.1499999999999986</v>
      </c>
      <c r="N180" s="177">
        <f>J180+L180+M180</f>
        <v>-2.8999999999999986</v>
      </c>
      <c r="O180" s="177">
        <v>3.75</v>
      </c>
      <c r="P180" s="177">
        <v>1.296</v>
      </c>
      <c r="Q180" s="177">
        <f>31*16</f>
        <v>496</v>
      </c>
      <c r="R180" s="222">
        <f t="shared" ref="R180:R191" si="44">(N180*O180*P180*Q180)/1000</f>
        <v>-6.9906239999999968</v>
      </c>
    </row>
    <row r="181" spans="5:18" ht="14" x14ac:dyDescent="0.25">
      <c r="E181" s="185" t="s">
        <v>16</v>
      </c>
      <c r="F181" s="220">
        <v>32.200000000000003</v>
      </c>
      <c r="G181" s="220">
        <v>8.6999999999999993</v>
      </c>
      <c r="H181" s="223">
        <f t="shared" ref="H181:H191" si="45">G181/2</f>
        <v>4.3499999999999996</v>
      </c>
      <c r="I181" s="220">
        <f t="shared" ref="I181:I191" si="46">F181-H181</f>
        <v>27.85</v>
      </c>
      <c r="J181" s="180">
        <f t="shared" si="42"/>
        <v>1.75</v>
      </c>
      <c r="K181" s="180">
        <v>27</v>
      </c>
      <c r="L181" s="180">
        <f t="shared" ref="L181:L191" si="47">25.5-K181</f>
        <v>-1.5</v>
      </c>
      <c r="M181" s="177">
        <f t="shared" si="43"/>
        <v>-1.5499999999999972</v>
      </c>
      <c r="N181" s="177">
        <f t="shared" ref="N181:N191" si="48">J181+L181+M181</f>
        <v>-1.2999999999999972</v>
      </c>
      <c r="O181" s="177">
        <v>3.75</v>
      </c>
      <c r="P181" s="177">
        <v>1.296</v>
      </c>
      <c r="Q181" s="177">
        <f>28*16</f>
        <v>448</v>
      </c>
      <c r="R181" s="222">
        <f t="shared" si="44"/>
        <v>-2.8304639999999939</v>
      </c>
    </row>
    <row r="182" spans="5:18" ht="14" x14ac:dyDescent="0.25">
      <c r="E182" s="185" t="s">
        <v>17</v>
      </c>
      <c r="F182" s="220">
        <v>34.9</v>
      </c>
      <c r="G182" s="220">
        <v>8.9</v>
      </c>
      <c r="H182" s="223">
        <f t="shared" si="45"/>
        <v>4.45</v>
      </c>
      <c r="I182" s="220">
        <f t="shared" si="46"/>
        <v>30.45</v>
      </c>
      <c r="J182" s="180">
        <f t="shared" si="42"/>
        <v>1.75</v>
      </c>
      <c r="K182" s="180">
        <v>27</v>
      </c>
      <c r="L182" s="180">
        <f t="shared" si="47"/>
        <v>-1.5</v>
      </c>
      <c r="M182" s="177">
        <f t="shared" si="43"/>
        <v>1.0500000000000007</v>
      </c>
      <c r="N182" s="177">
        <f t="shared" si="48"/>
        <v>1.3000000000000007</v>
      </c>
      <c r="O182" s="177">
        <v>3.75</v>
      </c>
      <c r="P182" s="177">
        <v>1.296</v>
      </c>
      <c r="Q182" s="177">
        <f>31*16</f>
        <v>496</v>
      </c>
      <c r="R182" s="222">
        <f t="shared" si="44"/>
        <v>3.1337280000000018</v>
      </c>
    </row>
    <row r="183" spans="5:18" ht="14" x14ac:dyDescent="0.25">
      <c r="E183" s="185" t="s">
        <v>18</v>
      </c>
      <c r="F183" s="220">
        <v>36.799999999999997</v>
      </c>
      <c r="G183" s="220">
        <v>8.1999999999999993</v>
      </c>
      <c r="H183" s="223">
        <f t="shared" si="45"/>
        <v>4.0999999999999996</v>
      </c>
      <c r="I183" s="220">
        <f t="shared" si="46"/>
        <v>32.699999999999996</v>
      </c>
      <c r="J183" s="180">
        <f t="shared" si="42"/>
        <v>1.75</v>
      </c>
      <c r="K183" s="180">
        <v>27</v>
      </c>
      <c r="L183" s="180">
        <f t="shared" si="47"/>
        <v>-1.5</v>
      </c>
      <c r="M183" s="177">
        <f t="shared" si="43"/>
        <v>3.2999999999999972</v>
      </c>
      <c r="N183" s="177">
        <f t="shared" si="48"/>
        <v>3.5499999999999972</v>
      </c>
      <c r="O183" s="177">
        <v>3.75</v>
      </c>
      <c r="P183" s="177">
        <v>1.296</v>
      </c>
      <c r="Q183" s="177">
        <f>30*16</f>
        <v>480</v>
      </c>
      <c r="R183" s="222">
        <f t="shared" si="44"/>
        <v>8.2814399999999928</v>
      </c>
    </row>
    <row r="184" spans="5:18" ht="14" x14ac:dyDescent="0.25">
      <c r="E184" s="185" t="s">
        <v>12</v>
      </c>
      <c r="F184" s="220">
        <v>39.799999999999997</v>
      </c>
      <c r="G184" s="220">
        <v>9.1999999999999993</v>
      </c>
      <c r="H184" s="223">
        <f t="shared" si="45"/>
        <v>4.5999999999999996</v>
      </c>
      <c r="I184" s="220">
        <f t="shared" si="46"/>
        <v>35.199999999999996</v>
      </c>
      <c r="J184" s="180">
        <f t="shared" si="42"/>
        <v>1.75</v>
      </c>
      <c r="K184" s="180">
        <v>27</v>
      </c>
      <c r="L184" s="180">
        <f t="shared" si="47"/>
        <v>-1.5</v>
      </c>
      <c r="M184" s="177">
        <f t="shared" si="43"/>
        <v>5.7999999999999972</v>
      </c>
      <c r="N184" s="177">
        <f t="shared" si="48"/>
        <v>6.0499999999999972</v>
      </c>
      <c r="O184" s="177">
        <v>3.75</v>
      </c>
      <c r="P184" s="177">
        <v>1.296</v>
      </c>
      <c r="Q184" s="177">
        <f>31*16</f>
        <v>496</v>
      </c>
      <c r="R184" s="222">
        <f t="shared" si="44"/>
        <v>14.583887999999993</v>
      </c>
    </row>
    <row r="185" spans="5:18" ht="14" x14ac:dyDescent="0.25">
      <c r="E185" s="185" t="s">
        <v>13</v>
      </c>
      <c r="F185" s="220">
        <v>38.4</v>
      </c>
      <c r="G185" s="220">
        <v>8.8000000000000007</v>
      </c>
      <c r="H185" s="223">
        <f t="shared" si="45"/>
        <v>4.4000000000000004</v>
      </c>
      <c r="I185" s="220">
        <f t="shared" si="46"/>
        <v>34</v>
      </c>
      <c r="J185" s="180">
        <f t="shared" si="42"/>
        <v>1.75</v>
      </c>
      <c r="K185" s="180">
        <v>27</v>
      </c>
      <c r="L185" s="180">
        <f t="shared" si="47"/>
        <v>-1.5</v>
      </c>
      <c r="M185" s="177">
        <f t="shared" si="43"/>
        <v>4.6000000000000014</v>
      </c>
      <c r="N185" s="177">
        <f t="shared" si="48"/>
        <v>4.8500000000000014</v>
      </c>
      <c r="O185" s="177">
        <v>3.75</v>
      </c>
      <c r="P185" s="177">
        <v>1.296</v>
      </c>
      <c r="Q185" s="177">
        <f>30*16</f>
        <v>480</v>
      </c>
      <c r="R185" s="222">
        <f t="shared" si="44"/>
        <v>11.314080000000004</v>
      </c>
    </row>
    <row r="186" spans="5:18" ht="14" x14ac:dyDescent="0.25">
      <c r="E186" s="185" t="s">
        <v>24</v>
      </c>
      <c r="F186" s="223">
        <v>37</v>
      </c>
      <c r="G186" s="223">
        <v>8.1</v>
      </c>
      <c r="H186" s="223">
        <f t="shared" si="45"/>
        <v>4.05</v>
      </c>
      <c r="I186" s="220">
        <f t="shared" si="46"/>
        <v>32.950000000000003</v>
      </c>
      <c r="J186" s="180">
        <f t="shared" si="42"/>
        <v>1.75</v>
      </c>
      <c r="K186" s="180">
        <v>27</v>
      </c>
      <c r="L186" s="180">
        <f t="shared" si="47"/>
        <v>-1.5</v>
      </c>
      <c r="M186" s="177">
        <f t="shared" si="43"/>
        <v>3.5500000000000043</v>
      </c>
      <c r="N186" s="177">
        <f t="shared" si="48"/>
        <v>3.8000000000000043</v>
      </c>
      <c r="O186" s="177">
        <v>3.75</v>
      </c>
      <c r="P186" s="177">
        <v>1.296</v>
      </c>
      <c r="Q186" s="177">
        <f>31*16</f>
        <v>496</v>
      </c>
      <c r="R186" s="222">
        <f t="shared" si="44"/>
        <v>9.1601280000000092</v>
      </c>
    </row>
    <row r="187" spans="5:18" ht="14" x14ac:dyDescent="0.25">
      <c r="E187" s="185" t="s">
        <v>19</v>
      </c>
      <c r="F187" s="223">
        <v>35.9</v>
      </c>
      <c r="G187" s="223">
        <v>7.9</v>
      </c>
      <c r="H187" s="223">
        <f t="shared" si="45"/>
        <v>3.95</v>
      </c>
      <c r="I187" s="220">
        <f t="shared" si="46"/>
        <v>31.95</v>
      </c>
      <c r="J187" s="180">
        <f t="shared" si="42"/>
        <v>1.75</v>
      </c>
      <c r="K187" s="180">
        <v>27</v>
      </c>
      <c r="L187" s="180">
        <f t="shared" si="47"/>
        <v>-1.5</v>
      </c>
      <c r="M187" s="177">
        <f t="shared" si="43"/>
        <v>2.5500000000000007</v>
      </c>
      <c r="N187" s="177">
        <f t="shared" si="48"/>
        <v>2.8000000000000007</v>
      </c>
      <c r="O187" s="177">
        <v>3.75</v>
      </c>
      <c r="P187" s="177">
        <v>1.296</v>
      </c>
      <c r="Q187" s="177">
        <f>31*16</f>
        <v>496</v>
      </c>
      <c r="R187" s="222">
        <f t="shared" si="44"/>
        <v>6.7495680000000027</v>
      </c>
    </row>
    <row r="188" spans="5:18" ht="14" x14ac:dyDescent="0.25">
      <c r="E188" s="185" t="s">
        <v>20</v>
      </c>
      <c r="F188" s="223">
        <v>35</v>
      </c>
      <c r="G188" s="223">
        <v>7.7</v>
      </c>
      <c r="H188" s="223">
        <f t="shared" si="45"/>
        <v>3.85</v>
      </c>
      <c r="I188" s="220">
        <f t="shared" si="46"/>
        <v>31.15</v>
      </c>
      <c r="J188" s="180">
        <f t="shared" si="42"/>
        <v>1.75</v>
      </c>
      <c r="K188" s="180">
        <v>27</v>
      </c>
      <c r="L188" s="180">
        <f t="shared" si="47"/>
        <v>-1.5</v>
      </c>
      <c r="M188" s="177">
        <f t="shared" si="43"/>
        <v>1.75</v>
      </c>
      <c r="N188" s="177">
        <f t="shared" si="48"/>
        <v>2</v>
      </c>
      <c r="O188" s="177">
        <v>3.75</v>
      </c>
      <c r="P188" s="177">
        <v>1.296</v>
      </c>
      <c r="Q188" s="177">
        <f>30*16</f>
        <v>480</v>
      </c>
      <c r="R188" s="222">
        <f t="shared" si="44"/>
        <v>4.6656000000000004</v>
      </c>
    </row>
    <row r="189" spans="5:18" ht="14" x14ac:dyDescent="0.25">
      <c r="E189" s="185" t="s">
        <v>21</v>
      </c>
      <c r="F189" s="223">
        <v>34</v>
      </c>
      <c r="G189" s="223">
        <v>6.7</v>
      </c>
      <c r="H189" s="223">
        <f t="shared" si="45"/>
        <v>3.35</v>
      </c>
      <c r="I189" s="220">
        <f t="shared" si="46"/>
        <v>30.65</v>
      </c>
      <c r="J189" s="180">
        <f t="shared" si="42"/>
        <v>1.75</v>
      </c>
      <c r="K189" s="180">
        <v>27</v>
      </c>
      <c r="L189" s="180">
        <f t="shared" si="47"/>
        <v>-1.5</v>
      </c>
      <c r="M189" s="177">
        <f t="shared" si="43"/>
        <v>1.25</v>
      </c>
      <c r="N189" s="177">
        <f t="shared" si="48"/>
        <v>1.5</v>
      </c>
      <c r="O189" s="177">
        <v>3.75</v>
      </c>
      <c r="P189" s="177">
        <v>1.296</v>
      </c>
      <c r="Q189" s="177">
        <f>31*16</f>
        <v>496</v>
      </c>
      <c r="R189" s="222">
        <f t="shared" si="44"/>
        <v>3.6158399999999999</v>
      </c>
    </row>
    <row r="190" spans="5:18" ht="14" x14ac:dyDescent="0.25">
      <c r="E190" s="185" t="s">
        <v>22</v>
      </c>
      <c r="F190" s="223">
        <v>31.2</v>
      </c>
      <c r="G190" s="223">
        <v>6.1</v>
      </c>
      <c r="H190" s="223">
        <f t="shared" si="45"/>
        <v>3.05</v>
      </c>
      <c r="I190" s="220">
        <f t="shared" si="46"/>
        <v>28.15</v>
      </c>
      <c r="J190" s="180">
        <f t="shared" si="42"/>
        <v>1.75</v>
      </c>
      <c r="K190" s="180">
        <v>27</v>
      </c>
      <c r="L190" s="180">
        <f t="shared" si="47"/>
        <v>-1.5</v>
      </c>
      <c r="M190" s="177">
        <f t="shared" si="43"/>
        <v>-1.25</v>
      </c>
      <c r="N190" s="177">
        <f t="shared" si="48"/>
        <v>-1</v>
      </c>
      <c r="O190" s="177">
        <v>3.75</v>
      </c>
      <c r="P190" s="177">
        <v>1.296</v>
      </c>
      <c r="Q190" s="177">
        <f>30*16</f>
        <v>480</v>
      </c>
      <c r="R190" s="222">
        <f t="shared" si="44"/>
        <v>-2.3328000000000002</v>
      </c>
    </row>
    <row r="191" spans="5:18" ht="14" x14ac:dyDescent="0.25">
      <c r="E191" s="185" t="s">
        <v>23</v>
      </c>
      <c r="F191" s="223">
        <v>30.1</v>
      </c>
      <c r="G191" s="223">
        <v>6.7</v>
      </c>
      <c r="H191" s="223">
        <f t="shared" si="45"/>
        <v>3.35</v>
      </c>
      <c r="I191" s="220">
        <f t="shared" si="46"/>
        <v>26.75</v>
      </c>
      <c r="J191" s="180">
        <f t="shared" si="42"/>
        <v>1.75</v>
      </c>
      <c r="K191" s="180">
        <v>27</v>
      </c>
      <c r="L191" s="180">
        <f t="shared" si="47"/>
        <v>-1.5</v>
      </c>
      <c r="M191" s="177">
        <f t="shared" si="43"/>
        <v>-2.6499999999999986</v>
      </c>
      <c r="N191" s="177">
        <f t="shared" si="48"/>
        <v>-2.3999999999999986</v>
      </c>
      <c r="O191" s="177">
        <v>3.75</v>
      </c>
      <c r="P191" s="177">
        <v>1.296</v>
      </c>
      <c r="Q191" s="177">
        <f>31*16</f>
        <v>496</v>
      </c>
      <c r="R191" s="222">
        <f t="shared" si="44"/>
        <v>-5.7853439999999967</v>
      </c>
    </row>
    <row r="192" spans="5:18" ht="15" x14ac:dyDescent="0.25">
      <c r="E192" s="382" t="s">
        <v>61</v>
      </c>
      <c r="F192" s="383"/>
      <c r="G192" s="383"/>
      <c r="H192" s="383"/>
      <c r="I192" s="383"/>
      <c r="J192" s="383"/>
      <c r="K192" s="383"/>
      <c r="L192" s="383"/>
      <c r="M192" s="383"/>
      <c r="N192" s="383"/>
      <c r="O192" s="383"/>
      <c r="P192" s="383"/>
      <c r="Q192" s="383"/>
      <c r="R192" s="225">
        <f>SUM(R180:R191)</f>
        <v>43.565040000000018</v>
      </c>
    </row>
    <row r="193" spans="5:18" ht="15" x14ac:dyDescent="0.4">
      <c r="E193" s="379" t="s">
        <v>76</v>
      </c>
      <c r="F193" s="380"/>
      <c r="G193" s="380"/>
      <c r="H193" s="380"/>
      <c r="I193" s="380"/>
      <c r="J193" s="380"/>
      <c r="K193" s="380"/>
      <c r="L193" s="380"/>
      <c r="M193" s="380"/>
      <c r="N193" s="380"/>
      <c r="O193" s="380"/>
      <c r="P193" s="380"/>
      <c r="Q193" s="380"/>
      <c r="R193" s="381"/>
    </row>
    <row r="194" spans="5:18" ht="14" x14ac:dyDescent="0.25">
      <c r="E194" s="185" t="s">
        <v>15</v>
      </c>
      <c r="F194" s="220">
        <v>30.2</v>
      </c>
      <c r="G194" s="220">
        <v>7.9</v>
      </c>
      <c r="H194" s="223">
        <f>G194/2</f>
        <v>3.95</v>
      </c>
      <c r="I194" s="220">
        <f>F194-H194</f>
        <v>26.25</v>
      </c>
      <c r="J194" s="180">
        <f t="shared" ref="J194:J205" si="49">C$126</f>
        <v>1.75</v>
      </c>
      <c r="K194" s="180">
        <v>28</v>
      </c>
      <c r="L194" s="180">
        <f>25.5-K194</f>
        <v>-2.5</v>
      </c>
      <c r="M194" s="177">
        <f t="shared" ref="M194:M205" si="50">I194-29.4</f>
        <v>-3.1499999999999986</v>
      </c>
      <c r="N194" s="177">
        <f>J194+L194+M194</f>
        <v>-3.8999999999999986</v>
      </c>
      <c r="O194" s="177">
        <v>3.75</v>
      </c>
      <c r="P194" s="177">
        <v>1.296</v>
      </c>
      <c r="Q194" s="177">
        <f>31*16</f>
        <v>496</v>
      </c>
      <c r="R194" s="222">
        <f t="shared" ref="R194:R205" si="51">(N194*O194*P194*Q194)/1000</f>
        <v>-9.4011839999999971</v>
      </c>
    </row>
    <row r="195" spans="5:18" ht="14" x14ac:dyDescent="0.25">
      <c r="E195" s="185" t="s">
        <v>16</v>
      </c>
      <c r="F195" s="220">
        <v>32.200000000000003</v>
      </c>
      <c r="G195" s="220">
        <v>8.6999999999999993</v>
      </c>
      <c r="H195" s="223">
        <f t="shared" ref="H195:H205" si="52">G195/2</f>
        <v>4.3499999999999996</v>
      </c>
      <c r="I195" s="220">
        <f t="shared" ref="I195:I205" si="53">F195-H195</f>
        <v>27.85</v>
      </c>
      <c r="J195" s="180">
        <f t="shared" si="49"/>
        <v>1.75</v>
      </c>
      <c r="K195" s="180">
        <v>28</v>
      </c>
      <c r="L195" s="180">
        <f t="shared" ref="L195:L205" si="54">25.5-K195</f>
        <v>-2.5</v>
      </c>
      <c r="M195" s="177">
        <f t="shared" si="50"/>
        <v>-1.5499999999999972</v>
      </c>
      <c r="N195" s="177">
        <f t="shared" ref="N195:N205" si="55">J195+L195+M195</f>
        <v>-2.2999999999999972</v>
      </c>
      <c r="O195" s="177">
        <v>3.75</v>
      </c>
      <c r="P195" s="177">
        <v>1.296</v>
      </c>
      <c r="Q195" s="177">
        <f>28*16</f>
        <v>448</v>
      </c>
      <c r="R195" s="222">
        <f t="shared" si="51"/>
        <v>-5.0077439999999944</v>
      </c>
    </row>
    <row r="196" spans="5:18" ht="14" x14ac:dyDescent="0.25">
      <c r="E196" s="185" t="s">
        <v>17</v>
      </c>
      <c r="F196" s="220">
        <v>34.9</v>
      </c>
      <c r="G196" s="220">
        <v>8.9</v>
      </c>
      <c r="H196" s="223">
        <f t="shared" si="52"/>
        <v>4.45</v>
      </c>
      <c r="I196" s="220">
        <f t="shared" si="53"/>
        <v>30.45</v>
      </c>
      <c r="J196" s="180">
        <f t="shared" si="49"/>
        <v>1.75</v>
      </c>
      <c r="K196" s="180">
        <v>28</v>
      </c>
      <c r="L196" s="180">
        <f t="shared" si="54"/>
        <v>-2.5</v>
      </c>
      <c r="M196" s="177">
        <f t="shared" si="50"/>
        <v>1.0500000000000007</v>
      </c>
      <c r="N196" s="177">
        <f t="shared" si="55"/>
        <v>0.30000000000000071</v>
      </c>
      <c r="O196" s="177">
        <v>3.75</v>
      </c>
      <c r="P196" s="177">
        <v>1.296</v>
      </c>
      <c r="Q196" s="177">
        <f>31*16</f>
        <v>496</v>
      </c>
      <c r="R196" s="222">
        <f t="shared" si="51"/>
        <v>0.7231680000000017</v>
      </c>
    </row>
    <row r="197" spans="5:18" ht="14" x14ac:dyDescent="0.25">
      <c r="E197" s="185" t="s">
        <v>18</v>
      </c>
      <c r="F197" s="220">
        <v>36.799999999999997</v>
      </c>
      <c r="G197" s="220">
        <v>8.1999999999999993</v>
      </c>
      <c r="H197" s="223">
        <f t="shared" si="52"/>
        <v>4.0999999999999996</v>
      </c>
      <c r="I197" s="220">
        <f t="shared" si="53"/>
        <v>32.699999999999996</v>
      </c>
      <c r="J197" s="180">
        <f t="shared" si="49"/>
        <v>1.75</v>
      </c>
      <c r="K197" s="180">
        <v>28</v>
      </c>
      <c r="L197" s="180">
        <f t="shared" si="54"/>
        <v>-2.5</v>
      </c>
      <c r="M197" s="177">
        <f t="shared" si="50"/>
        <v>3.2999999999999972</v>
      </c>
      <c r="N197" s="177">
        <f t="shared" si="55"/>
        <v>2.5499999999999972</v>
      </c>
      <c r="O197" s="177">
        <v>3.75</v>
      </c>
      <c r="P197" s="177">
        <v>1.296</v>
      </c>
      <c r="Q197" s="177">
        <f>30*16</f>
        <v>480</v>
      </c>
      <c r="R197" s="222">
        <f t="shared" si="51"/>
        <v>5.9486399999999939</v>
      </c>
    </row>
    <row r="198" spans="5:18" ht="14" x14ac:dyDescent="0.25">
      <c r="E198" s="185" t="s">
        <v>12</v>
      </c>
      <c r="F198" s="220">
        <v>39.799999999999997</v>
      </c>
      <c r="G198" s="220">
        <v>9.1999999999999993</v>
      </c>
      <c r="H198" s="223">
        <f t="shared" si="52"/>
        <v>4.5999999999999996</v>
      </c>
      <c r="I198" s="220">
        <f t="shared" si="53"/>
        <v>35.199999999999996</v>
      </c>
      <c r="J198" s="180">
        <f t="shared" si="49"/>
        <v>1.75</v>
      </c>
      <c r="K198" s="180">
        <v>28</v>
      </c>
      <c r="L198" s="180">
        <f t="shared" si="54"/>
        <v>-2.5</v>
      </c>
      <c r="M198" s="177">
        <f t="shared" si="50"/>
        <v>5.7999999999999972</v>
      </c>
      <c r="N198" s="177">
        <f t="shared" si="55"/>
        <v>5.0499999999999972</v>
      </c>
      <c r="O198" s="177">
        <v>3.75</v>
      </c>
      <c r="P198" s="177">
        <v>1.296</v>
      </c>
      <c r="Q198" s="177">
        <f>31*16</f>
        <v>496</v>
      </c>
      <c r="R198" s="222">
        <f t="shared" si="51"/>
        <v>12.173327999999994</v>
      </c>
    </row>
    <row r="199" spans="5:18" ht="14" x14ac:dyDescent="0.25">
      <c r="E199" s="185" t="s">
        <v>13</v>
      </c>
      <c r="F199" s="220">
        <v>38.4</v>
      </c>
      <c r="G199" s="220">
        <v>8.8000000000000007</v>
      </c>
      <c r="H199" s="223">
        <f t="shared" si="52"/>
        <v>4.4000000000000004</v>
      </c>
      <c r="I199" s="220">
        <f t="shared" si="53"/>
        <v>34</v>
      </c>
      <c r="J199" s="180">
        <f t="shared" si="49"/>
        <v>1.75</v>
      </c>
      <c r="K199" s="180">
        <v>28</v>
      </c>
      <c r="L199" s="180">
        <f t="shared" si="54"/>
        <v>-2.5</v>
      </c>
      <c r="M199" s="177">
        <f t="shared" si="50"/>
        <v>4.6000000000000014</v>
      </c>
      <c r="N199" s="177">
        <f t="shared" si="55"/>
        <v>3.8500000000000014</v>
      </c>
      <c r="O199" s="177">
        <v>3.75</v>
      </c>
      <c r="P199" s="177">
        <v>1.296</v>
      </c>
      <c r="Q199" s="177">
        <f>30*16</f>
        <v>480</v>
      </c>
      <c r="R199" s="222">
        <f t="shared" si="51"/>
        <v>8.9812800000000035</v>
      </c>
    </row>
    <row r="200" spans="5:18" ht="14" x14ac:dyDescent="0.25">
      <c r="E200" s="185" t="s">
        <v>24</v>
      </c>
      <c r="F200" s="223">
        <v>37</v>
      </c>
      <c r="G200" s="223">
        <v>8.1</v>
      </c>
      <c r="H200" s="223">
        <f t="shared" si="52"/>
        <v>4.05</v>
      </c>
      <c r="I200" s="220">
        <f t="shared" si="53"/>
        <v>32.950000000000003</v>
      </c>
      <c r="J200" s="180">
        <f t="shared" si="49"/>
        <v>1.75</v>
      </c>
      <c r="K200" s="180">
        <v>28</v>
      </c>
      <c r="L200" s="180">
        <f t="shared" si="54"/>
        <v>-2.5</v>
      </c>
      <c r="M200" s="177">
        <f t="shared" si="50"/>
        <v>3.5500000000000043</v>
      </c>
      <c r="N200" s="177">
        <f t="shared" si="55"/>
        <v>2.8000000000000043</v>
      </c>
      <c r="O200" s="177">
        <v>3.75</v>
      </c>
      <c r="P200" s="177">
        <v>1.296</v>
      </c>
      <c r="Q200" s="177">
        <f>31*16</f>
        <v>496</v>
      </c>
      <c r="R200" s="222">
        <f t="shared" si="51"/>
        <v>6.7495680000000116</v>
      </c>
    </row>
    <row r="201" spans="5:18" ht="14" x14ac:dyDescent="0.25">
      <c r="E201" s="185" t="s">
        <v>19</v>
      </c>
      <c r="F201" s="223">
        <v>35.9</v>
      </c>
      <c r="G201" s="223">
        <v>7.9</v>
      </c>
      <c r="H201" s="223">
        <f t="shared" si="52"/>
        <v>3.95</v>
      </c>
      <c r="I201" s="220">
        <f t="shared" si="53"/>
        <v>31.95</v>
      </c>
      <c r="J201" s="180">
        <f t="shared" si="49"/>
        <v>1.75</v>
      </c>
      <c r="K201" s="180">
        <v>28</v>
      </c>
      <c r="L201" s="180">
        <f t="shared" si="54"/>
        <v>-2.5</v>
      </c>
      <c r="M201" s="177">
        <f t="shared" si="50"/>
        <v>2.5500000000000007</v>
      </c>
      <c r="N201" s="177">
        <f t="shared" si="55"/>
        <v>1.8000000000000007</v>
      </c>
      <c r="O201" s="177">
        <v>3.75</v>
      </c>
      <c r="P201" s="177">
        <v>1.296</v>
      </c>
      <c r="Q201" s="177">
        <f>31*16</f>
        <v>496</v>
      </c>
      <c r="R201" s="222">
        <f t="shared" si="51"/>
        <v>4.3390080000000015</v>
      </c>
    </row>
    <row r="202" spans="5:18" ht="14" x14ac:dyDescent="0.25">
      <c r="E202" s="185" t="s">
        <v>20</v>
      </c>
      <c r="F202" s="223">
        <v>35</v>
      </c>
      <c r="G202" s="223">
        <v>7.7</v>
      </c>
      <c r="H202" s="223">
        <f t="shared" si="52"/>
        <v>3.85</v>
      </c>
      <c r="I202" s="220">
        <f t="shared" si="53"/>
        <v>31.15</v>
      </c>
      <c r="J202" s="180">
        <f t="shared" si="49"/>
        <v>1.75</v>
      </c>
      <c r="K202" s="180">
        <v>28</v>
      </c>
      <c r="L202" s="180">
        <f t="shared" si="54"/>
        <v>-2.5</v>
      </c>
      <c r="M202" s="177">
        <f t="shared" si="50"/>
        <v>1.75</v>
      </c>
      <c r="N202" s="177">
        <f t="shared" si="55"/>
        <v>1</v>
      </c>
      <c r="O202" s="177">
        <v>3.75</v>
      </c>
      <c r="P202" s="177">
        <v>1.296</v>
      </c>
      <c r="Q202" s="177">
        <f>30*16</f>
        <v>480</v>
      </c>
      <c r="R202" s="222">
        <f t="shared" si="51"/>
        <v>2.3328000000000002</v>
      </c>
    </row>
    <row r="203" spans="5:18" ht="14" x14ac:dyDescent="0.25">
      <c r="E203" s="185" t="s">
        <v>21</v>
      </c>
      <c r="F203" s="223">
        <v>34</v>
      </c>
      <c r="G203" s="223">
        <v>6.7</v>
      </c>
      <c r="H203" s="223">
        <f t="shared" si="52"/>
        <v>3.35</v>
      </c>
      <c r="I203" s="220">
        <f t="shared" si="53"/>
        <v>30.65</v>
      </c>
      <c r="J203" s="180">
        <f t="shared" si="49"/>
        <v>1.75</v>
      </c>
      <c r="K203" s="180">
        <v>28</v>
      </c>
      <c r="L203" s="180">
        <f t="shared" si="54"/>
        <v>-2.5</v>
      </c>
      <c r="M203" s="177">
        <f t="shared" si="50"/>
        <v>1.25</v>
      </c>
      <c r="N203" s="177">
        <f t="shared" si="55"/>
        <v>0.5</v>
      </c>
      <c r="O203" s="177">
        <v>3.75</v>
      </c>
      <c r="P203" s="177">
        <v>1.296</v>
      </c>
      <c r="Q203" s="177">
        <f>31*16</f>
        <v>496</v>
      </c>
      <c r="R203" s="222">
        <f t="shared" si="51"/>
        <v>1.2052799999999999</v>
      </c>
    </row>
    <row r="204" spans="5:18" ht="14" x14ac:dyDescent="0.25">
      <c r="E204" s="185" t="s">
        <v>22</v>
      </c>
      <c r="F204" s="223">
        <v>31.2</v>
      </c>
      <c r="G204" s="223">
        <v>6.1</v>
      </c>
      <c r="H204" s="223">
        <f t="shared" si="52"/>
        <v>3.05</v>
      </c>
      <c r="I204" s="220">
        <f t="shared" si="53"/>
        <v>28.15</v>
      </c>
      <c r="J204" s="180">
        <f t="shared" si="49"/>
        <v>1.75</v>
      </c>
      <c r="K204" s="180">
        <v>28</v>
      </c>
      <c r="L204" s="180">
        <f t="shared" si="54"/>
        <v>-2.5</v>
      </c>
      <c r="M204" s="177">
        <f t="shared" si="50"/>
        <v>-1.25</v>
      </c>
      <c r="N204" s="177">
        <f t="shared" si="55"/>
        <v>-2</v>
      </c>
      <c r="O204" s="177">
        <v>3.75</v>
      </c>
      <c r="P204" s="177">
        <v>1.296</v>
      </c>
      <c r="Q204" s="177">
        <f>30*16</f>
        <v>480</v>
      </c>
      <c r="R204" s="222">
        <f t="shared" si="51"/>
        <v>-4.6656000000000004</v>
      </c>
    </row>
    <row r="205" spans="5:18" ht="14" x14ac:dyDescent="0.25">
      <c r="E205" s="185" t="s">
        <v>23</v>
      </c>
      <c r="F205" s="223">
        <v>30.1</v>
      </c>
      <c r="G205" s="223">
        <v>6.7</v>
      </c>
      <c r="H205" s="223">
        <f t="shared" si="52"/>
        <v>3.35</v>
      </c>
      <c r="I205" s="220">
        <f t="shared" si="53"/>
        <v>26.75</v>
      </c>
      <c r="J205" s="180">
        <f t="shared" si="49"/>
        <v>1.75</v>
      </c>
      <c r="K205" s="180">
        <v>28</v>
      </c>
      <c r="L205" s="180">
        <f t="shared" si="54"/>
        <v>-2.5</v>
      </c>
      <c r="M205" s="177">
        <f t="shared" si="50"/>
        <v>-2.6499999999999986</v>
      </c>
      <c r="N205" s="177">
        <f t="shared" si="55"/>
        <v>-3.3999999999999986</v>
      </c>
      <c r="O205" s="177">
        <v>3.75</v>
      </c>
      <c r="P205" s="177">
        <v>1.296</v>
      </c>
      <c r="Q205" s="177">
        <f>31*16</f>
        <v>496</v>
      </c>
      <c r="R205" s="222">
        <f t="shared" si="51"/>
        <v>-8.195903999999997</v>
      </c>
    </row>
    <row r="206" spans="5:18" ht="15.5" thickBot="1" x14ac:dyDescent="0.3">
      <c r="E206" s="400" t="s">
        <v>61</v>
      </c>
      <c r="F206" s="401"/>
      <c r="G206" s="401"/>
      <c r="H206" s="401"/>
      <c r="I206" s="401"/>
      <c r="J206" s="401"/>
      <c r="K206" s="401"/>
      <c r="L206" s="401"/>
      <c r="M206" s="401"/>
      <c r="N206" s="401"/>
      <c r="O206" s="401"/>
      <c r="P206" s="401"/>
      <c r="Q206" s="401"/>
      <c r="R206" s="225">
        <f>SUM(R194:R205)</f>
        <v>15.182640000000015</v>
      </c>
    </row>
    <row r="207" spans="5:18" hidden="1" x14ac:dyDescent="0.25"/>
    <row r="208" spans="5:18" hidden="1" x14ac:dyDescent="0.25"/>
    <row r="209" spans="5:11" ht="13" thickBot="1" x14ac:dyDescent="0.3"/>
    <row r="210" spans="5:11" ht="13" x14ac:dyDescent="0.3">
      <c r="E210" s="295" t="s">
        <v>81</v>
      </c>
      <c r="F210" s="296"/>
      <c r="G210" s="296"/>
      <c r="H210" s="296"/>
      <c r="I210" s="296"/>
      <c r="J210" s="296"/>
      <c r="K210" s="297"/>
    </row>
    <row r="211" spans="5:11" ht="15" x14ac:dyDescent="0.25">
      <c r="E211" s="230" t="s">
        <v>78</v>
      </c>
      <c r="F211" s="218" t="s">
        <v>63</v>
      </c>
      <c r="G211" s="218" t="s">
        <v>64</v>
      </c>
      <c r="H211" s="218" t="s">
        <v>79</v>
      </c>
      <c r="I211" s="218" t="s">
        <v>82</v>
      </c>
      <c r="J211" s="218" t="s">
        <v>57</v>
      </c>
      <c r="K211" s="231" t="s">
        <v>80</v>
      </c>
    </row>
    <row r="212" spans="5:11" x14ac:dyDescent="0.25">
      <c r="E212" s="189" t="s">
        <v>15</v>
      </c>
      <c r="F212" s="177">
        <v>0.55000000000000004</v>
      </c>
      <c r="G212" s="177">
        <v>0.51</v>
      </c>
      <c r="H212" s="283">
        <v>94.63</v>
      </c>
      <c r="I212" s="177">
        <v>1.296</v>
      </c>
      <c r="J212" s="177">
        <f>31*16</f>
        <v>496</v>
      </c>
      <c r="K212" s="222">
        <f>(F212*G212*H212*I212*J212)/1000</f>
        <v>17.062724701440001</v>
      </c>
    </row>
    <row r="213" spans="5:11" x14ac:dyDescent="0.25">
      <c r="E213" s="189" t="s">
        <v>16</v>
      </c>
      <c r="F213" s="177">
        <v>0.55000000000000004</v>
      </c>
      <c r="G213" s="177">
        <v>0.51</v>
      </c>
      <c r="H213" s="283">
        <v>104.1</v>
      </c>
      <c r="I213" s="177">
        <v>1.296</v>
      </c>
      <c r="J213" s="177">
        <f>28*16</f>
        <v>448</v>
      </c>
      <c r="K213" s="222">
        <f t="shared" ref="K213:K223" si="56">(F213*G213*H213*I213*J213)/1000</f>
        <v>16.953782630399999</v>
      </c>
    </row>
    <row r="214" spans="5:11" x14ac:dyDescent="0.25">
      <c r="E214" s="189" t="s">
        <v>17</v>
      </c>
      <c r="F214" s="177">
        <v>0.55000000000000004</v>
      </c>
      <c r="G214" s="177">
        <v>0.51</v>
      </c>
      <c r="H214" s="283">
        <v>110.41</v>
      </c>
      <c r="I214" s="177">
        <v>1.296</v>
      </c>
      <c r="J214" s="177">
        <f>31*16</f>
        <v>496</v>
      </c>
      <c r="K214" s="222">
        <f t="shared" si="56"/>
        <v>19.908014734079998</v>
      </c>
    </row>
    <row r="215" spans="5:11" x14ac:dyDescent="0.25">
      <c r="E215" s="189" t="s">
        <v>18</v>
      </c>
      <c r="F215" s="177">
        <v>0.55000000000000004</v>
      </c>
      <c r="G215" s="177">
        <v>0.51</v>
      </c>
      <c r="H215" s="283">
        <v>123.02</v>
      </c>
      <c r="I215" s="177">
        <v>1.296</v>
      </c>
      <c r="J215" s="177">
        <f>30*16</f>
        <v>480</v>
      </c>
      <c r="K215" s="222">
        <f t="shared" si="56"/>
        <v>21.466182988800004</v>
      </c>
    </row>
    <row r="216" spans="5:11" x14ac:dyDescent="0.25">
      <c r="E216" s="189" t="s">
        <v>12</v>
      </c>
      <c r="F216" s="177">
        <v>0.55000000000000004</v>
      </c>
      <c r="G216" s="177">
        <v>0.51</v>
      </c>
      <c r="H216" s="283">
        <v>164.03</v>
      </c>
      <c r="I216" s="177">
        <v>1.296</v>
      </c>
      <c r="J216" s="177">
        <f>31*16</f>
        <v>496</v>
      </c>
      <c r="K216" s="222">
        <f t="shared" si="56"/>
        <v>29.576230928640001</v>
      </c>
    </row>
    <row r="217" spans="5:11" x14ac:dyDescent="0.25">
      <c r="E217" s="189" t="s">
        <v>13</v>
      </c>
      <c r="F217" s="177">
        <v>0.55000000000000004</v>
      </c>
      <c r="G217" s="177">
        <v>0.51</v>
      </c>
      <c r="H217" s="283">
        <v>208.2</v>
      </c>
      <c r="I217" s="177">
        <v>1.296</v>
      </c>
      <c r="J217" s="177">
        <f>30*16</f>
        <v>480</v>
      </c>
      <c r="K217" s="222">
        <f t="shared" si="56"/>
        <v>36.329534207999998</v>
      </c>
    </row>
    <row r="218" spans="5:11" x14ac:dyDescent="0.25">
      <c r="E218" s="189" t="s">
        <v>24</v>
      </c>
      <c r="F218" s="177">
        <v>0.55000000000000004</v>
      </c>
      <c r="G218" s="177">
        <v>0.51</v>
      </c>
      <c r="H218" s="232">
        <v>173.5</v>
      </c>
      <c r="I218" s="177">
        <v>1.296</v>
      </c>
      <c r="J218" s="177">
        <f>31*16</f>
        <v>496</v>
      </c>
      <c r="K218" s="222">
        <f t="shared" si="56"/>
        <v>31.283765568000007</v>
      </c>
    </row>
    <row r="219" spans="5:11" x14ac:dyDescent="0.25">
      <c r="E219" s="189" t="s">
        <v>19</v>
      </c>
      <c r="F219" s="177">
        <v>0.55000000000000004</v>
      </c>
      <c r="G219" s="177">
        <v>0.51</v>
      </c>
      <c r="H219" s="232">
        <v>129.33000000000001</v>
      </c>
      <c r="I219" s="177">
        <v>1.296</v>
      </c>
      <c r="J219" s="177">
        <f>31*16</f>
        <v>496</v>
      </c>
      <c r="K219" s="222">
        <f t="shared" si="56"/>
        <v>23.319477815040006</v>
      </c>
    </row>
    <row r="220" spans="5:11" x14ac:dyDescent="0.25">
      <c r="E220" s="189" t="s">
        <v>20</v>
      </c>
      <c r="F220" s="177">
        <v>0.55000000000000004</v>
      </c>
      <c r="G220" s="177">
        <v>0.51</v>
      </c>
      <c r="H220" s="232">
        <v>113.56</v>
      </c>
      <c r="I220" s="177">
        <v>1.296</v>
      </c>
      <c r="J220" s="177">
        <f>30*16</f>
        <v>480</v>
      </c>
      <c r="K220" s="222">
        <f t="shared" si="56"/>
        <v>19.815475046400003</v>
      </c>
    </row>
    <row r="221" spans="5:11" x14ac:dyDescent="0.25">
      <c r="E221" s="189" t="s">
        <v>21</v>
      </c>
      <c r="F221" s="177">
        <v>0.55000000000000004</v>
      </c>
      <c r="G221" s="177">
        <v>0.51</v>
      </c>
      <c r="H221" s="232">
        <v>104.1</v>
      </c>
      <c r="I221" s="177">
        <v>1.296</v>
      </c>
      <c r="J221" s="177">
        <f>31*16</f>
        <v>496</v>
      </c>
      <c r="K221" s="222">
        <f t="shared" si="56"/>
        <v>18.770259340799999</v>
      </c>
    </row>
    <row r="222" spans="5:11" x14ac:dyDescent="0.25">
      <c r="E222" s="189" t="s">
        <v>22</v>
      </c>
      <c r="F222" s="177">
        <v>0.55000000000000004</v>
      </c>
      <c r="G222" s="177">
        <v>0.51</v>
      </c>
      <c r="H222" s="283">
        <v>94.63</v>
      </c>
      <c r="I222" s="177">
        <v>1.296</v>
      </c>
      <c r="J222" s="177">
        <f>30*16</f>
        <v>480</v>
      </c>
      <c r="K222" s="222">
        <f t="shared" si="56"/>
        <v>16.512314227200005</v>
      </c>
    </row>
    <row r="223" spans="5:11" x14ac:dyDescent="0.25">
      <c r="E223" s="189" t="s">
        <v>23</v>
      </c>
      <c r="F223" s="177">
        <v>0.55000000000000004</v>
      </c>
      <c r="G223" s="177">
        <v>0.51</v>
      </c>
      <c r="H223" s="283">
        <v>91.48</v>
      </c>
      <c r="I223" s="177">
        <v>1.296</v>
      </c>
      <c r="J223" s="177">
        <f>31*16</f>
        <v>496</v>
      </c>
      <c r="K223" s="222">
        <f t="shared" si="56"/>
        <v>16.494748554240001</v>
      </c>
    </row>
    <row r="224" spans="5:11" ht="15.5" thickBot="1" x14ac:dyDescent="0.45">
      <c r="E224" s="364" t="s">
        <v>80</v>
      </c>
      <c r="F224" s="365"/>
      <c r="G224" s="365"/>
      <c r="H224" s="365"/>
      <c r="I224" s="365"/>
      <c r="J224" s="365"/>
      <c r="K224" s="233">
        <f>SUM(K212:K223)</f>
        <v>267.49251074304004</v>
      </c>
    </row>
    <row r="225" spans="5:17" ht="13" thickBot="1" x14ac:dyDescent="0.3"/>
    <row r="226" spans="5:17" hidden="1" x14ac:dyDescent="0.25"/>
    <row r="227" spans="5:17" ht="13" hidden="1" thickBot="1" x14ac:dyDescent="0.3"/>
    <row r="228" spans="5:17" ht="13" x14ac:dyDescent="0.3">
      <c r="E228" s="295" t="s">
        <v>89</v>
      </c>
      <c r="F228" s="296"/>
      <c r="G228" s="296"/>
      <c r="H228" s="296"/>
      <c r="I228" s="296"/>
      <c r="J228" s="296"/>
      <c r="K228" s="296"/>
      <c r="L228" s="296"/>
      <c r="M228" s="296"/>
      <c r="N228" s="296"/>
      <c r="O228" s="296"/>
      <c r="P228" s="296"/>
      <c r="Q228" s="297"/>
    </row>
    <row r="229" spans="5:17" ht="21" customHeight="1" x14ac:dyDescent="0.25">
      <c r="E229" s="230" t="s">
        <v>0</v>
      </c>
      <c r="F229" s="218" t="s">
        <v>84</v>
      </c>
      <c r="G229" s="218" t="s">
        <v>95</v>
      </c>
      <c r="H229" s="218" t="s">
        <v>96</v>
      </c>
      <c r="I229" s="218" t="s">
        <v>97</v>
      </c>
      <c r="J229" s="218" t="s">
        <v>98</v>
      </c>
      <c r="K229" s="218" t="s">
        <v>99</v>
      </c>
      <c r="L229" s="218" t="s">
        <v>100</v>
      </c>
      <c r="M229" s="218" t="s">
        <v>101</v>
      </c>
      <c r="N229" s="218" t="s">
        <v>85</v>
      </c>
      <c r="O229" s="218" t="s">
        <v>102</v>
      </c>
      <c r="P229" s="218" t="s">
        <v>86</v>
      </c>
      <c r="Q229" s="231" t="s">
        <v>103</v>
      </c>
    </row>
    <row r="230" spans="5:17" ht="15" customHeight="1" x14ac:dyDescent="0.25">
      <c r="E230" s="189" t="s">
        <v>15</v>
      </c>
      <c r="F230" s="177">
        <v>0.6</v>
      </c>
      <c r="G230" s="177">
        <v>38.880000000000003</v>
      </c>
      <c r="H230" s="177">
        <v>1.0049999999999999</v>
      </c>
      <c r="I230" s="177">
        <v>1.2929999999999999</v>
      </c>
      <c r="J230" s="220">
        <v>30.2</v>
      </c>
      <c r="K230" s="177">
        <v>22</v>
      </c>
      <c r="L230" s="177">
        <f>J230-K230</f>
        <v>8.1999999999999993</v>
      </c>
      <c r="M230" s="190">
        <f>F230*G230*H230*I230*L230</f>
        <v>248.57414006399992</v>
      </c>
      <c r="N230" s="177">
        <v>0.27700000000000002</v>
      </c>
      <c r="O230" s="50">
        <f>M230*N230</f>
        <v>68.85503679772799</v>
      </c>
      <c r="P230" s="177">
        <f>31*16</f>
        <v>496</v>
      </c>
      <c r="Q230" s="222">
        <f>(O230*P230)/1000</f>
        <v>34.152098251673081</v>
      </c>
    </row>
    <row r="231" spans="5:17" ht="15" customHeight="1" x14ac:dyDescent="0.25">
      <c r="E231" s="189" t="s">
        <v>16</v>
      </c>
      <c r="F231" s="177">
        <v>0.6</v>
      </c>
      <c r="G231" s="177">
        <v>38.880000000000003</v>
      </c>
      <c r="H231" s="177">
        <v>1.0049999999999999</v>
      </c>
      <c r="I231" s="177">
        <v>1.2929999999999999</v>
      </c>
      <c r="J231" s="220">
        <v>32.200000000000003</v>
      </c>
      <c r="K231" s="177">
        <v>22</v>
      </c>
      <c r="L231" s="177">
        <f t="shared" ref="L231:L241" si="57">J231-K231</f>
        <v>10.200000000000003</v>
      </c>
      <c r="M231" s="190">
        <f t="shared" ref="M231:M241" si="58">F231*G231*H231*I231*L231</f>
        <v>309.20197910399997</v>
      </c>
      <c r="N231" s="177">
        <v>0.27700000000000002</v>
      </c>
      <c r="O231" s="50">
        <f t="shared" ref="O231:O241" si="59">M231*N231</f>
        <v>85.648948211808005</v>
      </c>
      <c r="P231" s="177">
        <f>28*16</f>
        <v>448</v>
      </c>
      <c r="Q231" s="222">
        <f t="shared" ref="Q231:Q241" si="60">(O231*P231)/1000</f>
        <v>38.370728798889985</v>
      </c>
    </row>
    <row r="232" spans="5:17" ht="15" customHeight="1" x14ac:dyDescent="0.25">
      <c r="E232" s="189" t="s">
        <v>17</v>
      </c>
      <c r="F232" s="177">
        <v>0.6</v>
      </c>
      <c r="G232" s="177">
        <v>38.880000000000003</v>
      </c>
      <c r="H232" s="177">
        <v>1.0049999999999999</v>
      </c>
      <c r="I232" s="177">
        <v>1.2929999999999999</v>
      </c>
      <c r="J232" s="220">
        <v>34.9</v>
      </c>
      <c r="K232" s="177">
        <v>22</v>
      </c>
      <c r="L232" s="177">
        <f t="shared" si="57"/>
        <v>12.899999999999999</v>
      </c>
      <c r="M232" s="190">
        <f t="shared" si="58"/>
        <v>391.04956180799985</v>
      </c>
      <c r="N232" s="177">
        <v>0.27700000000000002</v>
      </c>
      <c r="O232" s="50">
        <f t="shared" si="59"/>
        <v>108.32072862081597</v>
      </c>
      <c r="P232" s="177">
        <f>31*16</f>
        <v>496</v>
      </c>
      <c r="Q232" s="222">
        <f t="shared" si="60"/>
        <v>53.727081395924728</v>
      </c>
    </row>
    <row r="233" spans="5:17" ht="15" customHeight="1" x14ac:dyDescent="0.25">
      <c r="E233" s="189" t="s">
        <v>18</v>
      </c>
      <c r="F233" s="177">
        <v>0.6</v>
      </c>
      <c r="G233" s="177">
        <v>38.880000000000003</v>
      </c>
      <c r="H233" s="177">
        <v>1.0049999999999999</v>
      </c>
      <c r="I233" s="177">
        <v>1.2929999999999999</v>
      </c>
      <c r="J233" s="220">
        <v>36.799999999999997</v>
      </c>
      <c r="K233" s="177">
        <v>22</v>
      </c>
      <c r="L233" s="177">
        <f t="shared" si="57"/>
        <v>14.799999999999997</v>
      </c>
      <c r="M233" s="190">
        <f t="shared" si="58"/>
        <v>448.64600889599978</v>
      </c>
      <c r="N233" s="177">
        <v>0.27700000000000002</v>
      </c>
      <c r="O233" s="50">
        <f t="shared" si="59"/>
        <v>124.27494446419195</v>
      </c>
      <c r="P233" s="177">
        <f>30*16</f>
        <v>480</v>
      </c>
      <c r="Q233" s="222">
        <f t="shared" si="60"/>
        <v>59.651973342812134</v>
      </c>
    </row>
    <row r="234" spans="5:17" ht="15" customHeight="1" x14ac:dyDescent="0.25">
      <c r="E234" s="189" t="s">
        <v>12</v>
      </c>
      <c r="F234" s="177">
        <v>0.6</v>
      </c>
      <c r="G234" s="177">
        <v>38.880000000000003</v>
      </c>
      <c r="H234" s="177">
        <v>1.0049999999999999</v>
      </c>
      <c r="I234" s="177">
        <v>1.2929999999999999</v>
      </c>
      <c r="J234" s="220">
        <v>39.799999999999997</v>
      </c>
      <c r="K234" s="177">
        <v>22</v>
      </c>
      <c r="L234" s="177">
        <f t="shared" si="57"/>
        <v>17.799999999999997</v>
      </c>
      <c r="M234" s="190">
        <f t="shared" si="58"/>
        <v>539.58776745599982</v>
      </c>
      <c r="N234" s="177">
        <v>0.27700000000000002</v>
      </c>
      <c r="O234" s="50">
        <f t="shared" si="59"/>
        <v>149.46581158531197</v>
      </c>
      <c r="P234" s="177">
        <f>31*16</f>
        <v>496</v>
      </c>
      <c r="Q234" s="222">
        <f t="shared" si="60"/>
        <v>74.135042546314736</v>
      </c>
    </row>
    <row r="235" spans="5:17" ht="15" customHeight="1" x14ac:dyDescent="0.25">
      <c r="E235" s="189" t="s">
        <v>13</v>
      </c>
      <c r="F235" s="177">
        <v>0.6</v>
      </c>
      <c r="G235" s="177">
        <v>38.880000000000003</v>
      </c>
      <c r="H235" s="177">
        <v>1.0049999999999999</v>
      </c>
      <c r="I235" s="177">
        <v>1.2929999999999999</v>
      </c>
      <c r="J235" s="220">
        <v>38.4</v>
      </c>
      <c r="K235" s="177">
        <v>22</v>
      </c>
      <c r="L235" s="177">
        <f t="shared" si="57"/>
        <v>16.399999999999999</v>
      </c>
      <c r="M235" s="190">
        <f t="shared" si="58"/>
        <v>497.14828012799984</v>
      </c>
      <c r="N235" s="177">
        <v>0.27700000000000002</v>
      </c>
      <c r="O235" s="50">
        <f t="shared" si="59"/>
        <v>137.71007359545598</v>
      </c>
      <c r="P235" s="177">
        <f>30*16</f>
        <v>480</v>
      </c>
      <c r="Q235" s="222">
        <f t="shared" si="60"/>
        <v>66.100835325818878</v>
      </c>
    </row>
    <row r="236" spans="5:17" ht="15" customHeight="1" x14ac:dyDescent="0.25">
      <c r="E236" s="189" t="s">
        <v>24</v>
      </c>
      <c r="F236" s="177">
        <v>0.6</v>
      </c>
      <c r="G236" s="177">
        <v>38.880000000000003</v>
      </c>
      <c r="H236" s="177">
        <v>1.0049999999999999</v>
      </c>
      <c r="I236" s="177">
        <v>1.2929999999999999</v>
      </c>
      <c r="J236" s="223">
        <v>37</v>
      </c>
      <c r="K236" s="177">
        <v>22</v>
      </c>
      <c r="L236" s="177">
        <f t="shared" si="57"/>
        <v>15</v>
      </c>
      <c r="M236" s="190">
        <f t="shared" si="58"/>
        <v>454.70879279999986</v>
      </c>
      <c r="N236" s="177">
        <v>0.27700000000000002</v>
      </c>
      <c r="O236" s="50">
        <f t="shared" si="59"/>
        <v>125.95433560559997</v>
      </c>
      <c r="P236" s="177">
        <f>31*16</f>
        <v>496</v>
      </c>
      <c r="Q236" s="222">
        <f t="shared" si="60"/>
        <v>62.473350460377581</v>
      </c>
    </row>
    <row r="237" spans="5:17" ht="15" customHeight="1" x14ac:dyDescent="0.25">
      <c r="E237" s="189" t="s">
        <v>19</v>
      </c>
      <c r="F237" s="177">
        <v>0.6</v>
      </c>
      <c r="G237" s="177">
        <v>38.880000000000003</v>
      </c>
      <c r="H237" s="177">
        <v>1.0049999999999999</v>
      </c>
      <c r="I237" s="177">
        <v>1.2929999999999999</v>
      </c>
      <c r="J237" s="223">
        <v>35.9</v>
      </c>
      <c r="K237" s="177">
        <v>22</v>
      </c>
      <c r="L237" s="177">
        <f t="shared" si="57"/>
        <v>13.899999999999999</v>
      </c>
      <c r="M237" s="190">
        <f t="shared" si="58"/>
        <v>421.36348132799986</v>
      </c>
      <c r="N237" s="177">
        <v>0.27700000000000002</v>
      </c>
      <c r="O237" s="50">
        <f t="shared" si="59"/>
        <v>116.71768432785598</v>
      </c>
      <c r="P237" s="177">
        <f>31*16</f>
        <v>496</v>
      </c>
      <c r="Q237" s="222">
        <f t="shared" si="60"/>
        <v>57.891971426616571</v>
      </c>
    </row>
    <row r="238" spans="5:17" ht="15" customHeight="1" x14ac:dyDescent="0.25">
      <c r="E238" s="189" t="s">
        <v>20</v>
      </c>
      <c r="F238" s="177">
        <v>0.6</v>
      </c>
      <c r="G238" s="177">
        <v>38.880000000000003</v>
      </c>
      <c r="H238" s="177">
        <v>1.0049999999999999</v>
      </c>
      <c r="I238" s="177">
        <v>1.2929999999999999</v>
      </c>
      <c r="J238" s="223">
        <v>35</v>
      </c>
      <c r="K238" s="177">
        <v>22</v>
      </c>
      <c r="L238" s="177">
        <f t="shared" si="57"/>
        <v>13</v>
      </c>
      <c r="M238" s="190">
        <f t="shared" si="58"/>
        <v>394.08095375999989</v>
      </c>
      <c r="N238" s="177">
        <v>0.27700000000000002</v>
      </c>
      <c r="O238" s="50">
        <f t="shared" si="59"/>
        <v>109.16042419151998</v>
      </c>
      <c r="P238" s="177">
        <f>30*16</f>
        <v>480</v>
      </c>
      <c r="Q238" s="222">
        <f t="shared" si="60"/>
        <v>52.397003611929591</v>
      </c>
    </row>
    <row r="239" spans="5:17" ht="15" customHeight="1" x14ac:dyDescent="0.25">
      <c r="E239" s="189" t="s">
        <v>21</v>
      </c>
      <c r="F239" s="177">
        <v>0.6</v>
      </c>
      <c r="G239" s="177">
        <v>38.880000000000003</v>
      </c>
      <c r="H239" s="177">
        <v>1.0049999999999999</v>
      </c>
      <c r="I239" s="177">
        <v>1.2929999999999999</v>
      </c>
      <c r="J239" s="223">
        <v>34</v>
      </c>
      <c r="K239" s="177">
        <v>22</v>
      </c>
      <c r="L239" s="177">
        <f t="shared" si="57"/>
        <v>12</v>
      </c>
      <c r="M239" s="190">
        <f t="shared" si="58"/>
        <v>363.76703423999993</v>
      </c>
      <c r="N239" s="177">
        <v>0.27700000000000002</v>
      </c>
      <c r="O239" s="50">
        <f t="shared" si="59"/>
        <v>100.76346848447999</v>
      </c>
      <c r="P239" s="177">
        <f>31*16</f>
        <v>496</v>
      </c>
      <c r="Q239" s="222">
        <f t="shared" si="60"/>
        <v>49.978680368302072</v>
      </c>
    </row>
    <row r="240" spans="5:17" ht="15" customHeight="1" x14ac:dyDescent="0.25">
      <c r="E240" s="189" t="s">
        <v>22</v>
      </c>
      <c r="F240" s="177">
        <v>0.6</v>
      </c>
      <c r="G240" s="177">
        <v>38.880000000000003</v>
      </c>
      <c r="H240" s="177">
        <v>1.0049999999999999</v>
      </c>
      <c r="I240" s="177">
        <v>1.2929999999999999</v>
      </c>
      <c r="J240" s="223">
        <v>31.2</v>
      </c>
      <c r="K240" s="177">
        <v>22</v>
      </c>
      <c r="L240" s="177">
        <f t="shared" si="57"/>
        <v>9.1999999999999993</v>
      </c>
      <c r="M240" s="190">
        <f t="shared" si="58"/>
        <v>278.8880595839999</v>
      </c>
      <c r="N240" s="177">
        <v>0.27700000000000002</v>
      </c>
      <c r="O240" s="50">
        <f t="shared" si="59"/>
        <v>77.251992504767983</v>
      </c>
      <c r="P240" s="177">
        <f>30*16</f>
        <v>480</v>
      </c>
      <c r="Q240" s="222">
        <f t="shared" si="60"/>
        <v>37.080956402288635</v>
      </c>
    </row>
    <row r="241" spans="5:17" ht="15" customHeight="1" x14ac:dyDescent="0.25">
      <c r="E241" s="189" t="s">
        <v>23</v>
      </c>
      <c r="F241" s="177">
        <v>0.6</v>
      </c>
      <c r="G241" s="177">
        <v>38.880000000000003</v>
      </c>
      <c r="H241" s="177">
        <v>1.0049999999999999</v>
      </c>
      <c r="I241" s="177">
        <v>1.2929999999999999</v>
      </c>
      <c r="J241" s="223">
        <v>30.1</v>
      </c>
      <c r="K241" s="177">
        <v>22</v>
      </c>
      <c r="L241" s="177">
        <f t="shared" si="57"/>
        <v>8.1000000000000014</v>
      </c>
      <c r="M241" s="190">
        <f t="shared" si="58"/>
        <v>245.54274811199997</v>
      </c>
      <c r="N241" s="177">
        <v>0.27700000000000002</v>
      </c>
      <c r="O241" s="50">
        <f t="shared" si="59"/>
        <v>68.015341227023995</v>
      </c>
      <c r="P241" s="177">
        <f>31*16</f>
        <v>496</v>
      </c>
      <c r="Q241" s="222">
        <f t="shared" si="60"/>
        <v>33.735609248603907</v>
      </c>
    </row>
    <row r="242" spans="5:17" ht="15" customHeight="1" x14ac:dyDescent="0.4">
      <c r="E242" s="374" t="s">
        <v>133</v>
      </c>
      <c r="F242" s="375"/>
      <c r="G242" s="375"/>
      <c r="H242" s="375"/>
      <c r="I242" s="375"/>
      <c r="J242" s="375"/>
      <c r="K242" s="375"/>
      <c r="L242" s="375"/>
      <c r="M242" s="375"/>
      <c r="N242" s="375"/>
      <c r="O242" s="375"/>
      <c r="P242" s="375"/>
      <c r="Q242" s="235">
        <f>SUM(Q230:Q241)</f>
        <v>619.69533117955189</v>
      </c>
    </row>
    <row r="243" spans="5:17" ht="14" x14ac:dyDescent="0.25">
      <c r="E243" s="189" t="s">
        <v>15</v>
      </c>
      <c r="F243" s="177">
        <v>0.6</v>
      </c>
      <c r="G243" s="177">
        <v>38.880000000000003</v>
      </c>
      <c r="H243" s="177">
        <v>1.0049999999999999</v>
      </c>
      <c r="I243" s="177">
        <v>1.2929999999999999</v>
      </c>
      <c r="J243" s="220">
        <v>30.2</v>
      </c>
      <c r="K243" s="177">
        <v>23</v>
      </c>
      <c r="L243" s="177">
        <f>J243-K243</f>
        <v>7.1999999999999993</v>
      </c>
      <c r="M243" s="190">
        <f>F243*G243*H243*I243*L243</f>
        <v>218.26022054399991</v>
      </c>
      <c r="N243" s="177">
        <v>0.27700000000000002</v>
      </c>
      <c r="O243" s="50">
        <f>M243*N243</f>
        <v>60.458081090687976</v>
      </c>
      <c r="P243" s="177">
        <f>31*16</f>
        <v>496</v>
      </c>
      <c r="Q243" s="222">
        <f>(O243*P243)/1000</f>
        <v>29.987208220981238</v>
      </c>
    </row>
    <row r="244" spans="5:17" ht="14" x14ac:dyDescent="0.25">
      <c r="E244" s="189" t="s">
        <v>16</v>
      </c>
      <c r="F244" s="177">
        <v>0.6</v>
      </c>
      <c r="G244" s="177">
        <v>38.880000000000003</v>
      </c>
      <c r="H244" s="177">
        <v>1.0049999999999999</v>
      </c>
      <c r="I244" s="177">
        <v>1.2929999999999999</v>
      </c>
      <c r="J244" s="220">
        <v>32.200000000000003</v>
      </c>
      <c r="K244" s="177">
        <v>23</v>
      </c>
      <c r="L244" s="177">
        <f t="shared" ref="L244:L254" si="61">J244-K244</f>
        <v>9.2000000000000028</v>
      </c>
      <c r="M244" s="190">
        <f t="shared" ref="M244:M254" si="62">F244*G244*H244*I244*L244</f>
        <v>278.88805958400002</v>
      </c>
      <c r="N244" s="177">
        <v>0.27700000000000002</v>
      </c>
      <c r="O244" s="50">
        <f t="shared" ref="O244:O254" si="63">M244*N244</f>
        <v>77.251992504768012</v>
      </c>
      <c r="P244" s="177">
        <f>28*16</f>
        <v>448</v>
      </c>
      <c r="Q244" s="222">
        <f t="shared" ref="Q244:Q254" si="64">(O244*P244)/1000</f>
        <v>34.60889264213607</v>
      </c>
    </row>
    <row r="245" spans="5:17" ht="14" x14ac:dyDescent="0.25">
      <c r="E245" s="189" t="s">
        <v>17</v>
      </c>
      <c r="F245" s="177">
        <v>0.6</v>
      </c>
      <c r="G245" s="177">
        <v>38.880000000000003</v>
      </c>
      <c r="H245" s="177">
        <v>1.0049999999999999</v>
      </c>
      <c r="I245" s="177">
        <v>1.2929999999999999</v>
      </c>
      <c r="J245" s="220">
        <v>34.9</v>
      </c>
      <c r="K245" s="177">
        <v>23</v>
      </c>
      <c r="L245" s="177">
        <f t="shared" si="61"/>
        <v>11.899999999999999</v>
      </c>
      <c r="M245" s="190">
        <f t="shared" si="62"/>
        <v>360.73564228799984</v>
      </c>
      <c r="N245" s="177">
        <v>0.27700000000000002</v>
      </c>
      <c r="O245" s="50">
        <f t="shared" si="63"/>
        <v>99.923772913775963</v>
      </c>
      <c r="P245" s="177">
        <f>31*16</f>
        <v>496</v>
      </c>
      <c r="Q245" s="222">
        <f t="shared" si="64"/>
        <v>49.562191365232877</v>
      </c>
    </row>
    <row r="246" spans="5:17" ht="14" x14ac:dyDescent="0.25">
      <c r="E246" s="189" t="s">
        <v>18</v>
      </c>
      <c r="F246" s="177">
        <v>0.6</v>
      </c>
      <c r="G246" s="177">
        <v>38.880000000000003</v>
      </c>
      <c r="H246" s="177">
        <v>1.0049999999999999</v>
      </c>
      <c r="I246" s="177">
        <v>1.2929999999999999</v>
      </c>
      <c r="J246" s="220">
        <v>36.799999999999997</v>
      </c>
      <c r="K246" s="177">
        <v>23</v>
      </c>
      <c r="L246" s="177">
        <f t="shared" si="61"/>
        <v>13.799999999999997</v>
      </c>
      <c r="M246" s="190">
        <f t="shared" si="62"/>
        <v>418.33208937599983</v>
      </c>
      <c r="N246" s="177">
        <v>0.27700000000000002</v>
      </c>
      <c r="O246" s="50">
        <f t="shared" si="63"/>
        <v>115.87798875715197</v>
      </c>
      <c r="P246" s="177">
        <f>30*16</f>
        <v>480</v>
      </c>
      <c r="Q246" s="222">
        <f t="shared" si="64"/>
        <v>55.621434603432945</v>
      </c>
    </row>
    <row r="247" spans="5:17" ht="14" x14ac:dyDescent="0.25">
      <c r="E247" s="189" t="s">
        <v>12</v>
      </c>
      <c r="F247" s="177">
        <v>0.6</v>
      </c>
      <c r="G247" s="177">
        <v>38.880000000000003</v>
      </c>
      <c r="H247" s="177">
        <v>1.0049999999999999</v>
      </c>
      <c r="I247" s="177">
        <v>1.2929999999999999</v>
      </c>
      <c r="J247" s="220">
        <v>39.799999999999997</v>
      </c>
      <c r="K247" s="177">
        <v>23</v>
      </c>
      <c r="L247" s="177">
        <f t="shared" si="61"/>
        <v>16.799999999999997</v>
      </c>
      <c r="M247" s="190">
        <f t="shared" si="62"/>
        <v>509.27384793599975</v>
      </c>
      <c r="N247" s="177">
        <v>0.27700000000000002</v>
      </c>
      <c r="O247" s="50">
        <f t="shared" si="63"/>
        <v>141.06885587827193</v>
      </c>
      <c r="P247" s="177">
        <f>31*16</f>
        <v>496</v>
      </c>
      <c r="Q247" s="222">
        <f t="shared" si="64"/>
        <v>69.970152515622871</v>
      </c>
    </row>
    <row r="248" spans="5:17" ht="14" x14ac:dyDescent="0.25">
      <c r="E248" s="189" t="s">
        <v>13</v>
      </c>
      <c r="F248" s="177">
        <v>0.6</v>
      </c>
      <c r="G248" s="177">
        <v>38.880000000000003</v>
      </c>
      <c r="H248" s="177">
        <v>1.0049999999999999</v>
      </c>
      <c r="I248" s="177">
        <v>1.2929999999999999</v>
      </c>
      <c r="J248" s="220">
        <v>38.4</v>
      </c>
      <c r="K248" s="177">
        <v>23</v>
      </c>
      <c r="L248" s="177">
        <f t="shared" si="61"/>
        <v>15.399999999999999</v>
      </c>
      <c r="M248" s="190">
        <f t="shared" si="62"/>
        <v>466.83436060799983</v>
      </c>
      <c r="N248" s="177">
        <v>0.27700000000000002</v>
      </c>
      <c r="O248" s="50">
        <f t="shared" si="63"/>
        <v>129.31311788841597</v>
      </c>
      <c r="P248" s="177">
        <f>30*16</f>
        <v>480</v>
      </c>
      <c r="Q248" s="222">
        <f t="shared" si="64"/>
        <v>62.070296586439667</v>
      </c>
    </row>
    <row r="249" spans="5:17" ht="14" x14ac:dyDescent="0.25">
      <c r="E249" s="189" t="s">
        <v>24</v>
      </c>
      <c r="F249" s="177">
        <v>0.6</v>
      </c>
      <c r="G249" s="177">
        <v>38.880000000000003</v>
      </c>
      <c r="H249" s="177">
        <v>1.0049999999999999</v>
      </c>
      <c r="I249" s="177">
        <v>1.2929999999999999</v>
      </c>
      <c r="J249" s="223">
        <v>37</v>
      </c>
      <c r="K249" s="177">
        <v>23</v>
      </c>
      <c r="L249" s="177">
        <f t="shared" si="61"/>
        <v>14</v>
      </c>
      <c r="M249" s="190">
        <f t="shared" si="62"/>
        <v>424.3948732799999</v>
      </c>
      <c r="N249" s="177">
        <v>0.27700000000000002</v>
      </c>
      <c r="O249" s="50">
        <f t="shared" si="63"/>
        <v>117.55737989855999</v>
      </c>
      <c r="P249" s="177">
        <f>31*16</f>
        <v>496</v>
      </c>
      <c r="Q249" s="222">
        <f t="shared" si="64"/>
        <v>58.308460429685752</v>
      </c>
    </row>
    <row r="250" spans="5:17" ht="14" x14ac:dyDescent="0.25">
      <c r="E250" s="189" t="s">
        <v>19</v>
      </c>
      <c r="F250" s="177">
        <v>0.6</v>
      </c>
      <c r="G250" s="177">
        <v>38.880000000000003</v>
      </c>
      <c r="H250" s="177">
        <v>1.0049999999999999</v>
      </c>
      <c r="I250" s="177">
        <v>1.2929999999999999</v>
      </c>
      <c r="J250" s="223">
        <v>35.9</v>
      </c>
      <c r="K250" s="177">
        <v>23</v>
      </c>
      <c r="L250" s="177">
        <f t="shared" si="61"/>
        <v>12.899999999999999</v>
      </c>
      <c r="M250" s="190">
        <f t="shared" si="62"/>
        <v>391.04956180799985</v>
      </c>
      <c r="N250" s="177">
        <v>0.27700000000000002</v>
      </c>
      <c r="O250" s="50">
        <f t="shared" si="63"/>
        <v>108.32072862081597</v>
      </c>
      <c r="P250" s="177">
        <f>31*16</f>
        <v>496</v>
      </c>
      <c r="Q250" s="222">
        <f t="shared" si="64"/>
        <v>53.727081395924728</v>
      </c>
    </row>
    <row r="251" spans="5:17" ht="14" x14ac:dyDescent="0.25">
      <c r="E251" s="189" t="s">
        <v>20</v>
      </c>
      <c r="F251" s="177">
        <v>0.6</v>
      </c>
      <c r="G251" s="177">
        <v>38.880000000000003</v>
      </c>
      <c r="H251" s="177">
        <v>1.0049999999999999</v>
      </c>
      <c r="I251" s="177">
        <v>1.2929999999999999</v>
      </c>
      <c r="J251" s="223">
        <v>35</v>
      </c>
      <c r="K251" s="177">
        <v>23</v>
      </c>
      <c r="L251" s="177">
        <f t="shared" si="61"/>
        <v>12</v>
      </c>
      <c r="M251" s="190">
        <f t="shared" si="62"/>
        <v>363.76703423999993</v>
      </c>
      <c r="N251" s="177">
        <v>0.27700000000000002</v>
      </c>
      <c r="O251" s="50">
        <f t="shared" si="63"/>
        <v>100.76346848447999</v>
      </c>
      <c r="P251" s="177">
        <f>30*16</f>
        <v>480</v>
      </c>
      <c r="Q251" s="222">
        <f t="shared" si="64"/>
        <v>48.366464872550395</v>
      </c>
    </row>
    <row r="252" spans="5:17" ht="14" x14ac:dyDescent="0.25">
      <c r="E252" s="189" t="s">
        <v>21</v>
      </c>
      <c r="F252" s="177">
        <v>0.6</v>
      </c>
      <c r="G252" s="177">
        <v>38.880000000000003</v>
      </c>
      <c r="H252" s="177">
        <v>1.0049999999999999</v>
      </c>
      <c r="I252" s="177">
        <v>1.2929999999999999</v>
      </c>
      <c r="J252" s="223">
        <v>34</v>
      </c>
      <c r="K252" s="177">
        <v>23</v>
      </c>
      <c r="L252" s="177">
        <f t="shared" si="61"/>
        <v>11</v>
      </c>
      <c r="M252" s="190">
        <f t="shared" si="62"/>
        <v>333.45311471999992</v>
      </c>
      <c r="N252" s="177">
        <v>0.27700000000000002</v>
      </c>
      <c r="O252" s="50">
        <f t="shared" si="63"/>
        <v>92.366512777439979</v>
      </c>
      <c r="P252" s="177">
        <f>31*16</f>
        <v>496</v>
      </c>
      <c r="Q252" s="222">
        <f t="shared" si="64"/>
        <v>45.813790337610236</v>
      </c>
    </row>
    <row r="253" spans="5:17" ht="14" x14ac:dyDescent="0.25">
      <c r="E253" s="189" t="s">
        <v>22</v>
      </c>
      <c r="F253" s="177">
        <v>0.6</v>
      </c>
      <c r="G253" s="177">
        <v>38.880000000000003</v>
      </c>
      <c r="H253" s="177">
        <v>1.0049999999999999</v>
      </c>
      <c r="I253" s="177">
        <v>1.2929999999999999</v>
      </c>
      <c r="J253" s="223">
        <v>31.2</v>
      </c>
      <c r="K253" s="177">
        <v>23</v>
      </c>
      <c r="L253" s="177">
        <f t="shared" si="61"/>
        <v>8.1999999999999993</v>
      </c>
      <c r="M253" s="190">
        <f t="shared" si="62"/>
        <v>248.57414006399992</v>
      </c>
      <c r="N253" s="177">
        <v>0.27700000000000002</v>
      </c>
      <c r="O253" s="50">
        <f t="shared" si="63"/>
        <v>68.85503679772799</v>
      </c>
      <c r="P253" s="177">
        <f>30*16</f>
        <v>480</v>
      </c>
      <c r="Q253" s="222">
        <f t="shared" si="64"/>
        <v>33.050417662909439</v>
      </c>
    </row>
    <row r="254" spans="5:17" ht="14" x14ac:dyDescent="0.25">
      <c r="E254" s="189" t="s">
        <v>23</v>
      </c>
      <c r="F254" s="177">
        <v>0.6</v>
      </c>
      <c r="G254" s="177">
        <v>38.880000000000003</v>
      </c>
      <c r="H254" s="177">
        <v>1.0049999999999999</v>
      </c>
      <c r="I254" s="177">
        <v>1.2929999999999999</v>
      </c>
      <c r="J254" s="223">
        <v>30.1</v>
      </c>
      <c r="K254" s="177">
        <v>23</v>
      </c>
      <c r="L254" s="177">
        <f t="shared" si="61"/>
        <v>7.1000000000000014</v>
      </c>
      <c r="M254" s="190">
        <f t="shared" si="62"/>
        <v>215.22882859199999</v>
      </c>
      <c r="N254" s="177">
        <v>0.27700000000000002</v>
      </c>
      <c r="O254" s="50">
        <f t="shared" si="63"/>
        <v>59.618385519984002</v>
      </c>
      <c r="P254" s="177">
        <f>31*16</f>
        <v>496</v>
      </c>
      <c r="Q254" s="222">
        <f t="shared" si="64"/>
        <v>29.570719217912064</v>
      </c>
    </row>
    <row r="255" spans="5:17" ht="15" x14ac:dyDescent="0.4">
      <c r="E255" s="374" t="s">
        <v>88</v>
      </c>
      <c r="F255" s="375"/>
      <c r="G255" s="375"/>
      <c r="H255" s="375"/>
      <c r="I255" s="375"/>
      <c r="J255" s="375"/>
      <c r="K255" s="375"/>
      <c r="L255" s="375"/>
      <c r="M255" s="375"/>
      <c r="N255" s="375"/>
      <c r="O255" s="375"/>
      <c r="P255" s="375"/>
      <c r="Q255" s="235">
        <f>SUM(Q243:Q254)</f>
        <v>570.65710985043825</v>
      </c>
    </row>
    <row r="256" spans="5:17" ht="14" x14ac:dyDescent="0.25">
      <c r="E256" s="189" t="s">
        <v>15</v>
      </c>
      <c r="F256" s="177">
        <v>0.6</v>
      </c>
      <c r="G256" s="177">
        <v>38.880000000000003</v>
      </c>
      <c r="H256" s="177">
        <v>1.0049999999999999</v>
      </c>
      <c r="I256" s="177">
        <v>1.2929999999999999</v>
      </c>
      <c r="J256" s="220">
        <v>30.2</v>
      </c>
      <c r="K256" s="177">
        <v>24</v>
      </c>
      <c r="L256" s="177">
        <f>J256-K256</f>
        <v>6.1999999999999993</v>
      </c>
      <c r="M256" s="190">
        <f>F256*G256*H256*I256*L256</f>
        <v>187.94630102399992</v>
      </c>
      <c r="N256" s="177">
        <v>0.27700000000000002</v>
      </c>
      <c r="O256" s="50">
        <f>M256*N256</f>
        <v>52.061125383647983</v>
      </c>
      <c r="P256" s="177">
        <f>31*16</f>
        <v>496</v>
      </c>
      <c r="Q256" s="222">
        <f>(O256*P256)/1000</f>
        <v>25.822318190289398</v>
      </c>
    </row>
    <row r="257" spans="5:17" ht="14" x14ac:dyDescent="0.25">
      <c r="E257" s="189" t="s">
        <v>16</v>
      </c>
      <c r="F257" s="177">
        <v>0.6</v>
      </c>
      <c r="G257" s="177">
        <v>38.880000000000003</v>
      </c>
      <c r="H257" s="177">
        <v>1.0049999999999999</v>
      </c>
      <c r="I257" s="177">
        <v>1.2929999999999999</v>
      </c>
      <c r="J257" s="220">
        <v>32.200000000000003</v>
      </c>
      <c r="K257" s="177">
        <v>24</v>
      </c>
      <c r="L257" s="177">
        <f t="shared" ref="L257:L267" si="65">J257-K257</f>
        <v>8.2000000000000028</v>
      </c>
      <c r="M257" s="190">
        <f t="shared" ref="M257:M267" si="66">F257*G257*H257*I257*L257</f>
        <v>248.57414006400001</v>
      </c>
      <c r="N257" s="177">
        <v>0.27700000000000002</v>
      </c>
      <c r="O257" s="50">
        <f t="shared" ref="O257:O267" si="67">M257*N257</f>
        <v>68.855036797728005</v>
      </c>
      <c r="P257" s="177">
        <f>28*16</f>
        <v>448</v>
      </c>
      <c r="Q257" s="222">
        <f t="shared" ref="Q257:Q267" si="68">(O257*P257)/1000</f>
        <v>30.847056485382144</v>
      </c>
    </row>
    <row r="258" spans="5:17" ht="14" x14ac:dyDescent="0.25">
      <c r="E258" s="189" t="s">
        <v>17</v>
      </c>
      <c r="F258" s="177">
        <v>0.6</v>
      </c>
      <c r="G258" s="177">
        <v>38.880000000000003</v>
      </c>
      <c r="H258" s="177">
        <v>1.0049999999999999</v>
      </c>
      <c r="I258" s="177">
        <v>1.2929999999999999</v>
      </c>
      <c r="J258" s="220">
        <v>34.9</v>
      </c>
      <c r="K258" s="177">
        <v>24</v>
      </c>
      <c r="L258" s="177">
        <f t="shared" si="65"/>
        <v>10.899999999999999</v>
      </c>
      <c r="M258" s="190">
        <f t="shared" si="66"/>
        <v>330.42172276799988</v>
      </c>
      <c r="N258" s="177">
        <v>0.27700000000000002</v>
      </c>
      <c r="O258" s="50">
        <f t="shared" si="67"/>
        <v>91.52681720673597</v>
      </c>
      <c r="P258" s="177">
        <f>31*16</f>
        <v>496</v>
      </c>
      <c r="Q258" s="222">
        <f t="shared" si="68"/>
        <v>45.397301334541041</v>
      </c>
    </row>
    <row r="259" spans="5:17" ht="14" x14ac:dyDescent="0.25">
      <c r="E259" s="189" t="s">
        <v>18</v>
      </c>
      <c r="F259" s="177">
        <v>0.6</v>
      </c>
      <c r="G259" s="177">
        <v>38.880000000000003</v>
      </c>
      <c r="H259" s="177">
        <v>1.0049999999999999</v>
      </c>
      <c r="I259" s="177">
        <v>1.2929999999999999</v>
      </c>
      <c r="J259" s="220">
        <v>36.799999999999997</v>
      </c>
      <c r="K259" s="177">
        <v>24</v>
      </c>
      <c r="L259" s="177">
        <f t="shared" si="65"/>
        <v>12.799999999999997</v>
      </c>
      <c r="M259" s="190">
        <f t="shared" si="66"/>
        <v>388.01816985599982</v>
      </c>
      <c r="N259" s="177">
        <v>0.27700000000000002</v>
      </c>
      <c r="O259" s="50">
        <f t="shared" si="67"/>
        <v>107.48103305011196</v>
      </c>
      <c r="P259" s="177">
        <f>30*16</f>
        <v>480</v>
      </c>
      <c r="Q259" s="222">
        <f t="shared" si="68"/>
        <v>51.590895864053735</v>
      </c>
    </row>
    <row r="260" spans="5:17" ht="14" x14ac:dyDescent="0.25">
      <c r="E260" s="189" t="s">
        <v>12</v>
      </c>
      <c r="F260" s="177">
        <v>0.6</v>
      </c>
      <c r="G260" s="177">
        <v>38.880000000000003</v>
      </c>
      <c r="H260" s="177">
        <v>1.0049999999999999</v>
      </c>
      <c r="I260" s="177">
        <v>1.2929999999999999</v>
      </c>
      <c r="J260" s="220">
        <v>39.799999999999997</v>
      </c>
      <c r="K260" s="177">
        <v>24</v>
      </c>
      <c r="L260" s="177">
        <f t="shared" si="65"/>
        <v>15.799999999999997</v>
      </c>
      <c r="M260" s="190">
        <f t="shared" si="66"/>
        <v>478.9599284159998</v>
      </c>
      <c r="N260" s="177">
        <v>0.27700000000000002</v>
      </c>
      <c r="O260" s="50">
        <f t="shared" si="67"/>
        <v>132.67190017123195</v>
      </c>
      <c r="P260" s="177">
        <f>31*16</f>
        <v>496</v>
      </c>
      <c r="Q260" s="222">
        <f t="shared" si="68"/>
        <v>65.805262484931049</v>
      </c>
    </row>
    <row r="261" spans="5:17" ht="14" x14ac:dyDescent="0.25">
      <c r="E261" s="189" t="s">
        <v>13</v>
      </c>
      <c r="F261" s="177">
        <v>0.6</v>
      </c>
      <c r="G261" s="177">
        <v>38.880000000000003</v>
      </c>
      <c r="H261" s="177">
        <v>1.0049999999999999</v>
      </c>
      <c r="I261" s="177">
        <v>1.2929999999999999</v>
      </c>
      <c r="J261" s="220">
        <v>38.4</v>
      </c>
      <c r="K261" s="177">
        <v>24</v>
      </c>
      <c r="L261" s="177">
        <f t="shared" si="65"/>
        <v>14.399999999999999</v>
      </c>
      <c r="M261" s="190">
        <f t="shared" si="66"/>
        <v>436.52044108799981</v>
      </c>
      <c r="N261" s="177">
        <v>0.27700000000000002</v>
      </c>
      <c r="O261" s="50">
        <f t="shared" si="67"/>
        <v>120.91616218137595</v>
      </c>
      <c r="P261" s="177">
        <f>30*16</f>
        <v>480</v>
      </c>
      <c r="Q261" s="222">
        <f t="shared" si="68"/>
        <v>58.039757847060457</v>
      </c>
    </row>
    <row r="262" spans="5:17" ht="14" x14ac:dyDescent="0.25">
      <c r="E262" s="189" t="s">
        <v>24</v>
      </c>
      <c r="F262" s="177">
        <v>0.6</v>
      </c>
      <c r="G262" s="177">
        <v>38.880000000000003</v>
      </c>
      <c r="H262" s="177">
        <v>1.0049999999999999</v>
      </c>
      <c r="I262" s="177">
        <v>1.2929999999999999</v>
      </c>
      <c r="J262" s="223">
        <v>37</v>
      </c>
      <c r="K262" s="177">
        <v>24</v>
      </c>
      <c r="L262" s="177">
        <f t="shared" si="65"/>
        <v>13</v>
      </c>
      <c r="M262" s="190">
        <f t="shared" si="66"/>
        <v>394.08095375999989</v>
      </c>
      <c r="N262" s="177">
        <v>0.27700000000000002</v>
      </c>
      <c r="O262" s="50">
        <f t="shared" si="67"/>
        <v>109.16042419151998</v>
      </c>
      <c r="P262" s="177">
        <f>31*16</f>
        <v>496</v>
      </c>
      <c r="Q262" s="222">
        <f t="shared" si="68"/>
        <v>54.143570398993909</v>
      </c>
    </row>
    <row r="263" spans="5:17" ht="14" x14ac:dyDescent="0.25">
      <c r="E263" s="189" t="s">
        <v>19</v>
      </c>
      <c r="F263" s="177">
        <v>0.6</v>
      </c>
      <c r="G263" s="177">
        <v>38.880000000000003</v>
      </c>
      <c r="H263" s="177">
        <v>1.0049999999999999</v>
      </c>
      <c r="I263" s="177">
        <v>1.2929999999999999</v>
      </c>
      <c r="J263" s="223">
        <v>35.9</v>
      </c>
      <c r="K263" s="177">
        <v>24</v>
      </c>
      <c r="L263" s="177">
        <f t="shared" si="65"/>
        <v>11.899999999999999</v>
      </c>
      <c r="M263" s="190">
        <f t="shared" si="66"/>
        <v>360.73564228799984</v>
      </c>
      <c r="N263" s="177">
        <v>0.27700000000000002</v>
      </c>
      <c r="O263" s="50">
        <f t="shared" si="67"/>
        <v>99.923772913775963</v>
      </c>
      <c r="P263" s="177">
        <f>31*16</f>
        <v>496</v>
      </c>
      <c r="Q263" s="222">
        <f t="shared" si="68"/>
        <v>49.562191365232877</v>
      </c>
    </row>
    <row r="264" spans="5:17" ht="14" x14ac:dyDescent="0.25">
      <c r="E264" s="189" t="s">
        <v>20</v>
      </c>
      <c r="F264" s="177">
        <v>0.6</v>
      </c>
      <c r="G264" s="177">
        <v>38.880000000000003</v>
      </c>
      <c r="H264" s="177">
        <v>1.0049999999999999</v>
      </c>
      <c r="I264" s="177">
        <v>1.2929999999999999</v>
      </c>
      <c r="J264" s="223">
        <v>35</v>
      </c>
      <c r="K264" s="177">
        <v>24</v>
      </c>
      <c r="L264" s="177">
        <f t="shared" si="65"/>
        <v>11</v>
      </c>
      <c r="M264" s="190">
        <f t="shared" si="66"/>
        <v>333.45311471999992</v>
      </c>
      <c r="N264" s="177">
        <v>0.27700000000000002</v>
      </c>
      <c r="O264" s="50">
        <f t="shared" si="67"/>
        <v>92.366512777439979</v>
      </c>
      <c r="P264" s="177">
        <f>30*16</f>
        <v>480</v>
      </c>
      <c r="Q264" s="222">
        <f t="shared" si="68"/>
        <v>44.335926133171192</v>
      </c>
    </row>
    <row r="265" spans="5:17" ht="14" x14ac:dyDescent="0.25">
      <c r="E265" s="189" t="s">
        <v>21</v>
      </c>
      <c r="F265" s="177">
        <v>0.6</v>
      </c>
      <c r="G265" s="177">
        <v>38.880000000000003</v>
      </c>
      <c r="H265" s="177">
        <v>1.0049999999999999</v>
      </c>
      <c r="I265" s="177">
        <v>1.2929999999999999</v>
      </c>
      <c r="J265" s="223">
        <v>34</v>
      </c>
      <c r="K265" s="177">
        <v>24</v>
      </c>
      <c r="L265" s="177">
        <f t="shared" si="65"/>
        <v>10</v>
      </c>
      <c r="M265" s="190">
        <f t="shared" si="66"/>
        <v>303.1391951999999</v>
      </c>
      <c r="N265" s="177">
        <v>0.27700000000000002</v>
      </c>
      <c r="O265" s="50">
        <f t="shared" si="67"/>
        <v>83.969557070399986</v>
      </c>
      <c r="P265" s="177">
        <f>31*16</f>
        <v>496</v>
      </c>
      <c r="Q265" s="222">
        <f t="shared" si="68"/>
        <v>41.648900306918399</v>
      </c>
    </row>
    <row r="266" spans="5:17" ht="14" x14ac:dyDescent="0.25">
      <c r="E266" s="189" t="s">
        <v>22</v>
      </c>
      <c r="F266" s="177">
        <v>0.6</v>
      </c>
      <c r="G266" s="177">
        <v>38.880000000000003</v>
      </c>
      <c r="H266" s="177">
        <v>1.0049999999999999</v>
      </c>
      <c r="I266" s="177">
        <v>1.2929999999999999</v>
      </c>
      <c r="J266" s="223">
        <v>31.2</v>
      </c>
      <c r="K266" s="177">
        <v>24</v>
      </c>
      <c r="L266" s="177">
        <f t="shared" si="65"/>
        <v>7.1999999999999993</v>
      </c>
      <c r="M266" s="190">
        <f t="shared" si="66"/>
        <v>218.26022054399991</v>
      </c>
      <c r="N266" s="177">
        <v>0.27700000000000002</v>
      </c>
      <c r="O266" s="50">
        <f t="shared" si="67"/>
        <v>60.458081090687976</v>
      </c>
      <c r="P266" s="177">
        <f>30*16</f>
        <v>480</v>
      </c>
      <c r="Q266" s="222">
        <f t="shared" si="68"/>
        <v>29.019878923530229</v>
      </c>
    </row>
    <row r="267" spans="5:17" ht="14" x14ac:dyDescent="0.25">
      <c r="E267" s="189" t="s">
        <v>23</v>
      </c>
      <c r="F267" s="177">
        <v>0.6</v>
      </c>
      <c r="G267" s="177">
        <v>38.880000000000003</v>
      </c>
      <c r="H267" s="177">
        <v>1.0049999999999999</v>
      </c>
      <c r="I267" s="177">
        <v>1.2929999999999999</v>
      </c>
      <c r="J267" s="223">
        <v>30.1</v>
      </c>
      <c r="K267" s="177">
        <v>24</v>
      </c>
      <c r="L267" s="177">
        <f t="shared" si="65"/>
        <v>6.1000000000000014</v>
      </c>
      <c r="M267" s="190">
        <f t="shared" si="66"/>
        <v>184.914909072</v>
      </c>
      <c r="N267" s="177">
        <v>0.27700000000000002</v>
      </c>
      <c r="O267" s="50">
        <f t="shared" si="67"/>
        <v>51.221429812944002</v>
      </c>
      <c r="P267" s="177">
        <f>31*16</f>
        <v>496</v>
      </c>
      <c r="Q267" s="222">
        <f t="shared" si="68"/>
        <v>25.405829187220224</v>
      </c>
    </row>
    <row r="268" spans="5:17" ht="15" x14ac:dyDescent="0.4">
      <c r="E268" s="374" t="s">
        <v>90</v>
      </c>
      <c r="F268" s="375"/>
      <c r="G268" s="375"/>
      <c r="H268" s="375"/>
      <c r="I268" s="375"/>
      <c r="J268" s="375"/>
      <c r="K268" s="375"/>
      <c r="L268" s="375"/>
      <c r="M268" s="375"/>
      <c r="N268" s="375"/>
      <c r="O268" s="375"/>
      <c r="P268" s="375"/>
      <c r="Q268" s="235">
        <f>SUM(Q256:Q267)</f>
        <v>521.61888852132461</v>
      </c>
    </row>
    <row r="269" spans="5:17" ht="14" x14ac:dyDescent="0.25">
      <c r="E269" s="189" t="s">
        <v>15</v>
      </c>
      <c r="F269" s="177">
        <v>0.6</v>
      </c>
      <c r="G269" s="177">
        <v>38.880000000000003</v>
      </c>
      <c r="H269" s="177">
        <v>1.0049999999999999</v>
      </c>
      <c r="I269" s="177">
        <v>1.2929999999999999</v>
      </c>
      <c r="J269" s="220">
        <v>30.2</v>
      </c>
      <c r="K269" s="177">
        <v>25</v>
      </c>
      <c r="L269" s="177">
        <f>J269-K269</f>
        <v>5.1999999999999993</v>
      </c>
      <c r="M269" s="190">
        <f>F269*G269*H269*I269*L269</f>
        <v>157.63238150399994</v>
      </c>
      <c r="N269" s="177">
        <v>0.27700000000000002</v>
      </c>
      <c r="O269" s="50">
        <f>M269*N269</f>
        <v>43.664169676607983</v>
      </c>
      <c r="P269" s="177">
        <f>31*16</f>
        <v>496</v>
      </c>
      <c r="Q269" s="222">
        <f>(O269*P269)/1000</f>
        <v>21.657428159597558</v>
      </c>
    </row>
    <row r="270" spans="5:17" ht="14" x14ac:dyDescent="0.25">
      <c r="E270" s="189" t="s">
        <v>16</v>
      </c>
      <c r="F270" s="177">
        <v>0.6</v>
      </c>
      <c r="G270" s="177">
        <v>38.880000000000003</v>
      </c>
      <c r="H270" s="177">
        <v>1.0049999999999999</v>
      </c>
      <c r="I270" s="177">
        <v>1.2929999999999999</v>
      </c>
      <c r="J270" s="220">
        <v>32.200000000000003</v>
      </c>
      <c r="K270" s="177">
        <v>25</v>
      </c>
      <c r="L270" s="177">
        <f t="shared" ref="L270:L280" si="69">J270-K270</f>
        <v>7.2000000000000028</v>
      </c>
      <c r="M270" s="190">
        <f t="shared" ref="M270:M280" si="70">F270*G270*H270*I270*L270</f>
        <v>218.26022054400002</v>
      </c>
      <c r="N270" s="177">
        <v>0.27700000000000002</v>
      </c>
      <c r="O270" s="50">
        <f t="shared" ref="O270:O280" si="71">M270*N270</f>
        <v>60.458081090688012</v>
      </c>
      <c r="P270" s="177">
        <f>28*16</f>
        <v>448</v>
      </c>
      <c r="Q270" s="222">
        <f t="shared" ref="Q270:Q280" si="72">(O270*P270)/1000</f>
        <v>27.085220328628232</v>
      </c>
    </row>
    <row r="271" spans="5:17" ht="14" x14ac:dyDescent="0.25">
      <c r="E271" s="189" t="s">
        <v>17</v>
      </c>
      <c r="F271" s="177">
        <v>0.6</v>
      </c>
      <c r="G271" s="177">
        <v>38.880000000000003</v>
      </c>
      <c r="H271" s="177">
        <v>1.0049999999999999</v>
      </c>
      <c r="I271" s="177">
        <v>1.2929999999999999</v>
      </c>
      <c r="J271" s="220">
        <v>34.9</v>
      </c>
      <c r="K271" s="177">
        <v>25</v>
      </c>
      <c r="L271" s="177">
        <f t="shared" si="69"/>
        <v>9.8999999999999986</v>
      </c>
      <c r="M271" s="190">
        <f t="shared" si="70"/>
        <v>300.10780324799987</v>
      </c>
      <c r="N271" s="177">
        <v>0.27700000000000002</v>
      </c>
      <c r="O271" s="50">
        <f t="shared" si="71"/>
        <v>83.129861499695977</v>
      </c>
      <c r="P271" s="177">
        <f>31*16</f>
        <v>496</v>
      </c>
      <c r="Q271" s="222">
        <f t="shared" si="72"/>
        <v>41.232411303849204</v>
      </c>
    </row>
    <row r="272" spans="5:17" ht="14" x14ac:dyDescent="0.25">
      <c r="E272" s="189" t="s">
        <v>18</v>
      </c>
      <c r="F272" s="177">
        <v>0.6</v>
      </c>
      <c r="G272" s="177">
        <v>38.880000000000003</v>
      </c>
      <c r="H272" s="177">
        <v>1.0049999999999999</v>
      </c>
      <c r="I272" s="177">
        <v>1.2929999999999999</v>
      </c>
      <c r="J272" s="220">
        <v>36.799999999999997</v>
      </c>
      <c r="K272" s="177">
        <v>25</v>
      </c>
      <c r="L272" s="177">
        <f t="shared" si="69"/>
        <v>11.799999999999997</v>
      </c>
      <c r="M272" s="190">
        <f t="shared" si="70"/>
        <v>357.7042503359998</v>
      </c>
      <c r="N272" s="177">
        <v>0.27700000000000002</v>
      </c>
      <c r="O272" s="50">
        <f t="shared" si="71"/>
        <v>99.084077343071954</v>
      </c>
      <c r="P272" s="177">
        <f>30*16</f>
        <v>480</v>
      </c>
      <c r="Q272" s="222">
        <f t="shared" si="72"/>
        <v>47.560357124674539</v>
      </c>
    </row>
    <row r="273" spans="5:17" ht="14" x14ac:dyDescent="0.25">
      <c r="E273" s="189" t="s">
        <v>12</v>
      </c>
      <c r="F273" s="177">
        <v>0.6</v>
      </c>
      <c r="G273" s="177">
        <v>38.880000000000003</v>
      </c>
      <c r="H273" s="177">
        <v>1.0049999999999999</v>
      </c>
      <c r="I273" s="177">
        <v>1.2929999999999999</v>
      </c>
      <c r="J273" s="220">
        <v>39.799999999999997</v>
      </c>
      <c r="K273" s="177">
        <v>25</v>
      </c>
      <c r="L273" s="177">
        <f t="shared" si="69"/>
        <v>14.799999999999997</v>
      </c>
      <c r="M273" s="190">
        <f t="shared" si="70"/>
        <v>448.64600889599978</v>
      </c>
      <c r="N273" s="177">
        <v>0.27700000000000002</v>
      </c>
      <c r="O273" s="50">
        <f t="shared" si="71"/>
        <v>124.27494446419195</v>
      </c>
      <c r="P273" s="177">
        <f>31*16</f>
        <v>496</v>
      </c>
      <c r="Q273" s="222">
        <f t="shared" si="72"/>
        <v>61.640372454239206</v>
      </c>
    </row>
    <row r="274" spans="5:17" ht="14" x14ac:dyDescent="0.25">
      <c r="E274" s="189" t="s">
        <v>13</v>
      </c>
      <c r="F274" s="177">
        <v>0.6</v>
      </c>
      <c r="G274" s="177">
        <v>38.880000000000003</v>
      </c>
      <c r="H274" s="177">
        <v>1.0049999999999999</v>
      </c>
      <c r="I274" s="177">
        <v>1.2929999999999999</v>
      </c>
      <c r="J274" s="220">
        <v>38.4</v>
      </c>
      <c r="K274" s="177">
        <v>25</v>
      </c>
      <c r="L274" s="177">
        <f t="shared" si="69"/>
        <v>13.399999999999999</v>
      </c>
      <c r="M274" s="190">
        <f t="shared" si="70"/>
        <v>406.20652156799986</v>
      </c>
      <c r="N274" s="177">
        <v>0.27700000000000002</v>
      </c>
      <c r="O274" s="50">
        <f t="shared" si="71"/>
        <v>112.51920647433597</v>
      </c>
      <c r="P274" s="177">
        <f>30*16</f>
        <v>480</v>
      </c>
      <c r="Q274" s="222">
        <f t="shared" si="72"/>
        <v>54.009219107681268</v>
      </c>
    </row>
    <row r="275" spans="5:17" ht="14" x14ac:dyDescent="0.25">
      <c r="E275" s="189" t="s">
        <v>24</v>
      </c>
      <c r="F275" s="177">
        <v>0.6</v>
      </c>
      <c r="G275" s="177">
        <v>38.880000000000003</v>
      </c>
      <c r="H275" s="177">
        <v>1.0049999999999999</v>
      </c>
      <c r="I275" s="177">
        <v>1.2929999999999999</v>
      </c>
      <c r="J275" s="223">
        <v>37</v>
      </c>
      <c r="K275" s="177">
        <v>25</v>
      </c>
      <c r="L275" s="177">
        <f t="shared" si="69"/>
        <v>12</v>
      </c>
      <c r="M275" s="190">
        <f t="shared" si="70"/>
        <v>363.76703423999993</v>
      </c>
      <c r="N275" s="177">
        <v>0.27700000000000002</v>
      </c>
      <c r="O275" s="50">
        <f t="shared" si="71"/>
        <v>100.76346848447999</v>
      </c>
      <c r="P275" s="177">
        <f>31*16</f>
        <v>496</v>
      </c>
      <c r="Q275" s="222">
        <f t="shared" si="72"/>
        <v>49.978680368302072</v>
      </c>
    </row>
    <row r="276" spans="5:17" ht="14" x14ac:dyDescent="0.25">
      <c r="E276" s="189" t="s">
        <v>19</v>
      </c>
      <c r="F276" s="177">
        <v>0.6</v>
      </c>
      <c r="G276" s="177">
        <v>38.880000000000003</v>
      </c>
      <c r="H276" s="177">
        <v>1.0049999999999999</v>
      </c>
      <c r="I276" s="177">
        <v>1.2929999999999999</v>
      </c>
      <c r="J276" s="223">
        <v>35.9</v>
      </c>
      <c r="K276" s="177">
        <v>25</v>
      </c>
      <c r="L276" s="177">
        <f t="shared" si="69"/>
        <v>10.899999999999999</v>
      </c>
      <c r="M276" s="190">
        <f t="shared" si="70"/>
        <v>330.42172276799988</v>
      </c>
      <c r="N276" s="177">
        <v>0.27700000000000002</v>
      </c>
      <c r="O276" s="50">
        <f t="shared" si="71"/>
        <v>91.52681720673597</v>
      </c>
      <c r="P276" s="177">
        <f>31*16</f>
        <v>496</v>
      </c>
      <c r="Q276" s="222">
        <f t="shared" si="72"/>
        <v>45.397301334541041</v>
      </c>
    </row>
    <row r="277" spans="5:17" ht="14" x14ac:dyDescent="0.25">
      <c r="E277" s="189" t="s">
        <v>20</v>
      </c>
      <c r="F277" s="177">
        <v>0.6</v>
      </c>
      <c r="G277" s="177">
        <v>38.880000000000003</v>
      </c>
      <c r="H277" s="177">
        <v>1.0049999999999999</v>
      </c>
      <c r="I277" s="177">
        <v>1.2929999999999999</v>
      </c>
      <c r="J277" s="223">
        <v>35</v>
      </c>
      <c r="K277" s="177">
        <v>25</v>
      </c>
      <c r="L277" s="177">
        <f t="shared" si="69"/>
        <v>10</v>
      </c>
      <c r="M277" s="190">
        <f t="shared" si="70"/>
        <v>303.1391951999999</v>
      </c>
      <c r="N277" s="177">
        <v>0.27700000000000002</v>
      </c>
      <c r="O277" s="50">
        <f t="shared" si="71"/>
        <v>83.969557070399986</v>
      </c>
      <c r="P277" s="177">
        <f>30*16</f>
        <v>480</v>
      </c>
      <c r="Q277" s="222">
        <f t="shared" si="72"/>
        <v>40.305387393791996</v>
      </c>
    </row>
    <row r="278" spans="5:17" ht="14" x14ac:dyDescent="0.25">
      <c r="E278" s="189" t="s">
        <v>21</v>
      </c>
      <c r="F278" s="177">
        <v>0.6</v>
      </c>
      <c r="G278" s="177">
        <v>38.880000000000003</v>
      </c>
      <c r="H278" s="177">
        <v>1.0049999999999999</v>
      </c>
      <c r="I278" s="177">
        <v>1.2929999999999999</v>
      </c>
      <c r="J278" s="223">
        <v>34</v>
      </c>
      <c r="K278" s="177">
        <v>25</v>
      </c>
      <c r="L278" s="177">
        <f t="shared" si="69"/>
        <v>9</v>
      </c>
      <c r="M278" s="190">
        <f t="shared" si="70"/>
        <v>272.82527567999995</v>
      </c>
      <c r="N278" s="177">
        <v>0.27700000000000002</v>
      </c>
      <c r="O278" s="50">
        <f t="shared" si="71"/>
        <v>75.572601363359993</v>
      </c>
      <c r="P278" s="177">
        <f>31*16</f>
        <v>496</v>
      </c>
      <c r="Q278" s="222">
        <f t="shared" si="72"/>
        <v>37.484010276226563</v>
      </c>
    </row>
    <row r="279" spans="5:17" ht="14" x14ac:dyDescent="0.25">
      <c r="E279" s="189" t="s">
        <v>22</v>
      </c>
      <c r="F279" s="177">
        <v>0.6</v>
      </c>
      <c r="G279" s="177">
        <v>38.880000000000003</v>
      </c>
      <c r="H279" s="177">
        <v>1.0049999999999999</v>
      </c>
      <c r="I279" s="177">
        <v>1.2929999999999999</v>
      </c>
      <c r="J279" s="223">
        <v>31.2</v>
      </c>
      <c r="K279" s="177">
        <v>25</v>
      </c>
      <c r="L279" s="177">
        <f t="shared" si="69"/>
        <v>6.1999999999999993</v>
      </c>
      <c r="M279" s="190">
        <f t="shared" si="70"/>
        <v>187.94630102399992</v>
      </c>
      <c r="N279" s="177">
        <v>0.27700000000000002</v>
      </c>
      <c r="O279" s="50">
        <f t="shared" si="71"/>
        <v>52.061125383647983</v>
      </c>
      <c r="P279" s="177">
        <f>30*16</f>
        <v>480</v>
      </c>
      <c r="Q279" s="222">
        <f t="shared" si="72"/>
        <v>24.989340184151033</v>
      </c>
    </row>
    <row r="280" spans="5:17" ht="14" x14ac:dyDescent="0.25">
      <c r="E280" s="189" t="s">
        <v>23</v>
      </c>
      <c r="F280" s="177">
        <v>0.6</v>
      </c>
      <c r="G280" s="177">
        <v>38.880000000000003</v>
      </c>
      <c r="H280" s="177">
        <v>1.0049999999999999</v>
      </c>
      <c r="I280" s="177">
        <v>1.2929999999999999</v>
      </c>
      <c r="J280" s="223">
        <v>30.1</v>
      </c>
      <c r="K280" s="177">
        <v>25</v>
      </c>
      <c r="L280" s="177">
        <f t="shared" si="69"/>
        <v>5.1000000000000014</v>
      </c>
      <c r="M280" s="190">
        <f t="shared" si="70"/>
        <v>154.60098955199999</v>
      </c>
      <c r="N280" s="177">
        <v>0.27700000000000002</v>
      </c>
      <c r="O280" s="50">
        <f t="shared" si="71"/>
        <v>42.824474105904002</v>
      </c>
      <c r="P280" s="177">
        <f>31*16</f>
        <v>496</v>
      </c>
      <c r="Q280" s="222">
        <f t="shared" si="72"/>
        <v>21.240939156528384</v>
      </c>
    </row>
    <row r="281" spans="5:17" ht="15" x14ac:dyDescent="0.4">
      <c r="E281" s="374" t="s">
        <v>91</v>
      </c>
      <c r="F281" s="375"/>
      <c r="G281" s="375"/>
      <c r="H281" s="375"/>
      <c r="I281" s="375"/>
      <c r="J281" s="375"/>
      <c r="K281" s="375"/>
      <c r="L281" s="375"/>
      <c r="M281" s="375"/>
      <c r="N281" s="375"/>
      <c r="O281" s="375"/>
      <c r="P281" s="375"/>
      <c r="Q281" s="235">
        <f>SUM(Q269:Q280)</f>
        <v>472.58066719221114</v>
      </c>
    </row>
    <row r="282" spans="5:17" ht="14" x14ac:dyDescent="0.25">
      <c r="E282" s="189" t="s">
        <v>15</v>
      </c>
      <c r="F282" s="177">
        <v>0.6</v>
      </c>
      <c r="G282" s="177">
        <v>38.880000000000003</v>
      </c>
      <c r="H282" s="177">
        <v>1.0049999999999999</v>
      </c>
      <c r="I282" s="177">
        <v>1.2929999999999999</v>
      </c>
      <c r="J282" s="220">
        <v>30.2</v>
      </c>
      <c r="K282" s="177">
        <v>26</v>
      </c>
      <c r="L282" s="177">
        <f>J282-K282</f>
        <v>4.1999999999999993</v>
      </c>
      <c r="M282" s="190">
        <f>F282*G282*H282*I282*L282</f>
        <v>127.31846198399994</v>
      </c>
      <c r="N282" s="177">
        <v>0.27700000000000002</v>
      </c>
      <c r="O282" s="50">
        <f>M282*N282</f>
        <v>35.267213969567983</v>
      </c>
      <c r="P282" s="177">
        <f>31*16</f>
        <v>496</v>
      </c>
      <c r="Q282" s="222">
        <f>(O282*P282)/1000</f>
        <v>17.492538128905718</v>
      </c>
    </row>
    <row r="283" spans="5:17" ht="14" x14ac:dyDescent="0.25">
      <c r="E283" s="189" t="s">
        <v>16</v>
      </c>
      <c r="F283" s="177">
        <v>0.6</v>
      </c>
      <c r="G283" s="177">
        <v>38.880000000000003</v>
      </c>
      <c r="H283" s="177">
        <v>1.0049999999999999</v>
      </c>
      <c r="I283" s="177">
        <v>1.2929999999999999</v>
      </c>
      <c r="J283" s="220">
        <v>32.200000000000003</v>
      </c>
      <c r="K283" s="177">
        <v>26</v>
      </c>
      <c r="L283" s="177">
        <f t="shared" ref="L283:L293" si="73">J283-K283</f>
        <v>6.2000000000000028</v>
      </c>
      <c r="M283" s="190">
        <f t="shared" ref="M283:M293" si="74">F283*G283*H283*I283*L283</f>
        <v>187.94630102400004</v>
      </c>
      <c r="N283" s="177">
        <v>0.27700000000000002</v>
      </c>
      <c r="O283" s="50">
        <f t="shared" ref="O283:O293" si="75">M283*N283</f>
        <v>52.061125383648012</v>
      </c>
      <c r="P283" s="177">
        <f>28*16</f>
        <v>448</v>
      </c>
      <c r="Q283" s="222">
        <f t="shared" ref="Q283:Q293" si="76">(O283*P283)/1000</f>
        <v>23.323384171874309</v>
      </c>
    </row>
    <row r="284" spans="5:17" ht="14" x14ac:dyDescent="0.25">
      <c r="E284" s="189" t="s">
        <v>17</v>
      </c>
      <c r="F284" s="177">
        <v>0.6</v>
      </c>
      <c r="G284" s="177">
        <v>38.880000000000003</v>
      </c>
      <c r="H284" s="177">
        <v>1.0049999999999999</v>
      </c>
      <c r="I284" s="177">
        <v>1.2929999999999999</v>
      </c>
      <c r="J284" s="220">
        <v>34.9</v>
      </c>
      <c r="K284" s="177">
        <v>26</v>
      </c>
      <c r="L284" s="177">
        <f t="shared" si="73"/>
        <v>8.8999999999999986</v>
      </c>
      <c r="M284" s="190">
        <f t="shared" si="74"/>
        <v>269.79388372799991</v>
      </c>
      <c r="N284" s="177">
        <v>0.27700000000000002</v>
      </c>
      <c r="O284" s="50">
        <f t="shared" si="75"/>
        <v>74.732905792655984</v>
      </c>
      <c r="P284" s="177">
        <f>31*16</f>
        <v>496</v>
      </c>
      <c r="Q284" s="222">
        <f t="shared" si="76"/>
        <v>37.067521273157368</v>
      </c>
    </row>
    <row r="285" spans="5:17" ht="14" x14ac:dyDescent="0.25">
      <c r="E285" s="189" t="s">
        <v>18</v>
      </c>
      <c r="F285" s="177">
        <v>0.6</v>
      </c>
      <c r="G285" s="177">
        <v>38.880000000000003</v>
      </c>
      <c r="H285" s="177">
        <v>1.0049999999999999</v>
      </c>
      <c r="I285" s="177">
        <v>1.2929999999999999</v>
      </c>
      <c r="J285" s="220">
        <v>36.799999999999997</v>
      </c>
      <c r="K285" s="177">
        <v>26</v>
      </c>
      <c r="L285" s="177">
        <f t="shared" si="73"/>
        <v>10.799999999999997</v>
      </c>
      <c r="M285" s="190">
        <f t="shared" si="74"/>
        <v>327.39033081599985</v>
      </c>
      <c r="N285" s="177">
        <v>0.27700000000000002</v>
      </c>
      <c r="O285" s="50">
        <f t="shared" si="75"/>
        <v>90.687121636031961</v>
      </c>
      <c r="P285" s="177">
        <f>30*16</f>
        <v>480</v>
      </c>
      <c r="Q285" s="222">
        <f t="shared" si="76"/>
        <v>43.529818385295343</v>
      </c>
    </row>
    <row r="286" spans="5:17" ht="14" x14ac:dyDescent="0.25">
      <c r="E286" s="189" t="s">
        <v>12</v>
      </c>
      <c r="F286" s="177">
        <v>0.6</v>
      </c>
      <c r="G286" s="177">
        <v>38.880000000000003</v>
      </c>
      <c r="H286" s="177">
        <v>1.0049999999999999</v>
      </c>
      <c r="I286" s="177">
        <v>1.2929999999999999</v>
      </c>
      <c r="J286" s="220">
        <v>39.799999999999997</v>
      </c>
      <c r="K286" s="177">
        <v>26</v>
      </c>
      <c r="L286" s="177">
        <f t="shared" si="73"/>
        <v>13.799999999999997</v>
      </c>
      <c r="M286" s="190">
        <f t="shared" si="74"/>
        <v>418.33208937599983</v>
      </c>
      <c r="N286" s="177">
        <v>0.27700000000000002</v>
      </c>
      <c r="O286" s="50">
        <f t="shared" si="75"/>
        <v>115.87798875715197</v>
      </c>
      <c r="P286" s="177">
        <f>31*16</f>
        <v>496</v>
      </c>
      <c r="Q286" s="222">
        <f t="shared" si="76"/>
        <v>57.475482423547376</v>
      </c>
    </row>
    <row r="287" spans="5:17" ht="14" x14ac:dyDescent="0.25">
      <c r="E287" s="189" t="s">
        <v>13</v>
      </c>
      <c r="F287" s="177">
        <v>0.6</v>
      </c>
      <c r="G287" s="177">
        <v>38.880000000000003</v>
      </c>
      <c r="H287" s="177">
        <v>1.0049999999999999</v>
      </c>
      <c r="I287" s="177">
        <v>1.2929999999999999</v>
      </c>
      <c r="J287" s="220">
        <v>38.4</v>
      </c>
      <c r="K287" s="177">
        <v>26</v>
      </c>
      <c r="L287" s="177">
        <f t="shared" si="73"/>
        <v>12.399999999999999</v>
      </c>
      <c r="M287" s="190">
        <f t="shared" si="74"/>
        <v>375.89260204799984</v>
      </c>
      <c r="N287" s="177">
        <v>0.27700000000000002</v>
      </c>
      <c r="O287" s="50">
        <f t="shared" si="75"/>
        <v>104.12225076729597</v>
      </c>
      <c r="P287" s="177">
        <f>30*16</f>
        <v>480</v>
      </c>
      <c r="Q287" s="222">
        <f t="shared" si="76"/>
        <v>49.978680368302065</v>
      </c>
    </row>
    <row r="288" spans="5:17" ht="14" x14ac:dyDescent="0.25">
      <c r="E288" s="189" t="s">
        <v>24</v>
      </c>
      <c r="F288" s="177">
        <v>0.6</v>
      </c>
      <c r="G288" s="177">
        <v>38.880000000000003</v>
      </c>
      <c r="H288" s="177">
        <v>1.0049999999999999</v>
      </c>
      <c r="I288" s="177">
        <v>1.2929999999999999</v>
      </c>
      <c r="J288" s="223">
        <v>37</v>
      </c>
      <c r="K288" s="177">
        <v>26</v>
      </c>
      <c r="L288" s="177">
        <f t="shared" si="73"/>
        <v>11</v>
      </c>
      <c r="M288" s="190">
        <f t="shared" si="74"/>
        <v>333.45311471999992</v>
      </c>
      <c r="N288" s="177">
        <v>0.27700000000000002</v>
      </c>
      <c r="O288" s="50">
        <f t="shared" si="75"/>
        <v>92.366512777439979</v>
      </c>
      <c r="P288" s="177">
        <f>31*16</f>
        <v>496</v>
      </c>
      <c r="Q288" s="222">
        <f t="shared" si="76"/>
        <v>45.813790337610236</v>
      </c>
    </row>
    <row r="289" spans="5:17" ht="14" x14ac:dyDescent="0.25">
      <c r="E289" s="189" t="s">
        <v>19</v>
      </c>
      <c r="F289" s="177">
        <v>0.6</v>
      </c>
      <c r="G289" s="177">
        <v>38.880000000000003</v>
      </c>
      <c r="H289" s="177">
        <v>1.0049999999999999</v>
      </c>
      <c r="I289" s="177">
        <v>1.2929999999999999</v>
      </c>
      <c r="J289" s="223">
        <v>35.9</v>
      </c>
      <c r="K289" s="177">
        <v>26</v>
      </c>
      <c r="L289" s="177">
        <f t="shared" si="73"/>
        <v>9.8999999999999986</v>
      </c>
      <c r="M289" s="190">
        <f t="shared" si="74"/>
        <v>300.10780324799987</v>
      </c>
      <c r="N289" s="177">
        <v>0.27700000000000002</v>
      </c>
      <c r="O289" s="50">
        <f t="shared" si="75"/>
        <v>83.129861499695977</v>
      </c>
      <c r="P289" s="177">
        <f>31*16</f>
        <v>496</v>
      </c>
      <c r="Q289" s="222">
        <f t="shared" si="76"/>
        <v>41.232411303849204</v>
      </c>
    </row>
    <row r="290" spans="5:17" ht="14" x14ac:dyDescent="0.25">
      <c r="E290" s="189" t="s">
        <v>20</v>
      </c>
      <c r="F290" s="177">
        <v>0.6</v>
      </c>
      <c r="G290" s="177">
        <v>38.880000000000003</v>
      </c>
      <c r="H290" s="177">
        <v>1.0049999999999999</v>
      </c>
      <c r="I290" s="177">
        <v>1.2929999999999999</v>
      </c>
      <c r="J290" s="223">
        <v>35</v>
      </c>
      <c r="K290" s="177">
        <v>26</v>
      </c>
      <c r="L290" s="177">
        <f t="shared" si="73"/>
        <v>9</v>
      </c>
      <c r="M290" s="190">
        <f t="shared" si="74"/>
        <v>272.82527567999995</v>
      </c>
      <c r="N290" s="177">
        <v>0.27700000000000002</v>
      </c>
      <c r="O290" s="50">
        <f t="shared" si="75"/>
        <v>75.572601363359993</v>
      </c>
      <c r="P290" s="177">
        <f>30*16</f>
        <v>480</v>
      </c>
      <c r="Q290" s="222">
        <f t="shared" si="76"/>
        <v>36.274848654412793</v>
      </c>
    </row>
    <row r="291" spans="5:17" ht="14" x14ac:dyDescent="0.25">
      <c r="E291" s="189" t="s">
        <v>21</v>
      </c>
      <c r="F291" s="177">
        <v>0.6</v>
      </c>
      <c r="G291" s="177">
        <v>38.880000000000003</v>
      </c>
      <c r="H291" s="177">
        <v>1.0049999999999999</v>
      </c>
      <c r="I291" s="177">
        <v>1.2929999999999999</v>
      </c>
      <c r="J291" s="223">
        <v>34</v>
      </c>
      <c r="K291" s="177">
        <v>26</v>
      </c>
      <c r="L291" s="177">
        <f t="shared" si="73"/>
        <v>8</v>
      </c>
      <c r="M291" s="190">
        <f t="shared" si="74"/>
        <v>242.51135615999993</v>
      </c>
      <c r="N291" s="177">
        <v>0.27700000000000002</v>
      </c>
      <c r="O291" s="50">
        <f t="shared" si="75"/>
        <v>67.175645656319986</v>
      </c>
      <c r="P291" s="177">
        <f>31*16</f>
        <v>496</v>
      </c>
      <c r="Q291" s="222">
        <f t="shared" si="76"/>
        <v>33.319120245534712</v>
      </c>
    </row>
    <row r="292" spans="5:17" ht="14" x14ac:dyDescent="0.25">
      <c r="E292" s="189" t="s">
        <v>22</v>
      </c>
      <c r="F292" s="177">
        <v>0.6</v>
      </c>
      <c r="G292" s="177">
        <v>38.880000000000003</v>
      </c>
      <c r="H292" s="177">
        <v>1.0049999999999999</v>
      </c>
      <c r="I292" s="177">
        <v>1.2929999999999999</v>
      </c>
      <c r="J292" s="223">
        <v>31.2</v>
      </c>
      <c r="K292" s="177">
        <v>26</v>
      </c>
      <c r="L292" s="177">
        <f t="shared" si="73"/>
        <v>5.1999999999999993</v>
      </c>
      <c r="M292" s="190">
        <f t="shared" si="74"/>
        <v>157.63238150399994</v>
      </c>
      <c r="N292" s="177">
        <v>0.27700000000000002</v>
      </c>
      <c r="O292" s="50">
        <f t="shared" si="75"/>
        <v>43.664169676607983</v>
      </c>
      <c r="P292" s="177">
        <f>30*16</f>
        <v>480</v>
      </c>
      <c r="Q292" s="222">
        <f t="shared" si="76"/>
        <v>20.958801444771829</v>
      </c>
    </row>
    <row r="293" spans="5:17" ht="14" x14ac:dyDescent="0.25">
      <c r="E293" s="189" t="s">
        <v>23</v>
      </c>
      <c r="F293" s="177">
        <v>0.6</v>
      </c>
      <c r="G293" s="177">
        <v>38.880000000000003</v>
      </c>
      <c r="H293" s="177">
        <v>1.0049999999999999</v>
      </c>
      <c r="I293" s="177">
        <v>1.2929999999999999</v>
      </c>
      <c r="J293" s="223">
        <v>30.1</v>
      </c>
      <c r="K293" s="177">
        <v>26</v>
      </c>
      <c r="L293" s="177">
        <f t="shared" si="73"/>
        <v>4.1000000000000014</v>
      </c>
      <c r="M293" s="190">
        <f t="shared" si="74"/>
        <v>124.287070032</v>
      </c>
      <c r="N293" s="177">
        <v>0.27700000000000002</v>
      </c>
      <c r="O293" s="50">
        <f t="shared" si="75"/>
        <v>34.427518398864002</v>
      </c>
      <c r="P293" s="177">
        <f>31*16</f>
        <v>496</v>
      </c>
      <c r="Q293" s="222">
        <f t="shared" si="76"/>
        <v>17.076049125836544</v>
      </c>
    </row>
    <row r="294" spans="5:17" ht="15" x14ac:dyDescent="0.4">
      <c r="E294" s="374" t="s">
        <v>92</v>
      </c>
      <c r="F294" s="375"/>
      <c r="G294" s="375"/>
      <c r="H294" s="375"/>
      <c r="I294" s="375"/>
      <c r="J294" s="375"/>
      <c r="K294" s="375"/>
      <c r="L294" s="375"/>
      <c r="M294" s="375"/>
      <c r="N294" s="375"/>
      <c r="O294" s="375"/>
      <c r="P294" s="375"/>
      <c r="Q294" s="235">
        <f>SUM(Q282:Q293)</f>
        <v>423.54244586309744</v>
      </c>
    </row>
    <row r="295" spans="5:17" ht="14" x14ac:dyDescent="0.25">
      <c r="E295" s="189" t="s">
        <v>15</v>
      </c>
      <c r="F295" s="177">
        <v>0.6</v>
      </c>
      <c r="G295" s="177">
        <v>38.880000000000003</v>
      </c>
      <c r="H295" s="177">
        <v>1.0049999999999999</v>
      </c>
      <c r="I295" s="177">
        <v>1.2929999999999999</v>
      </c>
      <c r="J295" s="220">
        <v>30.2</v>
      </c>
      <c r="K295" s="177">
        <v>27</v>
      </c>
      <c r="L295" s="177">
        <f>J295-K295</f>
        <v>3.1999999999999993</v>
      </c>
      <c r="M295" s="190">
        <f>F295*G295*H295*I295*L295</f>
        <v>97.004542463999954</v>
      </c>
      <c r="N295" s="177">
        <v>0.27700000000000002</v>
      </c>
      <c r="O295" s="50">
        <f>M295*N295</f>
        <v>26.87025826252799</v>
      </c>
      <c r="P295" s="177">
        <f>31*16</f>
        <v>496</v>
      </c>
      <c r="Q295" s="222">
        <f>(O295*P295)/1000</f>
        <v>13.327648098213883</v>
      </c>
    </row>
    <row r="296" spans="5:17" ht="14" x14ac:dyDescent="0.25">
      <c r="E296" s="189" t="s">
        <v>16</v>
      </c>
      <c r="F296" s="177">
        <v>0.6</v>
      </c>
      <c r="G296" s="177">
        <v>38.880000000000003</v>
      </c>
      <c r="H296" s="177">
        <v>1.0049999999999999</v>
      </c>
      <c r="I296" s="177">
        <v>1.2929999999999999</v>
      </c>
      <c r="J296" s="220">
        <v>32.200000000000003</v>
      </c>
      <c r="K296" s="177">
        <v>27</v>
      </c>
      <c r="L296" s="177">
        <f t="shared" ref="L296:L306" si="77">J296-K296</f>
        <v>5.2000000000000028</v>
      </c>
      <c r="M296" s="190">
        <f t="shared" ref="M296:M306" si="78">F296*G296*H296*I296*L296</f>
        <v>157.63238150400005</v>
      </c>
      <c r="N296" s="177">
        <v>0.27700000000000002</v>
      </c>
      <c r="O296" s="50">
        <f t="shared" ref="O296:O306" si="79">M296*N296</f>
        <v>43.664169676608019</v>
      </c>
      <c r="P296" s="177">
        <f>28*16</f>
        <v>448</v>
      </c>
      <c r="Q296" s="222">
        <f t="shared" ref="Q296:Q306" si="80">(O296*P296)/1000</f>
        <v>19.56154801512039</v>
      </c>
    </row>
    <row r="297" spans="5:17" ht="14" x14ac:dyDescent="0.25">
      <c r="E297" s="189" t="s">
        <v>17</v>
      </c>
      <c r="F297" s="177">
        <v>0.6</v>
      </c>
      <c r="G297" s="177">
        <v>38.880000000000003</v>
      </c>
      <c r="H297" s="177">
        <v>1.0049999999999999</v>
      </c>
      <c r="I297" s="177">
        <v>1.2929999999999999</v>
      </c>
      <c r="J297" s="220">
        <v>34.9</v>
      </c>
      <c r="K297" s="177">
        <v>27</v>
      </c>
      <c r="L297" s="177">
        <f t="shared" si="77"/>
        <v>7.8999999999999986</v>
      </c>
      <c r="M297" s="190">
        <f t="shared" si="78"/>
        <v>239.4799642079999</v>
      </c>
      <c r="N297" s="177">
        <v>0.27700000000000002</v>
      </c>
      <c r="O297" s="50">
        <f t="shared" si="79"/>
        <v>66.335950085615977</v>
      </c>
      <c r="P297" s="177">
        <f>31*16</f>
        <v>496</v>
      </c>
      <c r="Q297" s="222">
        <f t="shared" si="80"/>
        <v>32.902631242465525</v>
      </c>
    </row>
    <row r="298" spans="5:17" ht="14" x14ac:dyDescent="0.25">
      <c r="E298" s="189" t="s">
        <v>18</v>
      </c>
      <c r="F298" s="177">
        <v>0.6</v>
      </c>
      <c r="G298" s="177">
        <v>38.880000000000003</v>
      </c>
      <c r="H298" s="177">
        <v>1.0049999999999999</v>
      </c>
      <c r="I298" s="177">
        <v>1.2929999999999999</v>
      </c>
      <c r="J298" s="220">
        <v>36.799999999999997</v>
      </c>
      <c r="K298" s="177">
        <v>27</v>
      </c>
      <c r="L298" s="177">
        <f t="shared" si="77"/>
        <v>9.7999999999999972</v>
      </c>
      <c r="M298" s="190">
        <f t="shared" si="78"/>
        <v>297.07641129599983</v>
      </c>
      <c r="N298" s="177">
        <v>0.27700000000000002</v>
      </c>
      <c r="O298" s="50">
        <f t="shared" si="79"/>
        <v>82.290165928991968</v>
      </c>
      <c r="P298" s="177">
        <f>30*16</f>
        <v>480</v>
      </c>
      <c r="Q298" s="222">
        <f t="shared" si="80"/>
        <v>39.499279645916147</v>
      </c>
    </row>
    <row r="299" spans="5:17" ht="14" x14ac:dyDescent="0.25">
      <c r="E299" s="189" t="s">
        <v>12</v>
      </c>
      <c r="F299" s="177">
        <v>0.6</v>
      </c>
      <c r="G299" s="177">
        <v>38.880000000000003</v>
      </c>
      <c r="H299" s="177">
        <v>1.0049999999999999</v>
      </c>
      <c r="I299" s="177">
        <v>1.2929999999999999</v>
      </c>
      <c r="J299" s="220">
        <v>39.799999999999997</v>
      </c>
      <c r="K299" s="177">
        <v>27</v>
      </c>
      <c r="L299" s="177">
        <f t="shared" si="77"/>
        <v>12.799999999999997</v>
      </c>
      <c r="M299" s="190">
        <f t="shared" si="78"/>
        <v>388.01816985599982</v>
      </c>
      <c r="N299" s="177">
        <v>0.27700000000000002</v>
      </c>
      <c r="O299" s="50">
        <f t="shared" si="79"/>
        <v>107.48103305011196</v>
      </c>
      <c r="P299" s="177">
        <f>31*16</f>
        <v>496</v>
      </c>
      <c r="Q299" s="222">
        <f t="shared" si="80"/>
        <v>53.310592392855533</v>
      </c>
    </row>
    <row r="300" spans="5:17" ht="14" x14ac:dyDescent="0.25">
      <c r="E300" s="189" t="s">
        <v>13</v>
      </c>
      <c r="F300" s="177">
        <v>0.6</v>
      </c>
      <c r="G300" s="177">
        <v>38.880000000000003</v>
      </c>
      <c r="H300" s="177">
        <v>1.0049999999999999</v>
      </c>
      <c r="I300" s="177">
        <v>1.2929999999999999</v>
      </c>
      <c r="J300" s="220">
        <v>38.4</v>
      </c>
      <c r="K300" s="177">
        <v>27</v>
      </c>
      <c r="L300" s="177">
        <f t="shared" si="77"/>
        <v>11.399999999999999</v>
      </c>
      <c r="M300" s="190">
        <f t="shared" si="78"/>
        <v>345.57868252799989</v>
      </c>
      <c r="N300" s="177">
        <v>0.27700000000000002</v>
      </c>
      <c r="O300" s="50">
        <f t="shared" si="79"/>
        <v>95.725295060255974</v>
      </c>
      <c r="P300" s="177">
        <f>30*16</f>
        <v>480</v>
      </c>
      <c r="Q300" s="222">
        <f t="shared" si="80"/>
        <v>45.948141628922869</v>
      </c>
    </row>
    <row r="301" spans="5:17" ht="14" x14ac:dyDescent="0.25">
      <c r="E301" s="189" t="s">
        <v>24</v>
      </c>
      <c r="F301" s="177">
        <v>0.6</v>
      </c>
      <c r="G301" s="177">
        <v>38.880000000000003</v>
      </c>
      <c r="H301" s="177">
        <v>1.0049999999999999</v>
      </c>
      <c r="I301" s="177">
        <v>1.2929999999999999</v>
      </c>
      <c r="J301" s="223">
        <v>37</v>
      </c>
      <c r="K301" s="177">
        <v>27</v>
      </c>
      <c r="L301" s="177">
        <f t="shared" si="77"/>
        <v>10</v>
      </c>
      <c r="M301" s="190">
        <f t="shared" si="78"/>
        <v>303.1391951999999</v>
      </c>
      <c r="N301" s="177">
        <v>0.27700000000000002</v>
      </c>
      <c r="O301" s="50">
        <f t="shared" si="79"/>
        <v>83.969557070399986</v>
      </c>
      <c r="P301" s="177">
        <f>31*16</f>
        <v>496</v>
      </c>
      <c r="Q301" s="222">
        <f t="shared" si="80"/>
        <v>41.648900306918399</v>
      </c>
    </row>
    <row r="302" spans="5:17" ht="14" x14ac:dyDescent="0.25">
      <c r="E302" s="189" t="s">
        <v>19</v>
      </c>
      <c r="F302" s="177">
        <v>0.6</v>
      </c>
      <c r="G302" s="177">
        <v>38.880000000000003</v>
      </c>
      <c r="H302" s="177">
        <v>1.0049999999999999</v>
      </c>
      <c r="I302" s="177">
        <v>1.2929999999999999</v>
      </c>
      <c r="J302" s="223">
        <v>35.9</v>
      </c>
      <c r="K302" s="177">
        <v>27</v>
      </c>
      <c r="L302" s="177">
        <f t="shared" si="77"/>
        <v>8.8999999999999986</v>
      </c>
      <c r="M302" s="190">
        <f t="shared" si="78"/>
        <v>269.79388372799991</v>
      </c>
      <c r="N302" s="177">
        <v>0.27700000000000002</v>
      </c>
      <c r="O302" s="50">
        <f t="shared" si="79"/>
        <v>74.732905792655984</v>
      </c>
      <c r="P302" s="177">
        <f>31*16</f>
        <v>496</v>
      </c>
      <c r="Q302" s="222">
        <f t="shared" si="80"/>
        <v>37.067521273157368</v>
      </c>
    </row>
    <row r="303" spans="5:17" ht="14" x14ac:dyDescent="0.25">
      <c r="E303" s="189" t="s">
        <v>20</v>
      </c>
      <c r="F303" s="177">
        <v>0.6</v>
      </c>
      <c r="G303" s="177">
        <v>38.880000000000003</v>
      </c>
      <c r="H303" s="177">
        <v>1.0049999999999999</v>
      </c>
      <c r="I303" s="177">
        <v>1.2929999999999999</v>
      </c>
      <c r="J303" s="223">
        <v>35</v>
      </c>
      <c r="K303" s="177">
        <v>27</v>
      </c>
      <c r="L303" s="177">
        <f t="shared" si="77"/>
        <v>8</v>
      </c>
      <c r="M303" s="190">
        <f t="shared" si="78"/>
        <v>242.51135615999993</v>
      </c>
      <c r="N303" s="177">
        <v>0.27700000000000002</v>
      </c>
      <c r="O303" s="50">
        <f t="shared" si="79"/>
        <v>67.175645656319986</v>
      </c>
      <c r="P303" s="177">
        <f>30*16</f>
        <v>480</v>
      </c>
      <c r="Q303" s="222">
        <f t="shared" si="80"/>
        <v>32.244309915033597</v>
      </c>
    </row>
    <row r="304" spans="5:17" ht="14" x14ac:dyDescent="0.25">
      <c r="E304" s="189" t="s">
        <v>21</v>
      </c>
      <c r="F304" s="177">
        <v>0.6</v>
      </c>
      <c r="G304" s="177">
        <v>38.880000000000003</v>
      </c>
      <c r="H304" s="177">
        <v>1.0049999999999999</v>
      </c>
      <c r="I304" s="177">
        <v>1.2929999999999999</v>
      </c>
      <c r="J304" s="223">
        <v>34</v>
      </c>
      <c r="K304" s="177">
        <v>27</v>
      </c>
      <c r="L304" s="177">
        <f t="shared" si="77"/>
        <v>7</v>
      </c>
      <c r="M304" s="190">
        <f t="shared" si="78"/>
        <v>212.19743663999995</v>
      </c>
      <c r="N304" s="177">
        <v>0.27700000000000002</v>
      </c>
      <c r="O304" s="50">
        <f t="shared" si="79"/>
        <v>58.778689949279993</v>
      </c>
      <c r="P304" s="177">
        <f>31*16</f>
        <v>496</v>
      </c>
      <c r="Q304" s="222">
        <f t="shared" si="80"/>
        <v>29.154230214842876</v>
      </c>
    </row>
    <row r="305" spans="5:17" ht="14" x14ac:dyDescent="0.25">
      <c r="E305" s="189" t="s">
        <v>22</v>
      </c>
      <c r="F305" s="177">
        <v>0.6</v>
      </c>
      <c r="G305" s="177">
        <v>38.880000000000003</v>
      </c>
      <c r="H305" s="177">
        <v>1.0049999999999999</v>
      </c>
      <c r="I305" s="177">
        <v>1.2929999999999999</v>
      </c>
      <c r="J305" s="223">
        <v>31.2</v>
      </c>
      <c r="K305" s="177">
        <v>27</v>
      </c>
      <c r="L305" s="177">
        <f t="shared" si="77"/>
        <v>4.1999999999999993</v>
      </c>
      <c r="M305" s="190">
        <f t="shared" si="78"/>
        <v>127.31846198399994</v>
      </c>
      <c r="N305" s="177">
        <v>0.27700000000000002</v>
      </c>
      <c r="O305" s="50">
        <f t="shared" si="79"/>
        <v>35.267213969567983</v>
      </c>
      <c r="P305" s="177">
        <f>30*16</f>
        <v>480</v>
      </c>
      <c r="Q305" s="222">
        <f t="shared" si="80"/>
        <v>16.928262705392633</v>
      </c>
    </row>
    <row r="306" spans="5:17" ht="14" x14ac:dyDescent="0.25">
      <c r="E306" s="189" t="s">
        <v>23</v>
      </c>
      <c r="F306" s="177">
        <v>0.6</v>
      </c>
      <c r="G306" s="177">
        <v>38.880000000000003</v>
      </c>
      <c r="H306" s="177">
        <v>1.0049999999999999</v>
      </c>
      <c r="I306" s="177">
        <v>1.2929999999999999</v>
      </c>
      <c r="J306" s="223">
        <v>30.1</v>
      </c>
      <c r="K306" s="177">
        <v>27</v>
      </c>
      <c r="L306" s="177">
        <f t="shared" si="77"/>
        <v>3.1000000000000014</v>
      </c>
      <c r="M306" s="190">
        <f t="shared" si="78"/>
        <v>93.973150512000018</v>
      </c>
      <c r="N306" s="177">
        <v>0.27700000000000002</v>
      </c>
      <c r="O306" s="50">
        <f t="shared" si="79"/>
        <v>26.030562691824006</v>
      </c>
      <c r="P306" s="177">
        <f>31*16</f>
        <v>496</v>
      </c>
      <c r="Q306" s="222">
        <f t="shared" si="80"/>
        <v>12.911159095144708</v>
      </c>
    </row>
    <row r="307" spans="5:17" ht="15" x14ac:dyDescent="0.4">
      <c r="E307" s="374" t="s">
        <v>93</v>
      </c>
      <c r="F307" s="375"/>
      <c r="G307" s="375"/>
      <c r="H307" s="375"/>
      <c r="I307" s="375"/>
      <c r="J307" s="375"/>
      <c r="K307" s="375"/>
      <c r="L307" s="375"/>
      <c r="M307" s="375"/>
      <c r="N307" s="375"/>
      <c r="O307" s="375"/>
      <c r="P307" s="375"/>
      <c r="Q307" s="235">
        <f>SUM(Q295:Q306)</f>
        <v>374.50422453398386</v>
      </c>
    </row>
    <row r="308" spans="5:17" ht="14" x14ac:dyDescent="0.25">
      <c r="E308" s="189" t="s">
        <v>15</v>
      </c>
      <c r="F308" s="177">
        <v>0.6</v>
      </c>
      <c r="G308" s="177">
        <v>38.880000000000003</v>
      </c>
      <c r="H308" s="177">
        <v>1.0049999999999999</v>
      </c>
      <c r="I308" s="177">
        <v>1.2929999999999999</v>
      </c>
      <c r="J308" s="220">
        <v>30.2</v>
      </c>
      <c r="K308" s="177">
        <v>28</v>
      </c>
      <c r="L308" s="177">
        <f>J308-K308</f>
        <v>2.1999999999999993</v>
      </c>
      <c r="M308" s="190">
        <f>F308*G308*H308*I308*L308</f>
        <v>66.690622943999955</v>
      </c>
      <c r="N308" s="177">
        <v>0.27700000000000002</v>
      </c>
      <c r="O308" s="50">
        <f>M308*N308</f>
        <v>18.47330255548799</v>
      </c>
      <c r="P308" s="177">
        <f>31*16</f>
        <v>496</v>
      </c>
      <c r="Q308" s="222">
        <f>(O308*P308)/1000</f>
        <v>9.1627580675220432</v>
      </c>
    </row>
    <row r="309" spans="5:17" ht="14" x14ac:dyDescent="0.25">
      <c r="E309" s="189" t="s">
        <v>16</v>
      </c>
      <c r="F309" s="177">
        <v>0.6</v>
      </c>
      <c r="G309" s="177">
        <v>38.880000000000003</v>
      </c>
      <c r="H309" s="177">
        <v>1.0049999999999999</v>
      </c>
      <c r="I309" s="177">
        <v>1.2929999999999999</v>
      </c>
      <c r="J309" s="220">
        <v>32.200000000000003</v>
      </c>
      <c r="K309" s="177">
        <v>28</v>
      </c>
      <c r="L309" s="177">
        <f t="shared" ref="L309:L319" si="81">J309-K309</f>
        <v>4.2000000000000028</v>
      </c>
      <c r="M309" s="190">
        <f t="shared" ref="M309:M319" si="82">F309*G309*H309*I309*L309</f>
        <v>127.31846198400005</v>
      </c>
      <c r="N309" s="177">
        <v>0.27700000000000002</v>
      </c>
      <c r="O309" s="50">
        <f t="shared" ref="O309:O319" si="83">M309*N309</f>
        <v>35.267213969568019</v>
      </c>
      <c r="P309" s="177">
        <f>28*16</f>
        <v>448</v>
      </c>
      <c r="Q309" s="222">
        <f t="shared" ref="Q309:Q319" si="84">(O309*P309)/1000</f>
        <v>15.799711858366472</v>
      </c>
    </row>
    <row r="310" spans="5:17" ht="14" x14ac:dyDescent="0.25">
      <c r="E310" s="189" t="s">
        <v>17</v>
      </c>
      <c r="F310" s="177">
        <v>0.6</v>
      </c>
      <c r="G310" s="177">
        <v>38.880000000000003</v>
      </c>
      <c r="H310" s="177">
        <v>1.0049999999999999</v>
      </c>
      <c r="I310" s="177">
        <v>1.2929999999999999</v>
      </c>
      <c r="J310" s="220">
        <v>34.9</v>
      </c>
      <c r="K310" s="177">
        <v>28</v>
      </c>
      <c r="L310" s="177">
        <f t="shared" si="81"/>
        <v>6.8999999999999986</v>
      </c>
      <c r="M310" s="190">
        <f t="shared" si="82"/>
        <v>209.16604468799991</v>
      </c>
      <c r="N310" s="177">
        <v>0.27700000000000002</v>
      </c>
      <c r="O310" s="50">
        <f t="shared" si="83"/>
        <v>57.938994378575984</v>
      </c>
      <c r="P310" s="177">
        <f>31*16</f>
        <v>496</v>
      </c>
      <c r="Q310" s="222">
        <f t="shared" si="84"/>
        <v>28.737741211773688</v>
      </c>
    </row>
    <row r="311" spans="5:17" ht="14" x14ac:dyDescent="0.25">
      <c r="E311" s="189" t="s">
        <v>18</v>
      </c>
      <c r="F311" s="177">
        <v>0.6</v>
      </c>
      <c r="G311" s="177">
        <v>38.880000000000003</v>
      </c>
      <c r="H311" s="177">
        <v>1.0049999999999999</v>
      </c>
      <c r="I311" s="177">
        <v>1.2929999999999999</v>
      </c>
      <c r="J311" s="220">
        <v>36.799999999999997</v>
      </c>
      <c r="K311" s="177">
        <v>28</v>
      </c>
      <c r="L311" s="177">
        <f t="shared" si="81"/>
        <v>8.7999999999999972</v>
      </c>
      <c r="M311" s="190">
        <f t="shared" si="82"/>
        <v>266.76249177599982</v>
      </c>
      <c r="N311" s="177">
        <v>0.27700000000000002</v>
      </c>
      <c r="O311" s="50">
        <f t="shared" si="83"/>
        <v>73.893210221951961</v>
      </c>
      <c r="P311" s="177">
        <f>30*16</f>
        <v>480</v>
      </c>
      <c r="Q311" s="222">
        <f t="shared" si="84"/>
        <v>35.468740906536944</v>
      </c>
    </row>
    <row r="312" spans="5:17" ht="14" x14ac:dyDescent="0.25">
      <c r="E312" s="189" t="s">
        <v>12</v>
      </c>
      <c r="F312" s="177">
        <v>0.6</v>
      </c>
      <c r="G312" s="177">
        <v>38.880000000000003</v>
      </c>
      <c r="H312" s="177">
        <v>1.0049999999999999</v>
      </c>
      <c r="I312" s="177">
        <v>1.2929999999999999</v>
      </c>
      <c r="J312" s="220">
        <v>39.799999999999997</v>
      </c>
      <c r="K312" s="177">
        <v>28</v>
      </c>
      <c r="L312" s="177">
        <f t="shared" si="81"/>
        <v>11.799999999999997</v>
      </c>
      <c r="M312" s="190">
        <f t="shared" si="82"/>
        <v>357.7042503359998</v>
      </c>
      <c r="N312" s="177">
        <v>0.27700000000000002</v>
      </c>
      <c r="O312" s="50">
        <f t="shared" si="83"/>
        <v>99.084077343071954</v>
      </c>
      <c r="P312" s="177">
        <f>31*16</f>
        <v>496</v>
      </c>
      <c r="Q312" s="222">
        <f t="shared" si="84"/>
        <v>49.145702362163689</v>
      </c>
    </row>
    <row r="313" spans="5:17" ht="14" x14ac:dyDescent="0.25">
      <c r="E313" s="189" t="s">
        <v>13</v>
      </c>
      <c r="F313" s="177">
        <v>0.6</v>
      </c>
      <c r="G313" s="177">
        <v>38.880000000000003</v>
      </c>
      <c r="H313" s="177">
        <v>1.0049999999999999</v>
      </c>
      <c r="I313" s="177">
        <v>1.2929999999999999</v>
      </c>
      <c r="J313" s="220">
        <v>38.4</v>
      </c>
      <c r="K313" s="177">
        <v>28</v>
      </c>
      <c r="L313" s="177">
        <f t="shared" si="81"/>
        <v>10.399999999999999</v>
      </c>
      <c r="M313" s="190">
        <f t="shared" si="82"/>
        <v>315.26476300799987</v>
      </c>
      <c r="N313" s="177">
        <v>0.27700000000000002</v>
      </c>
      <c r="O313" s="50">
        <f t="shared" si="83"/>
        <v>87.328339353215966</v>
      </c>
      <c r="P313" s="177">
        <f>30*16</f>
        <v>480</v>
      </c>
      <c r="Q313" s="222">
        <f t="shared" si="84"/>
        <v>41.917602889543659</v>
      </c>
    </row>
    <row r="314" spans="5:17" ht="14" x14ac:dyDescent="0.25">
      <c r="E314" s="189" t="s">
        <v>24</v>
      </c>
      <c r="F314" s="177">
        <v>0.6</v>
      </c>
      <c r="G314" s="177">
        <v>38.880000000000003</v>
      </c>
      <c r="H314" s="177">
        <v>1.0049999999999999</v>
      </c>
      <c r="I314" s="177">
        <v>1.2929999999999999</v>
      </c>
      <c r="J314" s="223">
        <v>37</v>
      </c>
      <c r="K314" s="177">
        <v>28</v>
      </c>
      <c r="L314" s="177">
        <f t="shared" si="81"/>
        <v>9</v>
      </c>
      <c r="M314" s="190">
        <f t="shared" si="82"/>
        <v>272.82527567999995</v>
      </c>
      <c r="N314" s="177">
        <v>0.27700000000000002</v>
      </c>
      <c r="O314" s="50">
        <f t="shared" si="83"/>
        <v>75.572601363359993</v>
      </c>
      <c r="P314" s="177">
        <f>31*16</f>
        <v>496</v>
      </c>
      <c r="Q314" s="222">
        <f t="shared" si="84"/>
        <v>37.484010276226563</v>
      </c>
    </row>
    <row r="315" spans="5:17" ht="14" x14ac:dyDescent="0.25">
      <c r="E315" s="189" t="s">
        <v>19</v>
      </c>
      <c r="F315" s="177">
        <v>0.6</v>
      </c>
      <c r="G315" s="177">
        <v>38.880000000000003</v>
      </c>
      <c r="H315" s="177">
        <v>1.0049999999999999</v>
      </c>
      <c r="I315" s="177">
        <v>1.2929999999999999</v>
      </c>
      <c r="J315" s="223">
        <v>35.9</v>
      </c>
      <c r="K315" s="177">
        <v>28</v>
      </c>
      <c r="L315" s="177">
        <f t="shared" si="81"/>
        <v>7.8999999999999986</v>
      </c>
      <c r="M315" s="190">
        <f t="shared" si="82"/>
        <v>239.4799642079999</v>
      </c>
      <c r="N315" s="177">
        <v>0.27700000000000002</v>
      </c>
      <c r="O315" s="50">
        <f t="shared" si="83"/>
        <v>66.335950085615977</v>
      </c>
      <c r="P315" s="177">
        <f>31*16</f>
        <v>496</v>
      </c>
      <c r="Q315" s="222">
        <f t="shared" si="84"/>
        <v>32.902631242465525</v>
      </c>
    </row>
    <row r="316" spans="5:17" ht="14" x14ac:dyDescent="0.25">
      <c r="E316" s="189" t="s">
        <v>20</v>
      </c>
      <c r="F316" s="177">
        <v>0.6</v>
      </c>
      <c r="G316" s="177">
        <v>38.880000000000003</v>
      </c>
      <c r="H316" s="177">
        <v>1.0049999999999999</v>
      </c>
      <c r="I316" s="177">
        <v>1.2929999999999999</v>
      </c>
      <c r="J316" s="223">
        <v>35</v>
      </c>
      <c r="K316" s="177">
        <v>28</v>
      </c>
      <c r="L316" s="177">
        <f t="shared" si="81"/>
        <v>7</v>
      </c>
      <c r="M316" s="190">
        <f t="shared" si="82"/>
        <v>212.19743663999995</v>
      </c>
      <c r="N316" s="177">
        <v>0.27700000000000002</v>
      </c>
      <c r="O316" s="50">
        <f t="shared" si="83"/>
        <v>58.778689949279993</v>
      </c>
      <c r="P316" s="177">
        <f>30*16</f>
        <v>480</v>
      </c>
      <c r="Q316" s="222">
        <f t="shared" si="84"/>
        <v>28.213771175654397</v>
      </c>
    </row>
    <row r="317" spans="5:17" ht="14" x14ac:dyDescent="0.25">
      <c r="E317" s="189" t="s">
        <v>21</v>
      </c>
      <c r="F317" s="177">
        <v>0.6</v>
      </c>
      <c r="G317" s="177">
        <v>38.880000000000003</v>
      </c>
      <c r="H317" s="177">
        <v>1.0049999999999999</v>
      </c>
      <c r="I317" s="177">
        <v>1.2929999999999999</v>
      </c>
      <c r="J317" s="223">
        <v>34</v>
      </c>
      <c r="K317" s="177">
        <v>28</v>
      </c>
      <c r="L317" s="177">
        <f t="shared" si="81"/>
        <v>6</v>
      </c>
      <c r="M317" s="190">
        <f t="shared" si="82"/>
        <v>181.88351711999996</v>
      </c>
      <c r="N317" s="177">
        <v>0.27700000000000002</v>
      </c>
      <c r="O317" s="50">
        <f t="shared" si="83"/>
        <v>50.381734242239993</v>
      </c>
      <c r="P317" s="177">
        <f>31*16</f>
        <v>496</v>
      </c>
      <c r="Q317" s="222">
        <f t="shared" si="84"/>
        <v>24.989340184151036</v>
      </c>
    </row>
    <row r="318" spans="5:17" ht="14" x14ac:dyDescent="0.25">
      <c r="E318" s="189" t="s">
        <v>22</v>
      </c>
      <c r="F318" s="177">
        <v>0.6</v>
      </c>
      <c r="G318" s="177">
        <v>38.880000000000003</v>
      </c>
      <c r="H318" s="177">
        <v>1.0049999999999999</v>
      </c>
      <c r="I318" s="177">
        <v>1.2929999999999999</v>
      </c>
      <c r="J318" s="223">
        <v>31.2</v>
      </c>
      <c r="K318" s="177">
        <v>28</v>
      </c>
      <c r="L318" s="177">
        <f t="shared" si="81"/>
        <v>3.1999999999999993</v>
      </c>
      <c r="M318" s="190">
        <f t="shared" si="82"/>
        <v>97.004542463999954</v>
      </c>
      <c r="N318" s="177">
        <v>0.27700000000000002</v>
      </c>
      <c r="O318" s="50">
        <f t="shared" si="83"/>
        <v>26.87025826252799</v>
      </c>
      <c r="P318" s="177">
        <f>30*16</f>
        <v>480</v>
      </c>
      <c r="Q318" s="222">
        <f t="shared" si="84"/>
        <v>12.897723966013434</v>
      </c>
    </row>
    <row r="319" spans="5:17" ht="14" x14ac:dyDescent="0.25">
      <c r="E319" s="189" t="s">
        <v>23</v>
      </c>
      <c r="F319" s="177">
        <v>0.6</v>
      </c>
      <c r="G319" s="177">
        <v>38.880000000000003</v>
      </c>
      <c r="H319" s="177">
        <v>1.0049999999999999</v>
      </c>
      <c r="I319" s="177">
        <v>1.2929999999999999</v>
      </c>
      <c r="J319" s="223">
        <v>30.1</v>
      </c>
      <c r="K319" s="177">
        <v>28</v>
      </c>
      <c r="L319" s="177">
        <f t="shared" si="81"/>
        <v>2.1000000000000014</v>
      </c>
      <c r="M319" s="190">
        <f t="shared" si="82"/>
        <v>63.659230992000026</v>
      </c>
      <c r="N319" s="177">
        <v>0.27700000000000002</v>
      </c>
      <c r="O319" s="50">
        <f t="shared" si="83"/>
        <v>17.633606984784009</v>
      </c>
      <c r="P319" s="177">
        <f>31*16</f>
        <v>496</v>
      </c>
      <c r="Q319" s="222">
        <f t="shared" si="84"/>
        <v>8.7462690644528678</v>
      </c>
    </row>
    <row r="320" spans="5:17" ht="15.5" thickBot="1" x14ac:dyDescent="0.45">
      <c r="E320" s="368" t="s">
        <v>94</v>
      </c>
      <c r="F320" s="369"/>
      <c r="G320" s="369"/>
      <c r="H320" s="369"/>
      <c r="I320" s="369"/>
      <c r="J320" s="369"/>
      <c r="K320" s="369"/>
      <c r="L320" s="369"/>
      <c r="M320" s="369"/>
      <c r="N320" s="369"/>
      <c r="O320" s="369"/>
      <c r="P320" s="369"/>
      <c r="Q320" s="233">
        <f>SUM(Q308:Q319)</f>
        <v>325.46600320487033</v>
      </c>
    </row>
    <row r="321" spans="5:17" ht="13" thickBot="1" x14ac:dyDescent="0.3"/>
    <row r="322" spans="5:17" hidden="1" x14ac:dyDescent="0.25"/>
    <row r="323" spans="5:17" ht="13" hidden="1" thickBot="1" x14ac:dyDescent="0.3">
      <c r="P323" s="384"/>
      <c r="Q323" s="384"/>
    </row>
    <row r="324" spans="5:17" ht="13" x14ac:dyDescent="0.3">
      <c r="E324" s="295" t="s">
        <v>111</v>
      </c>
      <c r="F324" s="296"/>
      <c r="G324" s="296"/>
      <c r="H324" s="296"/>
      <c r="I324" s="296"/>
      <c r="J324" s="296"/>
      <c r="K324" s="296"/>
      <c r="L324" s="296"/>
      <c r="M324" s="296"/>
      <c r="N324" s="297"/>
      <c r="P324" s="384"/>
      <c r="Q324" s="384"/>
    </row>
    <row r="325" spans="5:17" ht="13" customHeight="1" x14ac:dyDescent="0.25">
      <c r="E325" s="185" t="s">
        <v>0</v>
      </c>
      <c r="F325" s="180" t="s">
        <v>104</v>
      </c>
      <c r="G325" s="180" t="s">
        <v>105</v>
      </c>
      <c r="H325" s="180" t="s">
        <v>64</v>
      </c>
      <c r="I325" s="180" t="s">
        <v>106</v>
      </c>
      <c r="J325" s="180" t="s">
        <v>107</v>
      </c>
      <c r="K325" s="180" t="s">
        <v>108</v>
      </c>
      <c r="L325" s="180" t="s">
        <v>110</v>
      </c>
      <c r="M325" s="180" t="s">
        <v>86</v>
      </c>
      <c r="N325" s="205" t="s">
        <v>109</v>
      </c>
      <c r="P325" s="384"/>
      <c r="Q325" s="384"/>
    </row>
    <row r="326" spans="5:17" x14ac:dyDescent="0.25">
      <c r="E326" s="189" t="s">
        <v>15</v>
      </c>
      <c r="F326" s="180">
        <v>4</v>
      </c>
      <c r="G326" s="180">
        <v>75</v>
      </c>
      <c r="H326" s="180">
        <v>1</v>
      </c>
      <c r="I326" s="180">
        <f>F326*G326*H326</f>
        <v>300</v>
      </c>
      <c r="J326" s="180">
        <v>30</v>
      </c>
      <c r="K326" s="177">
        <f>F326*J326</f>
        <v>120</v>
      </c>
      <c r="L326" s="177">
        <f>I326+K326</f>
        <v>420</v>
      </c>
      <c r="M326" s="177">
        <f>31*16</f>
        <v>496</v>
      </c>
      <c r="N326" s="205">
        <f>(L326*M326)/1000</f>
        <v>208.32</v>
      </c>
    </row>
    <row r="327" spans="5:17" x14ac:dyDescent="0.25">
      <c r="E327" s="189" t="s">
        <v>16</v>
      </c>
      <c r="F327" s="180">
        <v>4</v>
      </c>
      <c r="G327" s="180">
        <v>75</v>
      </c>
      <c r="H327" s="180">
        <v>1</v>
      </c>
      <c r="I327" s="180">
        <f t="shared" ref="I327:I337" si="85">F327*G327*H327</f>
        <v>300</v>
      </c>
      <c r="J327" s="180">
        <v>30</v>
      </c>
      <c r="K327" s="177">
        <f t="shared" ref="K327:K337" si="86">F327*J327</f>
        <v>120</v>
      </c>
      <c r="L327" s="177">
        <f t="shared" ref="L327:L337" si="87">I327+K327</f>
        <v>420</v>
      </c>
      <c r="M327" s="177">
        <f>28*16</f>
        <v>448</v>
      </c>
      <c r="N327" s="205">
        <f t="shared" ref="N327:N337" si="88">(L327*M327)/1000</f>
        <v>188.16</v>
      </c>
    </row>
    <row r="328" spans="5:17" x14ac:dyDescent="0.25">
      <c r="E328" s="189" t="s">
        <v>17</v>
      </c>
      <c r="F328" s="180">
        <v>4</v>
      </c>
      <c r="G328" s="180">
        <v>75</v>
      </c>
      <c r="H328" s="180">
        <v>1</v>
      </c>
      <c r="I328" s="180">
        <f t="shared" si="85"/>
        <v>300</v>
      </c>
      <c r="J328" s="180">
        <v>30</v>
      </c>
      <c r="K328" s="177">
        <f t="shared" si="86"/>
        <v>120</v>
      </c>
      <c r="L328" s="177">
        <f t="shared" si="87"/>
        <v>420</v>
      </c>
      <c r="M328" s="177">
        <f>31*16</f>
        <v>496</v>
      </c>
      <c r="N328" s="205">
        <f t="shared" si="88"/>
        <v>208.32</v>
      </c>
    </row>
    <row r="329" spans="5:17" x14ac:dyDescent="0.25">
      <c r="E329" s="189" t="s">
        <v>18</v>
      </c>
      <c r="F329" s="180">
        <v>4</v>
      </c>
      <c r="G329" s="180">
        <v>75</v>
      </c>
      <c r="H329" s="180">
        <v>1</v>
      </c>
      <c r="I329" s="180">
        <f t="shared" si="85"/>
        <v>300</v>
      </c>
      <c r="J329" s="180">
        <v>30</v>
      </c>
      <c r="K329" s="177">
        <f t="shared" si="86"/>
        <v>120</v>
      </c>
      <c r="L329" s="177">
        <f t="shared" si="87"/>
        <v>420</v>
      </c>
      <c r="M329" s="177">
        <f>30*16</f>
        <v>480</v>
      </c>
      <c r="N329" s="205">
        <f t="shared" si="88"/>
        <v>201.6</v>
      </c>
    </row>
    <row r="330" spans="5:17" x14ac:dyDescent="0.25">
      <c r="E330" s="189" t="s">
        <v>12</v>
      </c>
      <c r="F330" s="180">
        <v>4</v>
      </c>
      <c r="G330" s="180">
        <v>75</v>
      </c>
      <c r="H330" s="180">
        <v>1</v>
      </c>
      <c r="I330" s="180">
        <f t="shared" si="85"/>
        <v>300</v>
      </c>
      <c r="J330" s="180">
        <v>30</v>
      </c>
      <c r="K330" s="177">
        <f t="shared" si="86"/>
        <v>120</v>
      </c>
      <c r="L330" s="177">
        <f t="shared" si="87"/>
        <v>420</v>
      </c>
      <c r="M330" s="177">
        <f>31*16</f>
        <v>496</v>
      </c>
      <c r="N330" s="205">
        <f t="shared" si="88"/>
        <v>208.32</v>
      </c>
    </row>
    <row r="331" spans="5:17" x14ac:dyDescent="0.25">
      <c r="E331" s="189" t="s">
        <v>13</v>
      </c>
      <c r="F331" s="180">
        <v>4</v>
      </c>
      <c r="G331" s="180">
        <v>75</v>
      </c>
      <c r="H331" s="180">
        <v>1</v>
      </c>
      <c r="I331" s="180">
        <f t="shared" si="85"/>
        <v>300</v>
      </c>
      <c r="J331" s="180">
        <v>30</v>
      </c>
      <c r="K331" s="177">
        <f t="shared" si="86"/>
        <v>120</v>
      </c>
      <c r="L331" s="177">
        <f t="shared" si="87"/>
        <v>420</v>
      </c>
      <c r="M331" s="177">
        <f>30*16</f>
        <v>480</v>
      </c>
      <c r="N331" s="205">
        <f t="shared" si="88"/>
        <v>201.6</v>
      </c>
    </row>
    <row r="332" spans="5:17" x14ac:dyDescent="0.25">
      <c r="E332" s="189" t="s">
        <v>24</v>
      </c>
      <c r="F332" s="180">
        <v>4</v>
      </c>
      <c r="G332" s="180">
        <v>75</v>
      </c>
      <c r="H332" s="180">
        <v>1</v>
      </c>
      <c r="I332" s="180">
        <f t="shared" si="85"/>
        <v>300</v>
      </c>
      <c r="J332" s="180">
        <v>30</v>
      </c>
      <c r="K332" s="177">
        <f t="shared" si="86"/>
        <v>120</v>
      </c>
      <c r="L332" s="177">
        <f t="shared" si="87"/>
        <v>420</v>
      </c>
      <c r="M332" s="177">
        <f>31*16</f>
        <v>496</v>
      </c>
      <c r="N332" s="205">
        <f t="shared" si="88"/>
        <v>208.32</v>
      </c>
    </row>
    <row r="333" spans="5:17" x14ac:dyDescent="0.25">
      <c r="E333" s="189" t="s">
        <v>19</v>
      </c>
      <c r="F333" s="180">
        <v>4</v>
      </c>
      <c r="G333" s="180">
        <v>75</v>
      </c>
      <c r="H333" s="180">
        <v>1</v>
      </c>
      <c r="I333" s="180">
        <f t="shared" si="85"/>
        <v>300</v>
      </c>
      <c r="J333" s="180">
        <v>30</v>
      </c>
      <c r="K333" s="177">
        <f t="shared" si="86"/>
        <v>120</v>
      </c>
      <c r="L333" s="177">
        <f t="shared" si="87"/>
        <v>420</v>
      </c>
      <c r="M333" s="177">
        <f>31*16</f>
        <v>496</v>
      </c>
      <c r="N333" s="205">
        <f t="shared" si="88"/>
        <v>208.32</v>
      </c>
    </row>
    <row r="334" spans="5:17" x14ac:dyDescent="0.25">
      <c r="E334" s="189" t="s">
        <v>20</v>
      </c>
      <c r="F334" s="180">
        <v>4</v>
      </c>
      <c r="G334" s="180">
        <v>75</v>
      </c>
      <c r="H334" s="180">
        <v>1</v>
      </c>
      <c r="I334" s="180">
        <f t="shared" si="85"/>
        <v>300</v>
      </c>
      <c r="J334" s="180">
        <v>30</v>
      </c>
      <c r="K334" s="177">
        <f t="shared" si="86"/>
        <v>120</v>
      </c>
      <c r="L334" s="177">
        <f t="shared" si="87"/>
        <v>420</v>
      </c>
      <c r="M334" s="177">
        <f>30*16</f>
        <v>480</v>
      </c>
      <c r="N334" s="205">
        <f t="shared" si="88"/>
        <v>201.6</v>
      </c>
    </row>
    <row r="335" spans="5:17" x14ac:dyDescent="0.25">
      <c r="E335" s="189" t="s">
        <v>21</v>
      </c>
      <c r="F335" s="180">
        <v>4</v>
      </c>
      <c r="G335" s="180">
        <v>75</v>
      </c>
      <c r="H335" s="180">
        <v>1</v>
      </c>
      <c r="I335" s="180">
        <f t="shared" si="85"/>
        <v>300</v>
      </c>
      <c r="J335" s="180">
        <v>30</v>
      </c>
      <c r="K335" s="177">
        <f t="shared" si="86"/>
        <v>120</v>
      </c>
      <c r="L335" s="177">
        <f t="shared" si="87"/>
        <v>420</v>
      </c>
      <c r="M335" s="177">
        <f>31*16</f>
        <v>496</v>
      </c>
      <c r="N335" s="205">
        <f t="shared" si="88"/>
        <v>208.32</v>
      </c>
    </row>
    <row r="336" spans="5:17" x14ac:dyDescent="0.25">
      <c r="E336" s="189" t="s">
        <v>22</v>
      </c>
      <c r="F336" s="180">
        <v>4</v>
      </c>
      <c r="G336" s="180">
        <v>75</v>
      </c>
      <c r="H336" s="180">
        <v>1</v>
      </c>
      <c r="I336" s="180">
        <f t="shared" si="85"/>
        <v>300</v>
      </c>
      <c r="J336" s="180">
        <v>30</v>
      </c>
      <c r="K336" s="177">
        <f t="shared" si="86"/>
        <v>120</v>
      </c>
      <c r="L336" s="177">
        <f t="shared" si="87"/>
        <v>420</v>
      </c>
      <c r="M336" s="177">
        <f>30*16</f>
        <v>480</v>
      </c>
      <c r="N336" s="205">
        <f t="shared" si="88"/>
        <v>201.6</v>
      </c>
    </row>
    <row r="337" spans="5:14" x14ac:dyDescent="0.25">
      <c r="E337" s="189" t="s">
        <v>23</v>
      </c>
      <c r="F337" s="180">
        <v>4</v>
      </c>
      <c r="G337" s="180">
        <v>75</v>
      </c>
      <c r="H337" s="180">
        <v>1</v>
      </c>
      <c r="I337" s="180">
        <f t="shared" si="85"/>
        <v>300</v>
      </c>
      <c r="J337" s="180">
        <v>30</v>
      </c>
      <c r="K337" s="177">
        <f t="shared" si="86"/>
        <v>120</v>
      </c>
      <c r="L337" s="177">
        <f t="shared" si="87"/>
        <v>420</v>
      </c>
      <c r="M337" s="177">
        <f>31*16</f>
        <v>496</v>
      </c>
      <c r="N337" s="205">
        <f t="shared" si="88"/>
        <v>208.32</v>
      </c>
    </row>
    <row r="338" spans="5:14" ht="13.5" thickBot="1" x14ac:dyDescent="0.35">
      <c r="E338" s="368" t="s">
        <v>111</v>
      </c>
      <c r="F338" s="369"/>
      <c r="G338" s="369"/>
      <c r="H338" s="369"/>
      <c r="I338" s="369"/>
      <c r="J338" s="369"/>
      <c r="K338" s="369"/>
      <c r="L338" s="369"/>
      <c r="M338" s="369"/>
      <c r="N338" s="237">
        <f>SUM(N326:N337)</f>
        <v>2452.7999999999997</v>
      </c>
    </row>
    <row r="339" spans="5:14" hidden="1" x14ac:dyDescent="0.25"/>
    <row r="340" spans="5:14" ht="13" thickBot="1" x14ac:dyDescent="0.3"/>
    <row r="341" spans="5:14" ht="13" x14ac:dyDescent="0.3">
      <c r="E341" s="289" t="s">
        <v>118</v>
      </c>
      <c r="F341" s="290"/>
      <c r="G341" s="290"/>
      <c r="H341" s="290"/>
      <c r="I341" s="290"/>
      <c r="J341" s="290"/>
      <c r="K341" s="291"/>
    </row>
    <row r="342" spans="5:14" ht="15.5" x14ac:dyDescent="0.4">
      <c r="E342" s="238" t="s">
        <v>112</v>
      </c>
      <c r="F342" s="50" t="s">
        <v>113</v>
      </c>
      <c r="G342" s="50" t="s">
        <v>114</v>
      </c>
      <c r="H342" s="50" t="s">
        <v>115</v>
      </c>
      <c r="I342" s="50" t="s">
        <v>64</v>
      </c>
      <c r="J342" s="50" t="s">
        <v>116</v>
      </c>
      <c r="K342" s="239" t="s">
        <v>117</v>
      </c>
    </row>
    <row r="343" spans="5:14" x14ac:dyDescent="0.25">
      <c r="E343" s="238">
        <v>3</v>
      </c>
      <c r="F343" s="50">
        <v>60</v>
      </c>
      <c r="G343" s="50">
        <v>1.24</v>
      </c>
      <c r="H343" s="50">
        <v>0.66</v>
      </c>
      <c r="I343" s="50">
        <v>0.8</v>
      </c>
      <c r="J343" s="50">
        <f>6*365</f>
        <v>2190</v>
      </c>
      <c r="K343" s="239">
        <f>(E343*F343*G343*H343*I343*J343)/1000</f>
        <v>258.09062399999999</v>
      </c>
    </row>
    <row r="344" spans="5:14" ht="13.5" thickBot="1" x14ac:dyDescent="0.35">
      <c r="E344" s="358" t="s">
        <v>118</v>
      </c>
      <c r="F344" s="359"/>
      <c r="G344" s="359"/>
      <c r="H344" s="359"/>
      <c r="I344" s="359"/>
      <c r="J344" s="359"/>
      <c r="K344" s="233">
        <f>K343</f>
        <v>258.09062399999999</v>
      </c>
    </row>
    <row r="346" spans="5:14" ht="13" thickBot="1" x14ac:dyDescent="0.3"/>
    <row r="347" spans="5:14" ht="13" x14ac:dyDescent="0.3">
      <c r="E347" s="295" t="s">
        <v>124</v>
      </c>
      <c r="F347" s="296"/>
      <c r="G347" s="296"/>
      <c r="H347" s="297"/>
    </row>
    <row r="348" spans="5:14" x14ac:dyDescent="0.25">
      <c r="E348" s="189" t="s">
        <v>119</v>
      </c>
      <c r="F348" s="177" t="s">
        <v>120</v>
      </c>
      <c r="G348" s="177" t="s">
        <v>121</v>
      </c>
      <c r="H348" s="188" t="s">
        <v>122</v>
      </c>
    </row>
    <row r="349" spans="5:14" x14ac:dyDescent="0.25">
      <c r="E349" s="189">
        <v>36</v>
      </c>
      <c r="F349" s="177">
        <v>5</v>
      </c>
      <c r="G349" s="177">
        <f>F349*365</f>
        <v>1825</v>
      </c>
      <c r="H349" s="205">
        <f>(E349*G349)/1000</f>
        <v>65.7</v>
      </c>
    </row>
    <row r="350" spans="5:14" ht="13.5" thickBot="1" x14ac:dyDescent="0.35">
      <c r="E350" s="368" t="s">
        <v>123</v>
      </c>
      <c r="F350" s="369"/>
      <c r="G350" s="369"/>
      <c r="H350" s="237">
        <f>H349</f>
        <v>65.7</v>
      </c>
    </row>
    <row r="351" spans="5:14" hidden="1" x14ac:dyDescent="0.25"/>
    <row r="352" spans="5:14" hidden="1" x14ac:dyDescent="0.25"/>
    <row r="353" spans="5:12" ht="13" thickBot="1" x14ac:dyDescent="0.3"/>
    <row r="354" spans="5:12" ht="13" x14ac:dyDescent="0.25">
      <c r="E354" s="284" t="s">
        <v>125</v>
      </c>
      <c r="F354" s="285" t="s">
        <v>126</v>
      </c>
      <c r="G354" s="285" t="s">
        <v>127</v>
      </c>
      <c r="H354" s="285" t="s">
        <v>87</v>
      </c>
      <c r="I354" s="285" t="s">
        <v>128</v>
      </c>
      <c r="J354" s="285" t="s">
        <v>129</v>
      </c>
      <c r="K354" s="285" t="s">
        <v>130</v>
      </c>
      <c r="L354" s="286" t="s">
        <v>134</v>
      </c>
    </row>
    <row r="355" spans="5:12" x14ac:dyDescent="0.25">
      <c r="E355" s="240">
        <v>22</v>
      </c>
      <c r="F355" s="190">
        <f>R122</f>
        <v>185.47704000000002</v>
      </c>
      <c r="G355" s="190">
        <f>K$224</f>
        <v>267.49251074304004</v>
      </c>
      <c r="H355" s="190">
        <f>Q242</f>
        <v>619.69533117955189</v>
      </c>
      <c r="I355" s="177">
        <f>N$338</f>
        <v>2452.7999999999997</v>
      </c>
      <c r="J355" s="190">
        <f>K$344</f>
        <v>258.09062399999999</v>
      </c>
      <c r="K355" s="177">
        <f>H$350</f>
        <v>65.7</v>
      </c>
      <c r="L355" s="242">
        <f>F355+G355+H355+I355+J355+K355</f>
        <v>3849.2555059225915</v>
      </c>
    </row>
    <row r="356" spans="5:12" x14ac:dyDescent="0.25">
      <c r="E356" s="240">
        <v>23</v>
      </c>
      <c r="F356" s="190">
        <f>R136</f>
        <v>157.09464000000003</v>
      </c>
      <c r="G356" s="190">
        <f t="shared" ref="G356:G361" si="89">K$224</f>
        <v>267.49251074304004</v>
      </c>
      <c r="H356" s="190">
        <f>Q255</f>
        <v>570.65710985043825</v>
      </c>
      <c r="I356" s="177">
        <f t="shared" ref="I356:I361" si="90">N$338</f>
        <v>2452.7999999999997</v>
      </c>
      <c r="J356" s="190">
        <f t="shared" ref="J356:J361" si="91">K$344</f>
        <v>258.09062399999999</v>
      </c>
      <c r="K356" s="177">
        <f t="shared" ref="K356:K361" si="92">H$350</f>
        <v>65.7</v>
      </c>
      <c r="L356" s="242">
        <f t="shared" ref="L356:L361" si="93">F356+G356+H356+I356+J356+K356</f>
        <v>3771.8348845934779</v>
      </c>
    </row>
    <row r="357" spans="5:12" x14ac:dyDescent="0.25">
      <c r="E357" s="240">
        <v>24</v>
      </c>
      <c r="F357" s="190">
        <f>R150</f>
        <v>128.71224000000004</v>
      </c>
      <c r="G357" s="190">
        <f t="shared" si="89"/>
        <v>267.49251074304004</v>
      </c>
      <c r="H357" s="190">
        <f>Q268</f>
        <v>521.61888852132461</v>
      </c>
      <c r="I357" s="177">
        <f t="shared" si="90"/>
        <v>2452.7999999999997</v>
      </c>
      <c r="J357" s="190">
        <f t="shared" si="91"/>
        <v>258.09062399999999</v>
      </c>
      <c r="K357" s="177">
        <f t="shared" si="92"/>
        <v>65.7</v>
      </c>
      <c r="L357" s="242">
        <f t="shared" si="93"/>
        <v>3694.4142632643643</v>
      </c>
    </row>
    <row r="358" spans="5:12" x14ac:dyDescent="0.25">
      <c r="E358" s="240">
        <v>25</v>
      </c>
      <c r="F358" s="190">
        <f>R164</f>
        <v>100.32984000000002</v>
      </c>
      <c r="G358" s="190">
        <f t="shared" si="89"/>
        <v>267.49251074304004</v>
      </c>
      <c r="H358" s="190">
        <f>Q281</f>
        <v>472.58066719221114</v>
      </c>
      <c r="I358" s="177">
        <f t="shared" si="90"/>
        <v>2452.7999999999997</v>
      </c>
      <c r="J358" s="190">
        <f t="shared" si="91"/>
        <v>258.09062399999999</v>
      </c>
      <c r="K358" s="177">
        <f t="shared" si="92"/>
        <v>65.7</v>
      </c>
      <c r="L358" s="242">
        <f t="shared" si="93"/>
        <v>3616.9936419352507</v>
      </c>
    </row>
    <row r="359" spans="5:12" x14ac:dyDescent="0.25">
      <c r="E359" s="240">
        <v>26</v>
      </c>
      <c r="F359" s="190">
        <f>R178</f>
        <v>71.947440000000014</v>
      </c>
      <c r="G359" s="190">
        <f t="shared" si="89"/>
        <v>267.49251074304004</v>
      </c>
      <c r="H359" s="190">
        <f>Q294</f>
        <v>423.54244586309744</v>
      </c>
      <c r="I359" s="177">
        <f t="shared" si="90"/>
        <v>2452.7999999999997</v>
      </c>
      <c r="J359" s="190">
        <f t="shared" si="91"/>
        <v>258.09062399999999</v>
      </c>
      <c r="K359" s="177">
        <f t="shared" si="92"/>
        <v>65.7</v>
      </c>
      <c r="L359" s="242">
        <f t="shared" si="93"/>
        <v>3539.5730206061371</v>
      </c>
    </row>
    <row r="360" spans="5:12" x14ac:dyDescent="0.25">
      <c r="E360" s="240">
        <v>27</v>
      </c>
      <c r="F360" s="190">
        <f>R192</f>
        <v>43.565040000000018</v>
      </c>
      <c r="G360" s="190">
        <f t="shared" si="89"/>
        <v>267.49251074304004</v>
      </c>
      <c r="H360" s="190">
        <f>Q307</f>
        <v>374.50422453398386</v>
      </c>
      <c r="I360" s="177">
        <f t="shared" si="90"/>
        <v>2452.7999999999997</v>
      </c>
      <c r="J360" s="190">
        <f t="shared" si="91"/>
        <v>258.09062399999999</v>
      </c>
      <c r="K360" s="177">
        <f t="shared" si="92"/>
        <v>65.7</v>
      </c>
      <c r="L360" s="242">
        <f t="shared" si="93"/>
        <v>3462.1523992770235</v>
      </c>
    </row>
    <row r="361" spans="5:12" ht="13" thickBot="1" x14ac:dyDescent="0.3">
      <c r="E361" s="287">
        <v>28</v>
      </c>
      <c r="F361" s="258">
        <f>R206</f>
        <v>15.182640000000015</v>
      </c>
      <c r="G361" s="258">
        <f t="shared" si="89"/>
        <v>267.49251074304004</v>
      </c>
      <c r="H361" s="258">
        <f>Q320</f>
        <v>325.46600320487033</v>
      </c>
      <c r="I361" s="200">
        <f t="shared" si="90"/>
        <v>2452.7999999999997</v>
      </c>
      <c r="J361" s="258">
        <f t="shared" si="91"/>
        <v>258.09062399999999</v>
      </c>
      <c r="K361" s="200">
        <f t="shared" si="92"/>
        <v>65.7</v>
      </c>
      <c r="L361" s="288">
        <f t="shared" si="93"/>
        <v>3384.7317779479099</v>
      </c>
    </row>
    <row r="362" spans="5:12" x14ac:dyDescent="0.25">
      <c r="E362" s="184"/>
      <c r="F362" s="184"/>
      <c r="G362" s="184"/>
      <c r="H362" s="184"/>
      <c r="I362" s="184"/>
      <c r="J362" s="184"/>
      <c r="K362" s="184"/>
    </row>
    <row r="363" spans="5:12" x14ac:dyDescent="0.25">
      <c r="E363" s="184"/>
      <c r="F363" s="184"/>
      <c r="G363" s="184"/>
      <c r="H363" s="184"/>
      <c r="I363" s="184"/>
      <c r="J363" s="184"/>
      <c r="K363" s="184"/>
    </row>
    <row r="364" spans="5:12" x14ac:dyDescent="0.25">
      <c r="E364" s="184"/>
      <c r="F364" s="184"/>
      <c r="G364" s="184"/>
      <c r="H364" s="184"/>
      <c r="I364" s="184"/>
      <c r="J364" s="184"/>
      <c r="K364" s="184"/>
    </row>
    <row r="365" spans="5:12" x14ac:dyDescent="0.25">
      <c r="E365" s="184"/>
      <c r="F365" s="184"/>
      <c r="G365" s="184"/>
      <c r="H365" s="184"/>
      <c r="I365" s="184"/>
      <c r="J365" s="184"/>
      <c r="K365" s="184"/>
    </row>
    <row r="366" spans="5:12" x14ac:dyDescent="0.25">
      <c r="E366" s="184"/>
      <c r="F366" s="184"/>
      <c r="G366" s="184"/>
      <c r="H366" s="184"/>
      <c r="I366" s="184"/>
      <c r="J366" s="184"/>
      <c r="K366" s="184"/>
    </row>
    <row r="367" spans="5:12" x14ac:dyDescent="0.25">
      <c r="E367" s="184"/>
      <c r="F367" s="184"/>
      <c r="G367" s="184"/>
      <c r="H367" s="184"/>
      <c r="I367" s="184"/>
      <c r="J367" s="184"/>
      <c r="K367" s="184"/>
    </row>
    <row r="368" spans="5:12" x14ac:dyDescent="0.25">
      <c r="E368" s="184"/>
      <c r="F368" s="184"/>
      <c r="G368" s="184"/>
      <c r="H368" s="184"/>
      <c r="I368" s="184"/>
      <c r="J368" s="184"/>
      <c r="K368" s="184"/>
    </row>
    <row r="369" spans="5:11" x14ac:dyDescent="0.25">
      <c r="E369" s="184"/>
      <c r="F369" s="184"/>
      <c r="G369" s="184"/>
      <c r="H369" s="184"/>
      <c r="I369" s="184"/>
      <c r="J369" s="184"/>
      <c r="K369" s="184"/>
    </row>
  </sheetData>
  <mergeCells count="41">
    <mergeCell ref="E206:Q206"/>
    <mergeCell ref="E224:J224"/>
    <mergeCell ref="E210:K210"/>
    <mergeCell ref="E178:Q178"/>
    <mergeCell ref="E179:R179"/>
    <mergeCell ref="E192:Q192"/>
    <mergeCell ref="E193:R193"/>
    <mergeCell ref="E123:R123"/>
    <mergeCell ref="E150:Q150"/>
    <mergeCell ref="E151:R151"/>
    <mergeCell ref="E164:Q164"/>
    <mergeCell ref="F103:M103"/>
    <mergeCell ref="E46:AG46"/>
    <mergeCell ref="E61:AG61"/>
    <mergeCell ref="E104:AG104"/>
    <mergeCell ref="B107:C108"/>
    <mergeCell ref="E122:Q122"/>
    <mergeCell ref="E350:G350"/>
    <mergeCell ref="E347:H347"/>
    <mergeCell ref="P323:Q325"/>
    <mergeCell ref="E307:P307"/>
    <mergeCell ref="E320:P320"/>
    <mergeCell ref="E338:M338"/>
    <mergeCell ref="E324:N324"/>
    <mergeCell ref="E341:K341"/>
    <mergeCell ref="AL3:AN3"/>
    <mergeCell ref="AL51:AN51"/>
    <mergeCell ref="AL75:AN75"/>
    <mergeCell ref="E344:J344"/>
    <mergeCell ref="E255:P255"/>
    <mergeCell ref="E228:Q228"/>
    <mergeCell ref="E268:P268"/>
    <mergeCell ref="E281:P281"/>
    <mergeCell ref="E294:P294"/>
    <mergeCell ref="E242:P242"/>
    <mergeCell ref="E3:AH3"/>
    <mergeCell ref="E107:R107"/>
    <mergeCell ref="E108:R108"/>
    <mergeCell ref="E136:Q136"/>
    <mergeCell ref="E137:R137"/>
    <mergeCell ref="E165:R16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726D2-1D59-47CE-9A40-642DC838845B}">
  <dimension ref="B2:AP369"/>
  <sheetViews>
    <sheetView topLeftCell="D1" zoomScale="90" zoomScaleNormal="90" workbookViewId="0">
      <selection activeCell="N5" sqref="N5:N16"/>
    </sheetView>
  </sheetViews>
  <sheetFormatPr defaultRowHeight="12.5" x14ac:dyDescent="0.25"/>
  <cols>
    <col min="2" max="2" width="15.26953125" customWidth="1"/>
    <col min="3" max="3" width="17.1796875" customWidth="1"/>
    <col min="5" max="5" width="12.81640625" customWidth="1"/>
    <col min="6" max="6" width="11.54296875" customWidth="1"/>
    <col min="7" max="7" width="9" customWidth="1"/>
    <col min="8" max="8" width="10.1796875" customWidth="1"/>
    <col min="9" max="9" width="17.81640625" customWidth="1"/>
    <col min="10" max="10" width="14.1796875" customWidth="1"/>
    <col min="11" max="11" width="11.453125" customWidth="1"/>
    <col min="12" max="12" width="14.81640625" customWidth="1"/>
    <col min="13" max="13" width="12.1796875" customWidth="1"/>
    <col min="14" max="14" width="13.7265625" style="1" customWidth="1"/>
    <col min="15" max="15" width="17.1796875" style="1" customWidth="1"/>
    <col min="16" max="16" width="28.1796875" style="1" customWidth="1"/>
    <col min="17" max="17" width="14.1796875" customWidth="1"/>
    <col min="18" max="18" width="18.81640625" customWidth="1"/>
    <col min="19" max="19" width="11.54296875" customWidth="1"/>
    <col min="20" max="20" width="9.7265625" customWidth="1"/>
    <col min="23" max="23" width="12" customWidth="1"/>
    <col min="27" max="27" width="11.26953125" customWidth="1"/>
    <col min="28" max="28" width="10.453125" customWidth="1"/>
    <col min="29" max="29" width="17.81640625" customWidth="1"/>
    <col min="30" max="30" width="15" customWidth="1"/>
    <col min="34" max="34" width="11" customWidth="1"/>
    <col min="35" max="37" width="8.7265625" style="32"/>
    <col min="40" max="40" width="20.453125" customWidth="1"/>
    <col min="41" max="41" width="21.54296875" customWidth="1"/>
    <col min="42" max="42" width="13.453125" customWidth="1"/>
  </cols>
  <sheetData>
    <row r="2" spans="5:42" ht="13" thickBot="1" x14ac:dyDescent="0.3"/>
    <row r="3" spans="5:42" ht="13.5" thickBot="1" x14ac:dyDescent="0.35">
      <c r="E3" s="376" t="s">
        <v>9</v>
      </c>
      <c r="F3" s="377"/>
      <c r="G3" s="377"/>
      <c r="H3" s="377"/>
      <c r="I3" s="377"/>
      <c r="J3" s="377"/>
      <c r="K3" s="377"/>
      <c r="L3" s="377"/>
      <c r="M3" s="377"/>
      <c r="N3" s="377"/>
      <c r="O3" s="377"/>
      <c r="P3" s="377"/>
      <c r="Q3" s="377"/>
      <c r="R3" s="377"/>
      <c r="S3" s="377"/>
      <c r="T3" s="377"/>
      <c r="U3" s="377"/>
      <c r="V3" s="377"/>
      <c r="W3" s="377"/>
      <c r="X3" s="377"/>
      <c r="Y3" s="377"/>
      <c r="Z3" s="377"/>
      <c r="AA3" s="377"/>
      <c r="AB3" s="377"/>
      <c r="AC3" s="377"/>
      <c r="AD3" s="377"/>
      <c r="AE3" s="377"/>
      <c r="AF3" s="377"/>
      <c r="AG3" s="377"/>
      <c r="AH3" s="378"/>
    </row>
    <row r="4" spans="5:42" ht="15" customHeight="1" x14ac:dyDescent="0.4">
      <c r="E4" s="2" t="s">
        <v>0</v>
      </c>
      <c r="F4" s="3"/>
      <c r="G4" s="4"/>
      <c r="H4" s="4"/>
      <c r="I4" s="4"/>
      <c r="J4" s="4"/>
      <c r="K4" s="4"/>
      <c r="L4" s="4"/>
      <c r="M4" s="3"/>
      <c r="N4" s="33" t="s">
        <v>2</v>
      </c>
      <c r="O4" s="4" t="s">
        <v>10</v>
      </c>
      <c r="P4" s="4" t="s">
        <v>11</v>
      </c>
      <c r="Q4" s="4"/>
      <c r="R4" s="4"/>
      <c r="S4" s="4" t="s">
        <v>3</v>
      </c>
      <c r="T4" s="4"/>
      <c r="U4" s="4"/>
      <c r="V4" s="4"/>
      <c r="W4" s="4" t="s">
        <v>3</v>
      </c>
      <c r="X4" s="4"/>
      <c r="Y4" s="4"/>
      <c r="Z4" s="4"/>
      <c r="AA4" s="4" t="s">
        <v>3</v>
      </c>
      <c r="AB4" s="4"/>
      <c r="AC4" s="4" t="s">
        <v>4</v>
      </c>
      <c r="AD4" s="4" t="s">
        <v>5</v>
      </c>
      <c r="AE4" s="4" t="s">
        <v>6</v>
      </c>
      <c r="AF4" s="4"/>
      <c r="AG4" s="4" t="s">
        <v>7</v>
      </c>
      <c r="AH4" s="6" t="s">
        <v>8</v>
      </c>
      <c r="AN4" s="295" t="s">
        <v>202</v>
      </c>
      <c r="AO4" s="296"/>
      <c r="AP4" s="297"/>
    </row>
    <row r="5" spans="5:42" ht="15" customHeight="1" x14ac:dyDescent="0.25">
      <c r="E5" s="2" t="s">
        <v>15</v>
      </c>
      <c r="F5" s="7">
        <v>22</v>
      </c>
      <c r="G5" s="82">
        <v>34.400654639999999</v>
      </c>
      <c r="H5" s="5">
        <v>420</v>
      </c>
      <c r="I5" s="5">
        <v>118.8</v>
      </c>
      <c r="J5" s="5">
        <v>36</v>
      </c>
      <c r="K5" s="8">
        <v>191.96</v>
      </c>
      <c r="L5" s="8">
        <v>8.4700000000000006</v>
      </c>
      <c r="M5" s="9">
        <f>(F5-((G5+H5+I5+J5)/(K5+L5)))</f>
        <v>18.960531583894628</v>
      </c>
      <c r="N5" s="33">
        <v>243.1</v>
      </c>
      <c r="O5" s="4"/>
      <c r="P5" s="4"/>
      <c r="Q5" s="4"/>
      <c r="R5" s="4"/>
      <c r="S5" s="4"/>
      <c r="T5" s="4"/>
      <c r="U5" s="4"/>
      <c r="V5" s="4"/>
      <c r="W5" s="4"/>
      <c r="X5" s="4"/>
      <c r="Y5" s="4"/>
      <c r="Z5" s="4"/>
      <c r="AA5" s="4"/>
      <c r="AB5" s="4"/>
      <c r="AC5" s="4"/>
      <c r="AD5" s="4"/>
      <c r="AE5" s="4"/>
      <c r="AF5" s="4"/>
      <c r="AG5" s="4"/>
      <c r="AH5" s="6"/>
      <c r="AN5" s="76" t="s">
        <v>195</v>
      </c>
      <c r="AO5" s="27" t="s">
        <v>196</v>
      </c>
      <c r="AP5" s="86" t="s">
        <v>201</v>
      </c>
    </row>
    <row r="6" spans="5:42" ht="15" customHeight="1" x14ac:dyDescent="0.25">
      <c r="E6" s="2" t="s">
        <v>16</v>
      </c>
      <c r="F6" s="7">
        <v>22</v>
      </c>
      <c r="G6" s="82">
        <v>37.843264800000007</v>
      </c>
      <c r="H6" s="5">
        <v>420</v>
      </c>
      <c r="I6" s="5">
        <v>118.8</v>
      </c>
      <c r="J6" s="5">
        <v>36</v>
      </c>
      <c r="K6" s="8">
        <v>191.96</v>
      </c>
      <c r="L6" s="8">
        <v>8.4700000000000006</v>
      </c>
      <c r="M6" s="9">
        <f t="shared" ref="M6:M16" si="0">(F6-((G6+H6+I6+J6)/(K6+L6)))</f>
        <v>18.943355461757221</v>
      </c>
      <c r="N6" s="33">
        <v>282.8</v>
      </c>
      <c r="O6" s="4"/>
      <c r="P6" s="4"/>
      <c r="Q6" s="4"/>
      <c r="R6" s="4"/>
      <c r="S6" s="4"/>
      <c r="T6" s="4"/>
      <c r="U6" s="4"/>
      <c r="V6" s="4"/>
      <c r="W6" s="4"/>
      <c r="X6" s="4"/>
      <c r="Y6" s="4"/>
      <c r="Z6" s="4"/>
      <c r="AA6" s="4"/>
      <c r="AB6" s="4"/>
      <c r="AC6" s="4"/>
      <c r="AD6" s="4"/>
      <c r="AE6" s="4"/>
      <c r="AF6" s="4"/>
      <c r="AG6" s="4"/>
      <c r="AH6" s="6"/>
      <c r="AN6" s="76">
        <v>22</v>
      </c>
      <c r="AO6" s="27">
        <v>16</v>
      </c>
      <c r="AP6" s="145">
        <f>AO6/AO9</f>
        <v>0.34782608695652173</v>
      </c>
    </row>
    <row r="7" spans="5:42" ht="15" customHeight="1" x14ac:dyDescent="0.25">
      <c r="E7" s="2" t="s">
        <v>17</v>
      </c>
      <c r="F7" s="7">
        <v>22</v>
      </c>
      <c r="G7" s="82">
        <v>40.137126480000006</v>
      </c>
      <c r="H7" s="5">
        <v>420</v>
      </c>
      <c r="I7" s="5">
        <v>118.8</v>
      </c>
      <c r="J7" s="5">
        <v>36</v>
      </c>
      <c r="K7" s="8">
        <v>191.96</v>
      </c>
      <c r="L7" s="8">
        <v>8.4700000000000006</v>
      </c>
      <c r="M7" s="9">
        <f t="shared" si="0"/>
        <v>18.931910759467147</v>
      </c>
      <c r="N7" s="33">
        <v>351.7</v>
      </c>
      <c r="O7" s="4"/>
      <c r="P7" s="4"/>
      <c r="Q7" s="4"/>
      <c r="R7" s="4"/>
      <c r="S7" s="4"/>
      <c r="T7" s="4"/>
      <c r="U7" s="4"/>
      <c r="V7" s="4"/>
      <c r="W7" s="4"/>
      <c r="X7" s="4"/>
      <c r="Y7" s="4"/>
      <c r="Z7" s="4"/>
      <c r="AA7" s="4"/>
      <c r="AB7" s="4"/>
      <c r="AC7" s="4"/>
      <c r="AD7" s="4"/>
      <c r="AE7" s="4"/>
      <c r="AF7" s="4"/>
      <c r="AG7" s="4"/>
      <c r="AH7" s="6"/>
      <c r="AN7" s="76">
        <v>23</v>
      </c>
      <c r="AO7" s="27">
        <v>10</v>
      </c>
      <c r="AP7" s="145">
        <f>AO7/AO9</f>
        <v>0.21739130434782608</v>
      </c>
    </row>
    <row r="8" spans="5:42" ht="15" customHeight="1" x14ac:dyDescent="0.25">
      <c r="E8" s="2" t="s">
        <v>18</v>
      </c>
      <c r="F8" s="7">
        <v>22</v>
      </c>
      <c r="G8" s="82">
        <v>44.721214560000007</v>
      </c>
      <c r="H8" s="5">
        <v>420</v>
      </c>
      <c r="I8" s="5">
        <v>118.8</v>
      </c>
      <c r="J8" s="5">
        <v>36</v>
      </c>
      <c r="K8" s="8">
        <v>191.96</v>
      </c>
      <c r="L8" s="8">
        <v>8.4700000000000006</v>
      </c>
      <c r="M8" s="9">
        <f t="shared" si="0"/>
        <v>18.909039492291573</v>
      </c>
      <c r="N8" s="33">
        <v>364.1</v>
      </c>
      <c r="O8" s="4"/>
      <c r="P8" s="4"/>
      <c r="Q8" s="4"/>
      <c r="R8" s="4"/>
      <c r="S8" s="4"/>
      <c r="T8" s="4"/>
      <c r="U8" s="4"/>
      <c r="V8" s="4"/>
      <c r="W8" s="4"/>
      <c r="X8" s="4"/>
      <c r="Y8" s="4"/>
      <c r="Z8" s="4"/>
      <c r="AA8" s="4"/>
      <c r="AB8" s="4"/>
      <c r="AC8" s="4"/>
      <c r="AD8" s="4"/>
      <c r="AE8" s="4"/>
      <c r="AF8" s="4"/>
      <c r="AG8" s="4"/>
      <c r="AH8" s="6"/>
      <c r="AN8" s="76">
        <v>24</v>
      </c>
      <c r="AO8" s="27">
        <v>20</v>
      </c>
      <c r="AP8" s="145">
        <f>AO8/AO9</f>
        <v>0.43478260869565216</v>
      </c>
    </row>
    <row r="9" spans="5:42" ht="15" customHeight="1" thickBot="1" x14ac:dyDescent="0.3">
      <c r="E9" s="2" t="s">
        <v>12</v>
      </c>
      <c r="F9" s="7">
        <v>22</v>
      </c>
      <c r="G9" s="82">
        <v>59.629497840000013</v>
      </c>
      <c r="H9" s="5">
        <v>420</v>
      </c>
      <c r="I9" s="5">
        <v>118.8</v>
      </c>
      <c r="J9" s="5">
        <v>36</v>
      </c>
      <c r="K9" s="8">
        <v>191.96</v>
      </c>
      <c r="L9" s="8">
        <v>8.4700000000000006</v>
      </c>
      <c r="M9" s="9">
        <f t="shared" si="0"/>
        <v>18.834657996108369</v>
      </c>
      <c r="N9" s="33">
        <v>353.8</v>
      </c>
      <c r="O9" s="4"/>
      <c r="P9" s="4"/>
      <c r="Q9" s="4"/>
      <c r="R9" s="4"/>
      <c r="S9" s="4"/>
      <c r="T9" s="4"/>
      <c r="U9" s="4"/>
      <c r="V9" s="4"/>
      <c r="W9" s="4"/>
      <c r="X9" s="4"/>
      <c r="Y9" s="4"/>
      <c r="Z9" s="4"/>
      <c r="AA9" s="4"/>
      <c r="AB9" s="4"/>
      <c r="AC9" s="4"/>
      <c r="AD9" s="4"/>
      <c r="AE9" s="4"/>
      <c r="AF9" s="4"/>
      <c r="AG9" s="4"/>
      <c r="AH9" s="6"/>
      <c r="AN9" s="142"/>
      <c r="AO9" s="89">
        <f>AO6+AO7+AO8</f>
        <v>46</v>
      </c>
      <c r="AP9" s="140"/>
    </row>
    <row r="10" spans="5:42" ht="15" customHeight="1" x14ac:dyDescent="0.25">
      <c r="E10" s="2" t="s">
        <v>13</v>
      </c>
      <c r="F10" s="7">
        <v>22</v>
      </c>
      <c r="G10" s="82">
        <v>75.686529600000014</v>
      </c>
      <c r="H10" s="5">
        <v>420</v>
      </c>
      <c r="I10" s="5">
        <v>118.8</v>
      </c>
      <c r="J10" s="5">
        <v>36</v>
      </c>
      <c r="K10" s="8">
        <v>191.96</v>
      </c>
      <c r="L10" s="8">
        <v>8.4700000000000006</v>
      </c>
      <c r="M10" s="9">
        <f t="shared" si="0"/>
        <v>18.754545080077833</v>
      </c>
      <c r="N10" s="33">
        <v>329</v>
      </c>
      <c r="O10" s="4"/>
      <c r="P10" s="4"/>
      <c r="Q10" s="4"/>
      <c r="R10" s="4"/>
      <c r="S10" s="4"/>
      <c r="T10" s="4"/>
      <c r="U10" s="4"/>
      <c r="V10" s="4"/>
      <c r="W10" s="4"/>
      <c r="X10" s="4"/>
      <c r="Y10" s="4"/>
      <c r="Z10" s="4"/>
      <c r="AA10" s="4"/>
      <c r="AB10" s="4"/>
      <c r="AC10" s="4"/>
      <c r="AD10" s="4"/>
      <c r="AE10" s="4"/>
      <c r="AF10" s="4"/>
      <c r="AG10" s="4"/>
      <c r="AH10" s="6"/>
    </row>
    <row r="11" spans="5:42" x14ac:dyDescent="0.25">
      <c r="E11" s="2" t="s">
        <v>1</v>
      </c>
      <c r="F11" s="7">
        <v>22</v>
      </c>
      <c r="G11" s="82">
        <v>63.072108000000007</v>
      </c>
      <c r="H11" s="5">
        <v>420</v>
      </c>
      <c r="I11" s="5">
        <v>118.8</v>
      </c>
      <c r="J11" s="5">
        <v>36</v>
      </c>
      <c r="K11" s="8">
        <v>191.96</v>
      </c>
      <c r="L11" s="8">
        <v>8.4700000000000006</v>
      </c>
      <c r="M11" s="9">
        <f t="shared" si="0"/>
        <v>18.817481873970962</v>
      </c>
      <c r="N11" s="33">
        <v>293.10000000000002</v>
      </c>
      <c r="O11" s="8"/>
      <c r="P11" s="8"/>
      <c r="Q11" s="4"/>
      <c r="R11" s="4"/>
      <c r="S11" s="4"/>
      <c r="T11" s="4"/>
      <c r="U11" s="4"/>
      <c r="V11" s="4"/>
      <c r="W11" s="4"/>
      <c r="X11" s="4"/>
      <c r="Y11" s="4"/>
      <c r="Z11" s="4"/>
      <c r="AA11" s="4"/>
      <c r="AB11" s="4"/>
      <c r="AC11" s="4"/>
      <c r="AD11" s="4"/>
      <c r="AE11" s="4"/>
      <c r="AF11" s="4"/>
      <c r="AG11" s="4"/>
      <c r="AH11" s="6"/>
    </row>
    <row r="12" spans="5:42" x14ac:dyDescent="0.25">
      <c r="E12" s="2" t="s">
        <v>19</v>
      </c>
      <c r="F12" s="7">
        <v>22</v>
      </c>
      <c r="G12" s="82">
        <v>47.015076240000013</v>
      </c>
      <c r="H12" s="5">
        <v>420</v>
      </c>
      <c r="I12" s="5">
        <v>118.8</v>
      </c>
      <c r="J12" s="5">
        <v>36</v>
      </c>
      <c r="K12" s="8">
        <v>191.96</v>
      </c>
      <c r="L12" s="8">
        <v>8.4700000000000006</v>
      </c>
      <c r="M12" s="9">
        <f t="shared" si="0"/>
        <v>18.897594790001499</v>
      </c>
      <c r="N12" s="33">
        <v>316.7</v>
      </c>
      <c r="O12" s="8"/>
      <c r="P12" s="8"/>
      <c r="Q12" s="4"/>
      <c r="R12" s="4"/>
      <c r="S12" s="4"/>
      <c r="T12" s="4"/>
      <c r="U12" s="4"/>
      <c r="V12" s="4"/>
      <c r="W12" s="4"/>
      <c r="X12" s="4"/>
      <c r="Y12" s="4"/>
      <c r="Z12" s="4"/>
      <c r="AA12" s="4"/>
      <c r="AB12" s="4"/>
      <c r="AC12" s="4"/>
      <c r="AD12" s="4"/>
      <c r="AE12" s="4"/>
      <c r="AF12" s="4"/>
      <c r="AG12" s="4"/>
      <c r="AH12" s="6"/>
    </row>
    <row r="13" spans="5:42" x14ac:dyDescent="0.25">
      <c r="E13" s="2" t="s">
        <v>20</v>
      </c>
      <c r="F13" s="7">
        <v>22</v>
      </c>
      <c r="G13" s="82">
        <v>41.282239680000004</v>
      </c>
      <c r="H13" s="5">
        <v>420</v>
      </c>
      <c r="I13" s="5">
        <v>118.8</v>
      </c>
      <c r="J13" s="5">
        <v>36</v>
      </c>
      <c r="K13" s="8">
        <v>191.96</v>
      </c>
      <c r="L13" s="8">
        <v>8.4700000000000006</v>
      </c>
      <c r="M13" s="9">
        <f t="shared" si="0"/>
        <v>18.926197477024399</v>
      </c>
      <c r="N13" s="33">
        <v>289.8</v>
      </c>
      <c r="O13" s="8"/>
      <c r="P13" s="8"/>
      <c r="Q13" s="4"/>
      <c r="R13" s="4"/>
      <c r="S13" s="4"/>
      <c r="T13" s="4"/>
      <c r="U13" s="4"/>
      <c r="V13" s="4"/>
      <c r="W13" s="4"/>
      <c r="X13" s="4"/>
      <c r="Y13" s="4"/>
      <c r="Z13" s="4"/>
      <c r="AA13" s="4"/>
      <c r="AB13" s="4"/>
      <c r="AC13" s="4"/>
      <c r="AD13" s="4"/>
      <c r="AE13" s="4"/>
      <c r="AF13" s="4"/>
      <c r="AG13" s="4"/>
      <c r="AH13" s="6"/>
    </row>
    <row r="14" spans="5:42" x14ac:dyDescent="0.25">
      <c r="E14" s="2" t="s">
        <v>21</v>
      </c>
      <c r="F14" s="7">
        <v>22</v>
      </c>
      <c r="G14" s="82">
        <v>37.843264800000007</v>
      </c>
      <c r="H14" s="5">
        <v>420</v>
      </c>
      <c r="I14" s="5">
        <v>118.8</v>
      </c>
      <c r="J14" s="5">
        <v>36</v>
      </c>
      <c r="K14" s="8">
        <v>191.96</v>
      </c>
      <c r="L14" s="8">
        <v>8.4700000000000006</v>
      </c>
      <c r="M14" s="9">
        <f t="shared" si="0"/>
        <v>18.943355461757221</v>
      </c>
      <c r="N14" s="33">
        <v>317.5</v>
      </c>
      <c r="O14" s="8"/>
      <c r="P14" s="8"/>
      <c r="Q14" s="4"/>
      <c r="R14" s="4"/>
      <c r="S14" s="4"/>
      <c r="T14" s="4"/>
      <c r="U14" s="4"/>
      <c r="V14" s="4"/>
      <c r="W14" s="4"/>
      <c r="X14" s="4"/>
      <c r="Y14" s="4"/>
      <c r="Z14" s="4"/>
      <c r="AA14" s="4"/>
      <c r="AB14" s="4"/>
      <c r="AC14" s="4"/>
      <c r="AD14" s="4"/>
      <c r="AE14" s="4"/>
      <c r="AF14" s="4"/>
      <c r="AG14" s="4"/>
      <c r="AH14" s="6"/>
      <c r="AN14" s="82"/>
      <c r="AO14" s="82"/>
      <c r="AP14" s="54"/>
    </row>
    <row r="15" spans="5:42" x14ac:dyDescent="0.25">
      <c r="E15" s="2" t="s">
        <v>22</v>
      </c>
      <c r="F15" s="7">
        <v>22</v>
      </c>
      <c r="G15" s="82">
        <v>34.400654639999999</v>
      </c>
      <c r="H15" s="5">
        <v>420</v>
      </c>
      <c r="I15" s="5">
        <v>118.8</v>
      </c>
      <c r="J15" s="5">
        <v>36</v>
      </c>
      <c r="K15" s="8">
        <v>191.96</v>
      </c>
      <c r="L15" s="8">
        <v>8.4700000000000006</v>
      </c>
      <c r="M15" s="9">
        <f t="shared" si="0"/>
        <v>18.960531583894628</v>
      </c>
      <c r="N15" s="33">
        <v>320.3</v>
      </c>
      <c r="O15" s="8"/>
      <c r="P15" s="8"/>
      <c r="Q15" s="4"/>
      <c r="R15" s="4"/>
      <c r="S15" s="4"/>
      <c r="T15" s="4"/>
      <c r="U15" s="4"/>
      <c r="V15" s="4"/>
      <c r="W15" s="4"/>
      <c r="X15" s="4"/>
      <c r="Y15" s="4"/>
      <c r="Z15" s="4"/>
      <c r="AA15" s="4"/>
      <c r="AB15" s="4"/>
      <c r="AC15" s="4"/>
      <c r="AD15" s="4"/>
      <c r="AE15" s="4"/>
      <c r="AF15" s="4"/>
      <c r="AG15" s="4"/>
      <c r="AH15" s="6"/>
      <c r="AN15" s="82"/>
      <c r="AO15" s="82"/>
      <c r="AP15" s="54"/>
    </row>
    <row r="16" spans="5:42" x14ac:dyDescent="0.25">
      <c r="E16" s="2" t="s">
        <v>23</v>
      </c>
      <c r="F16" s="7">
        <v>22</v>
      </c>
      <c r="G16" s="82">
        <v>33.255541440000002</v>
      </c>
      <c r="H16" s="5">
        <v>420</v>
      </c>
      <c r="I16" s="5">
        <v>118.8</v>
      </c>
      <c r="J16" s="5">
        <v>36</v>
      </c>
      <c r="K16" s="8">
        <v>191.96</v>
      </c>
      <c r="L16" s="8">
        <v>8.4700000000000006</v>
      </c>
      <c r="M16" s="9">
        <f t="shared" si="0"/>
        <v>18.966244866337377</v>
      </c>
      <c r="N16" s="33">
        <v>286.10000000000002</v>
      </c>
      <c r="O16" s="8"/>
      <c r="P16" s="8"/>
      <c r="Q16" s="4"/>
      <c r="R16" s="4"/>
      <c r="S16" s="4"/>
      <c r="T16" s="4"/>
      <c r="U16" s="4"/>
      <c r="V16" s="4"/>
      <c r="W16" s="4"/>
      <c r="X16" s="4"/>
      <c r="Y16" s="4"/>
      <c r="Z16" s="4"/>
      <c r="AA16" s="4"/>
      <c r="AB16" s="4"/>
      <c r="AC16" s="4"/>
      <c r="AD16" s="4"/>
      <c r="AE16" s="4"/>
      <c r="AF16" s="4"/>
      <c r="AG16" s="4"/>
      <c r="AH16" s="6"/>
      <c r="AN16" s="82"/>
      <c r="AO16" s="82"/>
      <c r="AP16" s="54"/>
    </row>
    <row r="17" spans="5:42" ht="14" x14ac:dyDescent="0.3">
      <c r="E17" s="10" t="s">
        <v>3</v>
      </c>
      <c r="F17" s="11"/>
      <c r="G17" s="12"/>
      <c r="H17" s="11"/>
      <c r="I17" s="13"/>
      <c r="J17" s="11"/>
      <c r="K17" s="11"/>
      <c r="L17" s="11"/>
      <c r="M17" s="14"/>
      <c r="N17" s="13">
        <f>SUM(N5:N16)</f>
        <v>3748</v>
      </c>
      <c r="O17" s="28">
        <f>16/24</f>
        <v>0.66666666666666663</v>
      </c>
      <c r="P17" s="34">
        <f>24/1000</f>
        <v>2.4E-2</v>
      </c>
      <c r="Q17" s="8">
        <v>3.59</v>
      </c>
      <c r="R17" s="8">
        <v>12.96</v>
      </c>
      <c r="S17" s="5">
        <f>N17</f>
        <v>3748</v>
      </c>
      <c r="T17" s="15">
        <f>O17*P17*Q17*R17*S17</f>
        <v>2790.0951552000001</v>
      </c>
      <c r="U17" s="5">
        <v>3.94</v>
      </c>
      <c r="V17" s="5">
        <v>12.96</v>
      </c>
      <c r="W17" s="5">
        <f>N17</f>
        <v>3748</v>
      </c>
      <c r="X17" s="16">
        <f>(O17*P17*U17*V17*W17)</f>
        <v>3062.1100031999999</v>
      </c>
      <c r="Y17" s="8">
        <v>2.13</v>
      </c>
      <c r="Z17" s="8">
        <v>41.904000000000003</v>
      </c>
      <c r="AA17" s="8">
        <f>N17</f>
        <v>3748</v>
      </c>
      <c r="AB17" s="17">
        <f>(O17*P17*Y17*Z17*AA17)</f>
        <v>5352.4750233600007</v>
      </c>
      <c r="AC17" s="96">
        <f>L355</f>
        <v>3838.5137427006739</v>
      </c>
      <c r="AD17" s="18">
        <f>T17+X17+AB17+AC17</f>
        <v>15043.193924460675</v>
      </c>
      <c r="AE17" s="4">
        <f>AD17*0.1</f>
        <v>1504.3193924460675</v>
      </c>
      <c r="AF17" s="19">
        <f>AD17+AE17</f>
        <v>16547.513316906741</v>
      </c>
      <c r="AG17" s="8">
        <v>3.1</v>
      </c>
      <c r="AH17" s="20">
        <f>ROUND((AF17/AG17),0)</f>
        <v>5338</v>
      </c>
      <c r="AI17" s="39">
        <v>22</v>
      </c>
      <c r="AN17" s="53"/>
      <c r="AO17" s="54"/>
      <c r="AP17" s="54"/>
    </row>
    <row r="18" spans="5:42" ht="15.5" x14ac:dyDescent="0.4">
      <c r="E18" s="2" t="s">
        <v>0</v>
      </c>
      <c r="F18" s="3"/>
      <c r="G18" s="4"/>
      <c r="H18" s="4"/>
      <c r="I18" s="4"/>
      <c r="J18" s="4"/>
      <c r="K18" s="4"/>
      <c r="L18" s="4"/>
      <c r="M18" s="3"/>
      <c r="N18" s="33" t="s">
        <v>2</v>
      </c>
      <c r="O18" s="5"/>
      <c r="P18" s="5"/>
      <c r="Q18" s="4"/>
      <c r="R18" s="4"/>
      <c r="S18" s="4"/>
      <c r="T18" s="4"/>
      <c r="U18" s="4"/>
      <c r="V18" s="4"/>
      <c r="W18" s="4"/>
      <c r="X18" s="4"/>
      <c r="Y18" s="4"/>
      <c r="Z18" s="4"/>
      <c r="AA18" s="4"/>
      <c r="AB18" s="4"/>
      <c r="AC18" s="4"/>
      <c r="AD18" s="4"/>
      <c r="AE18" s="4"/>
      <c r="AF18" s="4"/>
      <c r="AG18" s="4"/>
      <c r="AH18" s="6"/>
    </row>
    <row r="19" spans="5:42" x14ac:dyDescent="0.25">
      <c r="E19" s="2" t="s">
        <v>15</v>
      </c>
      <c r="F19" s="7">
        <v>23</v>
      </c>
      <c r="G19" s="82">
        <v>34.400654639999999</v>
      </c>
      <c r="H19" s="5">
        <v>420</v>
      </c>
      <c r="I19" s="5">
        <v>118.8</v>
      </c>
      <c r="J19" s="5">
        <v>36</v>
      </c>
      <c r="K19" s="8">
        <v>191.96</v>
      </c>
      <c r="L19" s="8">
        <v>8.4700000000000006</v>
      </c>
      <c r="M19" s="9">
        <f>(F19-((G19+H19+I19+J19)/(K19+L19)))</f>
        <v>19.960531583894628</v>
      </c>
      <c r="N19" s="33">
        <v>212.2</v>
      </c>
      <c r="O19" s="5"/>
      <c r="P19" s="5"/>
      <c r="Q19" s="4"/>
      <c r="R19" s="4"/>
      <c r="S19" s="4"/>
      <c r="T19" s="4"/>
      <c r="U19" s="4"/>
      <c r="V19" s="4"/>
      <c r="W19" s="4"/>
      <c r="X19" s="4"/>
      <c r="Y19" s="4"/>
      <c r="Z19" s="4"/>
      <c r="AA19" s="4"/>
      <c r="AB19" s="4"/>
      <c r="AC19" s="4"/>
      <c r="AD19" s="4"/>
      <c r="AE19" s="4"/>
      <c r="AF19" s="4"/>
      <c r="AG19" s="4"/>
      <c r="AH19" s="6"/>
    </row>
    <row r="20" spans="5:42" x14ac:dyDescent="0.25">
      <c r="E20" s="2" t="s">
        <v>16</v>
      </c>
      <c r="F20" s="7">
        <v>23</v>
      </c>
      <c r="G20" s="82">
        <v>37.843264800000007</v>
      </c>
      <c r="H20" s="5">
        <v>420</v>
      </c>
      <c r="I20" s="5">
        <v>118.8</v>
      </c>
      <c r="J20" s="5">
        <v>36</v>
      </c>
      <c r="K20" s="8">
        <v>191.96</v>
      </c>
      <c r="L20" s="8">
        <v>8.4700000000000006</v>
      </c>
      <c r="M20" s="9">
        <f t="shared" ref="M20:M30" si="1">(F20-((G20+H20+I20+J20)/(K20+L20)))</f>
        <v>19.943355461757221</v>
      </c>
      <c r="N20" s="33">
        <v>254.8</v>
      </c>
      <c r="O20" s="5"/>
      <c r="P20" s="5"/>
      <c r="Q20" s="4"/>
      <c r="R20" s="4"/>
      <c r="S20" s="4"/>
      <c r="T20" s="4"/>
      <c r="U20" s="4"/>
      <c r="V20" s="4"/>
      <c r="W20" s="4"/>
      <c r="X20" s="4"/>
      <c r="Y20" s="4"/>
      <c r="Z20" s="4"/>
      <c r="AA20" s="4"/>
      <c r="AB20" s="4"/>
      <c r="AC20" s="4"/>
      <c r="AD20" s="4"/>
      <c r="AE20" s="4"/>
      <c r="AF20" s="4"/>
      <c r="AG20" s="4"/>
      <c r="AH20" s="6"/>
    </row>
    <row r="21" spans="5:42" x14ac:dyDescent="0.25">
      <c r="E21" s="2" t="s">
        <v>17</v>
      </c>
      <c r="F21" s="7">
        <v>23</v>
      </c>
      <c r="G21" s="82">
        <v>40.137126480000006</v>
      </c>
      <c r="H21" s="5">
        <v>420</v>
      </c>
      <c r="I21" s="5">
        <v>118.8</v>
      </c>
      <c r="J21" s="5">
        <v>36</v>
      </c>
      <c r="K21" s="8">
        <v>191.96</v>
      </c>
      <c r="L21" s="8">
        <v>8.4700000000000006</v>
      </c>
      <c r="M21" s="9">
        <f t="shared" si="1"/>
        <v>19.931910759467147</v>
      </c>
      <c r="N21" s="33">
        <v>320.7</v>
      </c>
      <c r="O21" s="5"/>
      <c r="P21" s="5"/>
      <c r="Q21" s="4"/>
      <c r="R21" s="4"/>
      <c r="S21" s="4"/>
      <c r="T21" s="4"/>
      <c r="U21" s="4"/>
      <c r="V21" s="4"/>
      <c r="W21" s="4"/>
      <c r="X21" s="4"/>
      <c r="Y21" s="4"/>
      <c r="Z21" s="4"/>
      <c r="AA21" s="4"/>
      <c r="AB21" s="4"/>
      <c r="AC21" s="4"/>
      <c r="AD21" s="4"/>
      <c r="AE21" s="4"/>
      <c r="AF21" s="4"/>
      <c r="AG21" s="4"/>
      <c r="AH21" s="6"/>
    </row>
    <row r="22" spans="5:42" x14ac:dyDescent="0.25">
      <c r="E22" s="2" t="s">
        <v>18</v>
      </c>
      <c r="F22" s="7">
        <v>23</v>
      </c>
      <c r="G22" s="82">
        <v>44.721214560000007</v>
      </c>
      <c r="H22" s="5">
        <v>420</v>
      </c>
      <c r="I22" s="5">
        <v>118.8</v>
      </c>
      <c r="J22" s="5">
        <v>36</v>
      </c>
      <c r="K22" s="8">
        <v>191.96</v>
      </c>
      <c r="L22" s="8">
        <v>8.4700000000000006</v>
      </c>
      <c r="M22" s="9">
        <f t="shared" si="1"/>
        <v>19.909039492291573</v>
      </c>
      <c r="N22" s="33">
        <v>334.1</v>
      </c>
      <c r="O22" s="5"/>
      <c r="P22" s="5"/>
      <c r="Q22" s="4"/>
      <c r="R22" s="4"/>
      <c r="S22" s="4"/>
      <c r="T22" s="4"/>
      <c r="U22" s="4"/>
      <c r="V22" s="4"/>
      <c r="W22" s="4"/>
      <c r="X22" s="4"/>
      <c r="Y22" s="4"/>
      <c r="Z22" s="4"/>
      <c r="AA22" s="4"/>
      <c r="AB22" s="4"/>
      <c r="AC22" s="4"/>
      <c r="AD22" s="4"/>
      <c r="AE22" s="4"/>
      <c r="AF22" s="4"/>
      <c r="AG22" s="4"/>
      <c r="AH22" s="6"/>
    </row>
    <row r="23" spans="5:42" x14ac:dyDescent="0.25">
      <c r="E23" s="2" t="s">
        <v>12</v>
      </c>
      <c r="F23" s="7">
        <v>23</v>
      </c>
      <c r="G23" s="82">
        <v>59.629497840000013</v>
      </c>
      <c r="H23" s="5">
        <v>420</v>
      </c>
      <c r="I23" s="5">
        <v>118.8</v>
      </c>
      <c r="J23" s="5">
        <v>36</v>
      </c>
      <c r="K23" s="8">
        <v>191.96</v>
      </c>
      <c r="L23" s="8">
        <v>8.4700000000000006</v>
      </c>
      <c r="M23" s="9">
        <f t="shared" si="1"/>
        <v>19.834657996108369</v>
      </c>
      <c r="N23" s="33">
        <v>322.8</v>
      </c>
      <c r="O23" s="5"/>
      <c r="P23" s="5"/>
      <c r="Q23" s="4"/>
      <c r="R23" s="4"/>
      <c r="S23" s="4"/>
      <c r="T23" s="4"/>
      <c r="U23" s="4"/>
      <c r="V23" s="4"/>
      <c r="W23" s="4"/>
      <c r="X23" s="4"/>
      <c r="Y23" s="4"/>
      <c r="Z23" s="4"/>
      <c r="AA23" s="4"/>
      <c r="AB23" s="4"/>
      <c r="AC23" s="4"/>
      <c r="AD23" s="4"/>
      <c r="AE23" s="4"/>
      <c r="AF23" s="4"/>
      <c r="AG23" s="4"/>
      <c r="AH23" s="6"/>
    </row>
    <row r="24" spans="5:42" x14ac:dyDescent="0.25">
      <c r="E24" s="2" t="s">
        <v>13</v>
      </c>
      <c r="F24" s="7">
        <v>23</v>
      </c>
      <c r="G24" s="82">
        <v>75.686529600000014</v>
      </c>
      <c r="H24" s="5">
        <v>420</v>
      </c>
      <c r="I24" s="5">
        <v>118.8</v>
      </c>
      <c r="J24" s="5">
        <v>36</v>
      </c>
      <c r="K24" s="8">
        <v>191.96</v>
      </c>
      <c r="L24" s="8">
        <v>8.4700000000000006</v>
      </c>
      <c r="M24" s="9">
        <f t="shared" si="1"/>
        <v>19.754545080077833</v>
      </c>
      <c r="N24" s="33">
        <v>299</v>
      </c>
      <c r="O24" s="5"/>
      <c r="P24" s="5"/>
      <c r="Q24" s="4"/>
      <c r="R24" s="4"/>
      <c r="S24" s="4"/>
      <c r="T24" s="4"/>
      <c r="U24" s="4"/>
      <c r="V24" s="4"/>
      <c r="W24" s="4"/>
      <c r="X24" s="4"/>
      <c r="Y24" s="4"/>
      <c r="Z24" s="4"/>
      <c r="AA24" s="4"/>
      <c r="AB24" s="4"/>
      <c r="AC24" s="4"/>
      <c r="AD24" s="4"/>
      <c r="AE24" s="4"/>
      <c r="AF24" s="4"/>
      <c r="AG24" s="4"/>
      <c r="AH24" s="6"/>
    </row>
    <row r="25" spans="5:42" x14ac:dyDescent="0.25">
      <c r="E25" s="2" t="s">
        <v>1</v>
      </c>
      <c r="F25" s="7">
        <v>23</v>
      </c>
      <c r="G25" s="82">
        <v>63.072108000000007</v>
      </c>
      <c r="H25" s="5">
        <v>420</v>
      </c>
      <c r="I25" s="5">
        <v>118.8</v>
      </c>
      <c r="J25" s="5">
        <v>36</v>
      </c>
      <c r="K25" s="8">
        <v>191.96</v>
      </c>
      <c r="L25" s="8">
        <v>8.4700000000000006</v>
      </c>
      <c r="M25" s="9">
        <f t="shared" si="1"/>
        <v>19.817481873970962</v>
      </c>
      <c r="N25" s="33">
        <v>262.10000000000002</v>
      </c>
      <c r="O25" s="29"/>
      <c r="P25" s="29"/>
      <c r="Q25" s="4"/>
      <c r="R25" s="4"/>
      <c r="S25" s="4"/>
      <c r="T25" s="4"/>
      <c r="U25" s="4"/>
      <c r="V25" s="4"/>
      <c r="W25" s="4"/>
      <c r="X25" s="4"/>
      <c r="Y25" s="4"/>
      <c r="Z25" s="4"/>
      <c r="AA25" s="4"/>
      <c r="AB25" s="4"/>
      <c r="AC25" s="4"/>
      <c r="AD25" s="4"/>
      <c r="AE25" s="4"/>
      <c r="AF25" s="4"/>
      <c r="AG25" s="4"/>
      <c r="AH25" s="6"/>
    </row>
    <row r="26" spans="5:42" x14ac:dyDescent="0.25">
      <c r="E26" s="2" t="s">
        <v>19</v>
      </c>
      <c r="F26" s="7">
        <v>23</v>
      </c>
      <c r="G26" s="82">
        <v>47.015076240000013</v>
      </c>
      <c r="H26" s="5">
        <v>420</v>
      </c>
      <c r="I26" s="5">
        <v>118.8</v>
      </c>
      <c r="J26" s="5">
        <v>36</v>
      </c>
      <c r="K26" s="8">
        <v>191.96</v>
      </c>
      <c r="L26" s="8">
        <v>8.4700000000000006</v>
      </c>
      <c r="M26" s="9">
        <f t="shared" si="1"/>
        <v>19.897594790001499</v>
      </c>
      <c r="N26" s="33">
        <v>285.7</v>
      </c>
      <c r="O26" s="29"/>
      <c r="P26" s="29"/>
      <c r="Q26" s="4"/>
      <c r="R26" s="4"/>
      <c r="S26" s="4"/>
      <c r="T26" s="4"/>
      <c r="U26" s="4"/>
      <c r="V26" s="4"/>
      <c r="W26" s="4"/>
      <c r="X26" s="4"/>
      <c r="Y26" s="4"/>
      <c r="Z26" s="4"/>
      <c r="AA26" s="4"/>
      <c r="AB26" s="4"/>
      <c r="AC26" s="4"/>
      <c r="AD26" s="4"/>
      <c r="AE26" s="4"/>
      <c r="AF26" s="4"/>
      <c r="AG26" s="4"/>
      <c r="AH26" s="6"/>
    </row>
    <row r="27" spans="5:42" x14ac:dyDescent="0.25">
      <c r="E27" s="2" t="s">
        <v>20</v>
      </c>
      <c r="F27" s="7">
        <v>23</v>
      </c>
      <c r="G27" s="82">
        <v>41.282239680000004</v>
      </c>
      <c r="H27" s="5">
        <v>420</v>
      </c>
      <c r="I27" s="5">
        <v>118.8</v>
      </c>
      <c r="J27" s="5">
        <v>36</v>
      </c>
      <c r="K27" s="8">
        <v>191.96</v>
      </c>
      <c r="L27" s="8">
        <v>8.4700000000000006</v>
      </c>
      <c r="M27" s="9">
        <f t="shared" si="1"/>
        <v>19.926197477024399</v>
      </c>
      <c r="N27" s="33">
        <v>259.8</v>
      </c>
      <c r="O27" s="29"/>
      <c r="P27" s="29"/>
      <c r="Q27" s="4"/>
      <c r="R27" s="4"/>
      <c r="S27" s="4"/>
      <c r="T27" s="4"/>
      <c r="U27" s="4"/>
      <c r="V27" s="4"/>
      <c r="W27" s="4"/>
      <c r="X27" s="4"/>
      <c r="Y27" s="4"/>
      <c r="Z27" s="4"/>
      <c r="AA27" s="4"/>
      <c r="AB27" s="4"/>
      <c r="AC27" s="4"/>
      <c r="AD27" s="4"/>
      <c r="AE27" s="4"/>
      <c r="AF27" s="4"/>
      <c r="AG27" s="4"/>
      <c r="AH27" s="6"/>
    </row>
    <row r="28" spans="5:42" x14ac:dyDescent="0.25">
      <c r="E28" s="2" t="s">
        <v>21</v>
      </c>
      <c r="F28" s="7">
        <v>23</v>
      </c>
      <c r="G28" s="82">
        <v>37.843264800000007</v>
      </c>
      <c r="H28" s="5">
        <v>420</v>
      </c>
      <c r="I28" s="5">
        <v>118.8</v>
      </c>
      <c r="J28" s="5">
        <v>36</v>
      </c>
      <c r="K28" s="8">
        <v>191.96</v>
      </c>
      <c r="L28" s="8">
        <v>8.4700000000000006</v>
      </c>
      <c r="M28" s="9">
        <f t="shared" si="1"/>
        <v>19.943355461757221</v>
      </c>
      <c r="N28" s="33">
        <v>286.5</v>
      </c>
      <c r="O28" s="29"/>
      <c r="P28" s="29"/>
      <c r="Q28" s="4"/>
      <c r="R28" s="4"/>
      <c r="S28" s="4"/>
      <c r="T28" s="4"/>
      <c r="U28" s="4"/>
      <c r="V28" s="4"/>
      <c r="W28" s="4"/>
      <c r="X28" s="4"/>
      <c r="Y28" s="4"/>
      <c r="Z28" s="4"/>
      <c r="AA28" s="4"/>
      <c r="AB28" s="4"/>
      <c r="AC28" s="4"/>
      <c r="AD28" s="4"/>
      <c r="AE28" s="4"/>
      <c r="AF28" s="4"/>
      <c r="AG28" s="4"/>
      <c r="AH28" s="6"/>
    </row>
    <row r="29" spans="5:42" x14ac:dyDescent="0.25">
      <c r="E29" s="2" t="s">
        <v>22</v>
      </c>
      <c r="F29" s="7">
        <v>23</v>
      </c>
      <c r="G29" s="82">
        <v>34.400654639999999</v>
      </c>
      <c r="H29" s="5">
        <v>420</v>
      </c>
      <c r="I29" s="5">
        <v>118.8</v>
      </c>
      <c r="J29" s="5">
        <v>36</v>
      </c>
      <c r="K29" s="8">
        <v>191.96</v>
      </c>
      <c r="L29" s="8">
        <v>8.4700000000000006</v>
      </c>
      <c r="M29" s="9">
        <f t="shared" si="1"/>
        <v>19.960531583894628</v>
      </c>
      <c r="N29" s="33">
        <v>290.3</v>
      </c>
      <c r="O29" s="29"/>
      <c r="P29" s="29"/>
      <c r="Q29" s="4"/>
      <c r="R29" s="4"/>
      <c r="S29" s="4"/>
      <c r="T29" s="4"/>
      <c r="U29" s="4"/>
      <c r="V29" s="4"/>
      <c r="W29" s="4"/>
      <c r="X29" s="4"/>
      <c r="Y29" s="4"/>
      <c r="Z29" s="4"/>
      <c r="AA29" s="4"/>
      <c r="AB29" s="4"/>
      <c r="AC29" s="4"/>
      <c r="AD29" s="4"/>
      <c r="AE29" s="4"/>
      <c r="AF29" s="4"/>
      <c r="AG29" s="4"/>
      <c r="AH29" s="6"/>
    </row>
    <row r="30" spans="5:42" x14ac:dyDescent="0.25">
      <c r="E30" s="2" t="s">
        <v>23</v>
      </c>
      <c r="F30" s="7">
        <v>23</v>
      </c>
      <c r="G30" s="82">
        <v>33.255541440000002</v>
      </c>
      <c r="H30" s="5">
        <v>420</v>
      </c>
      <c r="I30" s="5">
        <v>118.8</v>
      </c>
      <c r="J30" s="5">
        <v>36</v>
      </c>
      <c r="K30" s="8">
        <v>191.96</v>
      </c>
      <c r="L30" s="8">
        <v>8.4700000000000006</v>
      </c>
      <c r="M30" s="9">
        <f t="shared" si="1"/>
        <v>19.966244866337377</v>
      </c>
      <c r="N30" s="33">
        <v>255.1</v>
      </c>
      <c r="O30" s="29"/>
      <c r="P30" s="29"/>
      <c r="Q30" s="4"/>
      <c r="R30" s="4"/>
      <c r="S30" s="4"/>
      <c r="T30" s="4"/>
      <c r="U30" s="4"/>
      <c r="V30" s="4"/>
      <c r="W30" s="4"/>
      <c r="X30" s="4"/>
      <c r="Y30" s="4"/>
      <c r="Z30" s="4"/>
      <c r="AA30" s="4"/>
      <c r="AB30" s="4"/>
      <c r="AC30" s="4"/>
      <c r="AD30" s="4"/>
      <c r="AE30" s="4"/>
      <c r="AF30" s="4"/>
      <c r="AG30" s="4"/>
      <c r="AH30" s="6"/>
    </row>
    <row r="31" spans="5:42" ht="13" x14ac:dyDescent="0.3">
      <c r="E31" s="10" t="s">
        <v>3</v>
      </c>
      <c r="F31" s="4"/>
      <c r="G31" s="4"/>
      <c r="H31" s="4"/>
      <c r="I31" s="4"/>
      <c r="J31" s="4"/>
      <c r="K31" s="4"/>
      <c r="L31" s="4"/>
      <c r="M31" s="4"/>
      <c r="N31" s="13">
        <f>SUM(N19:N30)</f>
        <v>3383.1000000000004</v>
      </c>
      <c r="O31" s="28">
        <f>16/24</f>
        <v>0.66666666666666663</v>
      </c>
      <c r="P31" s="28">
        <f>24/1000</f>
        <v>2.4E-2</v>
      </c>
      <c r="Q31" s="8">
        <v>3.59</v>
      </c>
      <c r="R31" s="8">
        <v>12.96</v>
      </c>
      <c r="S31" s="5">
        <f>N31</f>
        <v>3383.1000000000004</v>
      </c>
      <c r="T31" s="15">
        <f>O31*P31*Q31*R31*S31</f>
        <v>2518.4554214400005</v>
      </c>
      <c r="U31" s="5">
        <v>3.94</v>
      </c>
      <c r="V31" s="5">
        <v>12.96</v>
      </c>
      <c r="W31" s="5">
        <f>N31</f>
        <v>3383.1000000000004</v>
      </c>
      <c r="X31" s="16">
        <f>(O31*P31*U31*V31*W31)</f>
        <v>2763.9872870400004</v>
      </c>
      <c r="Y31" s="8">
        <v>2.13</v>
      </c>
      <c r="Z31" s="8">
        <v>41.904000000000003</v>
      </c>
      <c r="AA31" s="8">
        <f>N31</f>
        <v>3383.1000000000004</v>
      </c>
      <c r="AB31" s="17">
        <f>(O31*P31*Y31*Z31*AA31)</f>
        <v>4831.3655953920006</v>
      </c>
      <c r="AC31" s="96">
        <f>L356</f>
        <v>3761.0931213715603</v>
      </c>
      <c r="AD31" s="18">
        <f>T31+X31+AB31+AC31</f>
        <v>13874.901425243563</v>
      </c>
      <c r="AE31" s="4">
        <f>AD31*0.1</f>
        <v>1387.4901425243563</v>
      </c>
      <c r="AF31" s="19">
        <f>AD31+AE31</f>
        <v>15262.39156776792</v>
      </c>
      <c r="AG31" s="8">
        <v>3.1</v>
      </c>
      <c r="AH31" s="20">
        <f>ROUND((AF31/AG31),0)</f>
        <v>4923</v>
      </c>
      <c r="AI31" s="39">
        <v>23</v>
      </c>
    </row>
    <row r="32" spans="5:42" ht="15.5" x14ac:dyDescent="0.4">
      <c r="E32" s="2" t="s">
        <v>0</v>
      </c>
      <c r="F32" s="3"/>
      <c r="G32" s="4"/>
      <c r="H32" s="4"/>
      <c r="I32" s="4"/>
      <c r="J32" s="4"/>
      <c r="K32" s="4"/>
      <c r="L32" s="4"/>
      <c r="M32" s="3"/>
      <c r="N32" s="33" t="s">
        <v>2</v>
      </c>
      <c r="O32" s="5"/>
      <c r="P32" s="5"/>
      <c r="Q32" s="4"/>
      <c r="R32" s="4"/>
      <c r="S32" s="4"/>
      <c r="T32" s="4"/>
      <c r="U32" s="4"/>
      <c r="V32" s="4"/>
      <c r="W32" s="4"/>
      <c r="X32" s="4"/>
      <c r="Y32" s="4"/>
      <c r="Z32" s="4"/>
      <c r="AA32" s="4"/>
      <c r="AB32" s="4"/>
      <c r="AC32" s="4"/>
      <c r="AD32" s="4"/>
      <c r="AE32" s="4"/>
      <c r="AF32" s="4"/>
      <c r="AG32" s="4"/>
      <c r="AH32" s="6"/>
    </row>
    <row r="33" spans="5:42" x14ac:dyDescent="0.25">
      <c r="E33" s="2" t="s">
        <v>15</v>
      </c>
      <c r="F33" s="33">
        <v>24</v>
      </c>
      <c r="G33" s="82">
        <v>34.400654639999999</v>
      </c>
      <c r="H33" s="5">
        <v>420</v>
      </c>
      <c r="I33" s="5">
        <v>118.8</v>
      </c>
      <c r="J33" s="5">
        <v>36</v>
      </c>
      <c r="K33" s="8">
        <v>191.96</v>
      </c>
      <c r="L33" s="8">
        <v>8.4700000000000006</v>
      </c>
      <c r="M33" s="9">
        <f>(F33-((G33+H33+I33+J33)/(K33+L33)))</f>
        <v>20.960531583894628</v>
      </c>
      <c r="N33" s="33">
        <v>181.9</v>
      </c>
      <c r="O33" s="5"/>
      <c r="P33" s="5"/>
      <c r="Q33" s="4"/>
      <c r="R33" s="4"/>
      <c r="S33" s="4"/>
      <c r="T33" s="4"/>
      <c r="U33" s="4"/>
      <c r="V33" s="4"/>
      <c r="W33" s="4"/>
      <c r="X33" s="4"/>
      <c r="Y33" s="4"/>
      <c r="Z33" s="4"/>
      <c r="AA33" s="4"/>
      <c r="AB33" s="4"/>
      <c r="AC33" s="4"/>
      <c r="AD33" s="4"/>
      <c r="AE33" s="4"/>
      <c r="AF33" s="4"/>
      <c r="AG33" s="4"/>
      <c r="AH33" s="6"/>
    </row>
    <row r="34" spans="5:42" x14ac:dyDescent="0.25">
      <c r="E34" s="2" t="s">
        <v>16</v>
      </c>
      <c r="F34" s="33">
        <v>24</v>
      </c>
      <c r="G34" s="82">
        <v>37.843264800000007</v>
      </c>
      <c r="H34" s="5">
        <v>420</v>
      </c>
      <c r="I34" s="5">
        <v>118.8</v>
      </c>
      <c r="J34" s="5">
        <v>36</v>
      </c>
      <c r="K34" s="8">
        <v>191.96</v>
      </c>
      <c r="L34" s="8">
        <v>8.4700000000000006</v>
      </c>
      <c r="M34" s="9">
        <f t="shared" ref="M34:M44" si="2">(F34-((G34+H34+I34+J34)/(K34+L34)))</f>
        <v>20.943355461757221</v>
      </c>
      <c r="N34" s="33">
        <v>226.8</v>
      </c>
      <c r="O34" s="5"/>
      <c r="P34" s="5"/>
      <c r="Q34" s="4"/>
      <c r="R34" s="4"/>
      <c r="S34" s="4"/>
      <c r="T34" s="4"/>
      <c r="U34" s="4"/>
      <c r="V34" s="4"/>
      <c r="W34" s="4"/>
      <c r="X34" s="4"/>
      <c r="Y34" s="4"/>
      <c r="Z34" s="4"/>
      <c r="AA34" s="4"/>
      <c r="AB34" s="4"/>
      <c r="AC34" s="4"/>
      <c r="AD34" s="4"/>
      <c r="AE34" s="4"/>
      <c r="AF34" s="4"/>
      <c r="AG34" s="4"/>
      <c r="AH34" s="6"/>
    </row>
    <row r="35" spans="5:42" x14ac:dyDescent="0.25">
      <c r="E35" s="2" t="s">
        <v>17</v>
      </c>
      <c r="F35" s="33">
        <v>24</v>
      </c>
      <c r="G35" s="82">
        <v>40.137126480000006</v>
      </c>
      <c r="H35" s="5">
        <v>420</v>
      </c>
      <c r="I35" s="5">
        <v>118.8</v>
      </c>
      <c r="J35" s="5">
        <v>36</v>
      </c>
      <c r="K35" s="8">
        <v>191.96</v>
      </c>
      <c r="L35" s="8">
        <v>8.4700000000000006</v>
      </c>
      <c r="M35" s="9">
        <f t="shared" si="2"/>
        <v>20.931910759467147</v>
      </c>
      <c r="N35" s="33">
        <v>289.7</v>
      </c>
      <c r="O35" s="5"/>
      <c r="P35" s="5"/>
      <c r="Q35" s="4"/>
      <c r="R35" s="4"/>
      <c r="S35" s="4"/>
      <c r="T35" s="4"/>
      <c r="U35" s="4"/>
      <c r="V35" s="4"/>
      <c r="W35" s="4"/>
      <c r="X35" s="4"/>
      <c r="Y35" s="4"/>
      <c r="Z35" s="4"/>
      <c r="AA35" s="4"/>
      <c r="AB35" s="4"/>
      <c r="AC35" s="4"/>
      <c r="AD35" s="4"/>
      <c r="AE35" s="4"/>
      <c r="AF35" s="4"/>
      <c r="AG35" s="4"/>
      <c r="AH35" s="6"/>
    </row>
    <row r="36" spans="5:42" x14ac:dyDescent="0.25">
      <c r="E36" s="2" t="s">
        <v>18</v>
      </c>
      <c r="F36" s="33">
        <v>24</v>
      </c>
      <c r="G36" s="82">
        <v>44.721214560000007</v>
      </c>
      <c r="H36" s="5">
        <v>420</v>
      </c>
      <c r="I36" s="5">
        <v>118.8</v>
      </c>
      <c r="J36" s="5">
        <v>36</v>
      </c>
      <c r="K36" s="8">
        <v>191.96</v>
      </c>
      <c r="L36" s="8">
        <v>8.4700000000000006</v>
      </c>
      <c r="M36" s="9">
        <f t="shared" si="2"/>
        <v>20.909039492291573</v>
      </c>
      <c r="N36" s="33">
        <v>304.10000000000002</v>
      </c>
      <c r="O36" s="5"/>
      <c r="P36" s="5"/>
      <c r="Q36" s="4"/>
      <c r="R36" s="4"/>
      <c r="S36" s="4"/>
      <c r="T36" s="4"/>
      <c r="U36" s="4"/>
      <c r="V36" s="4"/>
      <c r="W36" s="4"/>
      <c r="X36" s="4"/>
      <c r="Y36" s="4"/>
      <c r="Z36" s="4"/>
      <c r="AA36" s="4"/>
      <c r="AB36" s="4"/>
      <c r="AC36" s="4"/>
      <c r="AD36" s="4"/>
      <c r="AE36" s="4"/>
      <c r="AF36" s="4"/>
      <c r="AG36" s="4"/>
      <c r="AH36" s="6"/>
    </row>
    <row r="37" spans="5:42" x14ac:dyDescent="0.25">
      <c r="E37" s="2" t="s">
        <v>12</v>
      </c>
      <c r="F37" s="33">
        <v>24</v>
      </c>
      <c r="G37" s="82">
        <v>59.629497840000013</v>
      </c>
      <c r="H37" s="5">
        <v>420</v>
      </c>
      <c r="I37" s="5">
        <v>118.8</v>
      </c>
      <c r="J37" s="5">
        <v>36</v>
      </c>
      <c r="K37" s="8">
        <v>191.96</v>
      </c>
      <c r="L37" s="8">
        <v>8.4700000000000006</v>
      </c>
      <c r="M37" s="9">
        <f t="shared" si="2"/>
        <v>20.834657996108369</v>
      </c>
      <c r="N37" s="33">
        <v>291.8</v>
      </c>
      <c r="O37" s="5"/>
      <c r="P37" s="5"/>
      <c r="Q37" s="4"/>
      <c r="R37" s="4"/>
      <c r="S37" s="4"/>
      <c r="T37" s="4"/>
      <c r="U37" s="4"/>
      <c r="V37" s="4"/>
      <c r="W37" s="4"/>
      <c r="X37" s="4"/>
      <c r="Y37" s="4"/>
      <c r="Z37" s="4"/>
      <c r="AA37" s="4"/>
      <c r="AB37" s="4"/>
      <c r="AC37" s="4"/>
      <c r="AD37" s="4"/>
      <c r="AE37" s="4"/>
      <c r="AF37" s="4"/>
      <c r="AG37" s="4"/>
      <c r="AH37" s="6"/>
    </row>
    <row r="38" spans="5:42" x14ac:dyDescent="0.25">
      <c r="E38" s="2" t="s">
        <v>13</v>
      </c>
      <c r="F38" s="33">
        <v>24</v>
      </c>
      <c r="G38" s="82">
        <v>75.686529600000014</v>
      </c>
      <c r="H38" s="5">
        <v>420</v>
      </c>
      <c r="I38" s="5">
        <v>118.8</v>
      </c>
      <c r="J38" s="5">
        <v>36</v>
      </c>
      <c r="K38" s="8">
        <v>191.96</v>
      </c>
      <c r="L38" s="8">
        <v>8.4700000000000006</v>
      </c>
      <c r="M38" s="9">
        <f t="shared" si="2"/>
        <v>20.754545080077833</v>
      </c>
      <c r="N38" s="33">
        <v>269</v>
      </c>
      <c r="O38" s="5"/>
      <c r="P38" s="5"/>
      <c r="Q38" s="4"/>
      <c r="R38" s="4"/>
      <c r="S38" s="4"/>
      <c r="T38" s="4"/>
      <c r="U38" s="4"/>
      <c r="V38" s="4"/>
      <c r="W38" s="4"/>
      <c r="X38" s="4"/>
      <c r="Y38" s="4"/>
      <c r="Z38" s="4"/>
      <c r="AA38" s="4"/>
      <c r="AB38" s="4"/>
      <c r="AC38" s="4"/>
      <c r="AD38" s="4"/>
      <c r="AE38" s="4"/>
      <c r="AF38" s="4"/>
      <c r="AG38" s="4"/>
      <c r="AH38" s="6"/>
    </row>
    <row r="39" spans="5:42" x14ac:dyDescent="0.25">
      <c r="E39" s="2" t="s">
        <v>24</v>
      </c>
      <c r="F39" s="33">
        <v>24</v>
      </c>
      <c r="G39" s="82">
        <v>63.072108000000007</v>
      </c>
      <c r="H39" s="5">
        <v>420</v>
      </c>
      <c r="I39" s="5">
        <v>118.8</v>
      </c>
      <c r="J39" s="5">
        <v>36</v>
      </c>
      <c r="K39" s="8">
        <v>191.96</v>
      </c>
      <c r="L39" s="8">
        <v>8.4700000000000006</v>
      </c>
      <c r="M39" s="9">
        <f t="shared" si="2"/>
        <v>20.817481873970962</v>
      </c>
      <c r="N39" s="33">
        <v>231.1</v>
      </c>
      <c r="O39" s="5"/>
      <c r="P39" s="5"/>
      <c r="Q39" s="4"/>
      <c r="R39" s="4"/>
      <c r="S39" s="4"/>
      <c r="T39" s="4"/>
      <c r="U39" s="4"/>
      <c r="V39" s="4"/>
      <c r="W39" s="4"/>
      <c r="X39" s="4"/>
      <c r="Y39" s="4"/>
      <c r="Z39" s="4"/>
      <c r="AA39" s="4"/>
      <c r="AB39" s="4"/>
      <c r="AC39" s="4"/>
      <c r="AD39" s="4"/>
      <c r="AE39" s="4"/>
      <c r="AF39" s="4"/>
      <c r="AG39" s="4"/>
      <c r="AH39" s="6"/>
    </row>
    <row r="40" spans="5:42" x14ac:dyDescent="0.25">
      <c r="E40" s="2" t="s">
        <v>19</v>
      </c>
      <c r="F40" s="33">
        <v>24</v>
      </c>
      <c r="G40" s="82">
        <v>47.015076240000013</v>
      </c>
      <c r="H40" s="5">
        <v>420</v>
      </c>
      <c r="I40" s="5">
        <v>118.8</v>
      </c>
      <c r="J40" s="5">
        <v>36</v>
      </c>
      <c r="K40" s="8">
        <v>191.96</v>
      </c>
      <c r="L40" s="8">
        <v>8.4700000000000006</v>
      </c>
      <c r="M40" s="9">
        <f t="shared" si="2"/>
        <v>20.897594790001499</v>
      </c>
      <c r="N40" s="33">
        <v>254.7</v>
      </c>
      <c r="O40" s="5"/>
      <c r="P40" s="5"/>
      <c r="Q40" s="4"/>
      <c r="R40" s="4"/>
      <c r="S40" s="4"/>
      <c r="T40" s="4"/>
      <c r="U40" s="4"/>
      <c r="V40" s="4"/>
      <c r="W40" s="4"/>
      <c r="X40" s="4"/>
      <c r="Y40" s="4"/>
      <c r="Z40" s="4"/>
      <c r="AA40" s="4"/>
      <c r="AB40" s="4"/>
      <c r="AC40" s="4"/>
      <c r="AD40" s="4"/>
      <c r="AE40" s="4"/>
      <c r="AF40" s="4"/>
      <c r="AG40" s="4"/>
      <c r="AH40" s="6"/>
    </row>
    <row r="41" spans="5:42" x14ac:dyDescent="0.25">
      <c r="E41" s="2" t="s">
        <v>20</v>
      </c>
      <c r="F41" s="33">
        <v>24</v>
      </c>
      <c r="G41" s="82">
        <v>41.282239680000004</v>
      </c>
      <c r="H41" s="5">
        <v>420</v>
      </c>
      <c r="I41" s="5">
        <v>118.8</v>
      </c>
      <c r="J41" s="5">
        <v>36</v>
      </c>
      <c r="K41" s="8">
        <v>191.96</v>
      </c>
      <c r="L41" s="8">
        <v>8.4700000000000006</v>
      </c>
      <c r="M41" s="9">
        <f t="shared" si="2"/>
        <v>20.926197477024399</v>
      </c>
      <c r="N41" s="33">
        <v>229.8</v>
      </c>
      <c r="O41" s="5"/>
      <c r="P41" s="5"/>
      <c r="Q41" s="4"/>
      <c r="R41" s="4"/>
      <c r="S41" s="4"/>
      <c r="T41" s="4"/>
      <c r="U41" s="4"/>
      <c r="V41" s="4"/>
      <c r="W41" s="4"/>
      <c r="X41" s="4"/>
      <c r="Y41" s="4"/>
      <c r="Z41" s="4"/>
      <c r="AA41" s="4"/>
      <c r="AB41" s="4"/>
      <c r="AC41" s="4"/>
      <c r="AD41" s="4"/>
      <c r="AE41" s="4"/>
      <c r="AF41" s="4"/>
      <c r="AG41" s="4"/>
      <c r="AH41" s="6"/>
    </row>
    <row r="42" spans="5:42" x14ac:dyDescent="0.25">
      <c r="E42" s="2" t="s">
        <v>21</v>
      </c>
      <c r="F42" s="33">
        <v>24</v>
      </c>
      <c r="G42" s="82">
        <v>37.843264800000007</v>
      </c>
      <c r="H42" s="5">
        <v>420</v>
      </c>
      <c r="I42" s="5">
        <v>118.8</v>
      </c>
      <c r="J42" s="5">
        <v>36</v>
      </c>
      <c r="K42" s="8">
        <v>191.96</v>
      </c>
      <c r="L42" s="8">
        <v>8.4700000000000006</v>
      </c>
      <c r="M42" s="9">
        <f t="shared" si="2"/>
        <v>20.943355461757221</v>
      </c>
      <c r="N42" s="33">
        <v>255.5</v>
      </c>
      <c r="O42" s="5"/>
      <c r="P42" s="5"/>
      <c r="Q42" s="4"/>
      <c r="R42" s="4"/>
      <c r="S42" s="4"/>
      <c r="T42" s="4"/>
      <c r="U42" s="4"/>
      <c r="V42" s="4"/>
      <c r="W42" s="4"/>
      <c r="X42" s="4"/>
      <c r="Y42" s="4"/>
      <c r="Z42" s="4"/>
      <c r="AA42" s="4"/>
      <c r="AB42" s="4"/>
      <c r="AC42" s="4"/>
      <c r="AD42" s="4"/>
      <c r="AE42" s="4"/>
      <c r="AF42" s="4"/>
      <c r="AG42" s="4"/>
      <c r="AH42" s="6"/>
    </row>
    <row r="43" spans="5:42" x14ac:dyDescent="0.25">
      <c r="E43" s="2" t="s">
        <v>22</v>
      </c>
      <c r="F43" s="33">
        <v>24</v>
      </c>
      <c r="G43" s="82">
        <v>34.400654639999999</v>
      </c>
      <c r="H43" s="5">
        <v>420</v>
      </c>
      <c r="I43" s="5">
        <v>118.8</v>
      </c>
      <c r="J43" s="5">
        <v>36</v>
      </c>
      <c r="K43" s="8">
        <v>191.96</v>
      </c>
      <c r="L43" s="8">
        <v>8.4700000000000006</v>
      </c>
      <c r="M43" s="9">
        <f t="shared" si="2"/>
        <v>20.960531583894628</v>
      </c>
      <c r="N43" s="33">
        <v>260.3</v>
      </c>
      <c r="O43" s="5"/>
      <c r="P43" s="5"/>
      <c r="Q43" s="4"/>
      <c r="R43" s="4"/>
      <c r="S43" s="4"/>
      <c r="T43" s="4"/>
      <c r="U43" s="4"/>
      <c r="V43" s="4"/>
      <c r="W43" s="4"/>
      <c r="X43" s="4"/>
      <c r="Y43" s="4"/>
      <c r="Z43" s="4"/>
      <c r="AA43" s="4"/>
      <c r="AB43" s="4"/>
      <c r="AC43" s="4"/>
      <c r="AD43" s="4"/>
      <c r="AE43" s="4"/>
      <c r="AF43" s="4"/>
      <c r="AG43" s="4"/>
      <c r="AH43" s="6"/>
    </row>
    <row r="44" spans="5:42" ht="13" thickBot="1" x14ac:dyDescent="0.3">
      <c r="E44" s="2" t="s">
        <v>23</v>
      </c>
      <c r="F44" s="33">
        <v>24</v>
      </c>
      <c r="G44" s="82">
        <v>33.255541440000002</v>
      </c>
      <c r="H44" s="5">
        <v>420</v>
      </c>
      <c r="I44" s="5">
        <v>118.8</v>
      </c>
      <c r="J44" s="5">
        <v>36</v>
      </c>
      <c r="K44" s="8">
        <v>191.96</v>
      </c>
      <c r="L44" s="8">
        <v>8.4700000000000006</v>
      </c>
      <c r="M44" s="9">
        <f t="shared" si="2"/>
        <v>20.966244866337377</v>
      </c>
      <c r="N44" s="33">
        <v>224.1</v>
      </c>
      <c r="O44" s="5"/>
      <c r="P44" s="5"/>
      <c r="Q44" s="4"/>
      <c r="R44" s="4"/>
      <c r="S44" s="4"/>
      <c r="T44" s="4"/>
      <c r="U44" s="4"/>
      <c r="V44" s="4"/>
      <c r="W44" s="4"/>
      <c r="X44" s="4"/>
      <c r="Y44" s="4"/>
      <c r="Z44" s="4"/>
      <c r="AA44" s="4"/>
      <c r="AB44" s="4"/>
      <c r="AC44" s="4"/>
      <c r="AD44" s="4"/>
      <c r="AE44" s="4"/>
      <c r="AF44" s="4"/>
      <c r="AG44" s="4"/>
      <c r="AH44" s="6"/>
    </row>
    <row r="45" spans="5:42" ht="13" x14ac:dyDescent="0.3">
      <c r="E45" s="10" t="s">
        <v>3</v>
      </c>
      <c r="F45" s="397"/>
      <c r="G45" s="398"/>
      <c r="H45" s="398"/>
      <c r="I45" s="398"/>
      <c r="J45" s="398"/>
      <c r="K45" s="398"/>
      <c r="L45" s="398"/>
      <c r="M45" s="399"/>
      <c r="N45" s="13">
        <f>SUM(N33:N44)</f>
        <v>3018.8</v>
      </c>
      <c r="O45" s="28">
        <f>16/24</f>
        <v>0.66666666666666663</v>
      </c>
      <c r="P45" s="28">
        <f>24/1000</f>
        <v>2.4E-2</v>
      </c>
      <c r="Q45" s="8">
        <v>3.59</v>
      </c>
      <c r="R45" s="8">
        <v>12.96</v>
      </c>
      <c r="S45" s="5">
        <f>N45</f>
        <v>3018.8</v>
      </c>
      <c r="T45" s="15">
        <f>O45*P45*Q45*R45*S45</f>
        <v>2247.2623411200002</v>
      </c>
      <c r="U45" s="5">
        <v>3.94</v>
      </c>
      <c r="V45" s="5">
        <v>12.96</v>
      </c>
      <c r="W45" s="5">
        <f>N45</f>
        <v>3018.8</v>
      </c>
      <c r="X45" s="16">
        <f>(O45*P45*U45*V45*W45)</f>
        <v>2466.3547699200003</v>
      </c>
      <c r="Y45" s="8">
        <v>2.13</v>
      </c>
      <c r="Z45" s="8">
        <v>41.904000000000003</v>
      </c>
      <c r="AA45" s="8">
        <f>N45</f>
        <v>3018.8</v>
      </c>
      <c r="AB45" s="17">
        <f>(O45*P45*Y45*Z45*AA45)</f>
        <v>4311.1130204160008</v>
      </c>
      <c r="AC45" s="96">
        <f>L357</f>
        <v>3683.6725000424467</v>
      </c>
      <c r="AD45" s="18">
        <f>T45+X45+AB45+AC45</f>
        <v>12708.402631498449</v>
      </c>
      <c r="AE45" s="4">
        <f>AD45*0.1</f>
        <v>1270.840263149845</v>
      </c>
      <c r="AF45" s="19">
        <f>AD45+AE45</f>
        <v>13979.242894648294</v>
      </c>
      <c r="AG45" s="8">
        <v>3.1</v>
      </c>
      <c r="AH45" s="20">
        <f>ROUND((AF45/AG45),0)</f>
        <v>4509</v>
      </c>
      <c r="AI45" s="39">
        <v>24</v>
      </c>
      <c r="AJ45" s="122"/>
      <c r="AK45" s="122"/>
      <c r="AN45" s="295" t="s">
        <v>203</v>
      </c>
      <c r="AO45" s="296"/>
      <c r="AP45" s="297"/>
    </row>
    <row r="46" spans="5:42" ht="13" x14ac:dyDescent="0.3">
      <c r="E46" s="385" t="s">
        <v>214</v>
      </c>
      <c r="F46" s="386"/>
      <c r="G46" s="386"/>
      <c r="H46" s="386"/>
      <c r="I46" s="386"/>
      <c r="J46" s="386"/>
      <c r="K46" s="386"/>
      <c r="L46" s="386"/>
      <c r="M46" s="386"/>
      <c r="N46" s="386"/>
      <c r="O46" s="386"/>
      <c r="P46" s="386"/>
      <c r="Q46" s="386"/>
      <c r="R46" s="386"/>
      <c r="S46" s="386"/>
      <c r="T46" s="386"/>
      <c r="U46" s="386"/>
      <c r="V46" s="386"/>
      <c r="W46" s="386"/>
      <c r="X46" s="386"/>
      <c r="Y46" s="386"/>
      <c r="Z46" s="386"/>
      <c r="AA46" s="386"/>
      <c r="AB46" s="386"/>
      <c r="AC46" s="386"/>
      <c r="AD46" s="386"/>
      <c r="AE46" s="386"/>
      <c r="AF46" s="386"/>
      <c r="AG46" s="387"/>
      <c r="AH46" s="150">
        <f>(AH17*AP6+AH31*AP7+AH45*AP8)</f>
        <v>4887.347826086956</v>
      </c>
      <c r="AI46" s="39"/>
      <c r="AJ46" s="122"/>
      <c r="AK46" s="122"/>
      <c r="AN46" s="147"/>
      <c r="AO46" s="148"/>
      <c r="AP46" s="149"/>
    </row>
    <row r="47" spans="5:42" ht="15.5" x14ac:dyDescent="0.4">
      <c r="E47" s="2" t="s">
        <v>0</v>
      </c>
      <c r="F47" s="4"/>
      <c r="G47" s="4"/>
      <c r="H47" s="4"/>
      <c r="I47" s="4"/>
      <c r="J47" s="4"/>
      <c r="K47" s="4"/>
      <c r="L47" s="4"/>
      <c r="M47" s="3"/>
      <c r="N47" s="5" t="s">
        <v>2</v>
      </c>
      <c r="O47" s="5"/>
      <c r="P47" s="5"/>
      <c r="Q47" s="4"/>
      <c r="R47" s="4"/>
      <c r="S47" s="4"/>
      <c r="T47" s="4"/>
      <c r="U47" s="4"/>
      <c r="V47" s="4"/>
      <c r="W47" s="4"/>
      <c r="X47" s="4"/>
      <c r="Y47" s="4"/>
      <c r="Z47" s="4"/>
      <c r="AA47" s="4"/>
      <c r="AB47" s="4"/>
      <c r="AC47" s="4"/>
      <c r="AD47" s="4"/>
      <c r="AE47" s="4"/>
      <c r="AF47" s="4"/>
      <c r="AG47" s="4"/>
      <c r="AH47" s="6"/>
      <c r="AM47" s="141"/>
      <c r="AN47" s="76" t="s">
        <v>195</v>
      </c>
      <c r="AO47" s="27" t="s">
        <v>196</v>
      </c>
      <c r="AP47" s="86" t="s">
        <v>201</v>
      </c>
    </row>
    <row r="48" spans="5:42" ht="13" thickBot="1" x14ac:dyDescent="0.3">
      <c r="E48" s="2" t="s">
        <v>15</v>
      </c>
      <c r="F48" s="7">
        <v>25</v>
      </c>
      <c r="G48" s="82">
        <v>34.400654639999999</v>
      </c>
      <c r="H48" s="5">
        <v>420</v>
      </c>
      <c r="I48" s="5">
        <v>118.8</v>
      </c>
      <c r="J48" s="5">
        <v>36</v>
      </c>
      <c r="K48" s="8">
        <v>191.96</v>
      </c>
      <c r="L48" s="8">
        <v>8.4700000000000006</v>
      </c>
      <c r="M48" s="9">
        <f>(F48-((G48+H48+I48+J48)/(K48+L48)))</f>
        <v>21.960531583894628</v>
      </c>
      <c r="N48" s="33">
        <v>151.80000000000001</v>
      </c>
      <c r="O48" s="5"/>
      <c r="P48" s="5"/>
      <c r="Q48" s="4"/>
      <c r="R48" s="4"/>
      <c r="S48" s="4"/>
      <c r="T48" s="4"/>
      <c r="U48" s="4"/>
      <c r="V48" s="4"/>
      <c r="W48" s="4"/>
      <c r="X48" s="4"/>
      <c r="Y48" s="4"/>
      <c r="Z48" s="4"/>
      <c r="AA48" s="4"/>
      <c r="AB48" s="4"/>
      <c r="AC48" s="4"/>
      <c r="AD48" s="4"/>
      <c r="AE48" s="4"/>
      <c r="AF48" s="4"/>
      <c r="AG48" s="4"/>
      <c r="AH48" s="6"/>
      <c r="AN48" s="142">
        <v>25</v>
      </c>
      <c r="AO48" s="89">
        <v>12</v>
      </c>
      <c r="AP48" s="140">
        <v>100</v>
      </c>
    </row>
    <row r="49" spans="5:42" x14ac:dyDescent="0.25">
      <c r="E49" s="2" t="s">
        <v>16</v>
      </c>
      <c r="F49" s="7">
        <v>25</v>
      </c>
      <c r="G49" s="82">
        <v>37.843264800000007</v>
      </c>
      <c r="H49" s="5">
        <v>420</v>
      </c>
      <c r="I49" s="5">
        <v>118.8</v>
      </c>
      <c r="J49" s="5">
        <v>36</v>
      </c>
      <c r="K49" s="8">
        <v>191.96</v>
      </c>
      <c r="L49" s="8">
        <v>8.4700000000000006</v>
      </c>
      <c r="M49" s="9">
        <f t="shared" ref="M49:M59" si="3">(F49-((G49+H49+I49+J49)/(K49+L49)))</f>
        <v>21.943355461757221</v>
      </c>
      <c r="N49" s="33">
        <v>198.8</v>
      </c>
      <c r="O49" s="5"/>
      <c r="P49" s="5"/>
      <c r="Q49" s="4"/>
      <c r="R49" s="4"/>
      <c r="S49" s="4"/>
      <c r="T49" s="4"/>
      <c r="U49" s="4"/>
      <c r="V49" s="4"/>
      <c r="W49" s="4"/>
      <c r="X49" s="4"/>
      <c r="Y49" s="4"/>
      <c r="Z49" s="4"/>
      <c r="AA49" s="4"/>
      <c r="AB49" s="4"/>
      <c r="AC49" s="4"/>
      <c r="AD49" s="4"/>
      <c r="AE49" s="4"/>
      <c r="AF49" s="4"/>
      <c r="AG49" s="4"/>
      <c r="AH49" s="6"/>
    </row>
    <row r="50" spans="5:42" x14ac:dyDescent="0.25">
      <c r="E50" s="2" t="s">
        <v>17</v>
      </c>
      <c r="F50" s="7">
        <v>25</v>
      </c>
      <c r="G50" s="82">
        <v>40.137126480000006</v>
      </c>
      <c r="H50" s="5">
        <v>420</v>
      </c>
      <c r="I50" s="5">
        <v>118.8</v>
      </c>
      <c r="J50" s="5">
        <v>36</v>
      </c>
      <c r="K50" s="8">
        <v>191.96</v>
      </c>
      <c r="L50" s="8">
        <v>8.4700000000000006</v>
      </c>
      <c r="M50" s="9">
        <f t="shared" si="3"/>
        <v>21.931910759467147</v>
      </c>
      <c r="N50" s="33">
        <v>258.7</v>
      </c>
      <c r="O50" s="5"/>
      <c r="P50" s="5"/>
      <c r="Q50" s="4"/>
      <c r="R50" s="4"/>
      <c r="S50" s="4"/>
      <c r="T50" s="4"/>
      <c r="U50" s="4"/>
      <c r="V50" s="4"/>
      <c r="W50" s="4"/>
      <c r="X50" s="4"/>
      <c r="Y50" s="4"/>
      <c r="Z50" s="4"/>
      <c r="AA50" s="4"/>
      <c r="AB50" s="4"/>
      <c r="AC50" s="4"/>
      <c r="AD50" s="4"/>
      <c r="AE50" s="4"/>
      <c r="AF50" s="4"/>
      <c r="AG50" s="4"/>
      <c r="AH50" s="6"/>
      <c r="AN50" s="82"/>
      <c r="AO50" s="82"/>
      <c r="AP50" s="54"/>
    </row>
    <row r="51" spans="5:42" x14ac:dyDescent="0.25">
      <c r="E51" s="2" t="s">
        <v>18</v>
      </c>
      <c r="F51" s="7">
        <v>25</v>
      </c>
      <c r="G51" s="82">
        <v>44.721214560000007</v>
      </c>
      <c r="H51" s="5">
        <v>420</v>
      </c>
      <c r="I51" s="5">
        <v>118.8</v>
      </c>
      <c r="J51" s="5">
        <v>36</v>
      </c>
      <c r="K51" s="8">
        <v>191.96</v>
      </c>
      <c r="L51" s="8">
        <v>8.4700000000000006</v>
      </c>
      <c r="M51" s="9">
        <f t="shared" si="3"/>
        <v>21.909039492291573</v>
      </c>
      <c r="N51" s="33">
        <v>274.10000000000002</v>
      </c>
      <c r="O51" s="5"/>
      <c r="P51" s="5"/>
      <c r="Q51" s="4"/>
      <c r="R51" s="4"/>
      <c r="S51" s="4"/>
      <c r="T51" s="4"/>
      <c r="U51" s="4"/>
      <c r="V51" s="4"/>
      <c r="W51" s="4"/>
      <c r="X51" s="4"/>
      <c r="Y51" s="4"/>
      <c r="Z51" s="4"/>
      <c r="AA51" s="4"/>
      <c r="AB51" s="4"/>
      <c r="AC51" s="4"/>
      <c r="AD51" s="4"/>
      <c r="AE51" s="4"/>
      <c r="AF51" s="4"/>
      <c r="AG51" s="4"/>
      <c r="AH51" s="6"/>
      <c r="AN51" s="82"/>
      <c r="AO51" s="82"/>
      <c r="AP51" s="54"/>
    </row>
    <row r="52" spans="5:42" x14ac:dyDescent="0.25">
      <c r="E52" s="2" t="s">
        <v>12</v>
      </c>
      <c r="F52" s="7">
        <v>25</v>
      </c>
      <c r="G52" s="82">
        <v>59.629497840000013</v>
      </c>
      <c r="H52" s="5">
        <v>420</v>
      </c>
      <c r="I52" s="5">
        <v>118.8</v>
      </c>
      <c r="J52" s="5">
        <v>36</v>
      </c>
      <c r="K52" s="8">
        <v>191.96</v>
      </c>
      <c r="L52" s="8">
        <v>8.4700000000000006</v>
      </c>
      <c r="M52" s="9">
        <f t="shared" si="3"/>
        <v>21.834657996108369</v>
      </c>
      <c r="N52" s="33">
        <v>260.8</v>
      </c>
      <c r="O52" s="5"/>
      <c r="P52" s="5"/>
      <c r="Q52" s="4"/>
      <c r="R52" s="4"/>
      <c r="S52" s="4"/>
      <c r="T52" s="4"/>
      <c r="U52" s="4"/>
      <c r="V52" s="4"/>
      <c r="W52" s="4"/>
      <c r="X52" s="4"/>
      <c r="Y52" s="4"/>
      <c r="Z52" s="4"/>
      <c r="AA52" s="4"/>
      <c r="AB52" s="4"/>
      <c r="AC52" s="4"/>
      <c r="AD52" s="4"/>
      <c r="AE52" s="4"/>
      <c r="AF52" s="4"/>
      <c r="AG52" s="4"/>
      <c r="AH52" s="6"/>
      <c r="AN52" s="82"/>
      <c r="AO52" s="82"/>
      <c r="AP52" s="54"/>
    </row>
    <row r="53" spans="5:42" x14ac:dyDescent="0.25">
      <c r="E53" s="2" t="s">
        <v>13</v>
      </c>
      <c r="F53" s="7">
        <v>25</v>
      </c>
      <c r="G53" s="82">
        <v>75.686529600000014</v>
      </c>
      <c r="H53" s="5">
        <v>420</v>
      </c>
      <c r="I53" s="5">
        <v>118.8</v>
      </c>
      <c r="J53" s="5">
        <v>36</v>
      </c>
      <c r="K53" s="8">
        <v>191.96</v>
      </c>
      <c r="L53" s="8">
        <v>8.4700000000000006</v>
      </c>
      <c r="M53" s="9">
        <f t="shared" si="3"/>
        <v>21.754545080077833</v>
      </c>
      <c r="N53" s="33">
        <v>239</v>
      </c>
      <c r="O53" s="5"/>
      <c r="P53" s="5"/>
      <c r="Q53" s="4"/>
      <c r="R53" s="4"/>
      <c r="S53" s="4"/>
      <c r="T53" s="4"/>
      <c r="U53" s="4"/>
      <c r="V53" s="4"/>
      <c r="W53" s="4"/>
      <c r="X53" s="4"/>
      <c r="Y53" s="4"/>
      <c r="Z53" s="4"/>
      <c r="AA53" s="4"/>
      <c r="AB53" s="4"/>
      <c r="AC53" s="4"/>
      <c r="AD53" s="4"/>
      <c r="AE53" s="4"/>
      <c r="AF53" s="4"/>
      <c r="AG53" s="4"/>
      <c r="AH53" s="6"/>
      <c r="AN53" s="82"/>
      <c r="AO53" s="82"/>
      <c r="AP53" s="54"/>
    </row>
    <row r="54" spans="5:42" x14ac:dyDescent="0.25">
      <c r="E54" s="2" t="s">
        <v>24</v>
      </c>
      <c r="F54" s="7">
        <v>25</v>
      </c>
      <c r="G54" s="82">
        <v>63.072108000000007</v>
      </c>
      <c r="H54" s="5">
        <v>420</v>
      </c>
      <c r="I54" s="5">
        <v>118.8</v>
      </c>
      <c r="J54" s="5">
        <v>36</v>
      </c>
      <c r="K54" s="8">
        <v>191.96</v>
      </c>
      <c r="L54" s="8">
        <v>8.4700000000000006</v>
      </c>
      <c r="M54" s="9">
        <f t="shared" si="3"/>
        <v>21.817481873970962</v>
      </c>
      <c r="N54" s="33">
        <v>200.1</v>
      </c>
      <c r="O54" s="5"/>
      <c r="P54" s="5"/>
      <c r="Q54" s="4"/>
      <c r="R54" s="4"/>
      <c r="S54" s="4"/>
      <c r="T54" s="4"/>
      <c r="U54" s="4"/>
      <c r="V54" s="4"/>
      <c r="W54" s="4"/>
      <c r="X54" s="4"/>
      <c r="Y54" s="4"/>
      <c r="Z54" s="4"/>
      <c r="AA54" s="4"/>
      <c r="AB54" s="4"/>
      <c r="AC54" s="4"/>
      <c r="AD54" s="4"/>
      <c r="AE54" s="4"/>
      <c r="AF54" s="4"/>
      <c r="AG54" s="4"/>
      <c r="AH54" s="6"/>
    </row>
    <row r="55" spans="5:42" x14ac:dyDescent="0.25">
      <c r="E55" s="2" t="s">
        <v>19</v>
      </c>
      <c r="F55" s="7">
        <v>25</v>
      </c>
      <c r="G55" s="82">
        <v>47.015076240000013</v>
      </c>
      <c r="H55" s="5">
        <v>420</v>
      </c>
      <c r="I55" s="5">
        <v>118.8</v>
      </c>
      <c r="J55" s="5">
        <v>36</v>
      </c>
      <c r="K55" s="8">
        <v>191.96</v>
      </c>
      <c r="L55" s="8">
        <v>8.4700000000000006</v>
      </c>
      <c r="M55" s="9">
        <f t="shared" si="3"/>
        <v>21.897594790001499</v>
      </c>
      <c r="N55" s="33">
        <v>223.7</v>
      </c>
      <c r="O55" s="5"/>
      <c r="P55" s="5"/>
      <c r="Q55" s="4"/>
      <c r="R55" s="4"/>
      <c r="S55" s="4"/>
      <c r="T55" s="4"/>
      <c r="U55" s="4"/>
      <c r="V55" s="4"/>
      <c r="W55" s="4"/>
      <c r="X55" s="4"/>
      <c r="Y55" s="4"/>
      <c r="Z55" s="4"/>
      <c r="AA55" s="4"/>
      <c r="AB55" s="4"/>
      <c r="AC55" s="4"/>
      <c r="AD55" s="4"/>
      <c r="AE55" s="4"/>
      <c r="AF55" s="4"/>
      <c r="AG55" s="4"/>
      <c r="AH55" s="6"/>
    </row>
    <row r="56" spans="5:42" x14ac:dyDescent="0.25">
      <c r="E56" s="2" t="s">
        <v>20</v>
      </c>
      <c r="F56" s="7">
        <v>25</v>
      </c>
      <c r="G56" s="82">
        <v>41.282239680000004</v>
      </c>
      <c r="H56" s="5">
        <v>420</v>
      </c>
      <c r="I56" s="5">
        <v>118.8</v>
      </c>
      <c r="J56" s="5">
        <v>36</v>
      </c>
      <c r="K56" s="8">
        <v>191.96</v>
      </c>
      <c r="L56" s="8">
        <v>8.4700000000000006</v>
      </c>
      <c r="M56" s="9">
        <f t="shared" si="3"/>
        <v>21.926197477024399</v>
      </c>
      <c r="N56" s="33">
        <v>199.8</v>
      </c>
      <c r="O56" s="5"/>
      <c r="P56" s="5"/>
      <c r="Q56" s="4"/>
      <c r="R56" s="4"/>
      <c r="S56" s="4"/>
      <c r="T56" s="4"/>
      <c r="U56" s="4"/>
      <c r="V56" s="4"/>
      <c r="W56" s="4"/>
      <c r="X56" s="4"/>
      <c r="Y56" s="4"/>
      <c r="Z56" s="4"/>
      <c r="AA56" s="4"/>
      <c r="AB56" s="4"/>
      <c r="AC56" s="4"/>
      <c r="AD56" s="4"/>
      <c r="AE56" s="4"/>
      <c r="AF56" s="4"/>
      <c r="AG56" s="4"/>
      <c r="AH56" s="6"/>
    </row>
    <row r="57" spans="5:42" x14ac:dyDescent="0.25">
      <c r="E57" s="2" t="s">
        <v>21</v>
      </c>
      <c r="F57" s="7">
        <v>25</v>
      </c>
      <c r="G57" s="82">
        <v>37.843264800000007</v>
      </c>
      <c r="H57" s="5">
        <v>420</v>
      </c>
      <c r="I57" s="5">
        <v>118.8</v>
      </c>
      <c r="J57" s="5">
        <v>36</v>
      </c>
      <c r="K57" s="8">
        <v>191.96</v>
      </c>
      <c r="L57" s="8">
        <v>8.4700000000000006</v>
      </c>
      <c r="M57" s="9">
        <f t="shared" si="3"/>
        <v>21.943355461757221</v>
      </c>
      <c r="N57" s="33">
        <v>224.5</v>
      </c>
      <c r="O57" s="5"/>
      <c r="P57" s="5"/>
      <c r="Q57" s="4"/>
      <c r="R57" s="4"/>
      <c r="S57" s="4"/>
      <c r="T57" s="4"/>
      <c r="U57" s="4"/>
      <c r="V57" s="4"/>
      <c r="W57" s="4"/>
      <c r="X57" s="4"/>
      <c r="Y57" s="4"/>
      <c r="Z57" s="4"/>
      <c r="AA57" s="4"/>
      <c r="AB57" s="4"/>
      <c r="AC57" s="4"/>
      <c r="AD57" s="4"/>
      <c r="AE57" s="4"/>
      <c r="AF57" s="4"/>
      <c r="AG57" s="4"/>
      <c r="AH57" s="6"/>
      <c r="AN57" s="82"/>
      <c r="AO57" s="82"/>
      <c r="AP57" s="54"/>
    </row>
    <row r="58" spans="5:42" x14ac:dyDescent="0.25">
      <c r="E58" s="2" t="s">
        <v>22</v>
      </c>
      <c r="F58" s="7">
        <v>25</v>
      </c>
      <c r="G58" s="82">
        <v>34.400654639999999</v>
      </c>
      <c r="H58" s="5">
        <v>420</v>
      </c>
      <c r="I58" s="5">
        <v>118.8</v>
      </c>
      <c r="J58" s="5">
        <v>36</v>
      </c>
      <c r="K58" s="8">
        <v>191.96</v>
      </c>
      <c r="L58" s="8">
        <v>8.4700000000000006</v>
      </c>
      <c r="M58" s="9">
        <f t="shared" si="3"/>
        <v>21.960531583894628</v>
      </c>
      <c r="N58" s="33">
        <v>230.3</v>
      </c>
      <c r="O58" s="5"/>
      <c r="P58" s="5"/>
      <c r="Q58" s="4"/>
      <c r="R58" s="4"/>
      <c r="S58" s="4"/>
      <c r="T58" s="4"/>
      <c r="U58" s="4"/>
      <c r="V58" s="4"/>
      <c r="W58" s="4"/>
      <c r="X58" s="4"/>
      <c r="Y58" s="4"/>
      <c r="Z58" s="4"/>
      <c r="AA58" s="4"/>
      <c r="AB58" s="4"/>
      <c r="AC58" s="4"/>
      <c r="AD58" s="4"/>
      <c r="AE58" s="4"/>
      <c r="AF58" s="4"/>
      <c r="AG58" s="4"/>
      <c r="AH58" s="6"/>
      <c r="AN58" s="82"/>
      <c r="AO58" s="82"/>
      <c r="AP58" s="54"/>
    </row>
    <row r="59" spans="5:42" x14ac:dyDescent="0.25">
      <c r="E59" s="2" t="s">
        <v>23</v>
      </c>
      <c r="F59" s="7">
        <v>25</v>
      </c>
      <c r="G59" s="82">
        <v>33.255541440000002</v>
      </c>
      <c r="H59" s="5">
        <v>420</v>
      </c>
      <c r="I59" s="5">
        <v>118.8</v>
      </c>
      <c r="J59" s="5">
        <v>36</v>
      </c>
      <c r="K59" s="8">
        <v>191.96</v>
      </c>
      <c r="L59" s="8">
        <v>8.4700000000000006</v>
      </c>
      <c r="M59" s="9">
        <f t="shared" si="3"/>
        <v>21.966244866337377</v>
      </c>
      <c r="N59" s="33">
        <v>193.2</v>
      </c>
      <c r="O59" s="5"/>
      <c r="P59" s="5"/>
      <c r="Q59" s="4"/>
      <c r="R59" s="4"/>
      <c r="S59" s="4"/>
      <c r="T59" s="4"/>
      <c r="U59" s="4"/>
      <c r="V59" s="4"/>
      <c r="W59" s="4"/>
      <c r="X59" s="4"/>
      <c r="Y59" s="4"/>
      <c r="Z59" s="4"/>
      <c r="AA59" s="4"/>
      <c r="AB59" s="4"/>
      <c r="AC59" s="4"/>
      <c r="AD59" s="4"/>
      <c r="AE59" s="4"/>
      <c r="AF59" s="4"/>
      <c r="AG59" s="4"/>
      <c r="AH59" s="6"/>
      <c r="AN59" s="53"/>
      <c r="AO59" s="54"/>
      <c r="AP59" s="54"/>
    </row>
    <row r="60" spans="5:42" ht="13" x14ac:dyDescent="0.3">
      <c r="E60" s="10" t="s">
        <v>3</v>
      </c>
      <c r="F60" s="397"/>
      <c r="G60" s="398"/>
      <c r="H60" s="398"/>
      <c r="I60" s="398"/>
      <c r="J60" s="398"/>
      <c r="K60" s="398"/>
      <c r="L60" s="398"/>
      <c r="M60" s="399"/>
      <c r="N60" s="13">
        <f>SUM(N48:N59)</f>
        <v>2654.8</v>
      </c>
      <c r="O60" s="28">
        <f>16/24</f>
        <v>0.66666666666666663</v>
      </c>
      <c r="P60" s="28">
        <f>24/1000</f>
        <v>2.4E-2</v>
      </c>
      <c r="Q60" s="8">
        <v>3.59</v>
      </c>
      <c r="R60" s="8">
        <v>12.96</v>
      </c>
      <c r="S60" s="5">
        <f>N60</f>
        <v>2654.8</v>
      </c>
      <c r="T60" s="15">
        <f>O60*P60*Q60*R60*S60</f>
        <v>1976.2925875200003</v>
      </c>
      <c r="U60" s="5">
        <v>3.94</v>
      </c>
      <c r="V60" s="5">
        <v>12.96</v>
      </c>
      <c r="W60" s="5">
        <f>N60</f>
        <v>2654.8</v>
      </c>
      <c r="X60" s="16">
        <f>(O60*P60*U60*V60*W60)</f>
        <v>2168.9673523200004</v>
      </c>
      <c r="Y60" s="8">
        <v>2.13</v>
      </c>
      <c r="Z60" s="8">
        <v>41.904000000000003</v>
      </c>
      <c r="AA60" s="8">
        <f>N60</f>
        <v>2654.8</v>
      </c>
      <c r="AB60" s="17">
        <f>(O60*P60*Y60*Z60*AA60)</f>
        <v>3791.2888719360003</v>
      </c>
      <c r="AC60" s="96">
        <f>L358</f>
        <v>3606.2518787133331</v>
      </c>
      <c r="AD60" s="18">
        <f>T60+X60+AB60+AC60</f>
        <v>11542.800690489334</v>
      </c>
      <c r="AE60" s="4">
        <f>AD60*0.1</f>
        <v>1154.2800690489335</v>
      </c>
      <c r="AF60" s="19">
        <f>AD60+AE60</f>
        <v>12697.080759538267</v>
      </c>
      <c r="AG60" s="8">
        <v>3.1</v>
      </c>
      <c r="AH60" s="20">
        <f>ROUND((AF60/AG60),0)</f>
        <v>4096</v>
      </c>
    </row>
    <row r="61" spans="5:42" ht="13" x14ac:dyDescent="0.3">
      <c r="E61" s="385" t="s">
        <v>215</v>
      </c>
      <c r="F61" s="386"/>
      <c r="G61" s="386"/>
      <c r="H61" s="386"/>
      <c r="I61" s="386"/>
      <c r="J61" s="386"/>
      <c r="K61" s="386"/>
      <c r="L61" s="386"/>
      <c r="M61" s="386"/>
      <c r="N61" s="386"/>
      <c r="O61" s="386"/>
      <c r="P61" s="386"/>
      <c r="Q61" s="386"/>
      <c r="R61" s="386"/>
      <c r="S61" s="386"/>
      <c r="T61" s="386"/>
      <c r="U61" s="386"/>
      <c r="V61" s="386"/>
      <c r="W61" s="386"/>
      <c r="X61" s="386"/>
      <c r="Y61" s="386"/>
      <c r="Z61" s="386"/>
      <c r="AA61" s="386"/>
      <c r="AB61" s="386"/>
      <c r="AC61" s="386"/>
      <c r="AD61" s="386"/>
      <c r="AE61" s="386"/>
      <c r="AF61" s="386"/>
      <c r="AG61" s="387"/>
      <c r="AH61" s="150">
        <f>AH60</f>
        <v>4096</v>
      </c>
      <c r="AI61" s="39">
        <v>25</v>
      </c>
    </row>
    <row r="62" spans="5:42" ht="15.5" x14ac:dyDescent="0.4">
      <c r="E62" s="2" t="s">
        <v>0</v>
      </c>
      <c r="F62" s="3"/>
      <c r="G62" s="4"/>
      <c r="H62" s="4"/>
      <c r="I62" s="4"/>
      <c r="J62" s="4"/>
      <c r="K62" s="4"/>
      <c r="L62" s="4"/>
      <c r="M62" s="3"/>
      <c r="N62" s="5" t="s">
        <v>2</v>
      </c>
      <c r="O62" s="5"/>
      <c r="P62" s="5"/>
      <c r="Q62" s="4"/>
      <c r="R62" s="4"/>
      <c r="S62" s="4"/>
      <c r="T62" s="4"/>
      <c r="U62" s="4"/>
      <c r="V62" s="4"/>
      <c r="W62" s="4"/>
      <c r="X62" s="4"/>
      <c r="Y62" s="4"/>
      <c r="Z62" s="4"/>
      <c r="AA62" s="4"/>
      <c r="AB62" s="4"/>
      <c r="AC62" s="4"/>
      <c r="AD62" s="4"/>
      <c r="AE62" s="4"/>
      <c r="AF62" s="4"/>
      <c r="AG62" s="4"/>
      <c r="AH62" s="6"/>
      <c r="AI62" s="39"/>
    </row>
    <row r="63" spans="5:42" x14ac:dyDescent="0.25">
      <c r="E63" s="2" t="s">
        <v>15</v>
      </c>
      <c r="F63" s="7">
        <v>26</v>
      </c>
      <c r="G63" s="82">
        <v>34.400654639999999</v>
      </c>
      <c r="H63" s="5">
        <v>420</v>
      </c>
      <c r="I63" s="5">
        <v>118.8</v>
      </c>
      <c r="J63" s="5">
        <v>36</v>
      </c>
      <c r="K63" s="8">
        <v>191.96</v>
      </c>
      <c r="L63" s="8">
        <v>8.4700000000000006</v>
      </c>
      <c r="M63" s="9">
        <f>(F63-((G63+H63+I63+J63)/(K63+L63)))</f>
        <v>22.960531583894628</v>
      </c>
      <c r="N63" s="33">
        <v>123.2</v>
      </c>
      <c r="O63" s="5"/>
      <c r="P63" s="5"/>
      <c r="Q63" s="4"/>
      <c r="R63" s="4"/>
      <c r="S63" s="4"/>
      <c r="T63" s="4"/>
      <c r="U63" s="4"/>
      <c r="V63" s="4"/>
      <c r="W63" s="4"/>
      <c r="X63" s="4"/>
      <c r="Y63" s="4"/>
      <c r="Z63" s="4"/>
      <c r="AA63" s="4"/>
      <c r="AB63" s="4"/>
      <c r="AC63" s="4"/>
      <c r="AD63" s="4"/>
      <c r="AE63" s="4"/>
      <c r="AF63" s="4"/>
      <c r="AG63" s="4"/>
      <c r="AH63" s="6"/>
    </row>
    <row r="64" spans="5:42" x14ac:dyDescent="0.25">
      <c r="E64" s="2" t="s">
        <v>16</v>
      </c>
      <c r="F64" s="7">
        <v>26</v>
      </c>
      <c r="G64" s="82">
        <v>37.843264800000007</v>
      </c>
      <c r="H64" s="5">
        <v>420</v>
      </c>
      <c r="I64" s="5">
        <v>118.8</v>
      </c>
      <c r="J64" s="5">
        <v>36</v>
      </c>
      <c r="K64" s="8">
        <v>191.96</v>
      </c>
      <c r="L64" s="8">
        <v>8.4700000000000006</v>
      </c>
      <c r="M64" s="9">
        <f t="shared" ref="M64:M74" si="4">(F64-((G64+H64+I64+J64)/(K64+L64)))</f>
        <v>22.943355461757221</v>
      </c>
      <c r="N64" s="33">
        <v>170.8</v>
      </c>
      <c r="O64" s="5"/>
      <c r="P64" s="5"/>
      <c r="Q64" s="4"/>
      <c r="R64" s="4"/>
      <c r="S64" s="4"/>
      <c r="T64" s="4"/>
      <c r="U64" s="4"/>
      <c r="V64" s="4"/>
      <c r="W64" s="4"/>
      <c r="X64" s="4"/>
      <c r="Y64" s="4"/>
      <c r="Z64" s="4"/>
      <c r="AA64" s="4"/>
      <c r="AB64" s="4"/>
      <c r="AC64" s="4"/>
      <c r="AD64" s="4"/>
      <c r="AE64" s="4"/>
      <c r="AF64" s="4"/>
      <c r="AG64" s="4"/>
      <c r="AH64" s="6"/>
    </row>
    <row r="65" spans="5:42" x14ac:dyDescent="0.25">
      <c r="E65" s="2" t="s">
        <v>17</v>
      </c>
      <c r="F65" s="7">
        <v>26</v>
      </c>
      <c r="G65" s="82">
        <v>40.137126480000006</v>
      </c>
      <c r="H65" s="5">
        <v>420</v>
      </c>
      <c r="I65" s="5">
        <v>118.8</v>
      </c>
      <c r="J65" s="5">
        <v>36</v>
      </c>
      <c r="K65" s="8">
        <v>191.96</v>
      </c>
      <c r="L65" s="8">
        <v>8.4700000000000006</v>
      </c>
      <c r="M65" s="9">
        <f t="shared" si="4"/>
        <v>22.931910759467147</v>
      </c>
      <c r="N65" s="33">
        <v>227.7</v>
      </c>
      <c r="O65" s="5"/>
      <c r="P65" s="5"/>
      <c r="Q65" s="4"/>
      <c r="R65" s="4"/>
      <c r="S65" s="4"/>
      <c r="T65" s="4"/>
      <c r="U65" s="4"/>
      <c r="V65" s="4"/>
      <c r="W65" s="4"/>
      <c r="X65" s="4"/>
      <c r="Y65" s="4"/>
      <c r="Z65" s="4"/>
      <c r="AA65" s="4"/>
      <c r="AB65" s="4"/>
      <c r="AC65" s="4"/>
      <c r="AD65" s="4"/>
      <c r="AE65" s="4"/>
      <c r="AF65" s="4"/>
      <c r="AG65" s="4"/>
      <c r="AH65" s="6"/>
    </row>
    <row r="66" spans="5:42" x14ac:dyDescent="0.25">
      <c r="E66" s="2" t="s">
        <v>18</v>
      </c>
      <c r="F66" s="7">
        <v>26</v>
      </c>
      <c r="G66" s="82">
        <v>44.721214560000007</v>
      </c>
      <c r="H66" s="5">
        <v>420</v>
      </c>
      <c r="I66" s="5">
        <v>118.8</v>
      </c>
      <c r="J66" s="5">
        <v>36</v>
      </c>
      <c r="K66" s="8">
        <v>191.96</v>
      </c>
      <c r="L66" s="8">
        <v>8.4700000000000006</v>
      </c>
      <c r="M66" s="9">
        <f t="shared" si="4"/>
        <v>22.909039492291573</v>
      </c>
      <c r="N66" s="33">
        <v>244.1</v>
      </c>
      <c r="O66" s="5"/>
      <c r="P66" s="5"/>
      <c r="Q66" s="4"/>
      <c r="R66" s="4"/>
      <c r="S66" s="4"/>
      <c r="T66" s="4"/>
      <c r="U66" s="4"/>
      <c r="V66" s="4"/>
      <c r="W66" s="4"/>
      <c r="X66" s="4"/>
      <c r="Y66" s="4"/>
      <c r="Z66" s="4"/>
      <c r="AA66" s="4"/>
      <c r="AB66" s="4"/>
      <c r="AC66" s="4"/>
      <c r="AD66" s="4"/>
      <c r="AE66" s="4"/>
      <c r="AF66" s="4"/>
      <c r="AG66" s="4"/>
      <c r="AH66" s="6"/>
    </row>
    <row r="67" spans="5:42" x14ac:dyDescent="0.25">
      <c r="E67" s="2" t="s">
        <v>12</v>
      </c>
      <c r="F67" s="7">
        <v>26</v>
      </c>
      <c r="G67" s="82">
        <v>59.629497840000013</v>
      </c>
      <c r="H67" s="5">
        <v>420</v>
      </c>
      <c r="I67" s="5">
        <v>118.8</v>
      </c>
      <c r="J67" s="5">
        <v>36</v>
      </c>
      <c r="K67" s="8">
        <v>191.96</v>
      </c>
      <c r="L67" s="8">
        <v>8.4700000000000006</v>
      </c>
      <c r="M67" s="9">
        <f t="shared" si="4"/>
        <v>22.834657996108369</v>
      </c>
      <c r="N67" s="33">
        <v>229.8</v>
      </c>
      <c r="O67" s="5"/>
      <c r="P67" s="5"/>
      <c r="Q67" s="4"/>
      <c r="R67" s="4"/>
      <c r="S67" s="4"/>
      <c r="T67" s="4"/>
      <c r="U67" s="4"/>
      <c r="V67" s="4"/>
      <c r="W67" s="4"/>
      <c r="X67" s="4"/>
      <c r="Y67" s="4"/>
      <c r="Z67" s="4"/>
      <c r="AA67" s="4"/>
      <c r="AB67" s="4"/>
      <c r="AC67" s="4"/>
      <c r="AD67" s="4"/>
      <c r="AE67" s="4"/>
      <c r="AF67" s="4"/>
      <c r="AG67" s="4"/>
      <c r="AH67" s="6"/>
    </row>
    <row r="68" spans="5:42" x14ac:dyDescent="0.25">
      <c r="E68" s="2" t="s">
        <v>13</v>
      </c>
      <c r="F68" s="7">
        <v>26</v>
      </c>
      <c r="G68" s="82">
        <v>75.686529600000014</v>
      </c>
      <c r="H68" s="5">
        <v>420</v>
      </c>
      <c r="I68" s="5">
        <v>118.8</v>
      </c>
      <c r="J68" s="5">
        <v>36</v>
      </c>
      <c r="K68" s="8">
        <v>191.96</v>
      </c>
      <c r="L68" s="8">
        <v>8.4700000000000006</v>
      </c>
      <c r="M68" s="9">
        <f t="shared" si="4"/>
        <v>22.754545080077833</v>
      </c>
      <c r="N68" s="33">
        <v>209</v>
      </c>
      <c r="O68" s="5"/>
      <c r="P68" s="5"/>
      <c r="Q68" s="4"/>
      <c r="R68" s="4"/>
      <c r="S68" s="4"/>
      <c r="T68" s="4"/>
      <c r="U68" s="4"/>
      <c r="V68" s="4"/>
      <c r="W68" s="4"/>
      <c r="X68" s="4"/>
      <c r="Y68" s="4"/>
      <c r="Z68" s="4"/>
      <c r="AA68" s="4"/>
      <c r="AB68" s="4"/>
      <c r="AC68" s="4"/>
      <c r="AD68" s="4"/>
      <c r="AE68" s="4"/>
      <c r="AF68" s="4"/>
      <c r="AG68" s="4"/>
      <c r="AH68" s="6"/>
    </row>
    <row r="69" spans="5:42" x14ac:dyDescent="0.25">
      <c r="E69" s="2" t="s">
        <v>1</v>
      </c>
      <c r="F69" s="7">
        <v>26</v>
      </c>
      <c r="G69" s="82">
        <v>63.072108000000007</v>
      </c>
      <c r="H69" s="5">
        <v>420</v>
      </c>
      <c r="I69" s="5">
        <v>118.8</v>
      </c>
      <c r="J69" s="5">
        <v>36</v>
      </c>
      <c r="K69" s="8">
        <v>191.96</v>
      </c>
      <c r="L69" s="8">
        <v>8.4700000000000006</v>
      </c>
      <c r="M69" s="9">
        <f t="shared" si="4"/>
        <v>22.817481873970962</v>
      </c>
      <c r="N69" s="33">
        <v>169.1</v>
      </c>
      <c r="O69" s="27"/>
      <c r="P69" s="27"/>
      <c r="Q69" s="4"/>
      <c r="R69" s="4"/>
      <c r="S69" s="4"/>
      <c r="T69" s="4"/>
      <c r="U69" s="4"/>
      <c r="V69" s="4"/>
      <c r="W69" s="4"/>
      <c r="X69" s="4"/>
      <c r="Y69" s="4"/>
      <c r="Z69" s="4"/>
      <c r="AA69" s="4"/>
      <c r="AB69" s="4"/>
      <c r="AC69" s="4"/>
      <c r="AD69" s="4"/>
      <c r="AE69" s="4"/>
      <c r="AF69" s="4"/>
      <c r="AG69" s="4"/>
      <c r="AH69" s="6"/>
    </row>
    <row r="70" spans="5:42" x14ac:dyDescent="0.25">
      <c r="E70" s="2" t="s">
        <v>19</v>
      </c>
      <c r="F70" s="7">
        <v>26</v>
      </c>
      <c r="G70" s="82">
        <v>47.015076240000013</v>
      </c>
      <c r="H70" s="5">
        <v>420</v>
      </c>
      <c r="I70" s="5">
        <v>118.8</v>
      </c>
      <c r="J70" s="5">
        <v>36</v>
      </c>
      <c r="K70" s="8">
        <v>191.96</v>
      </c>
      <c r="L70" s="8">
        <v>8.4700000000000006</v>
      </c>
      <c r="M70" s="9">
        <f t="shared" si="4"/>
        <v>22.897594790001499</v>
      </c>
      <c r="N70" s="33">
        <v>192.7</v>
      </c>
      <c r="O70" s="27"/>
      <c r="P70" s="27"/>
      <c r="Q70" s="4"/>
      <c r="R70" s="4"/>
      <c r="S70" s="4"/>
      <c r="T70" s="4"/>
      <c r="U70" s="4"/>
      <c r="V70" s="4"/>
      <c r="W70" s="4"/>
      <c r="X70" s="4"/>
      <c r="Y70" s="4"/>
      <c r="Z70" s="4"/>
      <c r="AA70" s="4"/>
      <c r="AB70" s="4"/>
      <c r="AC70" s="4"/>
      <c r="AD70" s="4"/>
      <c r="AE70" s="4"/>
      <c r="AF70" s="4"/>
      <c r="AG70" s="4"/>
      <c r="AH70" s="6"/>
    </row>
    <row r="71" spans="5:42" x14ac:dyDescent="0.25">
      <c r="E71" s="2" t="s">
        <v>20</v>
      </c>
      <c r="F71" s="7">
        <v>26</v>
      </c>
      <c r="G71" s="82">
        <v>41.282239680000004</v>
      </c>
      <c r="H71" s="5">
        <v>420</v>
      </c>
      <c r="I71" s="5">
        <v>118.8</v>
      </c>
      <c r="J71" s="5">
        <v>36</v>
      </c>
      <c r="K71" s="8">
        <v>191.96</v>
      </c>
      <c r="L71" s="8">
        <v>8.4700000000000006</v>
      </c>
      <c r="M71" s="9">
        <f t="shared" si="4"/>
        <v>22.926197477024399</v>
      </c>
      <c r="N71" s="33">
        <v>169.8</v>
      </c>
      <c r="O71" s="27"/>
      <c r="P71" s="27"/>
      <c r="Q71" s="4"/>
      <c r="R71" s="4"/>
      <c r="S71" s="4"/>
      <c r="T71" s="4"/>
      <c r="U71" s="4"/>
      <c r="V71" s="4"/>
      <c r="W71" s="4"/>
      <c r="X71" s="4"/>
      <c r="Y71" s="4"/>
      <c r="Z71" s="4"/>
      <c r="AA71" s="4"/>
      <c r="AB71" s="4"/>
      <c r="AC71" s="4"/>
      <c r="AD71" s="4"/>
      <c r="AE71" s="4"/>
      <c r="AF71" s="4"/>
      <c r="AG71" s="4"/>
      <c r="AH71" s="6"/>
    </row>
    <row r="72" spans="5:42" x14ac:dyDescent="0.25">
      <c r="E72" s="2" t="s">
        <v>21</v>
      </c>
      <c r="F72" s="7">
        <v>26</v>
      </c>
      <c r="G72" s="82">
        <v>37.843264800000007</v>
      </c>
      <c r="H72" s="5">
        <v>420</v>
      </c>
      <c r="I72" s="5">
        <v>118.8</v>
      </c>
      <c r="J72" s="5">
        <v>36</v>
      </c>
      <c r="K72" s="8">
        <v>191.96</v>
      </c>
      <c r="L72" s="8">
        <v>8.4700000000000006</v>
      </c>
      <c r="M72" s="9">
        <f t="shared" si="4"/>
        <v>22.943355461757221</v>
      </c>
      <c r="N72" s="33">
        <v>193.5</v>
      </c>
      <c r="O72" s="27"/>
      <c r="P72" s="27"/>
      <c r="Q72" s="4"/>
      <c r="R72" s="4"/>
      <c r="S72" s="4"/>
      <c r="T72" s="4"/>
      <c r="U72" s="4"/>
      <c r="V72" s="4"/>
      <c r="W72" s="4"/>
      <c r="X72" s="4"/>
      <c r="Y72" s="4"/>
      <c r="Z72" s="4"/>
      <c r="AA72" s="4"/>
      <c r="AB72" s="4"/>
      <c r="AC72" s="4"/>
      <c r="AD72" s="4"/>
      <c r="AE72" s="4"/>
      <c r="AF72" s="4"/>
      <c r="AG72" s="4"/>
      <c r="AH72" s="6"/>
    </row>
    <row r="73" spans="5:42" x14ac:dyDescent="0.25">
      <c r="E73" s="2" t="s">
        <v>22</v>
      </c>
      <c r="F73" s="7">
        <v>26</v>
      </c>
      <c r="G73" s="82">
        <v>34.400654639999999</v>
      </c>
      <c r="H73" s="5">
        <v>420</v>
      </c>
      <c r="I73" s="5">
        <v>118.8</v>
      </c>
      <c r="J73" s="5">
        <v>36</v>
      </c>
      <c r="K73" s="8">
        <v>191.96</v>
      </c>
      <c r="L73" s="8">
        <v>8.4700000000000006</v>
      </c>
      <c r="M73" s="9">
        <f t="shared" si="4"/>
        <v>22.960531583894628</v>
      </c>
      <c r="N73" s="33">
        <v>200.3</v>
      </c>
      <c r="O73" s="27"/>
      <c r="P73" s="27"/>
      <c r="Q73" s="4"/>
      <c r="R73" s="4"/>
      <c r="S73" s="4"/>
      <c r="T73" s="4"/>
      <c r="U73" s="4"/>
      <c r="V73" s="4"/>
      <c r="W73" s="4"/>
      <c r="X73" s="4"/>
      <c r="Y73" s="4"/>
      <c r="Z73" s="4"/>
      <c r="AA73" s="4"/>
      <c r="AB73" s="4"/>
      <c r="AC73" s="4"/>
      <c r="AD73" s="4"/>
      <c r="AE73" s="4"/>
      <c r="AF73" s="4"/>
      <c r="AG73" s="4"/>
      <c r="AH73" s="6"/>
    </row>
    <row r="74" spans="5:42" x14ac:dyDescent="0.25">
      <c r="E74" s="2" t="s">
        <v>23</v>
      </c>
      <c r="F74" s="7">
        <v>26</v>
      </c>
      <c r="G74" s="82">
        <v>33.255541440000002</v>
      </c>
      <c r="H74" s="5">
        <v>420</v>
      </c>
      <c r="I74" s="5">
        <v>118.8</v>
      </c>
      <c r="J74" s="5">
        <v>36</v>
      </c>
      <c r="K74" s="8">
        <v>191.96</v>
      </c>
      <c r="L74" s="8">
        <v>8.4700000000000006</v>
      </c>
      <c r="M74" s="9">
        <f t="shared" si="4"/>
        <v>22.966244866337377</v>
      </c>
      <c r="N74" s="33">
        <v>162.69999999999999</v>
      </c>
      <c r="O74" s="27"/>
      <c r="P74" s="27"/>
      <c r="Q74" s="4"/>
      <c r="R74" s="4"/>
      <c r="S74" s="4"/>
      <c r="T74" s="4"/>
      <c r="U74" s="4"/>
      <c r="V74" s="4"/>
      <c r="W74" s="4"/>
      <c r="X74" s="4"/>
      <c r="Y74" s="4"/>
      <c r="Z74" s="4"/>
      <c r="AA74" s="4"/>
      <c r="AB74" s="4"/>
      <c r="AC74" s="4"/>
      <c r="AD74" s="4"/>
      <c r="AE74" s="4"/>
      <c r="AF74" s="4"/>
      <c r="AG74" s="4"/>
      <c r="AH74" s="6"/>
    </row>
    <row r="75" spans="5:42" ht="13.5" thickBot="1" x14ac:dyDescent="0.35">
      <c r="E75" s="10" t="s">
        <v>3</v>
      </c>
      <c r="F75" s="397"/>
      <c r="G75" s="398"/>
      <c r="H75" s="398"/>
      <c r="I75" s="398"/>
      <c r="J75" s="398"/>
      <c r="K75" s="398"/>
      <c r="L75" s="398"/>
      <c r="M75" s="399"/>
      <c r="N75" s="13">
        <f>SUM(N63:N74)</f>
        <v>2292.6999999999998</v>
      </c>
      <c r="O75" s="28">
        <f>16/24</f>
        <v>0.66666666666666663</v>
      </c>
      <c r="P75" s="28">
        <f>24/1000</f>
        <v>2.4E-2</v>
      </c>
      <c r="Q75" s="8">
        <v>3.59</v>
      </c>
      <c r="R75" s="8">
        <v>12.96</v>
      </c>
      <c r="S75" s="5">
        <f>N75</f>
        <v>2292.6999999999998</v>
      </c>
      <c r="T75" s="15">
        <f>O75*P75*Q75*R75*S75</f>
        <v>1706.7372364799999</v>
      </c>
      <c r="U75" s="5">
        <v>3.94</v>
      </c>
      <c r="V75" s="5">
        <v>12.96</v>
      </c>
      <c r="W75" s="5">
        <f>N75</f>
        <v>2292.6999999999998</v>
      </c>
      <c r="X75" s="16">
        <f>(O75*P75*U75*V75*W75)</f>
        <v>1873.1322316799999</v>
      </c>
      <c r="Y75" s="8">
        <v>2.13</v>
      </c>
      <c r="Z75" s="8">
        <v>41.904000000000003</v>
      </c>
      <c r="AA75" s="8">
        <f>N75</f>
        <v>2292.6999999999998</v>
      </c>
      <c r="AB75" s="17">
        <f>(O75*P75*Y75*Z75*AA75)</f>
        <v>3274.1780912639997</v>
      </c>
      <c r="AC75" s="96">
        <f>L359</f>
        <v>3528.8312573842195</v>
      </c>
      <c r="AD75" s="18">
        <f>T75+X75+AB75+AC75</f>
        <v>10382.878816808219</v>
      </c>
      <c r="AE75" s="4">
        <f>AD75*0.1</f>
        <v>1038.287881680822</v>
      </c>
      <c r="AF75" s="19">
        <f>AD75+AE75</f>
        <v>11421.166698489042</v>
      </c>
      <c r="AG75" s="8">
        <v>3.1</v>
      </c>
      <c r="AH75" s="20">
        <f>ROUND((AF75/AG75),0)</f>
        <v>3684</v>
      </c>
      <c r="AI75" s="39">
        <v>26</v>
      </c>
      <c r="AJ75" s="122"/>
      <c r="AK75" s="122"/>
    </row>
    <row r="76" spans="5:42" ht="15.5" x14ac:dyDescent="0.4">
      <c r="E76" s="2" t="s">
        <v>0</v>
      </c>
      <c r="F76" s="3"/>
      <c r="G76" s="4"/>
      <c r="H76" s="4"/>
      <c r="I76" s="4"/>
      <c r="J76" s="4"/>
      <c r="K76" s="4"/>
      <c r="L76" s="4"/>
      <c r="M76" s="3"/>
      <c r="N76" s="5" t="s">
        <v>2</v>
      </c>
      <c r="O76" s="5"/>
      <c r="P76" s="5"/>
      <c r="Q76" s="4"/>
      <c r="R76" s="4"/>
      <c r="S76" s="4"/>
      <c r="T76" s="4"/>
      <c r="U76" s="4"/>
      <c r="V76" s="4"/>
      <c r="W76" s="4"/>
      <c r="X76" s="4"/>
      <c r="Y76" s="4"/>
      <c r="Z76" s="4"/>
      <c r="AA76" s="4"/>
      <c r="AB76" s="4"/>
      <c r="AC76" s="4"/>
      <c r="AD76" s="4"/>
      <c r="AE76" s="4"/>
      <c r="AF76" s="4"/>
      <c r="AG76" s="4"/>
      <c r="AH76" s="6"/>
      <c r="AM76" s="141"/>
      <c r="AN76" s="295" t="s">
        <v>204</v>
      </c>
      <c r="AO76" s="296"/>
      <c r="AP76" s="297"/>
    </row>
    <row r="77" spans="5:42" x14ac:dyDescent="0.25">
      <c r="E77" s="2" t="s">
        <v>15</v>
      </c>
      <c r="F77" s="7">
        <v>27</v>
      </c>
      <c r="G77" s="82">
        <v>34.400654639999999</v>
      </c>
      <c r="H77" s="5">
        <v>420</v>
      </c>
      <c r="I77" s="5">
        <v>118.8</v>
      </c>
      <c r="J77" s="5">
        <v>36</v>
      </c>
      <c r="K77" s="8">
        <v>191.96</v>
      </c>
      <c r="L77" s="8">
        <v>8.4700000000000006</v>
      </c>
      <c r="M77" s="9">
        <f>(F77-((G77+H77+I77+J77)/(K77+L77)))</f>
        <v>23.960531583894628</v>
      </c>
      <c r="N77" s="33">
        <v>97.4</v>
      </c>
      <c r="O77" s="5"/>
      <c r="P77" s="5"/>
      <c r="Q77" s="4"/>
      <c r="R77" s="4"/>
      <c r="S77" s="4"/>
      <c r="T77" s="4"/>
      <c r="U77" s="4"/>
      <c r="V77" s="4"/>
      <c r="W77" s="4"/>
      <c r="X77" s="4"/>
      <c r="Y77" s="4"/>
      <c r="Z77" s="4"/>
      <c r="AA77" s="4"/>
      <c r="AB77" s="4"/>
      <c r="AC77" s="4"/>
      <c r="AD77" s="4"/>
      <c r="AE77" s="4"/>
      <c r="AF77" s="4"/>
      <c r="AG77" s="4"/>
      <c r="AH77" s="6"/>
      <c r="AN77" s="76" t="s">
        <v>195</v>
      </c>
      <c r="AO77" s="27" t="s">
        <v>196</v>
      </c>
      <c r="AP77" s="86" t="s">
        <v>201</v>
      </c>
    </row>
    <row r="78" spans="5:42" x14ac:dyDescent="0.25">
      <c r="E78" s="2" t="s">
        <v>16</v>
      </c>
      <c r="F78" s="7">
        <v>27</v>
      </c>
      <c r="G78" s="82">
        <v>37.843264800000007</v>
      </c>
      <c r="H78" s="5">
        <v>420</v>
      </c>
      <c r="I78" s="5">
        <v>118.8</v>
      </c>
      <c r="J78" s="5">
        <v>36</v>
      </c>
      <c r="K78" s="8">
        <v>191.96</v>
      </c>
      <c r="L78" s="8">
        <v>8.4700000000000006</v>
      </c>
      <c r="M78" s="9">
        <f t="shared" ref="M78:M88" si="5">(F78-((G78+H78+I78+J78)/(K78+L78)))</f>
        <v>23.943355461757221</v>
      </c>
      <c r="N78" s="33">
        <v>143</v>
      </c>
      <c r="O78" s="5"/>
      <c r="P78" s="5"/>
      <c r="Q78" s="4"/>
      <c r="R78" s="4"/>
      <c r="S78" s="4"/>
      <c r="T78" s="4"/>
      <c r="U78" s="4"/>
      <c r="V78" s="4"/>
      <c r="W78" s="4"/>
      <c r="X78" s="4"/>
      <c r="Y78" s="4"/>
      <c r="Z78" s="4"/>
      <c r="AA78" s="4"/>
      <c r="AB78" s="4"/>
      <c r="AC78" s="4"/>
      <c r="AD78" s="4"/>
      <c r="AE78" s="4"/>
      <c r="AF78" s="4"/>
      <c r="AG78" s="4"/>
      <c r="AH78" s="6"/>
      <c r="AN78" s="76">
        <v>26</v>
      </c>
      <c r="AO78" s="27">
        <v>10</v>
      </c>
      <c r="AP78" s="35">
        <f>AO78/AO81</f>
        <v>0.5</v>
      </c>
    </row>
    <row r="79" spans="5:42" x14ac:dyDescent="0.25">
      <c r="E79" s="2" t="s">
        <v>17</v>
      </c>
      <c r="F79" s="7">
        <v>27</v>
      </c>
      <c r="G79" s="82">
        <v>40.137126480000006</v>
      </c>
      <c r="H79" s="5">
        <v>420</v>
      </c>
      <c r="I79" s="5">
        <v>118.8</v>
      </c>
      <c r="J79" s="5">
        <v>36</v>
      </c>
      <c r="K79" s="8">
        <v>191.96</v>
      </c>
      <c r="L79" s="8">
        <v>8.4700000000000006</v>
      </c>
      <c r="M79" s="9">
        <f t="shared" si="5"/>
        <v>23.931910759467147</v>
      </c>
      <c r="N79" s="33">
        <v>196.7</v>
      </c>
      <c r="O79" s="5"/>
      <c r="P79" s="5"/>
      <c r="Q79" s="4"/>
      <c r="R79" s="4"/>
      <c r="S79" s="4"/>
      <c r="T79" s="4"/>
      <c r="U79" s="4"/>
      <c r="V79" s="4"/>
      <c r="W79" s="4"/>
      <c r="X79" s="4"/>
      <c r="Y79" s="4"/>
      <c r="Z79" s="4"/>
      <c r="AA79" s="4"/>
      <c r="AB79" s="4"/>
      <c r="AC79" s="4"/>
      <c r="AD79" s="4"/>
      <c r="AE79" s="4"/>
      <c r="AF79" s="4"/>
      <c r="AG79" s="4"/>
      <c r="AH79" s="6"/>
      <c r="AN79" s="76">
        <v>27</v>
      </c>
      <c r="AO79" s="27">
        <v>8</v>
      </c>
      <c r="AP79" s="35">
        <f>AO79/AO81</f>
        <v>0.4</v>
      </c>
    </row>
    <row r="80" spans="5:42" x14ac:dyDescent="0.25">
      <c r="E80" s="2" t="s">
        <v>18</v>
      </c>
      <c r="F80" s="7">
        <v>27</v>
      </c>
      <c r="G80" s="82">
        <v>44.721214560000007</v>
      </c>
      <c r="H80" s="5">
        <v>420</v>
      </c>
      <c r="I80" s="5">
        <v>118.8</v>
      </c>
      <c r="J80" s="5">
        <v>36</v>
      </c>
      <c r="K80" s="8">
        <v>191.96</v>
      </c>
      <c r="L80" s="8">
        <v>8.4700000000000006</v>
      </c>
      <c r="M80" s="9">
        <f t="shared" si="5"/>
        <v>23.909039492291573</v>
      </c>
      <c r="N80" s="33">
        <v>214.1</v>
      </c>
      <c r="O80" s="5"/>
      <c r="P80" s="5"/>
      <c r="Q80" s="4"/>
      <c r="R80" s="4"/>
      <c r="S80" s="4"/>
      <c r="T80" s="4"/>
      <c r="U80" s="4"/>
      <c r="V80" s="4"/>
      <c r="W80" s="4"/>
      <c r="X80" s="4"/>
      <c r="Y80" s="4"/>
      <c r="Z80" s="4"/>
      <c r="AA80" s="4"/>
      <c r="AB80" s="4"/>
      <c r="AC80" s="4"/>
      <c r="AD80" s="4"/>
      <c r="AE80" s="4"/>
      <c r="AF80" s="4"/>
      <c r="AG80" s="4"/>
      <c r="AH80" s="6"/>
      <c r="AN80" s="76">
        <v>28</v>
      </c>
      <c r="AO80" s="27">
        <v>2</v>
      </c>
      <c r="AP80" s="35">
        <f>AO80/AO81</f>
        <v>0.1</v>
      </c>
    </row>
    <row r="81" spans="5:42" ht="13" thickBot="1" x14ac:dyDescent="0.3">
      <c r="E81" s="2" t="s">
        <v>12</v>
      </c>
      <c r="F81" s="7">
        <v>27</v>
      </c>
      <c r="G81" s="82">
        <v>59.629497840000013</v>
      </c>
      <c r="H81" s="5">
        <v>420</v>
      </c>
      <c r="I81" s="5">
        <v>118.8</v>
      </c>
      <c r="J81" s="5">
        <v>36</v>
      </c>
      <c r="K81" s="8">
        <v>191.96</v>
      </c>
      <c r="L81" s="8">
        <v>8.4700000000000006</v>
      </c>
      <c r="M81" s="9">
        <f t="shared" si="5"/>
        <v>23.834657996108369</v>
      </c>
      <c r="N81" s="33">
        <v>198.8</v>
      </c>
      <c r="O81" s="5"/>
      <c r="P81" s="5"/>
      <c r="Q81" s="4"/>
      <c r="R81" s="4"/>
      <c r="S81" s="4"/>
      <c r="T81" s="4"/>
      <c r="U81" s="4"/>
      <c r="V81" s="4"/>
      <c r="W81" s="4"/>
      <c r="X81" s="4"/>
      <c r="Y81" s="4"/>
      <c r="Z81" s="4"/>
      <c r="AA81" s="4"/>
      <c r="AB81" s="4"/>
      <c r="AC81" s="4"/>
      <c r="AD81" s="4"/>
      <c r="AE81" s="4"/>
      <c r="AF81" s="4"/>
      <c r="AG81" s="4"/>
      <c r="AH81" s="6"/>
      <c r="AN81" s="142"/>
      <c r="AO81" s="89">
        <f>AO78+AO79+AO80</f>
        <v>20</v>
      </c>
      <c r="AP81" s="140"/>
    </row>
    <row r="82" spans="5:42" x14ac:dyDescent="0.25">
      <c r="E82" s="2" t="s">
        <v>13</v>
      </c>
      <c r="F82" s="7">
        <v>27</v>
      </c>
      <c r="G82" s="82">
        <v>75.686529600000014</v>
      </c>
      <c r="H82" s="5">
        <v>420</v>
      </c>
      <c r="I82" s="5">
        <v>118.8</v>
      </c>
      <c r="J82" s="5">
        <v>36</v>
      </c>
      <c r="K82" s="8">
        <v>191.96</v>
      </c>
      <c r="L82" s="8">
        <v>8.4700000000000006</v>
      </c>
      <c r="M82" s="9">
        <f t="shared" si="5"/>
        <v>23.754545080077833</v>
      </c>
      <c r="N82" s="33">
        <v>179</v>
      </c>
      <c r="O82" s="5"/>
      <c r="P82" s="5"/>
      <c r="Q82" s="4"/>
      <c r="R82" s="4"/>
      <c r="S82" s="4"/>
      <c r="T82" s="4"/>
      <c r="U82" s="4"/>
      <c r="V82" s="4"/>
      <c r="W82" s="4"/>
      <c r="X82" s="4"/>
      <c r="Y82" s="4"/>
      <c r="Z82" s="4"/>
      <c r="AA82" s="4"/>
      <c r="AB82" s="4"/>
      <c r="AC82" s="4"/>
      <c r="AD82" s="4"/>
      <c r="AE82" s="4"/>
      <c r="AF82" s="4"/>
      <c r="AG82" s="4"/>
      <c r="AH82" s="6"/>
      <c r="AN82" s="143"/>
      <c r="AO82" s="143"/>
      <c r="AP82" s="144"/>
    </row>
    <row r="83" spans="5:42" x14ac:dyDescent="0.25">
      <c r="E83" s="2" t="s">
        <v>24</v>
      </c>
      <c r="F83" s="7">
        <v>27</v>
      </c>
      <c r="G83" s="82">
        <v>63.072108000000007</v>
      </c>
      <c r="H83" s="5">
        <v>420</v>
      </c>
      <c r="I83" s="5">
        <v>118.8</v>
      </c>
      <c r="J83" s="5">
        <v>36</v>
      </c>
      <c r="K83" s="8">
        <v>191.96</v>
      </c>
      <c r="L83" s="8">
        <v>8.4700000000000006</v>
      </c>
      <c r="M83" s="9">
        <f t="shared" si="5"/>
        <v>23.817481873970962</v>
      </c>
      <c r="N83" s="33">
        <v>138.30000000000001</v>
      </c>
      <c r="O83" s="27"/>
      <c r="P83" s="27"/>
      <c r="Q83" s="4"/>
      <c r="R83" s="4"/>
      <c r="S83" s="4"/>
      <c r="T83" s="4"/>
      <c r="U83" s="4"/>
      <c r="V83" s="4"/>
      <c r="W83" s="4"/>
      <c r="X83" s="4"/>
      <c r="Y83" s="4"/>
      <c r="Z83" s="4"/>
      <c r="AA83" s="4"/>
      <c r="AB83" s="4"/>
      <c r="AC83" s="4"/>
      <c r="AD83" s="4"/>
      <c r="AE83" s="4"/>
      <c r="AF83" s="4"/>
      <c r="AG83" s="4"/>
      <c r="AH83" s="6"/>
      <c r="AN83" s="82"/>
      <c r="AO83" s="82"/>
      <c r="AP83" s="54"/>
    </row>
    <row r="84" spans="5:42" x14ac:dyDescent="0.25">
      <c r="E84" s="2" t="s">
        <v>19</v>
      </c>
      <c r="F84" s="7">
        <v>27</v>
      </c>
      <c r="G84" s="82">
        <v>47.015076240000013</v>
      </c>
      <c r="H84" s="5">
        <v>420</v>
      </c>
      <c r="I84" s="5">
        <v>118.8</v>
      </c>
      <c r="J84" s="5">
        <v>36</v>
      </c>
      <c r="K84" s="8">
        <v>191.96</v>
      </c>
      <c r="L84" s="8">
        <v>8.4700000000000006</v>
      </c>
      <c r="M84" s="9">
        <f t="shared" si="5"/>
        <v>23.897594790001499</v>
      </c>
      <c r="N84" s="33">
        <v>162</v>
      </c>
      <c r="O84" s="27"/>
      <c r="P84" s="27"/>
      <c r="Q84" s="4"/>
      <c r="R84" s="4"/>
      <c r="S84" s="4"/>
      <c r="T84" s="4"/>
      <c r="U84" s="4"/>
      <c r="V84" s="4"/>
      <c r="W84" s="4"/>
      <c r="X84" s="4"/>
      <c r="Y84" s="4"/>
      <c r="Z84" s="4"/>
      <c r="AA84" s="4"/>
      <c r="AB84" s="4"/>
      <c r="AC84" s="4"/>
      <c r="AD84" s="4"/>
      <c r="AE84" s="4"/>
      <c r="AF84" s="4"/>
      <c r="AG84" s="4"/>
      <c r="AH84" s="6"/>
      <c r="AN84" s="82"/>
      <c r="AO84" s="82"/>
      <c r="AP84" s="54"/>
    </row>
    <row r="85" spans="5:42" x14ac:dyDescent="0.25">
      <c r="E85" s="2" t="s">
        <v>20</v>
      </c>
      <c r="F85" s="7">
        <v>27</v>
      </c>
      <c r="G85" s="82">
        <v>41.282239680000004</v>
      </c>
      <c r="H85" s="5">
        <v>420</v>
      </c>
      <c r="I85" s="5">
        <v>118.8</v>
      </c>
      <c r="J85" s="5">
        <v>36</v>
      </c>
      <c r="K85" s="8">
        <v>191.96</v>
      </c>
      <c r="L85" s="8">
        <v>8.4700000000000006</v>
      </c>
      <c r="M85" s="9">
        <f t="shared" si="5"/>
        <v>23.926197477024399</v>
      </c>
      <c r="N85" s="33">
        <v>139.80000000000001</v>
      </c>
      <c r="O85" s="27"/>
      <c r="P85" s="27"/>
      <c r="Q85" s="4"/>
      <c r="R85" s="4"/>
      <c r="S85" s="4"/>
      <c r="T85" s="4"/>
      <c r="U85" s="4"/>
      <c r="V85" s="4"/>
      <c r="W85" s="4"/>
      <c r="X85" s="4"/>
      <c r="Y85" s="4"/>
      <c r="Z85" s="4"/>
      <c r="AA85" s="4"/>
      <c r="AB85" s="4"/>
      <c r="AC85" s="4"/>
      <c r="AD85" s="4"/>
      <c r="AE85" s="4"/>
      <c r="AF85" s="4"/>
      <c r="AG85" s="4"/>
      <c r="AH85" s="6"/>
      <c r="AN85" s="82"/>
      <c r="AO85" s="82"/>
      <c r="AP85" s="54"/>
    </row>
    <row r="86" spans="5:42" x14ac:dyDescent="0.25">
      <c r="E86" s="2" t="s">
        <v>21</v>
      </c>
      <c r="F86" s="7">
        <v>27</v>
      </c>
      <c r="G86" s="82">
        <v>37.843264800000007</v>
      </c>
      <c r="H86" s="5">
        <v>420</v>
      </c>
      <c r="I86" s="5">
        <v>118.8</v>
      </c>
      <c r="J86" s="5">
        <v>36</v>
      </c>
      <c r="K86" s="8">
        <v>191.96</v>
      </c>
      <c r="L86" s="8">
        <v>8.4700000000000006</v>
      </c>
      <c r="M86" s="9">
        <f t="shared" si="5"/>
        <v>23.943355461757221</v>
      </c>
      <c r="N86" s="33">
        <v>162.5</v>
      </c>
      <c r="O86" s="27"/>
      <c r="P86" s="27"/>
      <c r="Q86" s="4"/>
      <c r="R86" s="4"/>
      <c r="S86" s="4"/>
      <c r="T86" s="4"/>
      <c r="U86" s="4"/>
      <c r="V86" s="4"/>
      <c r="W86" s="4"/>
      <c r="X86" s="4"/>
      <c r="Y86" s="4"/>
      <c r="Z86" s="4"/>
      <c r="AA86" s="4"/>
      <c r="AB86" s="4"/>
      <c r="AC86" s="4"/>
      <c r="AD86" s="4"/>
      <c r="AE86" s="4"/>
      <c r="AF86" s="4"/>
      <c r="AG86" s="4"/>
      <c r="AH86" s="6"/>
    </row>
    <row r="87" spans="5:42" x14ac:dyDescent="0.25">
      <c r="E87" s="2" t="s">
        <v>22</v>
      </c>
      <c r="F87" s="7">
        <v>27</v>
      </c>
      <c r="G87" s="82">
        <v>34.400654639999999</v>
      </c>
      <c r="H87" s="5">
        <v>420</v>
      </c>
      <c r="I87" s="5">
        <v>118.8</v>
      </c>
      <c r="J87" s="5">
        <v>36</v>
      </c>
      <c r="K87" s="8">
        <v>191.96</v>
      </c>
      <c r="L87" s="8">
        <v>8.4700000000000006</v>
      </c>
      <c r="M87" s="9">
        <f t="shared" si="5"/>
        <v>23.960531583894628</v>
      </c>
      <c r="N87" s="33">
        <v>170.4</v>
      </c>
      <c r="O87" s="27"/>
      <c r="P87" s="27"/>
      <c r="Q87" s="4"/>
      <c r="R87" s="4"/>
      <c r="S87" s="4"/>
      <c r="T87" s="4"/>
      <c r="U87" s="4"/>
      <c r="V87" s="4"/>
      <c r="W87" s="4"/>
      <c r="X87" s="4"/>
      <c r="Y87" s="4"/>
      <c r="Z87" s="4"/>
      <c r="AA87" s="4"/>
      <c r="AB87" s="4"/>
      <c r="AC87" s="4"/>
      <c r="AD87" s="4"/>
      <c r="AE87" s="4"/>
      <c r="AF87" s="4"/>
      <c r="AG87" s="4"/>
      <c r="AH87" s="6"/>
    </row>
    <row r="88" spans="5:42" x14ac:dyDescent="0.25">
      <c r="E88" s="2" t="s">
        <v>23</v>
      </c>
      <c r="F88" s="7">
        <v>27</v>
      </c>
      <c r="G88" s="82">
        <v>33.255541440000002</v>
      </c>
      <c r="H88" s="5">
        <v>420</v>
      </c>
      <c r="I88" s="5">
        <v>118.8</v>
      </c>
      <c r="J88" s="5">
        <v>36</v>
      </c>
      <c r="K88" s="8">
        <v>191.96</v>
      </c>
      <c r="L88" s="8">
        <v>8.4700000000000006</v>
      </c>
      <c r="M88" s="9">
        <f t="shared" si="5"/>
        <v>23.966244866337377</v>
      </c>
      <c r="N88" s="33">
        <v>133.1</v>
      </c>
      <c r="O88" s="27"/>
      <c r="P88" s="27"/>
      <c r="Q88" s="4"/>
      <c r="R88" s="4"/>
      <c r="S88" s="4"/>
      <c r="T88" s="4"/>
      <c r="U88" s="4"/>
      <c r="V88" s="4"/>
      <c r="W88" s="4"/>
      <c r="X88" s="4"/>
      <c r="Y88" s="4"/>
      <c r="Z88" s="4"/>
      <c r="AA88" s="4"/>
      <c r="AB88" s="4"/>
      <c r="AC88" s="4"/>
      <c r="AD88" s="4"/>
      <c r="AE88" s="4"/>
      <c r="AF88" s="4"/>
      <c r="AG88" s="4"/>
      <c r="AH88" s="6"/>
    </row>
    <row r="89" spans="5:42" ht="13" x14ac:dyDescent="0.3">
      <c r="E89" s="10" t="s">
        <v>3</v>
      </c>
      <c r="F89" s="397"/>
      <c r="G89" s="398"/>
      <c r="H89" s="398"/>
      <c r="I89" s="398"/>
      <c r="J89" s="398"/>
      <c r="K89" s="398"/>
      <c r="L89" s="398"/>
      <c r="M89" s="399"/>
      <c r="N89" s="28">
        <f>SUM(N77:N88)</f>
        <v>1935.1</v>
      </c>
      <c r="O89" s="28">
        <f>16/24</f>
        <v>0.66666666666666663</v>
      </c>
      <c r="P89" s="28">
        <f>24/1000</f>
        <v>2.4E-2</v>
      </c>
      <c r="Q89" s="8">
        <v>3.59</v>
      </c>
      <c r="R89" s="8">
        <v>12.96</v>
      </c>
      <c r="S89" s="5">
        <f>N89</f>
        <v>1935.1</v>
      </c>
      <c r="T89" s="15">
        <f>O89*P89*Q89*R89*S89</f>
        <v>1440.53178624</v>
      </c>
      <c r="U89" s="5">
        <v>3.94</v>
      </c>
      <c r="V89" s="5">
        <v>12.96</v>
      </c>
      <c r="W89" s="5">
        <f>N89</f>
        <v>1935.1</v>
      </c>
      <c r="X89" s="16">
        <f>(O89*P89*U89*V89*W89)</f>
        <v>1580.9736038399999</v>
      </c>
      <c r="Y89" s="8">
        <v>2.13</v>
      </c>
      <c r="Z89" s="8">
        <v>41.904000000000003</v>
      </c>
      <c r="AA89" s="8">
        <f>N89</f>
        <v>1935.1</v>
      </c>
      <c r="AB89" s="17">
        <f>(O89*P89*Y89*Z89*AA89)</f>
        <v>2763.4937080320001</v>
      </c>
      <c r="AC89" s="96">
        <f>L360</f>
        <v>3451.4106360551059</v>
      </c>
      <c r="AD89" s="18">
        <f>T89+X89+AB89+AC89</f>
        <v>9236.4097341671059</v>
      </c>
      <c r="AE89" s="4">
        <f>AD89*0.1</f>
        <v>923.64097341671061</v>
      </c>
      <c r="AF89" s="19">
        <f>AD89+AE89</f>
        <v>10160.050707583816</v>
      </c>
      <c r="AG89" s="8">
        <v>3.1</v>
      </c>
      <c r="AH89" s="20">
        <f>ROUND((AF89/AG89),0)</f>
        <v>3277</v>
      </c>
      <c r="AI89" s="39">
        <v>27</v>
      </c>
      <c r="AN89" s="53"/>
      <c r="AO89" s="54"/>
      <c r="AP89" s="54"/>
    </row>
    <row r="90" spans="5:42" ht="15.5" x14ac:dyDescent="0.4">
      <c r="E90" s="2" t="s">
        <v>0</v>
      </c>
      <c r="F90" s="3"/>
      <c r="G90" s="4"/>
      <c r="H90" s="4"/>
      <c r="I90" s="4"/>
      <c r="J90" s="4"/>
      <c r="K90" s="4"/>
      <c r="L90" s="4"/>
      <c r="M90" s="3"/>
      <c r="N90" s="5" t="s">
        <v>2</v>
      </c>
      <c r="O90" s="5"/>
      <c r="P90" s="5"/>
      <c r="Q90" s="4"/>
      <c r="R90" s="4"/>
      <c r="S90" s="4"/>
      <c r="T90" s="4"/>
      <c r="U90" s="4"/>
      <c r="V90" s="4"/>
      <c r="W90" s="4"/>
      <c r="X90" s="4"/>
      <c r="Y90" s="4"/>
      <c r="Z90" s="4"/>
      <c r="AA90" s="4"/>
      <c r="AB90" s="4"/>
      <c r="AC90" s="4"/>
      <c r="AD90" s="4"/>
      <c r="AE90" s="4"/>
      <c r="AF90" s="4"/>
      <c r="AG90" s="4"/>
      <c r="AH90" s="6"/>
    </row>
    <row r="91" spans="5:42" x14ac:dyDescent="0.25">
      <c r="E91" s="2" t="s">
        <v>15</v>
      </c>
      <c r="F91" s="7">
        <v>28</v>
      </c>
      <c r="G91" s="82">
        <v>34.400654639999999</v>
      </c>
      <c r="H91" s="5">
        <v>420</v>
      </c>
      <c r="I91" s="5">
        <v>118.8</v>
      </c>
      <c r="J91" s="5">
        <v>36</v>
      </c>
      <c r="K91" s="8">
        <v>191.96</v>
      </c>
      <c r="L91" s="8">
        <v>8.4700000000000006</v>
      </c>
      <c r="M91" s="9">
        <f>(F91-((G91+H91+I91+J91)/(K91+L91)))</f>
        <v>24.960531583894628</v>
      </c>
      <c r="N91" s="33">
        <v>75.3</v>
      </c>
      <c r="O91" s="5"/>
      <c r="P91" s="5"/>
      <c r="Q91" s="4"/>
      <c r="R91" s="4"/>
      <c r="S91" s="4"/>
      <c r="T91" s="4"/>
      <c r="U91" s="4"/>
      <c r="V91" s="4"/>
      <c r="W91" s="4"/>
      <c r="X91" s="4"/>
      <c r="Y91" s="4"/>
      <c r="Z91" s="4"/>
      <c r="AA91" s="4"/>
      <c r="AB91" s="4"/>
      <c r="AC91" s="4"/>
      <c r="AD91" s="4"/>
      <c r="AE91" s="4"/>
      <c r="AF91" s="4"/>
      <c r="AG91" s="4"/>
      <c r="AH91" s="6"/>
    </row>
    <row r="92" spans="5:42" x14ac:dyDescent="0.25">
      <c r="E92" s="2" t="s">
        <v>16</v>
      </c>
      <c r="F92" s="7">
        <v>28</v>
      </c>
      <c r="G92" s="82">
        <v>37.843264800000007</v>
      </c>
      <c r="H92" s="5">
        <v>420</v>
      </c>
      <c r="I92" s="5">
        <v>118.8</v>
      </c>
      <c r="J92" s="5">
        <v>36</v>
      </c>
      <c r="K92" s="8">
        <v>191.96</v>
      </c>
      <c r="L92" s="8">
        <v>8.4700000000000006</v>
      </c>
      <c r="M92" s="9">
        <f t="shared" ref="M92:M102" si="6">(F92-((G92+H92+I92+J92)/(K92+L92)))</f>
        <v>24.943355461757221</v>
      </c>
      <c r="N92" s="33">
        <v>116.1</v>
      </c>
      <c r="O92" s="5"/>
      <c r="P92" s="5"/>
      <c r="Q92" s="4"/>
      <c r="R92" s="4"/>
      <c r="S92" s="4"/>
      <c r="T92" s="4"/>
      <c r="U92" s="4"/>
      <c r="V92" s="4"/>
      <c r="W92" s="4"/>
      <c r="X92" s="4"/>
      <c r="Y92" s="4"/>
      <c r="Z92" s="4"/>
      <c r="AA92" s="4"/>
      <c r="AB92" s="4"/>
      <c r="AC92" s="4"/>
      <c r="AD92" s="4"/>
      <c r="AE92" s="4"/>
      <c r="AF92" s="4"/>
      <c r="AG92" s="4"/>
      <c r="AH92" s="6"/>
    </row>
    <row r="93" spans="5:42" x14ac:dyDescent="0.25">
      <c r="E93" s="2" t="s">
        <v>17</v>
      </c>
      <c r="F93" s="7">
        <v>28</v>
      </c>
      <c r="G93" s="82">
        <v>40.137126480000006</v>
      </c>
      <c r="H93" s="5">
        <v>420</v>
      </c>
      <c r="I93" s="5">
        <v>118.8</v>
      </c>
      <c r="J93" s="5">
        <v>36</v>
      </c>
      <c r="K93" s="8">
        <v>191.96</v>
      </c>
      <c r="L93" s="8">
        <v>8.4700000000000006</v>
      </c>
      <c r="M93" s="9">
        <f t="shared" si="6"/>
        <v>24.931910759467147</v>
      </c>
      <c r="N93" s="33">
        <v>165.8</v>
      </c>
      <c r="O93" s="5"/>
      <c r="P93" s="5"/>
      <c r="Q93" s="4"/>
      <c r="R93" s="4"/>
      <c r="S93" s="4"/>
      <c r="T93" s="4"/>
      <c r="U93" s="4"/>
      <c r="V93" s="4"/>
      <c r="W93" s="4"/>
      <c r="X93" s="4"/>
      <c r="Y93" s="4"/>
      <c r="Z93" s="4"/>
      <c r="AA93" s="4"/>
      <c r="AB93" s="4"/>
      <c r="AC93" s="4"/>
      <c r="AD93" s="4"/>
      <c r="AE93" s="4"/>
      <c r="AF93" s="4"/>
      <c r="AG93" s="4"/>
      <c r="AH93" s="6"/>
    </row>
    <row r="94" spans="5:42" x14ac:dyDescent="0.25">
      <c r="E94" s="2" t="s">
        <v>18</v>
      </c>
      <c r="F94" s="7">
        <v>28</v>
      </c>
      <c r="G94" s="82">
        <v>44.721214560000007</v>
      </c>
      <c r="H94" s="5">
        <v>420</v>
      </c>
      <c r="I94" s="5">
        <v>118.8</v>
      </c>
      <c r="J94" s="5">
        <v>36</v>
      </c>
      <c r="K94" s="8">
        <v>191.96</v>
      </c>
      <c r="L94" s="8">
        <v>8.4700000000000006</v>
      </c>
      <c r="M94" s="9">
        <f t="shared" si="6"/>
        <v>24.909039492291573</v>
      </c>
      <c r="N94" s="33">
        <v>184.1</v>
      </c>
      <c r="O94" s="5"/>
      <c r="P94" s="5"/>
      <c r="Q94" s="4"/>
      <c r="R94" s="4"/>
      <c r="S94" s="4"/>
      <c r="T94" s="4"/>
      <c r="U94" s="4"/>
      <c r="V94" s="4"/>
      <c r="W94" s="4"/>
      <c r="X94" s="4"/>
      <c r="Y94" s="4"/>
      <c r="Z94" s="4"/>
      <c r="AA94" s="4"/>
      <c r="AB94" s="4"/>
      <c r="AC94" s="4"/>
      <c r="AD94" s="4"/>
      <c r="AE94" s="4"/>
      <c r="AF94" s="4"/>
      <c r="AG94" s="4"/>
      <c r="AH94" s="6"/>
    </row>
    <row r="95" spans="5:42" x14ac:dyDescent="0.25">
      <c r="E95" s="2" t="s">
        <v>12</v>
      </c>
      <c r="F95" s="7">
        <v>28</v>
      </c>
      <c r="G95" s="82">
        <v>59.629497840000013</v>
      </c>
      <c r="H95" s="5">
        <v>420</v>
      </c>
      <c r="I95" s="5">
        <v>118.8</v>
      </c>
      <c r="J95" s="5">
        <v>36</v>
      </c>
      <c r="K95" s="8">
        <v>191.96</v>
      </c>
      <c r="L95" s="8">
        <v>8.4700000000000006</v>
      </c>
      <c r="M95" s="9">
        <f t="shared" si="6"/>
        <v>24.834657996108369</v>
      </c>
      <c r="N95" s="33">
        <v>168.2</v>
      </c>
      <c r="O95" s="5"/>
      <c r="P95" s="5"/>
      <c r="Q95" s="4"/>
      <c r="R95" s="4"/>
      <c r="S95" s="4"/>
      <c r="T95" s="4"/>
      <c r="U95" s="4"/>
      <c r="V95" s="4"/>
      <c r="W95" s="4"/>
      <c r="X95" s="4"/>
      <c r="Y95" s="4"/>
      <c r="Z95" s="4"/>
      <c r="AA95" s="4"/>
      <c r="AB95" s="4"/>
      <c r="AC95" s="4"/>
      <c r="AD95" s="4"/>
      <c r="AE95" s="4"/>
      <c r="AF95" s="4"/>
      <c r="AG95" s="4"/>
      <c r="AH95" s="6"/>
    </row>
    <row r="96" spans="5:42" x14ac:dyDescent="0.25">
      <c r="E96" s="2" t="s">
        <v>13</v>
      </c>
      <c r="F96" s="7">
        <v>28</v>
      </c>
      <c r="G96" s="82">
        <v>75.686529600000014</v>
      </c>
      <c r="H96" s="5">
        <v>420</v>
      </c>
      <c r="I96" s="5">
        <v>118.8</v>
      </c>
      <c r="J96" s="5">
        <v>36</v>
      </c>
      <c r="K96" s="8">
        <v>191.96</v>
      </c>
      <c r="L96" s="8">
        <v>8.4700000000000006</v>
      </c>
      <c r="M96" s="9">
        <f t="shared" si="6"/>
        <v>24.754545080077833</v>
      </c>
      <c r="N96" s="33">
        <v>149</v>
      </c>
      <c r="O96" s="5"/>
      <c r="P96" s="5"/>
      <c r="Q96" s="4"/>
      <c r="R96" s="4"/>
      <c r="S96" s="4"/>
      <c r="T96" s="4"/>
      <c r="U96" s="4"/>
      <c r="V96" s="4"/>
      <c r="W96" s="4"/>
      <c r="X96" s="4"/>
      <c r="Y96" s="4"/>
      <c r="Z96" s="4"/>
      <c r="AA96" s="4"/>
      <c r="AB96" s="4"/>
      <c r="AC96" s="4"/>
      <c r="AD96" s="4"/>
      <c r="AE96" s="4"/>
      <c r="AF96" s="4"/>
      <c r="AG96" s="4"/>
      <c r="AH96" s="6"/>
    </row>
    <row r="97" spans="2:39" x14ac:dyDescent="0.25">
      <c r="E97" s="2" t="s">
        <v>24</v>
      </c>
      <c r="F97" s="7">
        <v>28</v>
      </c>
      <c r="G97" s="82">
        <v>63.072108000000007</v>
      </c>
      <c r="H97" s="5">
        <v>420</v>
      </c>
      <c r="I97" s="5">
        <v>118.8</v>
      </c>
      <c r="J97" s="5">
        <v>36</v>
      </c>
      <c r="K97" s="8">
        <v>191.96</v>
      </c>
      <c r="L97" s="8">
        <v>8.4700000000000006</v>
      </c>
      <c r="M97" s="9">
        <f t="shared" si="6"/>
        <v>24.817481873970962</v>
      </c>
      <c r="N97" s="33">
        <v>107.8</v>
      </c>
      <c r="O97" s="18"/>
      <c r="P97" s="18"/>
      <c r="Q97" s="4"/>
      <c r="R97" s="4"/>
      <c r="S97" s="4"/>
      <c r="T97" s="4"/>
      <c r="U97" s="4"/>
      <c r="V97" s="4"/>
      <c r="W97" s="4"/>
      <c r="X97" s="4"/>
      <c r="Y97" s="4"/>
      <c r="Z97" s="4"/>
      <c r="AA97" s="4"/>
      <c r="AB97" s="4"/>
      <c r="AC97" s="4"/>
      <c r="AD97" s="4"/>
      <c r="AE97" s="4"/>
      <c r="AF97" s="4"/>
      <c r="AG97" s="4"/>
      <c r="AH97" s="6"/>
    </row>
    <row r="98" spans="2:39" x14ac:dyDescent="0.25">
      <c r="E98" s="2" t="s">
        <v>19</v>
      </c>
      <c r="F98" s="7">
        <v>28</v>
      </c>
      <c r="G98" s="82">
        <v>47.015076240000013</v>
      </c>
      <c r="H98" s="5">
        <v>420</v>
      </c>
      <c r="I98" s="5">
        <v>118.8</v>
      </c>
      <c r="J98" s="5">
        <v>36</v>
      </c>
      <c r="K98" s="8">
        <v>191.96</v>
      </c>
      <c r="L98" s="8">
        <v>8.4700000000000006</v>
      </c>
      <c r="M98" s="9">
        <f t="shared" si="6"/>
        <v>24.897594790001499</v>
      </c>
      <c r="N98" s="33">
        <v>132.19999999999999</v>
      </c>
      <c r="O98" s="18"/>
      <c r="P98" s="18"/>
      <c r="Q98" s="4"/>
      <c r="R98" s="4"/>
      <c r="S98" s="4"/>
      <c r="T98" s="4"/>
      <c r="U98" s="4"/>
      <c r="V98" s="4"/>
      <c r="W98" s="4"/>
      <c r="X98" s="4"/>
      <c r="Y98" s="4"/>
      <c r="Z98" s="4"/>
      <c r="AA98" s="4"/>
      <c r="AB98" s="4"/>
      <c r="AC98" s="4"/>
      <c r="AD98" s="4"/>
      <c r="AE98" s="4"/>
      <c r="AF98" s="4"/>
      <c r="AG98" s="4"/>
      <c r="AH98" s="6"/>
    </row>
    <row r="99" spans="2:39" x14ac:dyDescent="0.25">
      <c r="E99" s="2" t="s">
        <v>20</v>
      </c>
      <c r="F99" s="7">
        <v>28</v>
      </c>
      <c r="G99" s="82">
        <v>41.282239680000004</v>
      </c>
      <c r="H99" s="5">
        <v>420</v>
      </c>
      <c r="I99" s="5">
        <v>118.8</v>
      </c>
      <c r="J99" s="5">
        <v>36</v>
      </c>
      <c r="K99" s="8">
        <v>191.96</v>
      </c>
      <c r="L99" s="8">
        <v>8.4700000000000006</v>
      </c>
      <c r="M99" s="9">
        <f t="shared" si="6"/>
        <v>24.926197477024399</v>
      </c>
      <c r="N99" s="33">
        <v>110.3</v>
      </c>
      <c r="O99" s="18"/>
      <c r="P99" s="18"/>
      <c r="Q99" s="4"/>
      <c r="R99" s="4"/>
      <c r="S99" s="4"/>
      <c r="T99" s="4"/>
      <c r="U99" s="4"/>
      <c r="V99" s="4"/>
      <c r="W99" s="4"/>
      <c r="X99" s="4"/>
      <c r="Y99" s="4"/>
      <c r="Z99" s="4"/>
      <c r="AA99" s="4"/>
      <c r="AB99" s="4"/>
      <c r="AC99" s="4"/>
      <c r="AD99" s="4"/>
      <c r="AE99" s="4"/>
      <c r="AF99" s="4"/>
      <c r="AG99" s="4"/>
      <c r="AH99" s="6"/>
    </row>
    <row r="100" spans="2:39" x14ac:dyDescent="0.25">
      <c r="E100" s="2" t="s">
        <v>21</v>
      </c>
      <c r="F100" s="7">
        <v>28</v>
      </c>
      <c r="G100" s="82">
        <v>37.843264800000007</v>
      </c>
      <c r="H100" s="5">
        <v>420</v>
      </c>
      <c r="I100" s="5">
        <v>118.8</v>
      </c>
      <c r="J100" s="5">
        <v>36</v>
      </c>
      <c r="K100" s="8">
        <v>191.96</v>
      </c>
      <c r="L100" s="8">
        <v>8.4700000000000006</v>
      </c>
      <c r="M100" s="9">
        <f t="shared" si="6"/>
        <v>24.943355461757221</v>
      </c>
      <c r="N100" s="33">
        <v>131.9</v>
      </c>
      <c r="O100" s="18"/>
      <c r="P100" s="18"/>
      <c r="Q100" s="4"/>
      <c r="R100" s="4"/>
      <c r="S100" s="4"/>
      <c r="T100" s="4"/>
      <c r="U100" s="4"/>
      <c r="V100" s="4"/>
      <c r="W100" s="4"/>
      <c r="X100" s="4"/>
      <c r="Y100" s="4"/>
      <c r="Z100" s="4"/>
      <c r="AA100" s="4"/>
      <c r="AB100" s="4"/>
      <c r="AC100" s="4"/>
      <c r="AD100" s="4"/>
      <c r="AE100" s="4"/>
      <c r="AF100" s="4"/>
      <c r="AG100" s="4"/>
      <c r="AH100" s="6"/>
    </row>
    <row r="101" spans="2:39" x14ac:dyDescent="0.25">
      <c r="E101" s="2" t="s">
        <v>22</v>
      </c>
      <c r="F101" s="7">
        <v>28</v>
      </c>
      <c r="G101" s="82">
        <v>34.400654639999999</v>
      </c>
      <c r="H101" s="5">
        <v>420</v>
      </c>
      <c r="I101" s="5">
        <v>118.8</v>
      </c>
      <c r="J101" s="5">
        <v>36</v>
      </c>
      <c r="K101" s="8">
        <v>191.96</v>
      </c>
      <c r="L101" s="8">
        <v>8.4700000000000006</v>
      </c>
      <c r="M101" s="9">
        <f t="shared" si="6"/>
        <v>24.960531583894628</v>
      </c>
      <c r="N101" s="33">
        <v>140.80000000000001</v>
      </c>
      <c r="O101" s="18"/>
      <c r="P101" s="18"/>
      <c r="Q101" s="30"/>
      <c r="R101" s="30"/>
      <c r="S101" s="30"/>
      <c r="T101" s="4"/>
      <c r="U101" s="30"/>
      <c r="V101" s="30"/>
      <c r="W101" s="30"/>
      <c r="X101" s="4"/>
      <c r="Y101" s="30"/>
      <c r="Z101" s="30"/>
      <c r="AA101" s="30"/>
      <c r="AB101" s="4"/>
      <c r="AC101" s="30"/>
      <c r="AD101" s="30"/>
      <c r="AE101" s="30"/>
      <c r="AF101" s="30"/>
      <c r="AG101" s="30"/>
      <c r="AH101" s="31"/>
    </row>
    <row r="102" spans="2:39" x14ac:dyDescent="0.25">
      <c r="E102" s="2" t="s">
        <v>23</v>
      </c>
      <c r="F102" s="7">
        <v>28</v>
      </c>
      <c r="G102" s="82">
        <v>33.255541440000002</v>
      </c>
      <c r="H102" s="5">
        <v>420</v>
      </c>
      <c r="I102" s="5">
        <v>118.8</v>
      </c>
      <c r="J102" s="5">
        <v>36</v>
      </c>
      <c r="K102" s="8">
        <v>191.96</v>
      </c>
      <c r="L102" s="8">
        <v>8.4700000000000006</v>
      </c>
      <c r="M102" s="9">
        <f t="shared" si="6"/>
        <v>24.966244866337377</v>
      </c>
      <c r="N102" s="33">
        <v>105.4</v>
      </c>
      <c r="O102" s="18"/>
      <c r="P102" s="18"/>
      <c r="Q102" s="30"/>
      <c r="R102" s="30"/>
      <c r="S102" s="30"/>
      <c r="T102" s="4"/>
      <c r="U102" s="30"/>
      <c r="V102" s="30"/>
      <c r="W102" s="30"/>
      <c r="X102" s="4"/>
      <c r="Y102" s="30"/>
      <c r="Z102" s="30"/>
      <c r="AA102" s="30"/>
      <c r="AB102" s="4"/>
      <c r="AC102" s="30"/>
      <c r="AD102" s="30"/>
      <c r="AE102" s="30"/>
      <c r="AF102" s="30"/>
      <c r="AG102" s="30"/>
      <c r="AH102" s="31"/>
    </row>
    <row r="103" spans="2:39" ht="13" x14ac:dyDescent="0.3">
      <c r="E103" s="151" t="s">
        <v>3</v>
      </c>
      <c r="F103" s="402"/>
      <c r="G103" s="403"/>
      <c r="H103" s="403"/>
      <c r="I103" s="403"/>
      <c r="J103" s="403"/>
      <c r="K103" s="403"/>
      <c r="L103" s="403"/>
      <c r="M103" s="404"/>
      <c r="N103" s="152">
        <f>SUM(N91:N102)</f>
        <v>1586.9</v>
      </c>
      <c r="O103" s="153">
        <f>16/24</f>
        <v>0.66666666666666663</v>
      </c>
      <c r="P103" s="153">
        <f>24/1000</f>
        <v>2.4E-2</v>
      </c>
      <c r="Q103" s="154">
        <v>3.59</v>
      </c>
      <c r="R103" s="154">
        <v>12.96</v>
      </c>
      <c r="S103" s="155">
        <f>N103</f>
        <v>1586.9</v>
      </c>
      <c r="T103" s="156">
        <f>O103*P103*Q103*R103*S103</f>
        <v>1181.3239065600001</v>
      </c>
      <c r="U103" s="155">
        <v>3.94</v>
      </c>
      <c r="V103" s="155">
        <v>12.96</v>
      </c>
      <c r="W103" s="155">
        <f>N103</f>
        <v>1586.9</v>
      </c>
      <c r="X103" s="157">
        <f>(O103*P103*U103*V103*W103)</f>
        <v>1296.4947609600001</v>
      </c>
      <c r="Y103" s="154">
        <v>2.13</v>
      </c>
      <c r="Z103" s="154">
        <v>41.904000000000003</v>
      </c>
      <c r="AA103" s="154">
        <f>N103</f>
        <v>1586.9</v>
      </c>
      <c r="AB103" s="158">
        <f>(O103*P103*Y103*Z103*AA103)</f>
        <v>2266.2333550080002</v>
      </c>
      <c r="AC103" s="159">
        <f>L361</f>
        <v>3373.9900147259923</v>
      </c>
      <c r="AD103" s="160">
        <f>T103+X103+AB103+AC103</f>
        <v>8118.0420372539929</v>
      </c>
      <c r="AE103" s="30">
        <f>AD103*0.1</f>
        <v>811.80420372539936</v>
      </c>
      <c r="AF103" s="161">
        <f>AD103+AE103</f>
        <v>8929.846240979392</v>
      </c>
      <c r="AG103" s="154">
        <v>3.1</v>
      </c>
      <c r="AH103" s="166">
        <f>ROUND((AF103/AG103),0)</f>
        <v>2881</v>
      </c>
      <c r="AI103" s="39">
        <v>28</v>
      </c>
      <c r="AJ103" s="122"/>
      <c r="AK103" s="122"/>
    </row>
    <row r="104" spans="2:39" ht="13.5" thickBot="1" x14ac:dyDescent="0.35">
      <c r="E104" s="388" t="s">
        <v>216</v>
      </c>
      <c r="F104" s="389"/>
      <c r="G104" s="389"/>
      <c r="H104" s="389"/>
      <c r="I104" s="389"/>
      <c r="J104" s="389"/>
      <c r="K104" s="389"/>
      <c r="L104" s="389"/>
      <c r="M104" s="389"/>
      <c r="N104" s="389"/>
      <c r="O104" s="389"/>
      <c r="P104" s="389"/>
      <c r="Q104" s="389"/>
      <c r="R104" s="389"/>
      <c r="S104" s="389"/>
      <c r="T104" s="389"/>
      <c r="U104" s="389"/>
      <c r="V104" s="389"/>
      <c r="W104" s="389"/>
      <c r="X104" s="389"/>
      <c r="Y104" s="389"/>
      <c r="Z104" s="389"/>
      <c r="AA104" s="389"/>
      <c r="AB104" s="389"/>
      <c r="AC104" s="389"/>
      <c r="AD104" s="389"/>
      <c r="AE104" s="389"/>
      <c r="AF104" s="389"/>
      <c r="AG104" s="389"/>
      <c r="AH104" s="167">
        <f>ROUND((AH75*AP78+AH89*AP79+AH103*AP80),0)</f>
        <v>3441</v>
      </c>
      <c r="AM104" s="123"/>
    </row>
    <row r="106" spans="2:39" ht="13" thickBot="1" x14ac:dyDescent="0.3"/>
    <row r="107" spans="2:39" ht="15" x14ac:dyDescent="0.4">
      <c r="B107" s="409" t="s">
        <v>83</v>
      </c>
      <c r="C107" s="410"/>
      <c r="E107" s="295" t="s">
        <v>59</v>
      </c>
      <c r="F107" s="296"/>
      <c r="G107" s="296"/>
      <c r="H107" s="296"/>
      <c r="I107" s="296"/>
      <c r="J107" s="296"/>
      <c r="K107" s="296"/>
      <c r="L107" s="296"/>
      <c r="M107" s="296"/>
      <c r="N107" s="296"/>
      <c r="O107" s="296"/>
      <c r="P107" s="296"/>
      <c r="Q107" s="296"/>
      <c r="R107" s="297"/>
    </row>
    <row r="108" spans="2:39" ht="15" x14ac:dyDescent="0.4">
      <c r="B108" s="411"/>
      <c r="C108" s="412"/>
      <c r="E108" s="379" t="s">
        <v>132</v>
      </c>
      <c r="F108" s="380"/>
      <c r="G108" s="380"/>
      <c r="H108" s="380"/>
      <c r="I108" s="380"/>
      <c r="J108" s="380"/>
      <c r="K108" s="380"/>
      <c r="L108" s="380"/>
      <c r="M108" s="380"/>
      <c r="N108" s="380"/>
      <c r="O108" s="380"/>
      <c r="P108" s="380"/>
      <c r="Q108" s="380"/>
      <c r="R108" s="381"/>
    </row>
    <row r="109" spans="2:39" ht="21.65" customHeight="1" x14ac:dyDescent="0.25">
      <c r="B109" s="76" t="s">
        <v>57</v>
      </c>
      <c r="C109" s="77" t="s">
        <v>34</v>
      </c>
      <c r="E109" s="43" t="s">
        <v>0</v>
      </c>
      <c r="F109" s="42" t="s">
        <v>37</v>
      </c>
      <c r="G109" s="42" t="s">
        <v>36</v>
      </c>
      <c r="H109" s="42" t="s">
        <v>35</v>
      </c>
      <c r="I109" s="42" t="s">
        <v>47</v>
      </c>
      <c r="J109" s="47" t="s">
        <v>56</v>
      </c>
      <c r="K109" s="47" t="s">
        <v>50</v>
      </c>
      <c r="L109" s="47" t="s">
        <v>51</v>
      </c>
      <c r="M109" s="47" t="s">
        <v>48</v>
      </c>
      <c r="N109" s="47" t="s">
        <v>52</v>
      </c>
      <c r="O109" s="37" t="s">
        <v>53</v>
      </c>
      <c r="P109" s="37" t="s">
        <v>54</v>
      </c>
      <c r="Q109" s="37" t="s">
        <v>49</v>
      </c>
      <c r="R109" s="48" t="s">
        <v>55</v>
      </c>
    </row>
    <row r="110" spans="2:39" ht="15.65" customHeight="1" x14ac:dyDescent="0.25">
      <c r="B110" s="76" t="s">
        <v>65</v>
      </c>
      <c r="C110" s="77">
        <v>1</v>
      </c>
      <c r="E110" s="2" t="s">
        <v>15</v>
      </c>
      <c r="F110" s="71">
        <v>33.299999999999997</v>
      </c>
      <c r="G110" s="71">
        <v>8.1</v>
      </c>
      <c r="H110" s="71">
        <f>G110/2</f>
        <v>4.05</v>
      </c>
      <c r="I110" s="71">
        <f>F110-H110</f>
        <v>29.249999999999996</v>
      </c>
      <c r="J110" s="59">
        <f t="shared" ref="J110:J121" si="7">C$126</f>
        <v>1.75</v>
      </c>
      <c r="K110" s="45">
        <v>22</v>
      </c>
      <c r="L110" s="45">
        <f>25.5-K110</f>
        <v>3.5</v>
      </c>
      <c r="M110" s="45">
        <f>I110-29.4</f>
        <v>-0.15000000000000213</v>
      </c>
      <c r="N110" s="8">
        <f>J110+L110+M110</f>
        <v>5.0999999999999979</v>
      </c>
      <c r="O110" s="8">
        <v>3.75</v>
      </c>
      <c r="P110" s="8">
        <v>1.296</v>
      </c>
      <c r="Q110" s="8">
        <f>31*16</f>
        <v>496</v>
      </c>
      <c r="R110" s="40">
        <f>(N110*O110*P110*Q110)/1000</f>
        <v>12.293855999999996</v>
      </c>
    </row>
    <row r="111" spans="2:39" ht="15" customHeight="1" x14ac:dyDescent="0.25">
      <c r="B111" s="76" t="s">
        <v>66</v>
      </c>
      <c r="C111" s="77">
        <v>1</v>
      </c>
      <c r="E111" s="2" t="s">
        <v>16</v>
      </c>
      <c r="F111" s="71">
        <v>34.1</v>
      </c>
      <c r="G111" s="71">
        <v>7.4</v>
      </c>
      <c r="H111" s="71">
        <f t="shared" ref="H111:H121" si="8">G111/2</f>
        <v>3.7</v>
      </c>
      <c r="I111" s="71">
        <f t="shared" ref="I111:I121" si="9">F111-H111</f>
        <v>30.400000000000002</v>
      </c>
      <c r="J111" s="45">
        <f t="shared" si="7"/>
        <v>1.75</v>
      </c>
      <c r="K111" s="45">
        <v>22</v>
      </c>
      <c r="L111" s="45">
        <f t="shared" ref="L111:L121" si="10">25.5-K111</f>
        <v>3.5</v>
      </c>
      <c r="M111" s="45">
        <f t="shared" ref="M111:M121" si="11">I111-29.4</f>
        <v>1.0000000000000036</v>
      </c>
      <c r="N111" s="8">
        <f t="shared" ref="N111:N120" si="12">J111+L111+M111</f>
        <v>6.2500000000000036</v>
      </c>
      <c r="O111" s="8">
        <v>3.75</v>
      </c>
      <c r="P111" s="8">
        <v>1.296</v>
      </c>
      <c r="Q111" s="8">
        <f>28*16</f>
        <v>448</v>
      </c>
      <c r="R111" s="40">
        <f t="shared" ref="R111:R121" si="13">(N111*O111*P111*Q111)/1000</f>
        <v>13.608000000000008</v>
      </c>
    </row>
    <row r="112" spans="2:39" ht="16" customHeight="1" x14ac:dyDescent="0.25">
      <c r="B112" s="76" t="s">
        <v>67</v>
      </c>
      <c r="C112" s="77">
        <v>0</v>
      </c>
      <c r="E112" s="2" t="s">
        <v>17</v>
      </c>
      <c r="F112" s="71">
        <v>35.200000000000003</v>
      </c>
      <c r="G112" s="71">
        <v>6.9</v>
      </c>
      <c r="H112" s="71">
        <f t="shared" si="8"/>
        <v>3.45</v>
      </c>
      <c r="I112" s="71">
        <f t="shared" si="9"/>
        <v>31.750000000000004</v>
      </c>
      <c r="J112" s="45">
        <f t="shared" si="7"/>
        <v>1.75</v>
      </c>
      <c r="K112" s="45">
        <v>22</v>
      </c>
      <c r="L112" s="45">
        <f t="shared" si="10"/>
        <v>3.5</v>
      </c>
      <c r="M112" s="45">
        <f t="shared" si="11"/>
        <v>2.350000000000005</v>
      </c>
      <c r="N112" s="8">
        <f t="shared" si="12"/>
        <v>7.600000000000005</v>
      </c>
      <c r="O112" s="8">
        <v>3.75</v>
      </c>
      <c r="P112" s="8">
        <v>1.296</v>
      </c>
      <c r="Q112" s="8">
        <f>31*16</f>
        <v>496</v>
      </c>
      <c r="R112" s="40">
        <f t="shared" si="13"/>
        <v>18.320256000000011</v>
      </c>
    </row>
    <row r="113" spans="2:18" ht="16" customHeight="1" x14ac:dyDescent="0.25">
      <c r="B113" s="76" t="s">
        <v>68</v>
      </c>
      <c r="C113" s="77">
        <v>-1</v>
      </c>
      <c r="E113" s="2" t="s">
        <v>18</v>
      </c>
      <c r="F113" s="71">
        <v>36.4</v>
      </c>
      <c r="G113" s="71">
        <v>7.1</v>
      </c>
      <c r="H113" s="71">
        <f t="shared" si="8"/>
        <v>3.55</v>
      </c>
      <c r="I113" s="71">
        <f t="shared" si="9"/>
        <v>32.85</v>
      </c>
      <c r="J113" s="45">
        <f t="shared" si="7"/>
        <v>1.75</v>
      </c>
      <c r="K113" s="45">
        <v>22</v>
      </c>
      <c r="L113" s="45">
        <f t="shared" si="10"/>
        <v>3.5</v>
      </c>
      <c r="M113" s="45">
        <f t="shared" si="11"/>
        <v>3.4500000000000028</v>
      </c>
      <c r="N113" s="8">
        <f t="shared" si="12"/>
        <v>8.7000000000000028</v>
      </c>
      <c r="O113" s="8">
        <v>3.75</v>
      </c>
      <c r="P113" s="8">
        <v>1.296</v>
      </c>
      <c r="Q113" s="8">
        <f>30*16</f>
        <v>480</v>
      </c>
      <c r="R113" s="40">
        <f t="shared" si="13"/>
        <v>20.295360000000009</v>
      </c>
    </row>
    <row r="114" spans="2:18" ht="16" customHeight="1" x14ac:dyDescent="0.25">
      <c r="B114" s="76" t="s">
        <v>69</v>
      </c>
      <c r="C114" s="77">
        <v>-1</v>
      </c>
      <c r="E114" s="2" t="s">
        <v>12</v>
      </c>
      <c r="F114" s="71">
        <v>36.1</v>
      </c>
      <c r="G114" s="71">
        <v>6.7</v>
      </c>
      <c r="H114" s="71">
        <f t="shared" si="8"/>
        <v>3.35</v>
      </c>
      <c r="I114" s="71">
        <f t="shared" si="9"/>
        <v>32.75</v>
      </c>
      <c r="J114" s="45">
        <f t="shared" si="7"/>
        <v>1.75</v>
      </c>
      <c r="K114" s="45">
        <v>22</v>
      </c>
      <c r="L114" s="45">
        <f t="shared" si="10"/>
        <v>3.5</v>
      </c>
      <c r="M114" s="45">
        <f t="shared" si="11"/>
        <v>3.3500000000000014</v>
      </c>
      <c r="N114" s="8">
        <f t="shared" si="12"/>
        <v>8.6000000000000014</v>
      </c>
      <c r="O114" s="8">
        <v>3.75</v>
      </c>
      <c r="P114" s="8">
        <v>1.296</v>
      </c>
      <c r="Q114" s="8">
        <f>31*16</f>
        <v>496</v>
      </c>
      <c r="R114" s="40">
        <f t="shared" si="13"/>
        <v>20.730816000000008</v>
      </c>
    </row>
    <row r="115" spans="2:18" ht="15" customHeight="1" x14ac:dyDescent="0.25">
      <c r="B115" s="76" t="s">
        <v>70</v>
      </c>
      <c r="C115" s="77">
        <v>-1</v>
      </c>
      <c r="E115" s="2" t="s">
        <v>13</v>
      </c>
      <c r="F115" s="71">
        <v>34.6</v>
      </c>
      <c r="G115" s="71">
        <v>6.2</v>
      </c>
      <c r="H115" s="71">
        <f t="shared" si="8"/>
        <v>3.1</v>
      </c>
      <c r="I115" s="71">
        <f t="shared" si="9"/>
        <v>31.5</v>
      </c>
      <c r="J115" s="45">
        <f t="shared" si="7"/>
        <v>1.75</v>
      </c>
      <c r="K115" s="45">
        <v>22</v>
      </c>
      <c r="L115" s="45">
        <f t="shared" si="10"/>
        <v>3.5</v>
      </c>
      <c r="M115" s="45">
        <f t="shared" si="11"/>
        <v>2.1000000000000014</v>
      </c>
      <c r="N115" s="8">
        <f t="shared" si="12"/>
        <v>7.3500000000000014</v>
      </c>
      <c r="O115" s="8">
        <v>3.75</v>
      </c>
      <c r="P115" s="8">
        <v>1.296</v>
      </c>
      <c r="Q115" s="8">
        <f>30*16</f>
        <v>480</v>
      </c>
      <c r="R115" s="40">
        <f t="shared" si="13"/>
        <v>17.146080000000005</v>
      </c>
    </row>
    <row r="116" spans="2:18" ht="15.65" customHeight="1" x14ac:dyDescent="0.25">
      <c r="B116" s="78" t="s">
        <v>38</v>
      </c>
      <c r="C116" s="79">
        <v>-1</v>
      </c>
      <c r="E116" s="2" t="s">
        <v>24</v>
      </c>
      <c r="F116" s="41">
        <v>34</v>
      </c>
      <c r="G116" s="41">
        <v>5.8</v>
      </c>
      <c r="H116" s="71">
        <f t="shared" si="8"/>
        <v>2.9</v>
      </c>
      <c r="I116" s="71">
        <f t="shared" si="9"/>
        <v>31.1</v>
      </c>
      <c r="J116" s="45">
        <f t="shared" si="7"/>
        <v>1.75</v>
      </c>
      <c r="K116" s="45">
        <v>22</v>
      </c>
      <c r="L116" s="45">
        <f t="shared" si="10"/>
        <v>3.5</v>
      </c>
      <c r="M116" s="45">
        <f t="shared" si="11"/>
        <v>1.7000000000000028</v>
      </c>
      <c r="N116" s="8">
        <f t="shared" si="12"/>
        <v>6.9500000000000028</v>
      </c>
      <c r="O116" s="8">
        <v>3.75</v>
      </c>
      <c r="P116" s="8">
        <v>1.296</v>
      </c>
      <c r="Q116" s="8">
        <f>31*16</f>
        <v>496</v>
      </c>
      <c r="R116" s="40">
        <f t="shared" si="13"/>
        <v>16.753392000000009</v>
      </c>
    </row>
    <row r="117" spans="2:18" ht="15.65" customHeight="1" x14ac:dyDescent="0.25">
      <c r="B117" s="78" t="s">
        <v>39</v>
      </c>
      <c r="C117" s="79">
        <v>-1</v>
      </c>
      <c r="E117" s="2" t="s">
        <v>19</v>
      </c>
      <c r="F117" s="41">
        <v>33.799999999999997</v>
      </c>
      <c r="G117" s="41">
        <v>5.9</v>
      </c>
      <c r="H117" s="71">
        <f t="shared" si="8"/>
        <v>2.95</v>
      </c>
      <c r="I117" s="71">
        <f t="shared" si="9"/>
        <v>30.849999999999998</v>
      </c>
      <c r="J117" s="45">
        <f t="shared" si="7"/>
        <v>1.75</v>
      </c>
      <c r="K117" s="45">
        <v>22</v>
      </c>
      <c r="L117" s="45">
        <f t="shared" si="10"/>
        <v>3.5</v>
      </c>
      <c r="M117" s="45">
        <f t="shared" si="11"/>
        <v>1.4499999999999993</v>
      </c>
      <c r="N117" s="8">
        <f t="shared" si="12"/>
        <v>6.6999999999999993</v>
      </c>
      <c r="O117" s="8">
        <v>3.75</v>
      </c>
      <c r="P117" s="8">
        <v>1.296</v>
      </c>
      <c r="Q117" s="8">
        <f>31*16</f>
        <v>496</v>
      </c>
      <c r="R117" s="40">
        <f t="shared" si="13"/>
        <v>16.150751999999997</v>
      </c>
    </row>
    <row r="118" spans="2:18" ht="15" customHeight="1" x14ac:dyDescent="0.25">
      <c r="B118" s="78" t="s">
        <v>40</v>
      </c>
      <c r="C118" s="79">
        <v>0</v>
      </c>
      <c r="E118" s="2" t="s">
        <v>20</v>
      </c>
      <c r="F118" s="41">
        <v>33.6</v>
      </c>
      <c r="G118" s="41">
        <v>6.2</v>
      </c>
      <c r="H118" s="71">
        <f t="shared" si="8"/>
        <v>3.1</v>
      </c>
      <c r="I118" s="71">
        <f t="shared" si="9"/>
        <v>30.5</v>
      </c>
      <c r="J118" s="45">
        <f t="shared" si="7"/>
        <v>1.75</v>
      </c>
      <c r="K118" s="45">
        <v>22</v>
      </c>
      <c r="L118" s="45">
        <f t="shared" si="10"/>
        <v>3.5</v>
      </c>
      <c r="M118" s="45">
        <f t="shared" si="11"/>
        <v>1.1000000000000014</v>
      </c>
      <c r="N118" s="8">
        <f t="shared" si="12"/>
        <v>6.3500000000000014</v>
      </c>
      <c r="O118" s="8">
        <v>3.75</v>
      </c>
      <c r="P118" s="8">
        <v>1.296</v>
      </c>
      <c r="Q118" s="8">
        <f>30*16</f>
        <v>480</v>
      </c>
      <c r="R118" s="40">
        <f t="shared" si="13"/>
        <v>14.813280000000006</v>
      </c>
    </row>
    <row r="119" spans="2:18" ht="16.5" customHeight="1" x14ac:dyDescent="0.25">
      <c r="B119" s="78" t="s">
        <v>41</v>
      </c>
      <c r="C119" s="79">
        <v>7</v>
      </c>
      <c r="E119" s="2" t="s">
        <v>21</v>
      </c>
      <c r="F119" s="41">
        <v>33.700000000000003</v>
      </c>
      <c r="G119" s="41">
        <v>6.4</v>
      </c>
      <c r="H119" s="71">
        <f t="shared" si="8"/>
        <v>3.2</v>
      </c>
      <c r="I119" s="71">
        <f t="shared" si="9"/>
        <v>30.500000000000004</v>
      </c>
      <c r="J119" s="45">
        <f t="shared" si="7"/>
        <v>1.75</v>
      </c>
      <c r="K119" s="45">
        <v>22</v>
      </c>
      <c r="L119" s="45">
        <f t="shared" si="10"/>
        <v>3.5</v>
      </c>
      <c r="M119" s="45">
        <f t="shared" si="11"/>
        <v>1.100000000000005</v>
      </c>
      <c r="N119" s="8">
        <f t="shared" si="12"/>
        <v>6.350000000000005</v>
      </c>
      <c r="O119" s="8">
        <v>3.75</v>
      </c>
      <c r="P119" s="8">
        <v>1.296</v>
      </c>
      <c r="Q119" s="8">
        <f>31*16</f>
        <v>496</v>
      </c>
      <c r="R119" s="40">
        <f t="shared" si="13"/>
        <v>15.307056000000014</v>
      </c>
    </row>
    <row r="120" spans="2:18" ht="14.5" customHeight="1" x14ac:dyDescent="0.25">
      <c r="B120" s="78" t="s">
        <v>42</v>
      </c>
      <c r="C120" s="79">
        <v>7</v>
      </c>
      <c r="E120" s="2" t="s">
        <v>22</v>
      </c>
      <c r="F120" s="41">
        <v>33.5</v>
      </c>
      <c r="G120" s="41">
        <v>6.9</v>
      </c>
      <c r="H120" s="71">
        <f t="shared" si="8"/>
        <v>3.45</v>
      </c>
      <c r="I120" s="71">
        <f t="shared" si="9"/>
        <v>30.05</v>
      </c>
      <c r="J120" s="45">
        <f t="shared" si="7"/>
        <v>1.75</v>
      </c>
      <c r="K120" s="45">
        <v>22</v>
      </c>
      <c r="L120" s="45">
        <f t="shared" si="10"/>
        <v>3.5</v>
      </c>
      <c r="M120" s="45">
        <f t="shared" si="11"/>
        <v>0.65000000000000213</v>
      </c>
      <c r="N120" s="8">
        <f t="shared" si="12"/>
        <v>5.9000000000000021</v>
      </c>
      <c r="O120" s="8">
        <v>3.75</v>
      </c>
      <c r="P120" s="8">
        <v>1.296</v>
      </c>
      <c r="Q120" s="8">
        <f>30*16</f>
        <v>480</v>
      </c>
      <c r="R120" s="40">
        <f t="shared" si="13"/>
        <v>13.763520000000003</v>
      </c>
    </row>
    <row r="121" spans="2:18" ht="14.5" customHeight="1" x14ac:dyDescent="0.25">
      <c r="B121" s="78" t="s">
        <v>43</v>
      </c>
      <c r="C121" s="79">
        <v>6</v>
      </c>
      <c r="E121" s="2" t="s">
        <v>23</v>
      </c>
      <c r="F121" s="41">
        <v>33.200000000000003</v>
      </c>
      <c r="G121" s="41">
        <v>7.7</v>
      </c>
      <c r="H121" s="71">
        <f t="shared" si="8"/>
        <v>3.85</v>
      </c>
      <c r="I121" s="71">
        <f t="shared" si="9"/>
        <v>29.35</v>
      </c>
      <c r="J121" s="45">
        <f t="shared" si="7"/>
        <v>1.75</v>
      </c>
      <c r="K121" s="45">
        <v>22</v>
      </c>
      <c r="L121" s="45">
        <f t="shared" si="10"/>
        <v>3.5</v>
      </c>
      <c r="M121" s="45">
        <f t="shared" si="11"/>
        <v>-4.9999999999997158E-2</v>
      </c>
      <c r="N121" s="8">
        <f>J121+L121+M121</f>
        <v>5.2000000000000028</v>
      </c>
      <c r="O121" s="8">
        <v>3.75</v>
      </c>
      <c r="P121" s="8">
        <v>1.296</v>
      </c>
      <c r="Q121" s="8">
        <f>31*16</f>
        <v>496</v>
      </c>
      <c r="R121" s="40">
        <f t="shared" si="13"/>
        <v>12.534912000000007</v>
      </c>
    </row>
    <row r="122" spans="2:18" ht="14.5" customHeight="1" x14ac:dyDescent="0.25">
      <c r="B122" s="78" t="s">
        <v>44</v>
      </c>
      <c r="C122" s="79">
        <v>4</v>
      </c>
      <c r="E122" s="303" t="s">
        <v>58</v>
      </c>
      <c r="F122" s="304"/>
      <c r="G122" s="304"/>
      <c r="H122" s="304"/>
      <c r="I122" s="304"/>
      <c r="J122" s="304"/>
      <c r="K122" s="304"/>
      <c r="L122" s="304"/>
      <c r="M122" s="304"/>
      <c r="N122" s="304"/>
      <c r="O122" s="304"/>
      <c r="P122" s="304"/>
      <c r="Q122" s="304"/>
      <c r="R122" s="69">
        <f>SUM(R110:R121)</f>
        <v>191.71728000000007</v>
      </c>
    </row>
    <row r="123" spans="2:18" ht="14.5" customHeight="1" x14ac:dyDescent="0.25">
      <c r="B123" s="78" t="s">
        <v>45</v>
      </c>
      <c r="C123" s="79">
        <v>3</v>
      </c>
      <c r="E123" s="394" t="s">
        <v>131</v>
      </c>
      <c r="F123" s="395"/>
      <c r="G123" s="395"/>
      <c r="H123" s="395"/>
      <c r="I123" s="395"/>
      <c r="J123" s="395"/>
      <c r="K123" s="395"/>
      <c r="L123" s="395"/>
      <c r="M123" s="395"/>
      <c r="N123" s="395"/>
      <c r="O123" s="395"/>
      <c r="P123" s="395"/>
      <c r="Q123" s="395"/>
      <c r="R123" s="396"/>
    </row>
    <row r="124" spans="2:18" ht="14" x14ac:dyDescent="0.25">
      <c r="B124" s="78" t="s">
        <v>46</v>
      </c>
      <c r="C124" s="79">
        <v>2</v>
      </c>
      <c r="E124" s="2" t="s">
        <v>15</v>
      </c>
      <c r="F124" s="71">
        <v>33.299999999999997</v>
      </c>
      <c r="G124" s="71">
        <v>8.1</v>
      </c>
      <c r="H124" s="71">
        <f>G124/2</f>
        <v>4.05</v>
      </c>
      <c r="I124" s="71">
        <f>F124-H124</f>
        <v>29.249999999999996</v>
      </c>
      <c r="J124" s="59">
        <f t="shared" ref="J124:J135" si="14">C$126</f>
        <v>1.75</v>
      </c>
      <c r="K124" s="45">
        <v>23</v>
      </c>
      <c r="L124" s="45">
        <f>25.5-K124</f>
        <v>2.5</v>
      </c>
      <c r="M124" s="45">
        <f>I124-29.4</f>
        <v>-0.15000000000000213</v>
      </c>
      <c r="N124" s="8">
        <f>J124+L124+M124</f>
        <v>4.0999999999999979</v>
      </c>
      <c r="O124" s="8">
        <v>3.75</v>
      </c>
      <c r="P124" s="8">
        <v>1.296</v>
      </c>
      <c r="Q124" s="8">
        <f>31*16</f>
        <v>496</v>
      </c>
      <c r="R124" s="40">
        <f>(N124*O124*P124*Q124)/1000</f>
        <v>9.8832959999999943</v>
      </c>
    </row>
    <row r="125" spans="2:18" ht="14" x14ac:dyDescent="0.25">
      <c r="B125" s="78" t="s">
        <v>71</v>
      </c>
      <c r="C125" s="79">
        <v>2</v>
      </c>
      <c r="E125" s="2" t="s">
        <v>16</v>
      </c>
      <c r="F125" s="71">
        <v>34.1</v>
      </c>
      <c r="G125" s="71">
        <v>7.4</v>
      </c>
      <c r="H125" s="71">
        <f t="shared" ref="H125:H135" si="15">G125/2</f>
        <v>3.7</v>
      </c>
      <c r="I125" s="71">
        <f t="shared" ref="I125:I135" si="16">F125-H125</f>
        <v>30.400000000000002</v>
      </c>
      <c r="J125" s="45">
        <f t="shared" si="14"/>
        <v>1.75</v>
      </c>
      <c r="K125" s="45">
        <v>23</v>
      </c>
      <c r="L125" s="45">
        <f t="shared" ref="L125:L135" si="17">25.5-K125</f>
        <v>2.5</v>
      </c>
      <c r="M125" s="45">
        <f t="shared" ref="M125:M135" si="18">I125-29.4</f>
        <v>1.0000000000000036</v>
      </c>
      <c r="N125" s="8">
        <f t="shared" ref="N125:N134" si="19">J125+L125+M125</f>
        <v>5.2500000000000036</v>
      </c>
      <c r="O125" s="8">
        <v>3.75</v>
      </c>
      <c r="P125" s="8">
        <v>1.296</v>
      </c>
      <c r="Q125" s="8">
        <f>28*16</f>
        <v>448</v>
      </c>
      <c r="R125" s="40">
        <f t="shared" ref="R125:R135" si="20">(N125*O125*P125*Q125)/1000</f>
        <v>11.430720000000008</v>
      </c>
    </row>
    <row r="126" spans="2:18" ht="16" thickBot="1" x14ac:dyDescent="0.3">
      <c r="B126" s="80" t="s">
        <v>77</v>
      </c>
      <c r="C126" s="81">
        <f>AVERAGE(C110:C125)</f>
        <v>1.75</v>
      </c>
      <c r="E126" s="2" t="s">
        <v>17</v>
      </c>
      <c r="F126" s="71">
        <v>35.200000000000003</v>
      </c>
      <c r="G126" s="71">
        <v>6.9</v>
      </c>
      <c r="H126" s="71">
        <f t="shared" si="15"/>
        <v>3.45</v>
      </c>
      <c r="I126" s="71">
        <f t="shared" si="16"/>
        <v>31.750000000000004</v>
      </c>
      <c r="J126" s="45">
        <f t="shared" si="14"/>
        <v>1.75</v>
      </c>
      <c r="K126" s="45">
        <v>23</v>
      </c>
      <c r="L126" s="45">
        <f t="shared" si="17"/>
        <v>2.5</v>
      </c>
      <c r="M126" s="45">
        <f t="shared" si="18"/>
        <v>2.350000000000005</v>
      </c>
      <c r="N126" s="8">
        <f t="shared" si="19"/>
        <v>6.600000000000005</v>
      </c>
      <c r="O126" s="8">
        <v>3.75</v>
      </c>
      <c r="P126" s="8">
        <v>1.296</v>
      </c>
      <c r="Q126" s="8">
        <f>31*16</f>
        <v>496</v>
      </c>
      <c r="R126" s="40">
        <f t="shared" si="20"/>
        <v>15.909696000000011</v>
      </c>
    </row>
    <row r="127" spans="2:18" ht="14" x14ac:dyDescent="0.25">
      <c r="E127" s="2" t="s">
        <v>18</v>
      </c>
      <c r="F127" s="71">
        <v>36.4</v>
      </c>
      <c r="G127" s="71">
        <v>7.1</v>
      </c>
      <c r="H127" s="71">
        <f t="shared" si="15"/>
        <v>3.55</v>
      </c>
      <c r="I127" s="71">
        <f t="shared" si="16"/>
        <v>32.85</v>
      </c>
      <c r="J127" s="45">
        <f t="shared" si="14"/>
        <v>1.75</v>
      </c>
      <c r="K127" s="45">
        <v>23</v>
      </c>
      <c r="L127" s="45">
        <f t="shared" si="17"/>
        <v>2.5</v>
      </c>
      <c r="M127" s="45">
        <f t="shared" si="18"/>
        <v>3.4500000000000028</v>
      </c>
      <c r="N127" s="8">
        <f t="shared" si="19"/>
        <v>7.7000000000000028</v>
      </c>
      <c r="O127" s="8">
        <v>3.75</v>
      </c>
      <c r="P127" s="8">
        <v>1.296</v>
      </c>
      <c r="Q127" s="8">
        <f>30*16</f>
        <v>480</v>
      </c>
      <c r="R127" s="40">
        <f t="shared" si="20"/>
        <v>17.962560000000007</v>
      </c>
    </row>
    <row r="128" spans="2:18" ht="14" x14ac:dyDescent="0.25">
      <c r="E128" s="2" t="s">
        <v>12</v>
      </c>
      <c r="F128" s="71">
        <v>36.1</v>
      </c>
      <c r="G128" s="71">
        <v>6.7</v>
      </c>
      <c r="H128" s="71">
        <f t="shared" si="15"/>
        <v>3.35</v>
      </c>
      <c r="I128" s="71">
        <f t="shared" si="16"/>
        <v>32.75</v>
      </c>
      <c r="J128" s="45">
        <f t="shared" si="14"/>
        <v>1.75</v>
      </c>
      <c r="K128" s="45">
        <v>23</v>
      </c>
      <c r="L128" s="45">
        <f t="shared" si="17"/>
        <v>2.5</v>
      </c>
      <c r="M128" s="45">
        <f t="shared" si="18"/>
        <v>3.3500000000000014</v>
      </c>
      <c r="N128" s="8">
        <f t="shared" si="19"/>
        <v>7.6000000000000014</v>
      </c>
      <c r="O128" s="8">
        <v>3.75</v>
      </c>
      <c r="P128" s="8">
        <v>1.296</v>
      </c>
      <c r="Q128" s="8">
        <f>31*16</f>
        <v>496</v>
      </c>
      <c r="R128" s="40">
        <f t="shared" si="20"/>
        <v>18.320256000000004</v>
      </c>
    </row>
    <row r="129" spans="5:18" ht="14" x14ac:dyDescent="0.25">
      <c r="E129" s="2" t="s">
        <v>13</v>
      </c>
      <c r="F129" s="71">
        <v>34.6</v>
      </c>
      <c r="G129" s="71">
        <v>6.2</v>
      </c>
      <c r="H129" s="71">
        <f t="shared" si="15"/>
        <v>3.1</v>
      </c>
      <c r="I129" s="71">
        <f t="shared" si="16"/>
        <v>31.5</v>
      </c>
      <c r="J129" s="45">
        <f t="shared" si="14"/>
        <v>1.75</v>
      </c>
      <c r="K129" s="45">
        <v>23</v>
      </c>
      <c r="L129" s="45">
        <f t="shared" si="17"/>
        <v>2.5</v>
      </c>
      <c r="M129" s="45">
        <f t="shared" si="18"/>
        <v>2.1000000000000014</v>
      </c>
      <c r="N129" s="8">
        <f t="shared" si="19"/>
        <v>6.3500000000000014</v>
      </c>
      <c r="O129" s="8">
        <v>3.75</v>
      </c>
      <c r="P129" s="8">
        <v>1.296</v>
      </c>
      <c r="Q129" s="8">
        <f>30*16</f>
        <v>480</v>
      </c>
      <c r="R129" s="40">
        <f t="shared" si="20"/>
        <v>14.813280000000006</v>
      </c>
    </row>
    <row r="130" spans="5:18" ht="14" x14ac:dyDescent="0.25">
      <c r="E130" s="2" t="s">
        <v>24</v>
      </c>
      <c r="F130" s="41">
        <v>34</v>
      </c>
      <c r="G130" s="41">
        <v>5.8</v>
      </c>
      <c r="H130" s="71">
        <f t="shared" si="15"/>
        <v>2.9</v>
      </c>
      <c r="I130" s="71">
        <f t="shared" si="16"/>
        <v>31.1</v>
      </c>
      <c r="J130" s="45">
        <f t="shared" si="14"/>
        <v>1.75</v>
      </c>
      <c r="K130" s="45">
        <v>23</v>
      </c>
      <c r="L130" s="45">
        <f t="shared" si="17"/>
        <v>2.5</v>
      </c>
      <c r="M130" s="45">
        <f t="shared" si="18"/>
        <v>1.7000000000000028</v>
      </c>
      <c r="N130" s="8">
        <f t="shared" si="19"/>
        <v>5.9500000000000028</v>
      </c>
      <c r="O130" s="8">
        <v>3.75</v>
      </c>
      <c r="P130" s="8">
        <v>1.296</v>
      </c>
      <c r="Q130" s="8">
        <f>31*16</f>
        <v>496</v>
      </c>
      <c r="R130" s="40">
        <f t="shared" si="20"/>
        <v>14.342832000000008</v>
      </c>
    </row>
    <row r="131" spans="5:18" ht="14" x14ac:dyDescent="0.25">
      <c r="E131" s="2" t="s">
        <v>19</v>
      </c>
      <c r="F131" s="41">
        <v>33.799999999999997</v>
      </c>
      <c r="G131" s="41">
        <v>5.9</v>
      </c>
      <c r="H131" s="71">
        <f t="shared" si="15"/>
        <v>2.95</v>
      </c>
      <c r="I131" s="71">
        <f t="shared" si="16"/>
        <v>30.849999999999998</v>
      </c>
      <c r="J131" s="45">
        <f t="shared" si="14"/>
        <v>1.75</v>
      </c>
      <c r="K131" s="45">
        <v>23</v>
      </c>
      <c r="L131" s="45">
        <f t="shared" si="17"/>
        <v>2.5</v>
      </c>
      <c r="M131" s="45">
        <f t="shared" si="18"/>
        <v>1.4499999999999993</v>
      </c>
      <c r="N131" s="8">
        <f t="shared" si="19"/>
        <v>5.6999999999999993</v>
      </c>
      <c r="O131" s="8">
        <v>3.75</v>
      </c>
      <c r="P131" s="8">
        <v>1.296</v>
      </c>
      <c r="Q131" s="8">
        <f>31*16</f>
        <v>496</v>
      </c>
      <c r="R131" s="40">
        <f t="shared" si="20"/>
        <v>13.740191999999997</v>
      </c>
    </row>
    <row r="132" spans="5:18" ht="14" x14ac:dyDescent="0.25">
      <c r="E132" s="2" t="s">
        <v>20</v>
      </c>
      <c r="F132" s="41">
        <v>33.6</v>
      </c>
      <c r="G132" s="41">
        <v>6.2</v>
      </c>
      <c r="H132" s="71">
        <f t="shared" si="15"/>
        <v>3.1</v>
      </c>
      <c r="I132" s="71">
        <f t="shared" si="16"/>
        <v>30.5</v>
      </c>
      <c r="J132" s="45">
        <f t="shared" si="14"/>
        <v>1.75</v>
      </c>
      <c r="K132" s="45">
        <v>23</v>
      </c>
      <c r="L132" s="45">
        <f t="shared" si="17"/>
        <v>2.5</v>
      </c>
      <c r="M132" s="45">
        <f t="shared" si="18"/>
        <v>1.1000000000000014</v>
      </c>
      <c r="N132" s="8">
        <f t="shared" si="19"/>
        <v>5.3500000000000014</v>
      </c>
      <c r="O132" s="8">
        <v>3.75</v>
      </c>
      <c r="P132" s="8">
        <v>1.296</v>
      </c>
      <c r="Q132" s="8">
        <f>30*16</f>
        <v>480</v>
      </c>
      <c r="R132" s="40">
        <f t="shared" si="20"/>
        <v>12.480480000000004</v>
      </c>
    </row>
    <row r="133" spans="5:18" ht="14" x14ac:dyDescent="0.25">
      <c r="E133" s="2" t="s">
        <v>21</v>
      </c>
      <c r="F133" s="41">
        <v>33.700000000000003</v>
      </c>
      <c r="G133" s="41">
        <v>6.4</v>
      </c>
      <c r="H133" s="71">
        <f t="shared" si="15"/>
        <v>3.2</v>
      </c>
      <c r="I133" s="71">
        <f t="shared" si="16"/>
        <v>30.500000000000004</v>
      </c>
      <c r="J133" s="45">
        <f t="shared" si="14"/>
        <v>1.75</v>
      </c>
      <c r="K133" s="45">
        <v>23</v>
      </c>
      <c r="L133" s="45">
        <f t="shared" si="17"/>
        <v>2.5</v>
      </c>
      <c r="M133" s="45">
        <f t="shared" si="18"/>
        <v>1.100000000000005</v>
      </c>
      <c r="N133" s="8">
        <f t="shared" si="19"/>
        <v>5.350000000000005</v>
      </c>
      <c r="O133" s="8">
        <v>3.75</v>
      </c>
      <c r="P133" s="8">
        <v>1.296</v>
      </c>
      <c r="Q133" s="8">
        <f>31*16</f>
        <v>496</v>
      </c>
      <c r="R133" s="40">
        <f t="shared" si="20"/>
        <v>12.896496000000012</v>
      </c>
    </row>
    <row r="134" spans="5:18" ht="14" x14ac:dyDescent="0.25">
      <c r="E134" s="2" t="s">
        <v>22</v>
      </c>
      <c r="F134" s="41">
        <v>33.5</v>
      </c>
      <c r="G134" s="41">
        <v>6.9</v>
      </c>
      <c r="H134" s="71">
        <f t="shared" si="15"/>
        <v>3.45</v>
      </c>
      <c r="I134" s="71">
        <f t="shared" si="16"/>
        <v>30.05</v>
      </c>
      <c r="J134" s="45">
        <f t="shared" si="14"/>
        <v>1.75</v>
      </c>
      <c r="K134" s="45">
        <v>23</v>
      </c>
      <c r="L134" s="45">
        <f t="shared" si="17"/>
        <v>2.5</v>
      </c>
      <c r="M134" s="45">
        <f t="shared" si="18"/>
        <v>0.65000000000000213</v>
      </c>
      <c r="N134" s="8">
        <f t="shared" si="19"/>
        <v>4.9000000000000021</v>
      </c>
      <c r="O134" s="8">
        <v>3.75</v>
      </c>
      <c r="P134" s="8">
        <v>1.296</v>
      </c>
      <c r="Q134" s="8">
        <f>30*16</f>
        <v>480</v>
      </c>
      <c r="R134" s="40">
        <f t="shared" si="20"/>
        <v>11.430720000000004</v>
      </c>
    </row>
    <row r="135" spans="5:18" ht="14" x14ac:dyDescent="0.25">
      <c r="E135" s="2" t="s">
        <v>23</v>
      </c>
      <c r="F135" s="41">
        <v>33.200000000000003</v>
      </c>
      <c r="G135" s="41">
        <v>7.7</v>
      </c>
      <c r="H135" s="71">
        <f t="shared" si="15"/>
        <v>3.85</v>
      </c>
      <c r="I135" s="71">
        <f t="shared" si="16"/>
        <v>29.35</v>
      </c>
      <c r="J135" s="45">
        <f t="shared" si="14"/>
        <v>1.75</v>
      </c>
      <c r="K135" s="45">
        <v>23</v>
      </c>
      <c r="L135" s="45">
        <f t="shared" si="17"/>
        <v>2.5</v>
      </c>
      <c r="M135" s="45">
        <f t="shared" si="18"/>
        <v>-4.9999999999997158E-2</v>
      </c>
      <c r="N135" s="8">
        <f>J135+L135+M135</f>
        <v>4.2000000000000028</v>
      </c>
      <c r="O135" s="8">
        <v>3.75</v>
      </c>
      <c r="P135" s="8">
        <v>1.296</v>
      </c>
      <c r="Q135" s="8">
        <f>31*16</f>
        <v>496</v>
      </c>
      <c r="R135" s="40">
        <f t="shared" si="20"/>
        <v>10.124352000000005</v>
      </c>
    </row>
    <row r="136" spans="5:18" ht="15" x14ac:dyDescent="0.25">
      <c r="E136" s="405" t="s">
        <v>58</v>
      </c>
      <c r="F136" s="406"/>
      <c r="G136" s="406"/>
      <c r="H136" s="406"/>
      <c r="I136" s="406"/>
      <c r="J136" s="406"/>
      <c r="K136" s="406"/>
      <c r="L136" s="406"/>
      <c r="M136" s="406"/>
      <c r="N136" s="406"/>
      <c r="O136" s="406"/>
      <c r="P136" s="406"/>
      <c r="Q136" s="406"/>
      <c r="R136" s="69">
        <f>SUM(R124:R135)</f>
        <v>163.33488000000008</v>
      </c>
    </row>
    <row r="137" spans="5:18" ht="15" x14ac:dyDescent="0.4">
      <c r="E137" s="379" t="s">
        <v>72</v>
      </c>
      <c r="F137" s="380"/>
      <c r="G137" s="380"/>
      <c r="H137" s="380"/>
      <c r="I137" s="380"/>
      <c r="J137" s="380"/>
      <c r="K137" s="380"/>
      <c r="L137" s="380"/>
      <c r="M137" s="380"/>
      <c r="N137" s="380"/>
      <c r="O137" s="380"/>
      <c r="P137" s="380"/>
      <c r="Q137" s="380"/>
      <c r="R137" s="381"/>
    </row>
    <row r="138" spans="5:18" ht="14" x14ac:dyDescent="0.25">
      <c r="E138" s="2" t="s">
        <v>15</v>
      </c>
      <c r="F138" s="71">
        <v>33.299999999999997</v>
      </c>
      <c r="G138" s="71">
        <v>8.1</v>
      </c>
      <c r="H138" s="71">
        <f>G138/2</f>
        <v>4.05</v>
      </c>
      <c r="I138" s="71">
        <f>F138-H138</f>
        <v>29.249999999999996</v>
      </c>
      <c r="J138" s="45">
        <f t="shared" ref="J138:J149" si="21">C$126</f>
        <v>1.75</v>
      </c>
      <c r="K138" s="45">
        <v>24</v>
      </c>
      <c r="L138" s="72">
        <f>25.5-K138</f>
        <v>1.5</v>
      </c>
      <c r="M138" s="72">
        <f>I138-29.4</f>
        <v>-0.15000000000000213</v>
      </c>
      <c r="N138" s="8">
        <f>J138+L138+M138</f>
        <v>3.0999999999999979</v>
      </c>
      <c r="O138" s="8">
        <v>3.75</v>
      </c>
      <c r="P138" s="8">
        <v>1.296</v>
      </c>
      <c r="Q138" s="8">
        <f>31*16</f>
        <v>496</v>
      </c>
      <c r="R138" s="40">
        <f>(N138*O138*P138*Q138)/1000</f>
        <v>7.4727359999999958</v>
      </c>
    </row>
    <row r="139" spans="5:18" ht="14" x14ac:dyDescent="0.25">
      <c r="E139" s="2" t="s">
        <v>16</v>
      </c>
      <c r="F139" s="71">
        <v>34.1</v>
      </c>
      <c r="G139" s="71">
        <v>7.4</v>
      </c>
      <c r="H139" s="71">
        <f t="shared" ref="H139:H149" si="22">G139/2</f>
        <v>3.7</v>
      </c>
      <c r="I139" s="71">
        <f t="shared" ref="I139:I149" si="23">F139-H139</f>
        <v>30.400000000000002</v>
      </c>
      <c r="J139" s="45">
        <f t="shared" si="21"/>
        <v>1.75</v>
      </c>
      <c r="K139" s="45">
        <v>24</v>
      </c>
      <c r="L139" s="72">
        <f t="shared" ref="L139:L149" si="24">25.5-K139</f>
        <v>1.5</v>
      </c>
      <c r="M139" s="72">
        <f t="shared" ref="M139:M149" si="25">I139-29.4</f>
        <v>1.0000000000000036</v>
      </c>
      <c r="N139" s="8">
        <f t="shared" ref="N139:N149" si="26">J139+L139+M139</f>
        <v>4.2500000000000036</v>
      </c>
      <c r="O139" s="8">
        <v>3.75</v>
      </c>
      <c r="P139" s="8">
        <v>1.296</v>
      </c>
      <c r="Q139" s="8">
        <f>28*16</f>
        <v>448</v>
      </c>
      <c r="R139" s="40">
        <f t="shared" ref="R139:R149" si="27">(N139*O139*P139*Q139)/1000</f>
        <v>9.2534400000000083</v>
      </c>
    </row>
    <row r="140" spans="5:18" ht="14" x14ac:dyDescent="0.25">
      <c r="E140" s="2" t="s">
        <v>17</v>
      </c>
      <c r="F140" s="71">
        <v>35.200000000000003</v>
      </c>
      <c r="G140" s="71">
        <v>6.9</v>
      </c>
      <c r="H140" s="71">
        <f t="shared" si="22"/>
        <v>3.45</v>
      </c>
      <c r="I140" s="71">
        <f t="shared" si="23"/>
        <v>31.750000000000004</v>
      </c>
      <c r="J140" s="45">
        <f t="shared" si="21"/>
        <v>1.75</v>
      </c>
      <c r="K140" s="45">
        <v>24</v>
      </c>
      <c r="L140" s="72">
        <f t="shared" si="24"/>
        <v>1.5</v>
      </c>
      <c r="M140" s="72">
        <f t="shared" si="25"/>
        <v>2.350000000000005</v>
      </c>
      <c r="N140" s="8">
        <f t="shared" si="26"/>
        <v>5.600000000000005</v>
      </c>
      <c r="O140" s="8">
        <v>3.75</v>
      </c>
      <c r="P140" s="8">
        <v>1.296</v>
      </c>
      <c r="Q140" s="8">
        <f>31*16</f>
        <v>496</v>
      </c>
      <c r="R140" s="40">
        <f t="shared" si="27"/>
        <v>13.499136000000011</v>
      </c>
    </row>
    <row r="141" spans="5:18" ht="14" x14ac:dyDescent="0.25">
      <c r="E141" s="2" t="s">
        <v>18</v>
      </c>
      <c r="F141" s="71">
        <v>36.4</v>
      </c>
      <c r="G141" s="71">
        <v>7.1</v>
      </c>
      <c r="H141" s="71">
        <f t="shared" si="22"/>
        <v>3.55</v>
      </c>
      <c r="I141" s="71">
        <f t="shared" si="23"/>
        <v>32.85</v>
      </c>
      <c r="J141" s="45">
        <f t="shared" si="21"/>
        <v>1.75</v>
      </c>
      <c r="K141" s="45">
        <v>24</v>
      </c>
      <c r="L141" s="72">
        <f t="shared" si="24"/>
        <v>1.5</v>
      </c>
      <c r="M141" s="72">
        <f t="shared" si="25"/>
        <v>3.4500000000000028</v>
      </c>
      <c r="N141" s="8">
        <f t="shared" si="26"/>
        <v>6.7000000000000028</v>
      </c>
      <c r="O141" s="8">
        <v>3.75</v>
      </c>
      <c r="P141" s="8">
        <v>1.296</v>
      </c>
      <c r="Q141" s="8">
        <f>30*16</f>
        <v>480</v>
      </c>
      <c r="R141" s="40">
        <f t="shared" si="27"/>
        <v>15.629760000000006</v>
      </c>
    </row>
    <row r="142" spans="5:18" ht="14" x14ac:dyDescent="0.25">
      <c r="E142" s="2" t="s">
        <v>12</v>
      </c>
      <c r="F142" s="71">
        <v>36.1</v>
      </c>
      <c r="G142" s="71">
        <v>6.7</v>
      </c>
      <c r="H142" s="71">
        <f t="shared" si="22"/>
        <v>3.35</v>
      </c>
      <c r="I142" s="71">
        <f t="shared" si="23"/>
        <v>32.75</v>
      </c>
      <c r="J142" s="45">
        <f t="shared" si="21"/>
        <v>1.75</v>
      </c>
      <c r="K142" s="45">
        <v>24</v>
      </c>
      <c r="L142" s="72">
        <f t="shared" si="24"/>
        <v>1.5</v>
      </c>
      <c r="M142" s="72">
        <f t="shared" si="25"/>
        <v>3.3500000000000014</v>
      </c>
      <c r="N142" s="8">
        <f t="shared" si="26"/>
        <v>6.6000000000000014</v>
      </c>
      <c r="O142" s="8">
        <v>3.75</v>
      </c>
      <c r="P142" s="8">
        <v>1.296</v>
      </c>
      <c r="Q142" s="8">
        <f>31*16</f>
        <v>496</v>
      </c>
      <c r="R142" s="40">
        <f t="shared" si="27"/>
        <v>15.909696000000004</v>
      </c>
    </row>
    <row r="143" spans="5:18" ht="14" x14ac:dyDescent="0.25">
      <c r="E143" s="2" t="s">
        <v>13</v>
      </c>
      <c r="F143" s="71">
        <v>34.6</v>
      </c>
      <c r="G143" s="71">
        <v>6.2</v>
      </c>
      <c r="H143" s="71">
        <f t="shared" si="22"/>
        <v>3.1</v>
      </c>
      <c r="I143" s="71">
        <f t="shared" si="23"/>
        <v>31.5</v>
      </c>
      <c r="J143" s="45">
        <f t="shared" si="21"/>
        <v>1.75</v>
      </c>
      <c r="K143" s="45">
        <v>24</v>
      </c>
      <c r="L143" s="72">
        <f t="shared" si="24"/>
        <v>1.5</v>
      </c>
      <c r="M143" s="72">
        <f t="shared" si="25"/>
        <v>2.1000000000000014</v>
      </c>
      <c r="N143" s="8">
        <f t="shared" si="26"/>
        <v>5.3500000000000014</v>
      </c>
      <c r="O143" s="8">
        <v>3.75</v>
      </c>
      <c r="P143" s="8">
        <v>1.296</v>
      </c>
      <c r="Q143" s="8">
        <f>30*16</f>
        <v>480</v>
      </c>
      <c r="R143" s="40">
        <f t="shared" si="27"/>
        <v>12.480480000000004</v>
      </c>
    </row>
    <row r="144" spans="5:18" ht="14" x14ac:dyDescent="0.25">
      <c r="E144" s="2" t="s">
        <v>24</v>
      </c>
      <c r="F144" s="41">
        <v>34</v>
      </c>
      <c r="G144" s="41">
        <v>5.8</v>
      </c>
      <c r="H144" s="71">
        <f t="shared" si="22"/>
        <v>2.9</v>
      </c>
      <c r="I144" s="71">
        <f t="shared" si="23"/>
        <v>31.1</v>
      </c>
      <c r="J144" s="45">
        <f t="shared" si="21"/>
        <v>1.75</v>
      </c>
      <c r="K144" s="45">
        <v>24</v>
      </c>
      <c r="L144" s="72">
        <f t="shared" si="24"/>
        <v>1.5</v>
      </c>
      <c r="M144" s="72">
        <f t="shared" si="25"/>
        <v>1.7000000000000028</v>
      </c>
      <c r="N144" s="8">
        <f t="shared" si="26"/>
        <v>4.9500000000000028</v>
      </c>
      <c r="O144" s="8">
        <v>3.75</v>
      </c>
      <c r="P144" s="8">
        <v>1.296</v>
      </c>
      <c r="Q144" s="8">
        <f>31*16</f>
        <v>496</v>
      </c>
      <c r="R144" s="40">
        <f t="shared" si="27"/>
        <v>11.932272000000006</v>
      </c>
    </row>
    <row r="145" spans="5:18" ht="14" x14ac:dyDescent="0.25">
      <c r="E145" s="2" t="s">
        <v>19</v>
      </c>
      <c r="F145" s="41">
        <v>33.799999999999997</v>
      </c>
      <c r="G145" s="41">
        <v>5.9</v>
      </c>
      <c r="H145" s="71">
        <f t="shared" si="22"/>
        <v>2.95</v>
      </c>
      <c r="I145" s="71">
        <f t="shared" si="23"/>
        <v>30.849999999999998</v>
      </c>
      <c r="J145" s="45">
        <f t="shared" si="21"/>
        <v>1.75</v>
      </c>
      <c r="K145" s="45">
        <v>24</v>
      </c>
      <c r="L145" s="72">
        <f t="shared" si="24"/>
        <v>1.5</v>
      </c>
      <c r="M145" s="72">
        <f t="shared" si="25"/>
        <v>1.4499999999999993</v>
      </c>
      <c r="N145" s="8">
        <f t="shared" si="26"/>
        <v>4.6999999999999993</v>
      </c>
      <c r="O145" s="8">
        <v>3.75</v>
      </c>
      <c r="P145" s="8">
        <v>1.296</v>
      </c>
      <c r="Q145" s="8">
        <f>31*16</f>
        <v>496</v>
      </c>
      <c r="R145" s="40">
        <f t="shared" si="27"/>
        <v>11.329631999999998</v>
      </c>
    </row>
    <row r="146" spans="5:18" ht="14" x14ac:dyDescent="0.25">
      <c r="E146" s="2" t="s">
        <v>20</v>
      </c>
      <c r="F146" s="41">
        <v>33.6</v>
      </c>
      <c r="G146" s="41">
        <v>6.2</v>
      </c>
      <c r="H146" s="71">
        <f t="shared" si="22"/>
        <v>3.1</v>
      </c>
      <c r="I146" s="71">
        <f t="shared" si="23"/>
        <v>30.5</v>
      </c>
      <c r="J146" s="45">
        <f t="shared" si="21"/>
        <v>1.75</v>
      </c>
      <c r="K146" s="45">
        <v>24</v>
      </c>
      <c r="L146" s="72">
        <f t="shared" si="24"/>
        <v>1.5</v>
      </c>
      <c r="M146" s="72">
        <f t="shared" si="25"/>
        <v>1.1000000000000014</v>
      </c>
      <c r="N146" s="8">
        <f t="shared" si="26"/>
        <v>4.3500000000000014</v>
      </c>
      <c r="O146" s="8">
        <v>3.75</v>
      </c>
      <c r="P146" s="8">
        <v>1.296</v>
      </c>
      <c r="Q146" s="8">
        <f>30*16</f>
        <v>480</v>
      </c>
      <c r="R146" s="40">
        <f t="shared" si="27"/>
        <v>10.147680000000005</v>
      </c>
    </row>
    <row r="147" spans="5:18" ht="14" x14ac:dyDescent="0.25">
      <c r="E147" s="2" t="s">
        <v>21</v>
      </c>
      <c r="F147" s="41">
        <v>33.700000000000003</v>
      </c>
      <c r="G147" s="41">
        <v>6.4</v>
      </c>
      <c r="H147" s="71">
        <f t="shared" si="22"/>
        <v>3.2</v>
      </c>
      <c r="I147" s="71">
        <f t="shared" si="23"/>
        <v>30.500000000000004</v>
      </c>
      <c r="J147" s="45">
        <f t="shared" si="21"/>
        <v>1.75</v>
      </c>
      <c r="K147" s="45">
        <v>24</v>
      </c>
      <c r="L147" s="72">
        <f t="shared" si="24"/>
        <v>1.5</v>
      </c>
      <c r="M147" s="72">
        <f t="shared" si="25"/>
        <v>1.100000000000005</v>
      </c>
      <c r="N147" s="8">
        <f t="shared" si="26"/>
        <v>4.350000000000005</v>
      </c>
      <c r="O147" s="8">
        <v>3.75</v>
      </c>
      <c r="P147" s="8">
        <v>1.296</v>
      </c>
      <c r="Q147" s="8">
        <f>31*16</f>
        <v>496</v>
      </c>
      <c r="R147" s="40">
        <f t="shared" si="27"/>
        <v>10.485936000000011</v>
      </c>
    </row>
    <row r="148" spans="5:18" ht="14" x14ac:dyDescent="0.25">
      <c r="E148" s="2" t="s">
        <v>22</v>
      </c>
      <c r="F148" s="41">
        <v>33.5</v>
      </c>
      <c r="G148" s="41">
        <v>6.9</v>
      </c>
      <c r="H148" s="71">
        <f t="shared" si="22"/>
        <v>3.45</v>
      </c>
      <c r="I148" s="71">
        <f t="shared" si="23"/>
        <v>30.05</v>
      </c>
      <c r="J148" s="45">
        <f t="shared" si="21"/>
        <v>1.75</v>
      </c>
      <c r="K148" s="45">
        <v>24</v>
      </c>
      <c r="L148" s="72">
        <f t="shared" si="24"/>
        <v>1.5</v>
      </c>
      <c r="M148" s="72">
        <f t="shared" si="25"/>
        <v>0.65000000000000213</v>
      </c>
      <c r="N148" s="8">
        <f t="shared" si="26"/>
        <v>3.9000000000000021</v>
      </c>
      <c r="O148" s="8">
        <v>3.75</v>
      </c>
      <c r="P148" s="8">
        <v>1.296</v>
      </c>
      <c r="Q148" s="8">
        <f>30*16</f>
        <v>480</v>
      </c>
      <c r="R148" s="40">
        <f t="shared" si="27"/>
        <v>9.0979200000000056</v>
      </c>
    </row>
    <row r="149" spans="5:18" ht="14" x14ac:dyDescent="0.25">
      <c r="E149" s="2" t="s">
        <v>23</v>
      </c>
      <c r="F149" s="41">
        <v>33.200000000000003</v>
      </c>
      <c r="G149" s="41">
        <v>7.7</v>
      </c>
      <c r="H149" s="71">
        <f t="shared" si="22"/>
        <v>3.85</v>
      </c>
      <c r="I149" s="71">
        <f t="shared" si="23"/>
        <v>29.35</v>
      </c>
      <c r="J149" s="45">
        <f t="shared" si="21"/>
        <v>1.75</v>
      </c>
      <c r="K149" s="45">
        <v>24</v>
      </c>
      <c r="L149" s="72">
        <f t="shared" si="24"/>
        <v>1.5</v>
      </c>
      <c r="M149" s="72">
        <f t="shared" si="25"/>
        <v>-4.9999999999997158E-2</v>
      </c>
      <c r="N149" s="8">
        <f t="shared" si="26"/>
        <v>3.2000000000000028</v>
      </c>
      <c r="O149" s="8">
        <v>3.75</v>
      </c>
      <c r="P149" s="8">
        <v>1.296</v>
      </c>
      <c r="Q149" s="8">
        <f>31*16</f>
        <v>496</v>
      </c>
      <c r="R149" s="40">
        <f t="shared" si="27"/>
        <v>7.7137920000000069</v>
      </c>
    </row>
    <row r="150" spans="5:18" ht="15" x14ac:dyDescent="0.25">
      <c r="E150" s="405" t="s">
        <v>60</v>
      </c>
      <c r="F150" s="406"/>
      <c r="G150" s="406"/>
      <c r="H150" s="406"/>
      <c r="I150" s="406"/>
      <c r="J150" s="406"/>
      <c r="K150" s="406"/>
      <c r="L150" s="406"/>
      <c r="M150" s="406"/>
      <c r="N150" s="406"/>
      <c r="O150" s="406"/>
      <c r="P150" s="406"/>
      <c r="Q150" s="406"/>
      <c r="R150" s="69">
        <f>SUM(R138:R149)</f>
        <v>134.95248000000007</v>
      </c>
    </row>
    <row r="151" spans="5:18" ht="15" x14ac:dyDescent="0.4">
      <c r="E151" s="379" t="s">
        <v>73</v>
      </c>
      <c r="F151" s="380"/>
      <c r="G151" s="380"/>
      <c r="H151" s="380"/>
      <c r="I151" s="380"/>
      <c r="J151" s="380"/>
      <c r="K151" s="380"/>
      <c r="L151" s="380"/>
      <c r="M151" s="380"/>
      <c r="N151" s="380"/>
      <c r="O151" s="380"/>
      <c r="P151" s="380"/>
      <c r="Q151" s="380"/>
      <c r="R151" s="381"/>
    </row>
    <row r="152" spans="5:18" ht="14" x14ac:dyDescent="0.25">
      <c r="E152" s="2" t="s">
        <v>15</v>
      </c>
      <c r="F152" s="71">
        <v>33.299999999999997</v>
      </c>
      <c r="G152" s="71">
        <v>8.1</v>
      </c>
      <c r="H152" s="41">
        <f>G152/2</f>
        <v>4.05</v>
      </c>
      <c r="I152" s="71">
        <f>F152-H152</f>
        <v>29.249999999999996</v>
      </c>
      <c r="J152" s="8">
        <f t="shared" ref="J152:J163" si="28">C$126</f>
        <v>1.75</v>
      </c>
      <c r="K152" s="8">
        <v>25</v>
      </c>
      <c r="L152" s="8">
        <f>25.5-K152</f>
        <v>0.5</v>
      </c>
      <c r="M152" s="8">
        <f t="shared" ref="M152:M163" si="29">I152-29.4</f>
        <v>-0.15000000000000213</v>
      </c>
      <c r="N152" s="8">
        <f t="shared" ref="N152:N163" si="30">J152+L152+M152</f>
        <v>2.0999999999999979</v>
      </c>
      <c r="O152" s="8">
        <v>3.75</v>
      </c>
      <c r="P152" s="8">
        <v>1.296</v>
      </c>
      <c r="Q152" s="8">
        <f>31*16</f>
        <v>496</v>
      </c>
      <c r="R152" s="40">
        <f t="shared" ref="R152:R163" si="31">(N152*O152*P152*Q152)/1000</f>
        <v>5.0621759999999947</v>
      </c>
    </row>
    <row r="153" spans="5:18" ht="14" x14ac:dyDescent="0.25">
      <c r="E153" s="2" t="s">
        <v>16</v>
      </c>
      <c r="F153" s="71">
        <v>34.1</v>
      </c>
      <c r="G153" s="71">
        <v>7.4</v>
      </c>
      <c r="H153" s="41">
        <f t="shared" ref="H153:H163" si="32">G153/2</f>
        <v>3.7</v>
      </c>
      <c r="I153" s="71">
        <f t="shared" ref="I153:I163" si="33">F153-H153</f>
        <v>30.400000000000002</v>
      </c>
      <c r="J153" s="8">
        <f t="shared" si="28"/>
        <v>1.75</v>
      </c>
      <c r="K153" s="8">
        <v>25</v>
      </c>
      <c r="L153" s="8">
        <f t="shared" ref="L153:L163" si="34">25.5-K153</f>
        <v>0.5</v>
      </c>
      <c r="M153" s="8">
        <f t="shared" si="29"/>
        <v>1.0000000000000036</v>
      </c>
      <c r="N153" s="8">
        <f t="shared" si="30"/>
        <v>3.2500000000000036</v>
      </c>
      <c r="O153" s="8">
        <v>3.75</v>
      </c>
      <c r="P153" s="8">
        <v>1.296</v>
      </c>
      <c r="Q153" s="8">
        <f>28*16</f>
        <v>448</v>
      </c>
      <c r="R153" s="40">
        <f t="shared" si="31"/>
        <v>7.0761600000000087</v>
      </c>
    </row>
    <row r="154" spans="5:18" ht="14" x14ac:dyDescent="0.25">
      <c r="E154" s="2" t="s">
        <v>17</v>
      </c>
      <c r="F154" s="71">
        <v>35.200000000000003</v>
      </c>
      <c r="G154" s="71">
        <v>6.9</v>
      </c>
      <c r="H154" s="41">
        <f t="shared" si="32"/>
        <v>3.45</v>
      </c>
      <c r="I154" s="71">
        <f t="shared" si="33"/>
        <v>31.750000000000004</v>
      </c>
      <c r="J154" s="8">
        <f t="shared" si="28"/>
        <v>1.75</v>
      </c>
      <c r="K154" s="8">
        <v>25</v>
      </c>
      <c r="L154" s="8">
        <f t="shared" si="34"/>
        <v>0.5</v>
      </c>
      <c r="M154" s="8">
        <f t="shared" si="29"/>
        <v>2.350000000000005</v>
      </c>
      <c r="N154" s="8">
        <f t="shared" si="30"/>
        <v>4.600000000000005</v>
      </c>
      <c r="O154" s="8">
        <v>3.75</v>
      </c>
      <c r="P154" s="8">
        <v>1.296</v>
      </c>
      <c r="Q154" s="8">
        <f>31*16</f>
        <v>496</v>
      </c>
      <c r="R154" s="40">
        <f t="shared" si="31"/>
        <v>11.088576000000012</v>
      </c>
    </row>
    <row r="155" spans="5:18" ht="14" x14ac:dyDescent="0.25">
      <c r="E155" s="2" t="s">
        <v>18</v>
      </c>
      <c r="F155" s="71">
        <v>36.4</v>
      </c>
      <c r="G155" s="71">
        <v>7.1</v>
      </c>
      <c r="H155" s="41">
        <f t="shared" si="32"/>
        <v>3.55</v>
      </c>
      <c r="I155" s="71">
        <f t="shared" si="33"/>
        <v>32.85</v>
      </c>
      <c r="J155" s="8">
        <f t="shared" si="28"/>
        <v>1.75</v>
      </c>
      <c r="K155" s="8">
        <v>25</v>
      </c>
      <c r="L155" s="8">
        <f t="shared" si="34"/>
        <v>0.5</v>
      </c>
      <c r="M155" s="8">
        <f t="shared" si="29"/>
        <v>3.4500000000000028</v>
      </c>
      <c r="N155" s="8">
        <f t="shared" si="30"/>
        <v>5.7000000000000028</v>
      </c>
      <c r="O155" s="8">
        <v>3.75</v>
      </c>
      <c r="P155" s="8">
        <v>1.296</v>
      </c>
      <c r="Q155" s="8">
        <f>30*16</f>
        <v>480</v>
      </c>
      <c r="R155" s="40">
        <f t="shared" si="31"/>
        <v>13.296960000000007</v>
      </c>
    </row>
    <row r="156" spans="5:18" ht="14" x14ac:dyDescent="0.25">
      <c r="E156" s="2" t="s">
        <v>12</v>
      </c>
      <c r="F156" s="71">
        <v>36.1</v>
      </c>
      <c r="G156" s="71">
        <v>6.7</v>
      </c>
      <c r="H156" s="41">
        <f t="shared" si="32"/>
        <v>3.35</v>
      </c>
      <c r="I156" s="71">
        <f t="shared" si="33"/>
        <v>32.75</v>
      </c>
      <c r="J156" s="8">
        <f t="shared" si="28"/>
        <v>1.75</v>
      </c>
      <c r="K156" s="8">
        <v>25</v>
      </c>
      <c r="L156" s="8">
        <f t="shared" si="34"/>
        <v>0.5</v>
      </c>
      <c r="M156" s="8">
        <f t="shared" si="29"/>
        <v>3.3500000000000014</v>
      </c>
      <c r="N156" s="8">
        <f t="shared" si="30"/>
        <v>5.6000000000000014</v>
      </c>
      <c r="O156" s="8">
        <v>3.75</v>
      </c>
      <c r="P156" s="8">
        <v>1.296</v>
      </c>
      <c r="Q156" s="8">
        <f>31*16</f>
        <v>496</v>
      </c>
      <c r="R156" s="40">
        <f t="shared" si="31"/>
        <v>13.499136000000005</v>
      </c>
    </row>
    <row r="157" spans="5:18" ht="14" x14ac:dyDescent="0.25">
      <c r="E157" s="2" t="s">
        <v>13</v>
      </c>
      <c r="F157" s="71">
        <v>34.6</v>
      </c>
      <c r="G157" s="71">
        <v>6.2</v>
      </c>
      <c r="H157" s="41">
        <f t="shared" si="32"/>
        <v>3.1</v>
      </c>
      <c r="I157" s="71">
        <f t="shared" si="33"/>
        <v>31.5</v>
      </c>
      <c r="J157" s="8">
        <f t="shared" si="28"/>
        <v>1.75</v>
      </c>
      <c r="K157" s="8">
        <v>25</v>
      </c>
      <c r="L157" s="8">
        <f t="shared" si="34"/>
        <v>0.5</v>
      </c>
      <c r="M157" s="8">
        <f t="shared" si="29"/>
        <v>2.1000000000000014</v>
      </c>
      <c r="N157" s="8">
        <f t="shared" si="30"/>
        <v>4.3500000000000014</v>
      </c>
      <c r="O157" s="8">
        <v>3.75</v>
      </c>
      <c r="P157" s="8">
        <v>1.296</v>
      </c>
      <c r="Q157" s="8">
        <f>30*16</f>
        <v>480</v>
      </c>
      <c r="R157" s="40">
        <f t="shared" si="31"/>
        <v>10.147680000000005</v>
      </c>
    </row>
    <row r="158" spans="5:18" ht="14" x14ac:dyDescent="0.25">
      <c r="E158" s="2" t="s">
        <v>24</v>
      </c>
      <c r="F158" s="41">
        <v>34</v>
      </c>
      <c r="G158" s="41">
        <v>5.8</v>
      </c>
      <c r="H158" s="41">
        <f t="shared" si="32"/>
        <v>2.9</v>
      </c>
      <c r="I158" s="71">
        <f t="shared" si="33"/>
        <v>31.1</v>
      </c>
      <c r="J158" s="8">
        <f t="shared" si="28"/>
        <v>1.75</v>
      </c>
      <c r="K158" s="8">
        <v>25</v>
      </c>
      <c r="L158" s="8">
        <f t="shared" si="34"/>
        <v>0.5</v>
      </c>
      <c r="M158" s="8">
        <f t="shared" si="29"/>
        <v>1.7000000000000028</v>
      </c>
      <c r="N158" s="8">
        <f t="shared" si="30"/>
        <v>3.9500000000000028</v>
      </c>
      <c r="O158" s="8">
        <v>3.75</v>
      </c>
      <c r="P158" s="8">
        <v>1.296</v>
      </c>
      <c r="Q158" s="8">
        <f>31*16</f>
        <v>496</v>
      </c>
      <c r="R158" s="40">
        <f t="shared" si="31"/>
        <v>9.5217120000000062</v>
      </c>
    </row>
    <row r="159" spans="5:18" ht="14" x14ac:dyDescent="0.25">
      <c r="E159" s="2" t="s">
        <v>19</v>
      </c>
      <c r="F159" s="41">
        <v>33.799999999999997</v>
      </c>
      <c r="G159" s="41">
        <v>5.9</v>
      </c>
      <c r="H159" s="41">
        <f t="shared" si="32"/>
        <v>2.95</v>
      </c>
      <c r="I159" s="71">
        <f t="shared" si="33"/>
        <v>30.849999999999998</v>
      </c>
      <c r="J159" s="8">
        <f t="shared" si="28"/>
        <v>1.75</v>
      </c>
      <c r="K159" s="8">
        <v>25</v>
      </c>
      <c r="L159" s="8">
        <f t="shared" si="34"/>
        <v>0.5</v>
      </c>
      <c r="M159" s="8">
        <f t="shared" si="29"/>
        <v>1.4499999999999993</v>
      </c>
      <c r="N159" s="8">
        <f t="shared" si="30"/>
        <v>3.6999999999999993</v>
      </c>
      <c r="O159" s="8">
        <v>3.75</v>
      </c>
      <c r="P159" s="8">
        <v>1.296</v>
      </c>
      <c r="Q159" s="8">
        <f>31*16</f>
        <v>496</v>
      </c>
      <c r="R159" s="40">
        <f t="shared" si="31"/>
        <v>8.9190719999999981</v>
      </c>
    </row>
    <row r="160" spans="5:18" ht="14" x14ac:dyDescent="0.25">
      <c r="E160" s="2" t="s">
        <v>20</v>
      </c>
      <c r="F160" s="41">
        <v>33.6</v>
      </c>
      <c r="G160" s="41">
        <v>6.2</v>
      </c>
      <c r="H160" s="41">
        <f t="shared" si="32"/>
        <v>3.1</v>
      </c>
      <c r="I160" s="71">
        <f t="shared" si="33"/>
        <v>30.5</v>
      </c>
      <c r="J160" s="8">
        <f t="shared" si="28"/>
        <v>1.75</v>
      </c>
      <c r="K160" s="8">
        <v>25</v>
      </c>
      <c r="L160" s="8">
        <f t="shared" si="34"/>
        <v>0.5</v>
      </c>
      <c r="M160" s="8">
        <f t="shared" si="29"/>
        <v>1.1000000000000014</v>
      </c>
      <c r="N160" s="8">
        <f t="shared" si="30"/>
        <v>3.3500000000000014</v>
      </c>
      <c r="O160" s="8">
        <v>3.75</v>
      </c>
      <c r="P160" s="8">
        <v>1.296</v>
      </c>
      <c r="Q160" s="8">
        <f>30*16</f>
        <v>480</v>
      </c>
      <c r="R160" s="40">
        <f t="shared" si="31"/>
        <v>7.8148800000000032</v>
      </c>
    </row>
    <row r="161" spans="5:18" ht="14" x14ac:dyDescent="0.25">
      <c r="E161" s="2" t="s">
        <v>21</v>
      </c>
      <c r="F161" s="41">
        <v>33.700000000000003</v>
      </c>
      <c r="G161" s="41">
        <v>6.4</v>
      </c>
      <c r="H161" s="41">
        <f t="shared" si="32"/>
        <v>3.2</v>
      </c>
      <c r="I161" s="71">
        <f t="shared" si="33"/>
        <v>30.500000000000004</v>
      </c>
      <c r="J161" s="8">
        <f t="shared" si="28"/>
        <v>1.75</v>
      </c>
      <c r="K161" s="8">
        <v>25</v>
      </c>
      <c r="L161" s="8">
        <f t="shared" si="34"/>
        <v>0.5</v>
      </c>
      <c r="M161" s="8">
        <f t="shared" si="29"/>
        <v>1.100000000000005</v>
      </c>
      <c r="N161" s="8">
        <f t="shared" si="30"/>
        <v>3.350000000000005</v>
      </c>
      <c r="O161" s="8">
        <v>3.75</v>
      </c>
      <c r="P161" s="8">
        <v>1.296</v>
      </c>
      <c r="Q161" s="8">
        <f>31*16</f>
        <v>496</v>
      </c>
      <c r="R161" s="40">
        <f t="shared" si="31"/>
        <v>8.0753760000000128</v>
      </c>
    </row>
    <row r="162" spans="5:18" ht="14" x14ac:dyDescent="0.25">
      <c r="E162" s="2" t="s">
        <v>22</v>
      </c>
      <c r="F162" s="41">
        <v>33.5</v>
      </c>
      <c r="G162" s="41">
        <v>6.9</v>
      </c>
      <c r="H162" s="41">
        <f t="shared" si="32"/>
        <v>3.45</v>
      </c>
      <c r="I162" s="71">
        <f t="shared" si="33"/>
        <v>30.05</v>
      </c>
      <c r="J162" s="8">
        <f t="shared" si="28"/>
        <v>1.75</v>
      </c>
      <c r="K162" s="8">
        <v>25</v>
      </c>
      <c r="L162" s="8">
        <f t="shared" si="34"/>
        <v>0.5</v>
      </c>
      <c r="M162" s="8">
        <f t="shared" si="29"/>
        <v>0.65000000000000213</v>
      </c>
      <c r="N162" s="8">
        <f t="shared" si="30"/>
        <v>2.9000000000000021</v>
      </c>
      <c r="O162" s="8">
        <v>3.75</v>
      </c>
      <c r="P162" s="8">
        <v>1.296</v>
      </c>
      <c r="Q162" s="8">
        <f>30*16</f>
        <v>480</v>
      </c>
      <c r="R162" s="40">
        <f t="shared" si="31"/>
        <v>6.765120000000004</v>
      </c>
    </row>
    <row r="163" spans="5:18" ht="14" x14ac:dyDescent="0.25">
      <c r="E163" s="2" t="s">
        <v>23</v>
      </c>
      <c r="F163" s="41">
        <v>33.200000000000003</v>
      </c>
      <c r="G163" s="41">
        <v>7.7</v>
      </c>
      <c r="H163" s="41">
        <f t="shared" si="32"/>
        <v>3.85</v>
      </c>
      <c r="I163" s="71">
        <f t="shared" si="33"/>
        <v>29.35</v>
      </c>
      <c r="J163" s="8">
        <f t="shared" si="28"/>
        <v>1.75</v>
      </c>
      <c r="K163" s="8">
        <v>25</v>
      </c>
      <c r="L163" s="8">
        <f t="shared" si="34"/>
        <v>0.5</v>
      </c>
      <c r="M163" s="8">
        <f t="shared" si="29"/>
        <v>-4.9999999999997158E-2</v>
      </c>
      <c r="N163" s="8">
        <f t="shared" si="30"/>
        <v>2.2000000000000028</v>
      </c>
      <c r="O163" s="8">
        <v>3.75</v>
      </c>
      <c r="P163" s="8">
        <v>1.296</v>
      </c>
      <c r="Q163" s="8">
        <f>31*16</f>
        <v>496</v>
      </c>
      <c r="R163" s="40">
        <f t="shared" si="31"/>
        <v>5.3032320000000075</v>
      </c>
    </row>
    <row r="164" spans="5:18" ht="15" x14ac:dyDescent="0.25">
      <c r="E164" s="405" t="s">
        <v>61</v>
      </c>
      <c r="F164" s="406"/>
      <c r="G164" s="406"/>
      <c r="H164" s="406"/>
      <c r="I164" s="406"/>
      <c r="J164" s="406"/>
      <c r="K164" s="406"/>
      <c r="L164" s="406"/>
      <c r="M164" s="406"/>
      <c r="N164" s="406"/>
      <c r="O164" s="406"/>
      <c r="P164" s="406"/>
      <c r="Q164" s="406"/>
      <c r="R164" s="69">
        <f>SUM(R152:R163)</f>
        <v>106.57008000000006</v>
      </c>
    </row>
    <row r="165" spans="5:18" ht="15" x14ac:dyDescent="0.4">
      <c r="E165" s="379" t="s">
        <v>74</v>
      </c>
      <c r="F165" s="380"/>
      <c r="G165" s="380"/>
      <c r="H165" s="380"/>
      <c r="I165" s="380"/>
      <c r="J165" s="380"/>
      <c r="K165" s="380"/>
      <c r="L165" s="380"/>
      <c r="M165" s="380"/>
      <c r="N165" s="380"/>
      <c r="O165" s="380"/>
      <c r="P165" s="380"/>
      <c r="Q165" s="380"/>
      <c r="R165" s="381"/>
    </row>
    <row r="166" spans="5:18" ht="14" x14ac:dyDescent="0.25">
      <c r="E166" s="2" t="s">
        <v>15</v>
      </c>
      <c r="F166" s="71">
        <v>33.299999999999997</v>
      </c>
      <c r="G166" s="71">
        <v>8.1</v>
      </c>
      <c r="H166" s="41">
        <f>G166/2</f>
        <v>4.05</v>
      </c>
      <c r="I166" s="71">
        <f>F166-H166</f>
        <v>29.249999999999996</v>
      </c>
      <c r="J166" s="5">
        <f t="shared" ref="J166:J177" si="35">C$126</f>
        <v>1.75</v>
      </c>
      <c r="K166" s="5">
        <v>26</v>
      </c>
      <c r="L166" s="5">
        <f>25.5-K166</f>
        <v>-0.5</v>
      </c>
      <c r="M166" s="8">
        <f t="shared" ref="M166:M177" si="36">I166-29.4</f>
        <v>-0.15000000000000213</v>
      </c>
      <c r="N166" s="8">
        <f>J166+L166+M166</f>
        <v>1.0999999999999979</v>
      </c>
      <c r="O166" s="8">
        <v>3.75</v>
      </c>
      <c r="P166" s="8">
        <v>1.296</v>
      </c>
      <c r="Q166" s="8">
        <f>31*16</f>
        <v>496</v>
      </c>
      <c r="R166" s="40">
        <f t="shared" ref="R166:R177" si="37">(N166*O166*P166*Q166)/1000</f>
        <v>2.6516159999999944</v>
      </c>
    </row>
    <row r="167" spans="5:18" ht="14" x14ac:dyDescent="0.25">
      <c r="E167" s="2" t="s">
        <v>16</v>
      </c>
      <c r="F167" s="71">
        <v>34.1</v>
      </c>
      <c r="G167" s="71">
        <v>7.4</v>
      </c>
      <c r="H167" s="41">
        <f t="shared" ref="H167:H177" si="38">G167/2</f>
        <v>3.7</v>
      </c>
      <c r="I167" s="71">
        <f t="shared" ref="I167:I177" si="39">F167-H167</f>
        <v>30.400000000000002</v>
      </c>
      <c r="J167" s="5">
        <f t="shared" si="35"/>
        <v>1.75</v>
      </c>
      <c r="K167" s="5">
        <v>26</v>
      </c>
      <c r="L167" s="5">
        <f t="shared" ref="L167:L177" si="40">25.5-K167</f>
        <v>-0.5</v>
      </c>
      <c r="M167" s="8">
        <f t="shared" si="36"/>
        <v>1.0000000000000036</v>
      </c>
      <c r="N167" s="8">
        <f t="shared" ref="N167:N177" si="41">J167+L167+M167</f>
        <v>2.2500000000000036</v>
      </c>
      <c r="O167" s="8">
        <v>3.75</v>
      </c>
      <c r="P167" s="8">
        <v>1.296</v>
      </c>
      <c r="Q167" s="8">
        <f>28*16</f>
        <v>448</v>
      </c>
      <c r="R167" s="40">
        <f t="shared" si="37"/>
        <v>4.8988800000000081</v>
      </c>
    </row>
    <row r="168" spans="5:18" ht="14" x14ac:dyDescent="0.25">
      <c r="E168" s="2" t="s">
        <v>17</v>
      </c>
      <c r="F168" s="71">
        <v>35.200000000000003</v>
      </c>
      <c r="G168" s="71">
        <v>6.9</v>
      </c>
      <c r="H168" s="41">
        <f t="shared" si="38"/>
        <v>3.45</v>
      </c>
      <c r="I168" s="71">
        <f t="shared" si="39"/>
        <v>31.750000000000004</v>
      </c>
      <c r="J168" s="5">
        <f t="shared" si="35"/>
        <v>1.75</v>
      </c>
      <c r="K168" s="5">
        <v>26</v>
      </c>
      <c r="L168" s="5">
        <f t="shared" si="40"/>
        <v>-0.5</v>
      </c>
      <c r="M168" s="8">
        <f t="shared" si="36"/>
        <v>2.350000000000005</v>
      </c>
      <c r="N168" s="8">
        <f t="shared" si="41"/>
        <v>3.600000000000005</v>
      </c>
      <c r="O168" s="8">
        <v>3.75</v>
      </c>
      <c r="P168" s="8">
        <v>1.296</v>
      </c>
      <c r="Q168" s="8">
        <f>31*16</f>
        <v>496</v>
      </c>
      <c r="R168" s="40">
        <f t="shared" si="37"/>
        <v>8.6780160000000119</v>
      </c>
    </row>
    <row r="169" spans="5:18" ht="14" x14ac:dyDescent="0.25">
      <c r="E169" s="2" t="s">
        <v>18</v>
      </c>
      <c r="F169" s="71">
        <v>36.4</v>
      </c>
      <c r="G169" s="71">
        <v>7.1</v>
      </c>
      <c r="H169" s="41">
        <f t="shared" si="38"/>
        <v>3.55</v>
      </c>
      <c r="I169" s="71">
        <f t="shared" si="39"/>
        <v>32.85</v>
      </c>
      <c r="J169" s="5">
        <f t="shared" si="35"/>
        <v>1.75</v>
      </c>
      <c r="K169" s="5">
        <v>26</v>
      </c>
      <c r="L169" s="5">
        <f t="shared" si="40"/>
        <v>-0.5</v>
      </c>
      <c r="M169" s="8">
        <f t="shared" si="36"/>
        <v>3.4500000000000028</v>
      </c>
      <c r="N169" s="8">
        <f t="shared" si="41"/>
        <v>4.7000000000000028</v>
      </c>
      <c r="O169" s="8">
        <v>3.75</v>
      </c>
      <c r="P169" s="8">
        <v>1.296</v>
      </c>
      <c r="Q169" s="8">
        <f>30*16</f>
        <v>480</v>
      </c>
      <c r="R169" s="40">
        <f t="shared" si="37"/>
        <v>10.964160000000007</v>
      </c>
    </row>
    <row r="170" spans="5:18" ht="14" x14ac:dyDescent="0.25">
      <c r="E170" s="2" t="s">
        <v>12</v>
      </c>
      <c r="F170" s="71">
        <v>36.1</v>
      </c>
      <c r="G170" s="71">
        <v>6.7</v>
      </c>
      <c r="H170" s="41">
        <f t="shared" si="38"/>
        <v>3.35</v>
      </c>
      <c r="I170" s="71">
        <f t="shared" si="39"/>
        <v>32.75</v>
      </c>
      <c r="J170" s="5">
        <f t="shared" si="35"/>
        <v>1.75</v>
      </c>
      <c r="K170" s="5">
        <v>26</v>
      </c>
      <c r="L170" s="5">
        <f t="shared" si="40"/>
        <v>-0.5</v>
      </c>
      <c r="M170" s="8">
        <f t="shared" si="36"/>
        <v>3.3500000000000014</v>
      </c>
      <c r="N170" s="8">
        <f t="shared" si="41"/>
        <v>4.6000000000000014</v>
      </c>
      <c r="O170" s="8">
        <v>3.75</v>
      </c>
      <c r="P170" s="8">
        <v>1.296</v>
      </c>
      <c r="Q170" s="8">
        <f>31*16</f>
        <v>496</v>
      </c>
      <c r="R170" s="40">
        <f t="shared" si="37"/>
        <v>11.088576000000005</v>
      </c>
    </row>
    <row r="171" spans="5:18" ht="14" x14ac:dyDescent="0.25">
      <c r="E171" s="2" t="s">
        <v>13</v>
      </c>
      <c r="F171" s="71">
        <v>34.6</v>
      </c>
      <c r="G171" s="71">
        <v>6.2</v>
      </c>
      <c r="H171" s="41">
        <f t="shared" si="38"/>
        <v>3.1</v>
      </c>
      <c r="I171" s="71">
        <f t="shared" si="39"/>
        <v>31.5</v>
      </c>
      <c r="J171" s="5">
        <f t="shared" si="35"/>
        <v>1.75</v>
      </c>
      <c r="K171" s="5">
        <v>26</v>
      </c>
      <c r="L171" s="5">
        <f t="shared" si="40"/>
        <v>-0.5</v>
      </c>
      <c r="M171" s="8">
        <f t="shared" si="36"/>
        <v>2.1000000000000014</v>
      </c>
      <c r="N171" s="8">
        <f t="shared" si="41"/>
        <v>3.3500000000000014</v>
      </c>
      <c r="O171" s="8">
        <v>3.75</v>
      </c>
      <c r="P171" s="8">
        <v>1.296</v>
      </c>
      <c r="Q171" s="8">
        <f>30*16</f>
        <v>480</v>
      </c>
      <c r="R171" s="40">
        <f t="shared" si="37"/>
        <v>7.8148800000000032</v>
      </c>
    </row>
    <row r="172" spans="5:18" ht="14" x14ac:dyDescent="0.25">
      <c r="E172" s="2" t="s">
        <v>24</v>
      </c>
      <c r="F172" s="41">
        <v>34</v>
      </c>
      <c r="G172" s="41">
        <v>5.8</v>
      </c>
      <c r="H172" s="41">
        <f t="shared" si="38"/>
        <v>2.9</v>
      </c>
      <c r="I172" s="71">
        <f t="shared" si="39"/>
        <v>31.1</v>
      </c>
      <c r="J172" s="5">
        <f t="shared" si="35"/>
        <v>1.75</v>
      </c>
      <c r="K172" s="5">
        <v>26</v>
      </c>
      <c r="L172" s="5">
        <f t="shared" si="40"/>
        <v>-0.5</v>
      </c>
      <c r="M172" s="8">
        <f t="shared" si="36"/>
        <v>1.7000000000000028</v>
      </c>
      <c r="N172" s="8">
        <f t="shared" si="41"/>
        <v>2.9500000000000028</v>
      </c>
      <c r="O172" s="8">
        <v>3.75</v>
      </c>
      <c r="P172" s="8">
        <v>1.296</v>
      </c>
      <c r="Q172" s="8">
        <f>31*16</f>
        <v>496</v>
      </c>
      <c r="R172" s="40">
        <f t="shared" si="37"/>
        <v>7.1111520000000077</v>
      </c>
    </row>
    <row r="173" spans="5:18" ht="14" x14ac:dyDescent="0.25">
      <c r="E173" s="2" t="s">
        <v>19</v>
      </c>
      <c r="F173" s="41">
        <v>33.799999999999997</v>
      </c>
      <c r="G173" s="41">
        <v>5.9</v>
      </c>
      <c r="H173" s="41">
        <f t="shared" si="38"/>
        <v>2.95</v>
      </c>
      <c r="I173" s="71">
        <f t="shared" si="39"/>
        <v>30.849999999999998</v>
      </c>
      <c r="J173" s="5">
        <f t="shared" si="35"/>
        <v>1.75</v>
      </c>
      <c r="K173" s="5">
        <v>26</v>
      </c>
      <c r="L173" s="5">
        <f t="shared" si="40"/>
        <v>-0.5</v>
      </c>
      <c r="M173" s="8">
        <f t="shared" si="36"/>
        <v>1.4499999999999993</v>
      </c>
      <c r="N173" s="8">
        <f t="shared" si="41"/>
        <v>2.6999999999999993</v>
      </c>
      <c r="O173" s="8">
        <v>3.75</v>
      </c>
      <c r="P173" s="8">
        <v>1.296</v>
      </c>
      <c r="Q173" s="8">
        <f>31*16</f>
        <v>496</v>
      </c>
      <c r="R173" s="40">
        <f t="shared" si="37"/>
        <v>6.5085119999999979</v>
      </c>
    </row>
    <row r="174" spans="5:18" ht="14" x14ac:dyDescent="0.25">
      <c r="E174" s="2" t="s">
        <v>20</v>
      </c>
      <c r="F174" s="41">
        <v>33.6</v>
      </c>
      <c r="G174" s="41">
        <v>6.2</v>
      </c>
      <c r="H174" s="41">
        <f t="shared" si="38"/>
        <v>3.1</v>
      </c>
      <c r="I174" s="71">
        <f t="shared" si="39"/>
        <v>30.5</v>
      </c>
      <c r="J174" s="5">
        <f t="shared" si="35"/>
        <v>1.75</v>
      </c>
      <c r="K174" s="5">
        <v>26</v>
      </c>
      <c r="L174" s="5">
        <f t="shared" si="40"/>
        <v>-0.5</v>
      </c>
      <c r="M174" s="8">
        <f t="shared" si="36"/>
        <v>1.1000000000000014</v>
      </c>
      <c r="N174" s="8">
        <f t="shared" si="41"/>
        <v>2.3500000000000014</v>
      </c>
      <c r="O174" s="8">
        <v>3.75</v>
      </c>
      <c r="P174" s="8">
        <v>1.296</v>
      </c>
      <c r="Q174" s="8">
        <f>30*16</f>
        <v>480</v>
      </c>
      <c r="R174" s="40">
        <f t="shared" si="37"/>
        <v>5.4820800000000034</v>
      </c>
    </row>
    <row r="175" spans="5:18" ht="14" x14ac:dyDescent="0.25">
      <c r="E175" s="2" t="s">
        <v>21</v>
      </c>
      <c r="F175" s="41">
        <v>33.700000000000003</v>
      </c>
      <c r="G175" s="41">
        <v>6.4</v>
      </c>
      <c r="H175" s="41">
        <f t="shared" si="38"/>
        <v>3.2</v>
      </c>
      <c r="I175" s="71">
        <f t="shared" si="39"/>
        <v>30.500000000000004</v>
      </c>
      <c r="J175" s="5">
        <f t="shared" si="35"/>
        <v>1.75</v>
      </c>
      <c r="K175" s="5">
        <v>26</v>
      </c>
      <c r="L175" s="5">
        <f t="shared" si="40"/>
        <v>-0.5</v>
      </c>
      <c r="M175" s="8">
        <f t="shared" si="36"/>
        <v>1.100000000000005</v>
      </c>
      <c r="N175" s="8">
        <f t="shared" si="41"/>
        <v>2.350000000000005</v>
      </c>
      <c r="O175" s="8">
        <v>3.75</v>
      </c>
      <c r="P175" s="8">
        <v>1.296</v>
      </c>
      <c r="Q175" s="8">
        <f>31*16</f>
        <v>496</v>
      </c>
      <c r="R175" s="40">
        <f t="shared" si="37"/>
        <v>5.6648160000000116</v>
      </c>
    </row>
    <row r="176" spans="5:18" ht="14" x14ac:dyDescent="0.25">
      <c r="E176" s="2" t="s">
        <v>22</v>
      </c>
      <c r="F176" s="41">
        <v>33.5</v>
      </c>
      <c r="G176" s="41">
        <v>6.9</v>
      </c>
      <c r="H176" s="41">
        <f t="shared" si="38"/>
        <v>3.45</v>
      </c>
      <c r="I176" s="71">
        <f t="shared" si="39"/>
        <v>30.05</v>
      </c>
      <c r="J176" s="5">
        <f t="shared" si="35"/>
        <v>1.75</v>
      </c>
      <c r="K176" s="5">
        <v>26</v>
      </c>
      <c r="L176" s="5">
        <f t="shared" si="40"/>
        <v>-0.5</v>
      </c>
      <c r="M176" s="8">
        <f t="shared" si="36"/>
        <v>0.65000000000000213</v>
      </c>
      <c r="N176" s="8">
        <f t="shared" si="41"/>
        <v>1.9000000000000021</v>
      </c>
      <c r="O176" s="8">
        <v>3.75</v>
      </c>
      <c r="P176" s="8">
        <v>1.296</v>
      </c>
      <c r="Q176" s="8">
        <f>30*16</f>
        <v>480</v>
      </c>
      <c r="R176" s="40">
        <f t="shared" si="37"/>
        <v>4.4323200000000051</v>
      </c>
    </row>
    <row r="177" spans="5:18" ht="14" x14ac:dyDescent="0.25">
      <c r="E177" s="2" t="s">
        <v>23</v>
      </c>
      <c r="F177" s="41">
        <v>33.200000000000003</v>
      </c>
      <c r="G177" s="41">
        <v>7.7</v>
      </c>
      <c r="H177" s="41">
        <f t="shared" si="38"/>
        <v>3.85</v>
      </c>
      <c r="I177" s="71">
        <f t="shared" si="39"/>
        <v>29.35</v>
      </c>
      <c r="J177" s="5">
        <f t="shared" si="35"/>
        <v>1.75</v>
      </c>
      <c r="K177" s="5">
        <v>26</v>
      </c>
      <c r="L177" s="5">
        <f t="shared" si="40"/>
        <v>-0.5</v>
      </c>
      <c r="M177" s="8">
        <f t="shared" si="36"/>
        <v>-4.9999999999997158E-2</v>
      </c>
      <c r="N177" s="8">
        <f t="shared" si="41"/>
        <v>1.2000000000000028</v>
      </c>
      <c r="O177" s="8">
        <v>3.75</v>
      </c>
      <c r="P177" s="8">
        <v>1.296</v>
      </c>
      <c r="Q177" s="8">
        <f>31*16</f>
        <v>496</v>
      </c>
      <c r="R177" s="40">
        <f t="shared" si="37"/>
        <v>2.8926720000000068</v>
      </c>
    </row>
    <row r="178" spans="5:18" ht="15" x14ac:dyDescent="0.25">
      <c r="E178" s="405" t="s">
        <v>61</v>
      </c>
      <c r="F178" s="406"/>
      <c r="G178" s="406"/>
      <c r="H178" s="406"/>
      <c r="I178" s="406"/>
      <c r="J178" s="406"/>
      <c r="K178" s="406"/>
      <c r="L178" s="406"/>
      <c r="M178" s="406"/>
      <c r="N178" s="406"/>
      <c r="O178" s="406"/>
      <c r="P178" s="406"/>
      <c r="Q178" s="406"/>
      <c r="R178" s="69">
        <f>SUM(R166:R177)</f>
        <v>78.187680000000071</v>
      </c>
    </row>
    <row r="179" spans="5:18" ht="15" x14ac:dyDescent="0.4">
      <c r="E179" s="379" t="s">
        <v>75</v>
      </c>
      <c r="F179" s="380"/>
      <c r="G179" s="380"/>
      <c r="H179" s="380"/>
      <c r="I179" s="380"/>
      <c r="J179" s="380"/>
      <c r="K179" s="380"/>
      <c r="L179" s="380"/>
      <c r="M179" s="380"/>
      <c r="N179" s="380"/>
      <c r="O179" s="380"/>
      <c r="P179" s="380"/>
      <c r="Q179" s="380"/>
      <c r="R179" s="381"/>
    </row>
    <row r="180" spans="5:18" ht="14" x14ac:dyDescent="0.25">
      <c r="E180" s="2" t="s">
        <v>15</v>
      </c>
      <c r="F180" s="71">
        <v>33.299999999999997</v>
      </c>
      <c r="G180" s="71">
        <v>8.1</v>
      </c>
      <c r="H180" s="41">
        <f>G180/2</f>
        <v>4.05</v>
      </c>
      <c r="I180" s="71">
        <f>F180-H180</f>
        <v>29.249999999999996</v>
      </c>
      <c r="J180" s="5">
        <f t="shared" ref="J180:J191" si="42">C$126</f>
        <v>1.75</v>
      </c>
      <c r="K180" s="5">
        <v>27</v>
      </c>
      <c r="L180" s="5">
        <f>25.5-K180</f>
        <v>-1.5</v>
      </c>
      <c r="M180" s="8">
        <f t="shared" ref="M180:M191" si="43">I180-29.4</f>
        <v>-0.15000000000000213</v>
      </c>
      <c r="N180" s="8">
        <f>J180+L180+M180</f>
        <v>9.9999999999997868E-2</v>
      </c>
      <c r="O180" s="8">
        <v>3.75</v>
      </c>
      <c r="P180" s="8">
        <v>1.296</v>
      </c>
      <c r="Q180" s="8">
        <f>31*16</f>
        <v>496</v>
      </c>
      <c r="R180" s="40">
        <f t="shared" ref="R180:R191" si="44">(N180*O180*P180*Q180)/1000</f>
        <v>0.24105599999999486</v>
      </c>
    </row>
    <row r="181" spans="5:18" ht="14" x14ac:dyDescent="0.25">
      <c r="E181" s="2" t="s">
        <v>16</v>
      </c>
      <c r="F181" s="71">
        <v>34.1</v>
      </c>
      <c r="G181" s="71">
        <v>7.4</v>
      </c>
      <c r="H181" s="41">
        <f t="shared" ref="H181:H191" si="45">G181/2</f>
        <v>3.7</v>
      </c>
      <c r="I181" s="71">
        <f t="shared" ref="I181:I191" si="46">F181-H181</f>
        <v>30.400000000000002</v>
      </c>
      <c r="J181" s="5">
        <f t="shared" si="42"/>
        <v>1.75</v>
      </c>
      <c r="K181" s="5">
        <v>27</v>
      </c>
      <c r="L181" s="5">
        <f t="shared" ref="L181:L191" si="47">25.5-K181</f>
        <v>-1.5</v>
      </c>
      <c r="M181" s="8">
        <f t="shared" si="43"/>
        <v>1.0000000000000036</v>
      </c>
      <c r="N181" s="8">
        <f t="shared" ref="N181:N191" si="48">J181+L181+M181</f>
        <v>1.2500000000000036</v>
      </c>
      <c r="O181" s="8">
        <v>3.75</v>
      </c>
      <c r="P181" s="8">
        <v>1.296</v>
      </c>
      <c r="Q181" s="8">
        <f>28*16</f>
        <v>448</v>
      </c>
      <c r="R181" s="40">
        <f t="shared" si="44"/>
        <v>2.7216000000000076</v>
      </c>
    </row>
    <row r="182" spans="5:18" ht="14" x14ac:dyDescent="0.25">
      <c r="E182" s="2" t="s">
        <v>17</v>
      </c>
      <c r="F182" s="71">
        <v>35.200000000000003</v>
      </c>
      <c r="G182" s="71">
        <v>6.9</v>
      </c>
      <c r="H182" s="41">
        <f t="shared" si="45"/>
        <v>3.45</v>
      </c>
      <c r="I182" s="71">
        <f t="shared" si="46"/>
        <v>31.750000000000004</v>
      </c>
      <c r="J182" s="5">
        <f t="shared" si="42"/>
        <v>1.75</v>
      </c>
      <c r="K182" s="5">
        <v>27</v>
      </c>
      <c r="L182" s="5">
        <f t="shared" si="47"/>
        <v>-1.5</v>
      </c>
      <c r="M182" s="8">
        <f t="shared" si="43"/>
        <v>2.350000000000005</v>
      </c>
      <c r="N182" s="8">
        <f t="shared" si="48"/>
        <v>2.600000000000005</v>
      </c>
      <c r="O182" s="8">
        <v>3.75</v>
      </c>
      <c r="P182" s="8">
        <v>1.296</v>
      </c>
      <c r="Q182" s="8">
        <f>31*16</f>
        <v>496</v>
      </c>
      <c r="R182" s="40">
        <f t="shared" si="44"/>
        <v>6.2674560000000117</v>
      </c>
    </row>
    <row r="183" spans="5:18" ht="14" x14ac:dyDescent="0.25">
      <c r="E183" s="2" t="s">
        <v>18</v>
      </c>
      <c r="F183" s="71">
        <v>36.4</v>
      </c>
      <c r="G183" s="71">
        <v>7.1</v>
      </c>
      <c r="H183" s="41">
        <f t="shared" si="45"/>
        <v>3.55</v>
      </c>
      <c r="I183" s="71">
        <f t="shared" si="46"/>
        <v>32.85</v>
      </c>
      <c r="J183" s="5">
        <f t="shared" si="42"/>
        <v>1.75</v>
      </c>
      <c r="K183" s="5">
        <v>27</v>
      </c>
      <c r="L183" s="5">
        <f t="shared" si="47"/>
        <v>-1.5</v>
      </c>
      <c r="M183" s="8">
        <f t="shared" si="43"/>
        <v>3.4500000000000028</v>
      </c>
      <c r="N183" s="8">
        <f t="shared" si="48"/>
        <v>3.7000000000000028</v>
      </c>
      <c r="O183" s="8">
        <v>3.75</v>
      </c>
      <c r="P183" s="8">
        <v>1.296</v>
      </c>
      <c r="Q183" s="8">
        <f>30*16</f>
        <v>480</v>
      </c>
      <c r="R183" s="40">
        <f t="shared" si="44"/>
        <v>8.6313600000000061</v>
      </c>
    </row>
    <row r="184" spans="5:18" ht="14" x14ac:dyDescent="0.25">
      <c r="E184" s="2" t="s">
        <v>12</v>
      </c>
      <c r="F184" s="71">
        <v>36.1</v>
      </c>
      <c r="G184" s="71">
        <v>6.7</v>
      </c>
      <c r="H184" s="41">
        <f t="shared" si="45"/>
        <v>3.35</v>
      </c>
      <c r="I184" s="71">
        <f t="shared" si="46"/>
        <v>32.75</v>
      </c>
      <c r="J184" s="5">
        <f t="shared" si="42"/>
        <v>1.75</v>
      </c>
      <c r="K184" s="5">
        <v>27</v>
      </c>
      <c r="L184" s="5">
        <f t="shared" si="47"/>
        <v>-1.5</v>
      </c>
      <c r="M184" s="8">
        <f t="shared" si="43"/>
        <v>3.3500000000000014</v>
      </c>
      <c r="N184" s="8">
        <f t="shared" si="48"/>
        <v>3.6000000000000014</v>
      </c>
      <c r="O184" s="8">
        <v>3.75</v>
      </c>
      <c r="P184" s="8">
        <v>1.296</v>
      </c>
      <c r="Q184" s="8">
        <f>31*16</f>
        <v>496</v>
      </c>
      <c r="R184" s="40">
        <f t="shared" si="44"/>
        <v>8.6780160000000031</v>
      </c>
    </row>
    <row r="185" spans="5:18" ht="14" x14ac:dyDescent="0.25">
      <c r="E185" s="2" t="s">
        <v>13</v>
      </c>
      <c r="F185" s="71">
        <v>34.6</v>
      </c>
      <c r="G185" s="71">
        <v>6.2</v>
      </c>
      <c r="H185" s="41">
        <f t="shared" si="45"/>
        <v>3.1</v>
      </c>
      <c r="I185" s="71">
        <f t="shared" si="46"/>
        <v>31.5</v>
      </c>
      <c r="J185" s="5">
        <f t="shared" si="42"/>
        <v>1.75</v>
      </c>
      <c r="K185" s="5">
        <v>27</v>
      </c>
      <c r="L185" s="5">
        <f t="shared" si="47"/>
        <v>-1.5</v>
      </c>
      <c r="M185" s="8">
        <f t="shared" si="43"/>
        <v>2.1000000000000014</v>
      </c>
      <c r="N185" s="8">
        <f t="shared" si="48"/>
        <v>2.3500000000000014</v>
      </c>
      <c r="O185" s="8">
        <v>3.75</v>
      </c>
      <c r="P185" s="8">
        <v>1.296</v>
      </c>
      <c r="Q185" s="8">
        <f>30*16</f>
        <v>480</v>
      </c>
      <c r="R185" s="40">
        <f t="shared" si="44"/>
        <v>5.4820800000000034</v>
      </c>
    </row>
    <row r="186" spans="5:18" ht="14" x14ac:dyDescent="0.25">
      <c r="E186" s="2" t="s">
        <v>24</v>
      </c>
      <c r="F186" s="41">
        <v>34</v>
      </c>
      <c r="G186" s="41">
        <v>5.8</v>
      </c>
      <c r="H186" s="41">
        <f t="shared" si="45"/>
        <v>2.9</v>
      </c>
      <c r="I186" s="71">
        <f t="shared" si="46"/>
        <v>31.1</v>
      </c>
      <c r="J186" s="5">
        <f t="shared" si="42"/>
        <v>1.75</v>
      </c>
      <c r="K186" s="5">
        <v>27</v>
      </c>
      <c r="L186" s="5">
        <f t="shared" si="47"/>
        <v>-1.5</v>
      </c>
      <c r="M186" s="8">
        <f t="shared" si="43"/>
        <v>1.7000000000000028</v>
      </c>
      <c r="N186" s="8">
        <f t="shared" si="48"/>
        <v>1.9500000000000028</v>
      </c>
      <c r="O186" s="8">
        <v>3.75</v>
      </c>
      <c r="P186" s="8">
        <v>1.296</v>
      </c>
      <c r="Q186" s="8">
        <f>31*16</f>
        <v>496</v>
      </c>
      <c r="R186" s="40">
        <f t="shared" si="44"/>
        <v>4.7005920000000065</v>
      </c>
    </row>
    <row r="187" spans="5:18" ht="14" x14ac:dyDescent="0.25">
      <c r="E187" s="2" t="s">
        <v>19</v>
      </c>
      <c r="F187" s="41">
        <v>33.799999999999997</v>
      </c>
      <c r="G187" s="41">
        <v>5.9</v>
      </c>
      <c r="H187" s="41">
        <f t="shared" si="45"/>
        <v>2.95</v>
      </c>
      <c r="I187" s="71">
        <f t="shared" si="46"/>
        <v>30.849999999999998</v>
      </c>
      <c r="J187" s="5">
        <f t="shared" si="42"/>
        <v>1.75</v>
      </c>
      <c r="K187" s="5">
        <v>27</v>
      </c>
      <c r="L187" s="5">
        <f t="shared" si="47"/>
        <v>-1.5</v>
      </c>
      <c r="M187" s="8">
        <f t="shared" si="43"/>
        <v>1.4499999999999993</v>
      </c>
      <c r="N187" s="8">
        <f t="shared" si="48"/>
        <v>1.6999999999999993</v>
      </c>
      <c r="O187" s="8">
        <v>3.75</v>
      </c>
      <c r="P187" s="8">
        <v>1.296</v>
      </c>
      <c r="Q187" s="8">
        <f>31*16</f>
        <v>496</v>
      </c>
      <c r="R187" s="40">
        <f t="shared" si="44"/>
        <v>4.0979519999999985</v>
      </c>
    </row>
    <row r="188" spans="5:18" ht="14" x14ac:dyDescent="0.25">
      <c r="E188" s="2" t="s">
        <v>20</v>
      </c>
      <c r="F188" s="41">
        <v>33.6</v>
      </c>
      <c r="G188" s="41">
        <v>6.2</v>
      </c>
      <c r="H188" s="41">
        <f t="shared" si="45"/>
        <v>3.1</v>
      </c>
      <c r="I188" s="71">
        <f t="shared" si="46"/>
        <v>30.5</v>
      </c>
      <c r="J188" s="5">
        <f t="shared" si="42"/>
        <v>1.75</v>
      </c>
      <c r="K188" s="5">
        <v>27</v>
      </c>
      <c r="L188" s="5">
        <f t="shared" si="47"/>
        <v>-1.5</v>
      </c>
      <c r="M188" s="8">
        <f t="shared" si="43"/>
        <v>1.1000000000000014</v>
      </c>
      <c r="N188" s="8">
        <f t="shared" si="48"/>
        <v>1.3500000000000014</v>
      </c>
      <c r="O188" s="8">
        <v>3.75</v>
      </c>
      <c r="P188" s="8">
        <v>1.296</v>
      </c>
      <c r="Q188" s="8">
        <f>30*16</f>
        <v>480</v>
      </c>
      <c r="R188" s="40">
        <f t="shared" si="44"/>
        <v>3.1492800000000032</v>
      </c>
    </row>
    <row r="189" spans="5:18" ht="14" x14ac:dyDescent="0.25">
      <c r="E189" s="2" t="s">
        <v>21</v>
      </c>
      <c r="F189" s="41">
        <v>33.700000000000003</v>
      </c>
      <c r="G189" s="41">
        <v>6.4</v>
      </c>
      <c r="H189" s="41">
        <f t="shared" si="45"/>
        <v>3.2</v>
      </c>
      <c r="I189" s="71">
        <f t="shared" si="46"/>
        <v>30.500000000000004</v>
      </c>
      <c r="J189" s="5">
        <f t="shared" si="42"/>
        <v>1.75</v>
      </c>
      <c r="K189" s="5">
        <v>27</v>
      </c>
      <c r="L189" s="5">
        <f t="shared" si="47"/>
        <v>-1.5</v>
      </c>
      <c r="M189" s="8">
        <f t="shared" si="43"/>
        <v>1.100000000000005</v>
      </c>
      <c r="N189" s="8">
        <f t="shared" si="48"/>
        <v>1.350000000000005</v>
      </c>
      <c r="O189" s="8">
        <v>3.75</v>
      </c>
      <c r="P189" s="8">
        <v>1.296</v>
      </c>
      <c r="Q189" s="8">
        <f>31*16</f>
        <v>496</v>
      </c>
      <c r="R189" s="40">
        <f t="shared" si="44"/>
        <v>3.2542560000000122</v>
      </c>
    </row>
    <row r="190" spans="5:18" ht="14" x14ac:dyDescent="0.25">
      <c r="E190" s="2" t="s">
        <v>22</v>
      </c>
      <c r="F190" s="41">
        <v>33.5</v>
      </c>
      <c r="G190" s="41">
        <v>6.9</v>
      </c>
      <c r="H190" s="41">
        <f t="shared" si="45"/>
        <v>3.45</v>
      </c>
      <c r="I190" s="71">
        <f t="shared" si="46"/>
        <v>30.05</v>
      </c>
      <c r="J190" s="5">
        <f t="shared" si="42"/>
        <v>1.75</v>
      </c>
      <c r="K190" s="5">
        <v>27</v>
      </c>
      <c r="L190" s="5">
        <f t="shared" si="47"/>
        <v>-1.5</v>
      </c>
      <c r="M190" s="8">
        <f t="shared" si="43"/>
        <v>0.65000000000000213</v>
      </c>
      <c r="N190" s="8">
        <f t="shared" si="48"/>
        <v>0.90000000000000213</v>
      </c>
      <c r="O190" s="8">
        <v>3.75</v>
      </c>
      <c r="P190" s="8">
        <v>1.296</v>
      </c>
      <c r="Q190" s="8">
        <f>30*16</f>
        <v>480</v>
      </c>
      <c r="R190" s="40">
        <f t="shared" si="44"/>
        <v>2.0995200000000049</v>
      </c>
    </row>
    <row r="191" spans="5:18" ht="14" x14ac:dyDescent="0.25">
      <c r="E191" s="2" t="s">
        <v>23</v>
      </c>
      <c r="F191" s="41">
        <v>33.200000000000003</v>
      </c>
      <c r="G191" s="41">
        <v>7.7</v>
      </c>
      <c r="H191" s="41">
        <f t="shared" si="45"/>
        <v>3.85</v>
      </c>
      <c r="I191" s="71">
        <f t="shared" si="46"/>
        <v>29.35</v>
      </c>
      <c r="J191" s="5">
        <f t="shared" si="42"/>
        <v>1.75</v>
      </c>
      <c r="K191" s="5">
        <v>27</v>
      </c>
      <c r="L191" s="5">
        <f t="shared" si="47"/>
        <v>-1.5</v>
      </c>
      <c r="M191" s="8">
        <f t="shared" si="43"/>
        <v>-4.9999999999997158E-2</v>
      </c>
      <c r="N191" s="8">
        <f t="shared" si="48"/>
        <v>0.20000000000000284</v>
      </c>
      <c r="O191" s="8">
        <v>3.75</v>
      </c>
      <c r="P191" s="8">
        <v>1.296</v>
      </c>
      <c r="Q191" s="8">
        <f>31*16</f>
        <v>496</v>
      </c>
      <c r="R191" s="40">
        <f t="shared" si="44"/>
        <v>0.48211200000000687</v>
      </c>
    </row>
    <row r="192" spans="5:18" ht="15" x14ac:dyDescent="0.25">
      <c r="E192" s="405" t="s">
        <v>61</v>
      </c>
      <c r="F192" s="406"/>
      <c r="G192" s="406"/>
      <c r="H192" s="406"/>
      <c r="I192" s="406"/>
      <c r="J192" s="406"/>
      <c r="K192" s="406"/>
      <c r="L192" s="406"/>
      <c r="M192" s="406"/>
      <c r="N192" s="406"/>
      <c r="O192" s="406"/>
      <c r="P192" s="406"/>
      <c r="Q192" s="406"/>
      <c r="R192" s="69">
        <f>SUM(R180:R191)</f>
        <v>49.805280000000067</v>
      </c>
    </row>
    <row r="193" spans="5:18" ht="15" x14ac:dyDescent="0.4">
      <c r="E193" s="379" t="s">
        <v>76</v>
      </c>
      <c r="F193" s="380"/>
      <c r="G193" s="380"/>
      <c r="H193" s="380"/>
      <c r="I193" s="380"/>
      <c r="J193" s="380"/>
      <c r="K193" s="380"/>
      <c r="L193" s="380"/>
      <c r="M193" s="380"/>
      <c r="N193" s="380"/>
      <c r="O193" s="380"/>
      <c r="P193" s="380"/>
      <c r="Q193" s="380"/>
      <c r="R193" s="381"/>
    </row>
    <row r="194" spans="5:18" ht="14" x14ac:dyDescent="0.25">
      <c r="E194" s="2" t="s">
        <v>15</v>
      </c>
      <c r="F194" s="71">
        <v>33.299999999999997</v>
      </c>
      <c r="G194" s="71">
        <v>8.1</v>
      </c>
      <c r="H194" s="41">
        <f>G194/2</f>
        <v>4.05</v>
      </c>
      <c r="I194" s="71">
        <f>F194-H194</f>
        <v>29.249999999999996</v>
      </c>
      <c r="J194" s="5">
        <f t="shared" ref="J194:J205" si="49">C$126</f>
        <v>1.75</v>
      </c>
      <c r="K194" s="5">
        <v>28</v>
      </c>
      <c r="L194" s="5">
        <f>25.5-K194</f>
        <v>-2.5</v>
      </c>
      <c r="M194" s="8">
        <f t="shared" ref="M194:M205" si="50">I194-29.4</f>
        <v>-0.15000000000000213</v>
      </c>
      <c r="N194" s="8">
        <f>J194+L194+M194</f>
        <v>-0.90000000000000213</v>
      </c>
      <c r="O194" s="8">
        <v>3.75</v>
      </c>
      <c r="P194" s="8">
        <v>1.296</v>
      </c>
      <c r="Q194" s="8">
        <f>31*16</f>
        <v>496</v>
      </c>
      <c r="R194" s="40">
        <f t="shared" ref="R194:R205" si="51">(N194*O194*P194*Q194)/1000</f>
        <v>-2.1695040000000048</v>
      </c>
    </row>
    <row r="195" spans="5:18" ht="14" x14ac:dyDescent="0.25">
      <c r="E195" s="2" t="s">
        <v>16</v>
      </c>
      <c r="F195" s="71">
        <v>34.1</v>
      </c>
      <c r="G195" s="71">
        <v>7.4</v>
      </c>
      <c r="H195" s="41">
        <f t="shared" ref="H195:H205" si="52">G195/2</f>
        <v>3.7</v>
      </c>
      <c r="I195" s="71">
        <f t="shared" ref="I195:I205" si="53">F195-H195</f>
        <v>30.400000000000002</v>
      </c>
      <c r="J195" s="5">
        <f t="shared" si="49"/>
        <v>1.75</v>
      </c>
      <c r="K195" s="5">
        <v>28</v>
      </c>
      <c r="L195" s="5">
        <f t="shared" ref="L195:L205" si="54">25.5-K195</f>
        <v>-2.5</v>
      </c>
      <c r="M195" s="8">
        <f t="shared" si="50"/>
        <v>1.0000000000000036</v>
      </c>
      <c r="N195" s="8">
        <f t="shared" ref="N195:N205" si="55">J195+L195+M195</f>
        <v>0.25000000000000355</v>
      </c>
      <c r="O195" s="8">
        <v>3.75</v>
      </c>
      <c r="P195" s="8">
        <v>1.296</v>
      </c>
      <c r="Q195" s="8">
        <f>28*16</f>
        <v>448</v>
      </c>
      <c r="R195" s="40">
        <f t="shared" si="51"/>
        <v>0.5443200000000078</v>
      </c>
    </row>
    <row r="196" spans="5:18" ht="14" x14ac:dyDescent="0.25">
      <c r="E196" s="2" t="s">
        <v>17</v>
      </c>
      <c r="F196" s="71">
        <v>35.200000000000003</v>
      </c>
      <c r="G196" s="71">
        <v>6.9</v>
      </c>
      <c r="H196" s="41">
        <f t="shared" si="52"/>
        <v>3.45</v>
      </c>
      <c r="I196" s="71">
        <f t="shared" si="53"/>
        <v>31.750000000000004</v>
      </c>
      <c r="J196" s="5">
        <f t="shared" si="49"/>
        <v>1.75</v>
      </c>
      <c r="K196" s="5">
        <v>28</v>
      </c>
      <c r="L196" s="5">
        <f t="shared" si="54"/>
        <v>-2.5</v>
      </c>
      <c r="M196" s="8">
        <f t="shared" si="50"/>
        <v>2.350000000000005</v>
      </c>
      <c r="N196" s="8">
        <f t="shared" si="55"/>
        <v>1.600000000000005</v>
      </c>
      <c r="O196" s="8">
        <v>3.75</v>
      </c>
      <c r="P196" s="8">
        <v>1.296</v>
      </c>
      <c r="Q196" s="8">
        <f>31*16</f>
        <v>496</v>
      </c>
      <c r="R196" s="40">
        <f t="shared" si="51"/>
        <v>3.8568960000000123</v>
      </c>
    </row>
    <row r="197" spans="5:18" ht="14" x14ac:dyDescent="0.25">
      <c r="E197" s="2" t="s">
        <v>18</v>
      </c>
      <c r="F197" s="71">
        <v>36.4</v>
      </c>
      <c r="G197" s="71">
        <v>7.1</v>
      </c>
      <c r="H197" s="41">
        <f t="shared" si="52"/>
        <v>3.55</v>
      </c>
      <c r="I197" s="71">
        <f t="shared" si="53"/>
        <v>32.85</v>
      </c>
      <c r="J197" s="5">
        <f t="shared" si="49"/>
        <v>1.75</v>
      </c>
      <c r="K197" s="5">
        <v>28</v>
      </c>
      <c r="L197" s="5">
        <f t="shared" si="54"/>
        <v>-2.5</v>
      </c>
      <c r="M197" s="8">
        <f t="shared" si="50"/>
        <v>3.4500000000000028</v>
      </c>
      <c r="N197" s="8">
        <f t="shared" si="55"/>
        <v>2.7000000000000028</v>
      </c>
      <c r="O197" s="8">
        <v>3.75</v>
      </c>
      <c r="P197" s="8">
        <v>1.296</v>
      </c>
      <c r="Q197" s="8">
        <f>30*16</f>
        <v>480</v>
      </c>
      <c r="R197" s="40">
        <f t="shared" si="51"/>
        <v>6.2985600000000064</v>
      </c>
    </row>
    <row r="198" spans="5:18" ht="14" x14ac:dyDescent="0.25">
      <c r="E198" s="2" t="s">
        <v>12</v>
      </c>
      <c r="F198" s="71">
        <v>36.1</v>
      </c>
      <c r="G198" s="71">
        <v>6.7</v>
      </c>
      <c r="H198" s="41">
        <f t="shared" si="52"/>
        <v>3.35</v>
      </c>
      <c r="I198" s="71">
        <f t="shared" si="53"/>
        <v>32.75</v>
      </c>
      <c r="J198" s="5">
        <f t="shared" si="49"/>
        <v>1.75</v>
      </c>
      <c r="K198" s="5">
        <v>28</v>
      </c>
      <c r="L198" s="5">
        <f t="shared" si="54"/>
        <v>-2.5</v>
      </c>
      <c r="M198" s="8">
        <f t="shared" si="50"/>
        <v>3.3500000000000014</v>
      </c>
      <c r="N198" s="8">
        <f t="shared" si="55"/>
        <v>2.6000000000000014</v>
      </c>
      <c r="O198" s="8">
        <v>3.75</v>
      </c>
      <c r="P198" s="8">
        <v>1.296</v>
      </c>
      <c r="Q198" s="8">
        <f>31*16</f>
        <v>496</v>
      </c>
      <c r="R198" s="40">
        <f t="shared" si="51"/>
        <v>6.2674560000000037</v>
      </c>
    </row>
    <row r="199" spans="5:18" ht="14" x14ac:dyDescent="0.25">
      <c r="E199" s="2" t="s">
        <v>13</v>
      </c>
      <c r="F199" s="71">
        <v>34.6</v>
      </c>
      <c r="G199" s="71">
        <v>6.2</v>
      </c>
      <c r="H199" s="41">
        <f t="shared" si="52"/>
        <v>3.1</v>
      </c>
      <c r="I199" s="71">
        <f t="shared" si="53"/>
        <v>31.5</v>
      </c>
      <c r="J199" s="5">
        <f t="shared" si="49"/>
        <v>1.75</v>
      </c>
      <c r="K199" s="5">
        <v>28</v>
      </c>
      <c r="L199" s="5">
        <f t="shared" si="54"/>
        <v>-2.5</v>
      </c>
      <c r="M199" s="8">
        <f t="shared" si="50"/>
        <v>2.1000000000000014</v>
      </c>
      <c r="N199" s="8">
        <f t="shared" si="55"/>
        <v>1.3500000000000014</v>
      </c>
      <c r="O199" s="8">
        <v>3.75</v>
      </c>
      <c r="P199" s="8">
        <v>1.296</v>
      </c>
      <c r="Q199" s="8">
        <f>30*16</f>
        <v>480</v>
      </c>
      <c r="R199" s="40">
        <f t="shared" si="51"/>
        <v>3.1492800000000032</v>
      </c>
    </row>
    <row r="200" spans="5:18" ht="14" x14ac:dyDescent="0.25">
      <c r="E200" s="2" t="s">
        <v>24</v>
      </c>
      <c r="F200" s="41">
        <v>34</v>
      </c>
      <c r="G200" s="41">
        <v>5.8</v>
      </c>
      <c r="H200" s="41">
        <f t="shared" si="52"/>
        <v>2.9</v>
      </c>
      <c r="I200" s="71">
        <f t="shared" si="53"/>
        <v>31.1</v>
      </c>
      <c r="J200" s="5">
        <f t="shared" si="49"/>
        <v>1.75</v>
      </c>
      <c r="K200" s="5">
        <v>28</v>
      </c>
      <c r="L200" s="5">
        <f t="shared" si="54"/>
        <v>-2.5</v>
      </c>
      <c r="M200" s="8">
        <f t="shared" si="50"/>
        <v>1.7000000000000028</v>
      </c>
      <c r="N200" s="8">
        <f t="shared" si="55"/>
        <v>0.95000000000000284</v>
      </c>
      <c r="O200" s="8">
        <v>3.75</v>
      </c>
      <c r="P200" s="8">
        <v>1.296</v>
      </c>
      <c r="Q200" s="8">
        <f>31*16</f>
        <v>496</v>
      </c>
      <c r="R200" s="40">
        <f t="shared" si="51"/>
        <v>2.2900320000000072</v>
      </c>
    </row>
    <row r="201" spans="5:18" ht="14" x14ac:dyDescent="0.25">
      <c r="E201" s="2" t="s">
        <v>19</v>
      </c>
      <c r="F201" s="41">
        <v>33.799999999999997</v>
      </c>
      <c r="G201" s="41">
        <v>5.9</v>
      </c>
      <c r="H201" s="41">
        <f t="shared" si="52"/>
        <v>2.95</v>
      </c>
      <c r="I201" s="71">
        <f t="shared" si="53"/>
        <v>30.849999999999998</v>
      </c>
      <c r="J201" s="5">
        <f t="shared" si="49"/>
        <v>1.75</v>
      </c>
      <c r="K201" s="5">
        <v>28</v>
      </c>
      <c r="L201" s="5">
        <f t="shared" si="54"/>
        <v>-2.5</v>
      </c>
      <c r="M201" s="8">
        <f t="shared" si="50"/>
        <v>1.4499999999999993</v>
      </c>
      <c r="N201" s="8">
        <f t="shared" si="55"/>
        <v>0.69999999999999929</v>
      </c>
      <c r="O201" s="8">
        <v>3.75</v>
      </c>
      <c r="P201" s="8">
        <v>1.296</v>
      </c>
      <c r="Q201" s="8">
        <f>31*16</f>
        <v>496</v>
      </c>
      <c r="R201" s="40">
        <f t="shared" si="51"/>
        <v>1.6873919999999982</v>
      </c>
    </row>
    <row r="202" spans="5:18" ht="14" x14ac:dyDescent="0.25">
      <c r="E202" s="2" t="s">
        <v>20</v>
      </c>
      <c r="F202" s="41">
        <v>33.6</v>
      </c>
      <c r="G202" s="41">
        <v>6.2</v>
      </c>
      <c r="H202" s="41">
        <f t="shared" si="52"/>
        <v>3.1</v>
      </c>
      <c r="I202" s="71">
        <f t="shared" si="53"/>
        <v>30.5</v>
      </c>
      <c r="J202" s="5">
        <f t="shared" si="49"/>
        <v>1.75</v>
      </c>
      <c r="K202" s="5">
        <v>28</v>
      </c>
      <c r="L202" s="5">
        <f t="shared" si="54"/>
        <v>-2.5</v>
      </c>
      <c r="M202" s="8">
        <f t="shared" si="50"/>
        <v>1.1000000000000014</v>
      </c>
      <c r="N202" s="8">
        <f t="shared" si="55"/>
        <v>0.35000000000000142</v>
      </c>
      <c r="O202" s="8">
        <v>3.75</v>
      </c>
      <c r="P202" s="8">
        <v>1.296</v>
      </c>
      <c r="Q202" s="8">
        <f>30*16</f>
        <v>480</v>
      </c>
      <c r="R202" s="40">
        <f t="shared" si="51"/>
        <v>0.81648000000000331</v>
      </c>
    </row>
    <row r="203" spans="5:18" ht="14" x14ac:dyDescent="0.25">
      <c r="E203" s="2" t="s">
        <v>21</v>
      </c>
      <c r="F203" s="41">
        <v>33.700000000000003</v>
      </c>
      <c r="G203" s="41">
        <v>6.4</v>
      </c>
      <c r="H203" s="41">
        <f t="shared" si="52"/>
        <v>3.2</v>
      </c>
      <c r="I203" s="71">
        <f t="shared" si="53"/>
        <v>30.500000000000004</v>
      </c>
      <c r="J203" s="5">
        <f t="shared" si="49"/>
        <v>1.75</v>
      </c>
      <c r="K203" s="5">
        <v>28</v>
      </c>
      <c r="L203" s="5">
        <f t="shared" si="54"/>
        <v>-2.5</v>
      </c>
      <c r="M203" s="8">
        <f t="shared" si="50"/>
        <v>1.100000000000005</v>
      </c>
      <c r="N203" s="8">
        <f t="shared" si="55"/>
        <v>0.35000000000000497</v>
      </c>
      <c r="O203" s="8">
        <v>3.75</v>
      </c>
      <c r="P203" s="8">
        <v>1.296</v>
      </c>
      <c r="Q203" s="8">
        <f>31*16</f>
        <v>496</v>
      </c>
      <c r="R203" s="40">
        <f t="shared" si="51"/>
        <v>0.8436960000000121</v>
      </c>
    </row>
    <row r="204" spans="5:18" ht="14" x14ac:dyDescent="0.25">
      <c r="E204" s="2" t="s">
        <v>22</v>
      </c>
      <c r="F204" s="41">
        <v>33.5</v>
      </c>
      <c r="G204" s="41">
        <v>6.9</v>
      </c>
      <c r="H204" s="41">
        <f t="shared" si="52"/>
        <v>3.45</v>
      </c>
      <c r="I204" s="71">
        <f t="shared" si="53"/>
        <v>30.05</v>
      </c>
      <c r="J204" s="5">
        <f t="shared" si="49"/>
        <v>1.75</v>
      </c>
      <c r="K204" s="5">
        <v>28</v>
      </c>
      <c r="L204" s="5">
        <f t="shared" si="54"/>
        <v>-2.5</v>
      </c>
      <c r="M204" s="8">
        <f t="shared" si="50"/>
        <v>0.65000000000000213</v>
      </c>
      <c r="N204" s="8">
        <f t="shared" si="55"/>
        <v>-9.9999999999997868E-2</v>
      </c>
      <c r="O204" s="8">
        <v>3.75</v>
      </c>
      <c r="P204" s="8">
        <v>1.296</v>
      </c>
      <c r="Q204" s="8">
        <f>30*16</f>
        <v>480</v>
      </c>
      <c r="R204" s="40">
        <f t="shared" si="51"/>
        <v>-0.23327999999999502</v>
      </c>
    </row>
    <row r="205" spans="5:18" ht="14" x14ac:dyDescent="0.25">
      <c r="E205" s="2" t="s">
        <v>23</v>
      </c>
      <c r="F205" s="41">
        <v>33.200000000000003</v>
      </c>
      <c r="G205" s="41">
        <v>7.7</v>
      </c>
      <c r="H205" s="41">
        <f t="shared" si="52"/>
        <v>3.85</v>
      </c>
      <c r="I205" s="71">
        <f t="shared" si="53"/>
        <v>29.35</v>
      </c>
      <c r="J205" s="5">
        <f t="shared" si="49"/>
        <v>1.75</v>
      </c>
      <c r="K205" s="5">
        <v>28</v>
      </c>
      <c r="L205" s="5">
        <f t="shared" si="54"/>
        <v>-2.5</v>
      </c>
      <c r="M205" s="8">
        <f t="shared" si="50"/>
        <v>-4.9999999999997158E-2</v>
      </c>
      <c r="N205" s="8">
        <f t="shared" si="55"/>
        <v>-0.79999999999999716</v>
      </c>
      <c r="O205" s="8">
        <v>3.75</v>
      </c>
      <c r="P205" s="8">
        <v>1.296</v>
      </c>
      <c r="Q205" s="8">
        <f>31*16</f>
        <v>496</v>
      </c>
      <c r="R205" s="40">
        <f t="shared" si="51"/>
        <v>-1.9284479999999931</v>
      </c>
    </row>
    <row r="206" spans="5:18" ht="15.5" thickBot="1" x14ac:dyDescent="0.3">
      <c r="E206" s="407" t="s">
        <v>61</v>
      </c>
      <c r="F206" s="408"/>
      <c r="G206" s="408"/>
      <c r="H206" s="408"/>
      <c r="I206" s="408"/>
      <c r="J206" s="408"/>
      <c r="K206" s="408"/>
      <c r="L206" s="408"/>
      <c r="M206" s="408"/>
      <c r="N206" s="408"/>
      <c r="O206" s="408"/>
      <c r="P206" s="408"/>
      <c r="Q206" s="408"/>
      <c r="R206" s="69">
        <f>SUM(R194:R205)</f>
        <v>21.422880000000063</v>
      </c>
    </row>
    <row r="209" spans="5:11" ht="13" thickBot="1" x14ac:dyDescent="0.3"/>
    <row r="210" spans="5:11" ht="13" x14ac:dyDescent="0.3">
      <c r="E210" s="295" t="s">
        <v>81</v>
      </c>
      <c r="F210" s="296"/>
      <c r="G210" s="296"/>
      <c r="H210" s="296"/>
      <c r="I210" s="296"/>
      <c r="J210" s="296"/>
      <c r="K210" s="297"/>
    </row>
    <row r="211" spans="5:11" ht="15" x14ac:dyDescent="0.25">
      <c r="E211" s="46" t="s">
        <v>78</v>
      </c>
      <c r="F211" s="37" t="s">
        <v>63</v>
      </c>
      <c r="G211" s="37" t="s">
        <v>64</v>
      </c>
      <c r="H211" s="37" t="s">
        <v>79</v>
      </c>
      <c r="I211" s="37" t="s">
        <v>82</v>
      </c>
      <c r="J211" s="37" t="s">
        <v>57</v>
      </c>
      <c r="K211" s="73" t="s">
        <v>80</v>
      </c>
    </row>
    <row r="212" spans="5:11" x14ac:dyDescent="0.25">
      <c r="E212" s="44" t="s">
        <v>15</v>
      </c>
      <c r="F212" s="8">
        <v>0.55000000000000004</v>
      </c>
      <c r="G212" s="8">
        <v>0.51</v>
      </c>
      <c r="H212" s="61">
        <v>94.63</v>
      </c>
      <c r="I212" s="8">
        <v>1.296</v>
      </c>
      <c r="J212" s="8">
        <f>31*16</f>
        <v>496</v>
      </c>
      <c r="K212" s="40">
        <f>(F212*G212*H212*I212*J212)/1000</f>
        <v>17.062724701440001</v>
      </c>
    </row>
    <row r="213" spans="5:11" x14ac:dyDescent="0.25">
      <c r="E213" s="44" t="s">
        <v>16</v>
      </c>
      <c r="F213" s="8">
        <v>0.55000000000000004</v>
      </c>
      <c r="G213" s="8">
        <v>0.51</v>
      </c>
      <c r="H213" s="61">
        <v>104.1</v>
      </c>
      <c r="I213" s="8">
        <v>1.296</v>
      </c>
      <c r="J213" s="8">
        <f>28*16</f>
        <v>448</v>
      </c>
      <c r="K213" s="40">
        <f t="shared" ref="K213:K223" si="56">(F213*G213*H213*I213*J213)/1000</f>
        <v>16.953782630399999</v>
      </c>
    </row>
    <row r="214" spans="5:11" x14ac:dyDescent="0.25">
      <c r="E214" s="44" t="s">
        <v>17</v>
      </c>
      <c r="F214" s="8">
        <v>0.55000000000000004</v>
      </c>
      <c r="G214" s="8">
        <v>0.51</v>
      </c>
      <c r="H214" s="61">
        <v>110.41</v>
      </c>
      <c r="I214" s="8">
        <v>1.296</v>
      </c>
      <c r="J214" s="8">
        <f>31*16</f>
        <v>496</v>
      </c>
      <c r="K214" s="40">
        <f t="shared" si="56"/>
        <v>19.908014734079998</v>
      </c>
    </row>
    <row r="215" spans="5:11" x14ac:dyDescent="0.25">
      <c r="E215" s="44" t="s">
        <v>18</v>
      </c>
      <c r="F215" s="8">
        <v>0.55000000000000004</v>
      </c>
      <c r="G215" s="8">
        <v>0.51</v>
      </c>
      <c r="H215" s="61">
        <v>123.02</v>
      </c>
      <c r="I215" s="8">
        <v>1.296</v>
      </c>
      <c r="J215" s="8">
        <f>30*16</f>
        <v>480</v>
      </c>
      <c r="K215" s="40">
        <f t="shared" si="56"/>
        <v>21.466182988800004</v>
      </c>
    </row>
    <row r="216" spans="5:11" x14ac:dyDescent="0.25">
      <c r="E216" s="44" t="s">
        <v>12</v>
      </c>
      <c r="F216" s="8">
        <v>0.55000000000000004</v>
      </c>
      <c r="G216" s="8">
        <v>0.51</v>
      </c>
      <c r="H216" s="61">
        <v>164.03</v>
      </c>
      <c r="I216" s="8">
        <v>1.296</v>
      </c>
      <c r="J216" s="8">
        <f>31*16</f>
        <v>496</v>
      </c>
      <c r="K216" s="40">
        <f t="shared" si="56"/>
        <v>29.576230928640001</v>
      </c>
    </row>
    <row r="217" spans="5:11" x14ac:dyDescent="0.25">
      <c r="E217" s="44" t="s">
        <v>13</v>
      </c>
      <c r="F217" s="8">
        <v>0.55000000000000004</v>
      </c>
      <c r="G217" s="8">
        <v>0.51</v>
      </c>
      <c r="H217" s="61">
        <v>208.2</v>
      </c>
      <c r="I217" s="8">
        <v>1.296</v>
      </c>
      <c r="J217" s="8">
        <f>30*16</f>
        <v>480</v>
      </c>
      <c r="K217" s="40">
        <f t="shared" si="56"/>
        <v>36.329534207999998</v>
      </c>
    </row>
    <row r="218" spans="5:11" x14ac:dyDescent="0.25">
      <c r="E218" s="44" t="s">
        <v>24</v>
      </c>
      <c r="F218" s="8">
        <v>0.55000000000000004</v>
      </c>
      <c r="G218" s="8">
        <v>0.51</v>
      </c>
      <c r="H218" s="75">
        <v>173.5</v>
      </c>
      <c r="I218" s="8">
        <v>1.296</v>
      </c>
      <c r="J218" s="8">
        <f>31*16</f>
        <v>496</v>
      </c>
      <c r="K218" s="40">
        <f t="shared" si="56"/>
        <v>31.283765568000007</v>
      </c>
    </row>
    <row r="219" spans="5:11" x14ac:dyDescent="0.25">
      <c r="E219" s="44" t="s">
        <v>19</v>
      </c>
      <c r="F219" s="8">
        <v>0.55000000000000004</v>
      </c>
      <c r="G219" s="8">
        <v>0.51</v>
      </c>
      <c r="H219" s="75">
        <v>129.33000000000001</v>
      </c>
      <c r="I219" s="8">
        <v>1.296</v>
      </c>
      <c r="J219" s="8">
        <f>31*16</f>
        <v>496</v>
      </c>
      <c r="K219" s="40">
        <f t="shared" si="56"/>
        <v>23.319477815040006</v>
      </c>
    </row>
    <row r="220" spans="5:11" x14ac:dyDescent="0.25">
      <c r="E220" s="44" t="s">
        <v>20</v>
      </c>
      <c r="F220" s="8">
        <v>0.55000000000000004</v>
      </c>
      <c r="G220" s="8">
        <v>0.51</v>
      </c>
      <c r="H220" s="75">
        <v>113.56</v>
      </c>
      <c r="I220" s="8">
        <v>1.296</v>
      </c>
      <c r="J220" s="8">
        <f>30*16</f>
        <v>480</v>
      </c>
      <c r="K220" s="40">
        <f t="shared" si="56"/>
        <v>19.815475046400003</v>
      </c>
    </row>
    <row r="221" spans="5:11" x14ac:dyDescent="0.25">
      <c r="E221" s="44" t="s">
        <v>21</v>
      </c>
      <c r="F221" s="8">
        <v>0.55000000000000004</v>
      </c>
      <c r="G221" s="8">
        <v>0.51</v>
      </c>
      <c r="H221" s="75">
        <v>104.1</v>
      </c>
      <c r="I221" s="8">
        <v>1.296</v>
      </c>
      <c r="J221" s="8">
        <f>31*16</f>
        <v>496</v>
      </c>
      <c r="K221" s="40">
        <f t="shared" si="56"/>
        <v>18.770259340799999</v>
      </c>
    </row>
    <row r="222" spans="5:11" x14ac:dyDescent="0.25">
      <c r="E222" s="44" t="s">
        <v>22</v>
      </c>
      <c r="F222" s="8">
        <v>0.55000000000000004</v>
      </c>
      <c r="G222" s="8">
        <v>0.51</v>
      </c>
      <c r="H222" s="61">
        <v>94.63</v>
      </c>
      <c r="I222" s="8">
        <v>1.296</v>
      </c>
      <c r="J222" s="8">
        <f>30*16</f>
        <v>480</v>
      </c>
      <c r="K222" s="40">
        <f t="shared" si="56"/>
        <v>16.512314227200005</v>
      </c>
    </row>
    <row r="223" spans="5:11" x14ac:dyDescent="0.25">
      <c r="E223" s="44" t="s">
        <v>23</v>
      </c>
      <c r="F223" s="8">
        <v>0.55000000000000004</v>
      </c>
      <c r="G223" s="8">
        <v>0.51</v>
      </c>
      <c r="H223" s="61">
        <v>91.48</v>
      </c>
      <c r="I223" s="8">
        <v>1.296</v>
      </c>
      <c r="J223" s="8">
        <f>31*16</f>
        <v>496</v>
      </c>
      <c r="K223" s="40">
        <f t="shared" si="56"/>
        <v>16.494748554240001</v>
      </c>
    </row>
    <row r="224" spans="5:11" ht="15.5" thickBot="1" x14ac:dyDescent="0.45">
      <c r="E224" s="310" t="s">
        <v>80</v>
      </c>
      <c r="F224" s="311"/>
      <c r="G224" s="311"/>
      <c r="H224" s="311"/>
      <c r="I224" s="311"/>
      <c r="J224" s="311"/>
      <c r="K224" s="74">
        <f>SUM(K212:K223)</f>
        <v>267.49251074304004</v>
      </c>
    </row>
    <row r="227" spans="5:17" ht="13" thickBot="1" x14ac:dyDescent="0.3"/>
    <row r="228" spans="5:17" ht="13" x14ac:dyDescent="0.3">
      <c r="E228" s="295" t="s">
        <v>89</v>
      </c>
      <c r="F228" s="296"/>
      <c r="G228" s="296"/>
      <c r="H228" s="296"/>
      <c r="I228" s="296"/>
      <c r="J228" s="296"/>
      <c r="K228" s="296"/>
      <c r="L228" s="296"/>
      <c r="M228" s="296"/>
      <c r="N228" s="296"/>
      <c r="O228" s="296"/>
      <c r="P228" s="296"/>
      <c r="Q228" s="297"/>
    </row>
    <row r="229" spans="5:17" ht="21" customHeight="1" x14ac:dyDescent="0.25">
      <c r="E229" s="46" t="s">
        <v>0</v>
      </c>
      <c r="F229" s="37" t="s">
        <v>84</v>
      </c>
      <c r="G229" s="37" t="s">
        <v>95</v>
      </c>
      <c r="H229" s="37" t="s">
        <v>96</v>
      </c>
      <c r="I229" s="37" t="s">
        <v>97</v>
      </c>
      <c r="J229" s="37" t="s">
        <v>98</v>
      </c>
      <c r="K229" s="37" t="s">
        <v>99</v>
      </c>
      <c r="L229" s="37" t="s">
        <v>100</v>
      </c>
      <c r="M229" s="37" t="s">
        <v>101</v>
      </c>
      <c r="N229" s="37" t="s">
        <v>85</v>
      </c>
      <c r="O229" s="37" t="s">
        <v>102</v>
      </c>
      <c r="P229" s="37" t="s">
        <v>86</v>
      </c>
      <c r="Q229" s="73" t="s">
        <v>103</v>
      </c>
    </row>
    <row r="230" spans="5:17" ht="15" customHeight="1" x14ac:dyDescent="0.25">
      <c r="E230" s="44" t="s">
        <v>15</v>
      </c>
      <c r="F230" s="8">
        <v>0.6</v>
      </c>
      <c r="G230" s="8">
        <v>38.880000000000003</v>
      </c>
      <c r="H230" s="8">
        <v>1.0049999999999999</v>
      </c>
      <c r="I230" s="8">
        <v>1.2929999999999999</v>
      </c>
      <c r="J230" s="71">
        <v>33.299999999999997</v>
      </c>
      <c r="K230" s="8">
        <v>22</v>
      </c>
      <c r="L230" s="8">
        <f>J230-K230</f>
        <v>11.299999999999997</v>
      </c>
      <c r="M230" s="27">
        <f>F230*G230*H230*I230*L230</f>
        <v>342.5472905759998</v>
      </c>
      <c r="N230" s="8">
        <v>0.27700000000000002</v>
      </c>
      <c r="O230" s="18">
        <f>M230*N230</f>
        <v>94.88559948955195</v>
      </c>
      <c r="P230" s="8">
        <f>31*16</f>
        <v>496</v>
      </c>
      <c r="Q230" s="40">
        <f>(O230*P230)/1000</f>
        <v>47.063257346817764</v>
      </c>
    </row>
    <row r="231" spans="5:17" ht="15" customHeight="1" x14ac:dyDescent="0.25">
      <c r="E231" s="44" t="s">
        <v>16</v>
      </c>
      <c r="F231" s="8">
        <v>0.6</v>
      </c>
      <c r="G231" s="8">
        <v>38.880000000000003</v>
      </c>
      <c r="H231" s="8">
        <v>1.0049999999999999</v>
      </c>
      <c r="I231" s="8">
        <v>1.2929999999999999</v>
      </c>
      <c r="J231" s="71">
        <v>34.1</v>
      </c>
      <c r="K231" s="8">
        <v>22</v>
      </c>
      <c r="L231" s="8">
        <f t="shared" ref="L231:L241" si="57">J231-K231</f>
        <v>12.100000000000001</v>
      </c>
      <c r="M231" s="27">
        <f t="shared" ref="M231:M241" si="58">F231*G231*H231*I231*L231</f>
        <v>366.79842619199997</v>
      </c>
      <c r="N231" s="8">
        <v>0.27700000000000002</v>
      </c>
      <c r="O231" s="18">
        <f t="shared" ref="O231:O241" si="59">M231*N231</f>
        <v>101.603164055184</v>
      </c>
      <c r="P231" s="8">
        <f>28*16</f>
        <v>448</v>
      </c>
      <c r="Q231" s="40">
        <f t="shared" ref="Q231:Q241" si="60">(O231*P231)/1000</f>
        <v>45.518217496722428</v>
      </c>
    </row>
    <row r="232" spans="5:17" ht="15" customHeight="1" x14ac:dyDescent="0.25">
      <c r="E232" s="44" t="s">
        <v>17</v>
      </c>
      <c r="F232" s="8">
        <v>0.6</v>
      </c>
      <c r="G232" s="8">
        <v>38.880000000000003</v>
      </c>
      <c r="H232" s="8">
        <v>1.0049999999999999</v>
      </c>
      <c r="I232" s="8">
        <v>1.2929999999999999</v>
      </c>
      <c r="J232" s="71">
        <v>35.200000000000003</v>
      </c>
      <c r="K232" s="8">
        <v>22</v>
      </c>
      <c r="L232" s="8">
        <f t="shared" si="57"/>
        <v>13.200000000000003</v>
      </c>
      <c r="M232" s="27">
        <f t="shared" si="58"/>
        <v>400.14373766399996</v>
      </c>
      <c r="N232" s="8">
        <v>0.27700000000000002</v>
      </c>
      <c r="O232" s="18">
        <f t="shared" si="59"/>
        <v>110.839815332928</v>
      </c>
      <c r="P232" s="8">
        <f>31*16</f>
        <v>496</v>
      </c>
      <c r="Q232" s="40">
        <f t="shared" si="60"/>
        <v>54.976548405132284</v>
      </c>
    </row>
    <row r="233" spans="5:17" ht="15" customHeight="1" x14ac:dyDescent="0.25">
      <c r="E233" s="44" t="s">
        <v>18</v>
      </c>
      <c r="F233" s="8">
        <v>0.6</v>
      </c>
      <c r="G233" s="8">
        <v>38.880000000000003</v>
      </c>
      <c r="H233" s="8">
        <v>1.0049999999999999</v>
      </c>
      <c r="I233" s="8">
        <v>1.2929999999999999</v>
      </c>
      <c r="J233" s="71">
        <v>36.4</v>
      </c>
      <c r="K233" s="8">
        <v>22</v>
      </c>
      <c r="L233" s="8">
        <f t="shared" si="57"/>
        <v>14.399999999999999</v>
      </c>
      <c r="M233" s="27">
        <f t="shared" si="58"/>
        <v>436.52044108799981</v>
      </c>
      <c r="N233" s="8">
        <v>0.27700000000000002</v>
      </c>
      <c r="O233" s="18">
        <f t="shared" si="59"/>
        <v>120.91616218137595</v>
      </c>
      <c r="P233" s="8">
        <f>30*16</f>
        <v>480</v>
      </c>
      <c r="Q233" s="40">
        <f t="shared" si="60"/>
        <v>58.039757847060457</v>
      </c>
    </row>
    <row r="234" spans="5:17" ht="15" customHeight="1" x14ac:dyDescent="0.25">
      <c r="E234" s="44" t="s">
        <v>12</v>
      </c>
      <c r="F234" s="8">
        <v>0.6</v>
      </c>
      <c r="G234" s="8">
        <v>38.880000000000003</v>
      </c>
      <c r="H234" s="8">
        <v>1.0049999999999999</v>
      </c>
      <c r="I234" s="8">
        <v>1.2929999999999999</v>
      </c>
      <c r="J234" s="71">
        <v>36.1</v>
      </c>
      <c r="K234" s="8">
        <v>22</v>
      </c>
      <c r="L234" s="8">
        <f t="shared" si="57"/>
        <v>14.100000000000001</v>
      </c>
      <c r="M234" s="27">
        <f t="shared" si="58"/>
        <v>427.42626523199993</v>
      </c>
      <c r="N234" s="8">
        <v>0.27700000000000002</v>
      </c>
      <c r="O234" s="18">
        <f t="shared" si="59"/>
        <v>118.397075469264</v>
      </c>
      <c r="P234" s="8">
        <f>31*16</f>
        <v>496</v>
      </c>
      <c r="Q234" s="40">
        <f t="shared" si="60"/>
        <v>58.72494943275494</v>
      </c>
    </row>
    <row r="235" spans="5:17" ht="15" customHeight="1" x14ac:dyDescent="0.25">
      <c r="E235" s="44" t="s">
        <v>13</v>
      </c>
      <c r="F235" s="8">
        <v>0.6</v>
      </c>
      <c r="G235" s="8">
        <v>38.880000000000003</v>
      </c>
      <c r="H235" s="8">
        <v>1.0049999999999999</v>
      </c>
      <c r="I235" s="8">
        <v>1.2929999999999999</v>
      </c>
      <c r="J235" s="71">
        <v>34.6</v>
      </c>
      <c r="K235" s="8">
        <v>22</v>
      </c>
      <c r="L235" s="8">
        <f t="shared" si="57"/>
        <v>12.600000000000001</v>
      </c>
      <c r="M235" s="27">
        <f t="shared" si="58"/>
        <v>381.95538595199992</v>
      </c>
      <c r="N235" s="8">
        <v>0.27700000000000002</v>
      </c>
      <c r="O235" s="18">
        <f t="shared" si="59"/>
        <v>105.80164190870398</v>
      </c>
      <c r="P235" s="8">
        <f>30*16</f>
        <v>480</v>
      </c>
      <c r="Q235" s="40">
        <f t="shared" si="60"/>
        <v>50.784788116177914</v>
      </c>
    </row>
    <row r="236" spans="5:17" ht="15" customHeight="1" x14ac:dyDescent="0.25">
      <c r="E236" s="44" t="s">
        <v>24</v>
      </c>
      <c r="F236" s="8">
        <v>0.6</v>
      </c>
      <c r="G236" s="8">
        <v>38.880000000000003</v>
      </c>
      <c r="H236" s="8">
        <v>1.0049999999999999</v>
      </c>
      <c r="I236" s="8">
        <v>1.2929999999999999</v>
      </c>
      <c r="J236" s="41">
        <v>34</v>
      </c>
      <c r="K236" s="8">
        <v>22</v>
      </c>
      <c r="L236" s="8">
        <f t="shared" si="57"/>
        <v>12</v>
      </c>
      <c r="M236" s="27">
        <f t="shared" si="58"/>
        <v>363.76703423999993</v>
      </c>
      <c r="N236" s="8">
        <v>0.27700000000000002</v>
      </c>
      <c r="O236" s="18">
        <f t="shared" si="59"/>
        <v>100.76346848447999</v>
      </c>
      <c r="P236" s="8">
        <f>31*16</f>
        <v>496</v>
      </c>
      <c r="Q236" s="40">
        <f t="shared" si="60"/>
        <v>49.978680368302072</v>
      </c>
    </row>
    <row r="237" spans="5:17" ht="15" customHeight="1" x14ac:dyDescent="0.25">
      <c r="E237" s="44" t="s">
        <v>19</v>
      </c>
      <c r="F237" s="8">
        <v>0.6</v>
      </c>
      <c r="G237" s="8">
        <v>38.880000000000003</v>
      </c>
      <c r="H237" s="8">
        <v>1.0049999999999999</v>
      </c>
      <c r="I237" s="8">
        <v>1.2929999999999999</v>
      </c>
      <c r="J237" s="41">
        <v>33.799999999999997</v>
      </c>
      <c r="K237" s="8">
        <v>22</v>
      </c>
      <c r="L237" s="8">
        <f t="shared" si="57"/>
        <v>11.799999999999997</v>
      </c>
      <c r="M237" s="27">
        <f t="shared" si="58"/>
        <v>357.7042503359998</v>
      </c>
      <c r="N237" s="8">
        <v>0.27700000000000002</v>
      </c>
      <c r="O237" s="18">
        <f t="shared" si="59"/>
        <v>99.084077343071954</v>
      </c>
      <c r="P237" s="8">
        <f>31*16</f>
        <v>496</v>
      </c>
      <c r="Q237" s="40">
        <f t="shared" si="60"/>
        <v>49.145702362163689</v>
      </c>
    </row>
    <row r="238" spans="5:17" ht="15" customHeight="1" x14ac:dyDescent="0.25">
      <c r="E238" s="44" t="s">
        <v>20</v>
      </c>
      <c r="F238" s="8">
        <v>0.6</v>
      </c>
      <c r="G238" s="8">
        <v>38.880000000000003</v>
      </c>
      <c r="H238" s="8">
        <v>1.0049999999999999</v>
      </c>
      <c r="I238" s="8">
        <v>1.2929999999999999</v>
      </c>
      <c r="J238" s="41">
        <v>33.6</v>
      </c>
      <c r="K238" s="8">
        <v>22</v>
      </c>
      <c r="L238" s="8">
        <f t="shared" si="57"/>
        <v>11.600000000000001</v>
      </c>
      <c r="M238" s="27">
        <f t="shared" si="58"/>
        <v>351.64146643199996</v>
      </c>
      <c r="N238" s="8">
        <v>0.27700000000000002</v>
      </c>
      <c r="O238" s="18">
        <f t="shared" si="59"/>
        <v>97.404686201663992</v>
      </c>
      <c r="P238" s="8">
        <f>30*16</f>
        <v>480</v>
      </c>
      <c r="Q238" s="40">
        <f t="shared" si="60"/>
        <v>46.754249376798718</v>
      </c>
    </row>
    <row r="239" spans="5:17" ht="15" customHeight="1" x14ac:dyDescent="0.25">
      <c r="E239" s="44" t="s">
        <v>21</v>
      </c>
      <c r="F239" s="8">
        <v>0.6</v>
      </c>
      <c r="G239" s="8">
        <v>38.880000000000003</v>
      </c>
      <c r="H239" s="8">
        <v>1.0049999999999999</v>
      </c>
      <c r="I239" s="8">
        <v>1.2929999999999999</v>
      </c>
      <c r="J239" s="41">
        <v>33.700000000000003</v>
      </c>
      <c r="K239" s="8">
        <v>22</v>
      </c>
      <c r="L239" s="8">
        <f t="shared" si="57"/>
        <v>11.700000000000003</v>
      </c>
      <c r="M239" s="27">
        <f t="shared" si="58"/>
        <v>354.67285838399999</v>
      </c>
      <c r="N239" s="8">
        <v>0.27700000000000002</v>
      </c>
      <c r="O239" s="18">
        <f t="shared" si="59"/>
        <v>98.244381772368001</v>
      </c>
      <c r="P239" s="8">
        <f>31*16</f>
        <v>496</v>
      </c>
      <c r="Q239" s="40">
        <f t="shared" si="60"/>
        <v>48.72921335909453</v>
      </c>
    </row>
    <row r="240" spans="5:17" ht="15" customHeight="1" x14ac:dyDescent="0.25">
      <c r="E240" s="44" t="s">
        <v>22</v>
      </c>
      <c r="F240" s="8">
        <v>0.6</v>
      </c>
      <c r="G240" s="8">
        <v>38.880000000000003</v>
      </c>
      <c r="H240" s="8">
        <v>1.0049999999999999</v>
      </c>
      <c r="I240" s="8">
        <v>1.2929999999999999</v>
      </c>
      <c r="J240" s="41">
        <v>33.5</v>
      </c>
      <c r="K240" s="8">
        <v>22</v>
      </c>
      <c r="L240" s="8">
        <f t="shared" si="57"/>
        <v>11.5</v>
      </c>
      <c r="M240" s="27">
        <f t="shared" si="58"/>
        <v>348.61007447999992</v>
      </c>
      <c r="N240" s="8">
        <v>0.27700000000000002</v>
      </c>
      <c r="O240" s="18">
        <f t="shared" si="59"/>
        <v>96.564990630959983</v>
      </c>
      <c r="P240" s="8">
        <f>30*16</f>
        <v>480</v>
      </c>
      <c r="Q240" s="40">
        <f t="shared" si="60"/>
        <v>46.35119550286079</v>
      </c>
    </row>
    <row r="241" spans="5:17" ht="15" customHeight="1" x14ac:dyDescent="0.25">
      <c r="E241" s="44" t="s">
        <v>23</v>
      </c>
      <c r="F241" s="8">
        <v>0.6</v>
      </c>
      <c r="G241" s="8">
        <v>38.880000000000003</v>
      </c>
      <c r="H241" s="8">
        <v>1.0049999999999999</v>
      </c>
      <c r="I241" s="8">
        <v>1.2929999999999999</v>
      </c>
      <c r="J241" s="41">
        <v>33.200000000000003</v>
      </c>
      <c r="K241" s="8">
        <v>22</v>
      </c>
      <c r="L241" s="8">
        <f t="shared" si="57"/>
        <v>11.200000000000003</v>
      </c>
      <c r="M241" s="27">
        <f t="shared" si="58"/>
        <v>339.51589862399999</v>
      </c>
      <c r="N241" s="8">
        <v>0.27700000000000002</v>
      </c>
      <c r="O241" s="18">
        <f t="shared" si="59"/>
        <v>94.045903918847998</v>
      </c>
      <c r="P241" s="8">
        <f>31*16</f>
        <v>496</v>
      </c>
      <c r="Q241" s="40">
        <f t="shared" si="60"/>
        <v>46.646768343748604</v>
      </c>
    </row>
    <row r="242" spans="5:17" ht="15" customHeight="1" x14ac:dyDescent="0.4">
      <c r="E242" s="314" t="s">
        <v>133</v>
      </c>
      <c r="F242" s="315"/>
      <c r="G242" s="315"/>
      <c r="H242" s="315"/>
      <c r="I242" s="315"/>
      <c r="J242" s="315"/>
      <c r="K242" s="315"/>
      <c r="L242" s="315"/>
      <c r="M242" s="315"/>
      <c r="N242" s="315"/>
      <c r="O242" s="315"/>
      <c r="P242" s="315"/>
      <c r="Q242" s="84">
        <f>SUM(Q230:Q241)</f>
        <v>602.71332795763419</v>
      </c>
    </row>
    <row r="243" spans="5:17" ht="14" x14ac:dyDescent="0.25">
      <c r="E243" s="44" t="s">
        <v>15</v>
      </c>
      <c r="F243" s="8">
        <v>0.6</v>
      </c>
      <c r="G243" s="8">
        <v>38.880000000000003</v>
      </c>
      <c r="H243" s="8">
        <v>1.0049999999999999</v>
      </c>
      <c r="I243" s="8">
        <v>1.2929999999999999</v>
      </c>
      <c r="J243" s="71">
        <v>33.299999999999997</v>
      </c>
      <c r="K243" s="8">
        <v>23</v>
      </c>
      <c r="L243" s="8">
        <f>J243-K243</f>
        <v>10.299999999999997</v>
      </c>
      <c r="M243" s="27">
        <f>F243*G243*H243*I243*L243</f>
        <v>312.23337105599984</v>
      </c>
      <c r="N243" s="8">
        <v>0.27700000000000002</v>
      </c>
      <c r="O243" s="18">
        <f>M243*N243</f>
        <v>86.488643782511957</v>
      </c>
      <c r="P243" s="8">
        <f>31*16</f>
        <v>496</v>
      </c>
      <c r="Q243" s="40">
        <f>(O243*P243)/1000</f>
        <v>42.898367316125928</v>
      </c>
    </row>
    <row r="244" spans="5:17" ht="14" x14ac:dyDescent="0.25">
      <c r="E244" s="44" t="s">
        <v>16</v>
      </c>
      <c r="F244" s="8">
        <v>0.6</v>
      </c>
      <c r="G244" s="8">
        <v>38.880000000000003</v>
      </c>
      <c r="H244" s="8">
        <v>1.0049999999999999</v>
      </c>
      <c r="I244" s="8">
        <v>1.2929999999999999</v>
      </c>
      <c r="J244" s="71">
        <v>34.1</v>
      </c>
      <c r="K244" s="8">
        <v>23</v>
      </c>
      <c r="L244" s="8">
        <f t="shared" ref="L244:L254" si="61">J244-K244</f>
        <v>11.100000000000001</v>
      </c>
      <c r="M244" s="27">
        <f t="shared" ref="M244:M254" si="62">F244*G244*H244*I244*L244</f>
        <v>336.48450667199995</v>
      </c>
      <c r="N244" s="8">
        <v>0.27700000000000002</v>
      </c>
      <c r="O244" s="18">
        <f t="shared" ref="O244:O254" si="63">M244*N244</f>
        <v>93.206208348143988</v>
      </c>
      <c r="P244" s="8">
        <f>28*16</f>
        <v>448</v>
      </c>
      <c r="Q244" s="40">
        <f t="shared" ref="Q244:Q254" si="64">(O244*P244)/1000</f>
        <v>41.756381339968513</v>
      </c>
    </row>
    <row r="245" spans="5:17" ht="14" x14ac:dyDescent="0.25">
      <c r="E245" s="44" t="s">
        <v>17</v>
      </c>
      <c r="F245" s="8">
        <v>0.6</v>
      </c>
      <c r="G245" s="8">
        <v>38.880000000000003</v>
      </c>
      <c r="H245" s="8">
        <v>1.0049999999999999</v>
      </c>
      <c r="I245" s="8">
        <v>1.2929999999999999</v>
      </c>
      <c r="J245" s="71">
        <v>35.200000000000003</v>
      </c>
      <c r="K245" s="8">
        <v>23</v>
      </c>
      <c r="L245" s="8">
        <f t="shared" si="61"/>
        <v>12.200000000000003</v>
      </c>
      <c r="M245" s="27">
        <f t="shared" si="62"/>
        <v>369.829818144</v>
      </c>
      <c r="N245" s="8">
        <v>0.27700000000000002</v>
      </c>
      <c r="O245" s="18">
        <f t="shared" si="63"/>
        <v>102.442859625888</v>
      </c>
      <c r="P245" s="8">
        <f>31*16</f>
        <v>496</v>
      </c>
      <c r="Q245" s="40">
        <f t="shared" si="64"/>
        <v>50.811658374440448</v>
      </c>
    </row>
    <row r="246" spans="5:17" ht="14" x14ac:dyDescent="0.25">
      <c r="E246" s="44" t="s">
        <v>18</v>
      </c>
      <c r="F246" s="8">
        <v>0.6</v>
      </c>
      <c r="G246" s="8">
        <v>38.880000000000003</v>
      </c>
      <c r="H246" s="8">
        <v>1.0049999999999999</v>
      </c>
      <c r="I246" s="8">
        <v>1.2929999999999999</v>
      </c>
      <c r="J246" s="71">
        <v>36.4</v>
      </c>
      <c r="K246" s="8">
        <v>23</v>
      </c>
      <c r="L246" s="8">
        <f t="shared" si="61"/>
        <v>13.399999999999999</v>
      </c>
      <c r="M246" s="27">
        <f t="shared" si="62"/>
        <v>406.20652156799986</v>
      </c>
      <c r="N246" s="8">
        <v>0.27700000000000002</v>
      </c>
      <c r="O246" s="18">
        <f t="shared" si="63"/>
        <v>112.51920647433597</v>
      </c>
      <c r="P246" s="8">
        <f>30*16</f>
        <v>480</v>
      </c>
      <c r="Q246" s="40">
        <f t="shared" si="64"/>
        <v>54.009219107681268</v>
      </c>
    </row>
    <row r="247" spans="5:17" ht="14" x14ac:dyDescent="0.25">
      <c r="E247" s="44" t="s">
        <v>12</v>
      </c>
      <c r="F247" s="8">
        <v>0.6</v>
      </c>
      <c r="G247" s="8">
        <v>38.880000000000003</v>
      </c>
      <c r="H247" s="8">
        <v>1.0049999999999999</v>
      </c>
      <c r="I247" s="8">
        <v>1.2929999999999999</v>
      </c>
      <c r="J247" s="71">
        <v>36.1</v>
      </c>
      <c r="K247" s="8">
        <v>23</v>
      </c>
      <c r="L247" s="8">
        <f t="shared" si="61"/>
        <v>13.100000000000001</v>
      </c>
      <c r="M247" s="27">
        <f t="shared" si="62"/>
        <v>397.11234571199992</v>
      </c>
      <c r="N247" s="8">
        <v>0.27700000000000002</v>
      </c>
      <c r="O247" s="18">
        <f t="shared" si="63"/>
        <v>110.00011976222399</v>
      </c>
      <c r="P247" s="8">
        <f>31*16</f>
        <v>496</v>
      </c>
      <c r="Q247" s="40">
        <f t="shared" si="64"/>
        <v>54.560059402063096</v>
      </c>
    </row>
    <row r="248" spans="5:17" ht="14" x14ac:dyDescent="0.25">
      <c r="E248" s="44" t="s">
        <v>13</v>
      </c>
      <c r="F248" s="8">
        <v>0.6</v>
      </c>
      <c r="G248" s="8">
        <v>38.880000000000003</v>
      </c>
      <c r="H248" s="8">
        <v>1.0049999999999999</v>
      </c>
      <c r="I248" s="8">
        <v>1.2929999999999999</v>
      </c>
      <c r="J248" s="71">
        <v>34.6</v>
      </c>
      <c r="K248" s="8">
        <v>23</v>
      </c>
      <c r="L248" s="8">
        <f t="shared" si="61"/>
        <v>11.600000000000001</v>
      </c>
      <c r="M248" s="27">
        <f t="shared" si="62"/>
        <v>351.64146643199996</v>
      </c>
      <c r="N248" s="8">
        <v>0.27700000000000002</v>
      </c>
      <c r="O248" s="18">
        <f t="shared" si="63"/>
        <v>97.404686201663992</v>
      </c>
      <c r="P248" s="8">
        <f>30*16</f>
        <v>480</v>
      </c>
      <c r="Q248" s="40">
        <f t="shared" si="64"/>
        <v>46.754249376798718</v>
      </c>
    </row>
    <row r="249" spans="5:17" ht="14" x14ac:dyDescent="0.25">
      <c r="E249" s="44" t="s">
        <v>24</v>
      </c>
      <c r="F249" s="8">
        <v>0.6</v>
      </c>
      <c r="G249" s="8">
        <v>38.880000000000003</v>
      </c>
      <c r="H249" s="8">
        <v>1.0049999999999999</v>
      </c>
      <c r="I249" s="8">
        <v>1.2929999999999999</v>
      </c>
      <c r="J249" s="41">
        <v>34</v>
      </c>
      <c r="K249" s="8">
        <v>23</v>
      </c>
      <c r="L249" s="8">
        <f t="shared" si="61"/>
        <v>11</v>
      </c>
      <c r="M249" s="27">
        <f t="shared" si="62"/>
        <v>333.45311471999992</v>
      </c>
      <c r="N249" s="8">
        <v>0.27700000000000002</v>
      </c>
      <c r="O249" s="18">
        <f t="shared" si="63"/>
        <v>92.366512777439979</v>
      </c>
      <c r="P249" s="8">
        <f>31*16</f>
        <v>496</v>
      </c>
      <c r="Q249" s="40">
        <f t="shared" si="64"/>
        <v>45.813790337610236</v>
      </c>
    </row>
    <row r="250" spans="5:17" ht="14" x14ac:dyDescent="0.25">
      <c r="E250" s="44" t="s">
        <v>19</v>
      </c>
      <c r="F250" s="8">
        <v>0.6</v>
      </c>
      <c r="G250" s="8">
        <v>38.880000000000003</v>
      </c>
      <c r="H250" s="8">
        <v>1.0049999999999999</v>
      </c>
      <c r="I250" s="8">
        <v>1.2929999999999999</v>
      </c>
      <c r="J250" s="41">
        <v>33.799999999999997</v>
      </c>
      <c r="K250" s="8">
        <v>23</v>
      </c>
      <c r="L250" s="8">
        <f t="shared" si="61"/>
        <v>10.799999999999997</v>
      </c>
      <c r="M250" s="27">
        <f t="shared" si="62"/>
        <v>327.39033081599985</v>
      </c>
      <c r="N250" s="8">
        <v>0.27700000000000002</v>
      </c>
      <c r="O250" s="18">
        <f t="shared" si="63"/>
        <v>90.687121636031961</v>
      </c>
      <c r="P250" s="8">
        <f>31*16</f>
        <v>496</v>
      </c>
      <c r="Q250" s="40">
        <f t="shared" si="64"/>
        <v>44.980812331471853</v>
      </c>
    </row>
    <row r="251" spans="5:17" ht="14" x14ac:dyDescent="0.25">
      <c r="E251" s="44" t="s">
        <v>20</v>
      </c>
      <c r="F251" s="8">
        <v>0.6</v>
      </c>
      <c r="G251" s="8">
        <v>38.880000000000003</v>
      </c>
      <c r="H251" s="8">
        <v>1.0049999999999999</v>
      </c>
      <c r="I251" s="8">
        <v>1.2929999999999999</v>
      </c>
      <c r="J251" s="41">
        <v>33.6</v>
      </c>
      <c r="K251" s="8">
        <v>23</v>
      </c>
      <c r="L251" s="8">
        <f t="shared" si="61"/>
        <v>10.600000000000001</v>
      </c>
      <c r="M251" s="27">
        <f t="shared" si="62"/>
        <v>321.32754691199995</v>
      </c>
      <c r="N251" s="8">
        <v>0.27700000000000002</v>
      </c>
      <c r="O251" s="18">
        <f t="shared" si="63"/>
        <v>89.007730494623999</v>
      </c>
      <c r="P251" s="8">
        <f>30*16</f>
        <v>480</v>
      </c>
      <c r="Q251" s="40">
        <f t="shared" si="64"/>
        <v>42.723710637419522</v>
      </c>
    </row>
    <row r="252" spans="5:17" ht="14" x14ac:dyDescent="0.25">
      <c r="E252" s="44" t="s">
        <v>21</v>
      </c>
      <c r="F252" s="8">
        <v>0.6</v>
      </c>
      <c r="G252" s="8">
        <v>38.880000000000003</v>
      </c>
      <c r="H252" s="8">
        <v>1.0049999999999999</v>
      </c>
      <c r="I252" s="8">
        <v>1.2929999999999999</v>
      </c>
      <c r="J252" s="41">
        <v>33.700000000000003</v>
      </c>
      <c r="K252" s="8">
        <v>23</v>
      </c>
      <c r="L252" s="8">
        <f t="shared" si="61"/>
        <v>10.700000000000003</v>
      </c>
      <c r="M252" s="27">
        <f t="shared" si="62"/>
        <v>324.35893886399998</v>
      </c>
      <c r="N252" s="8">
        <v>0.27700000000000002</v>
      </c>
      <c r="O252" s="18">
        <f t="shared" si="63"/>
        <v>89.847426065328008</v>
      </c>
      <c r="P252" s="8">
        <f>31*16</f>
        <v>496</v>
      </c>
      <c r="Q252" s="40">
        <f t="shared" si="64"/>
        <v>44.564323328402693</v>
      </c>
    </row>
    <row r="253" spans="5:17" ht="14" x14ac:dyDescent="0.25">
      <c r="E253" s="44" t="s">
        <v>22</v>
      </c>
      <c r="F253" s="8">
        <v>0.6</v>
      </c>
      <c r="G253" s="8">
        <v>38.880000000000003</v>
      </c>
      <c r="H253" s="8">
        <v>1.0049999999999999</v>
      </c>
      <c r="I253" s="8">
        <v>1.2929999999999999</v>
      </c>
      <c r="J253" s="41">
        <v>33.5</v>
      </c>
      <c r="K253" s="8">
        <v>23</v>
      </c>
      <c r="L253" s="8">
        <f t="shared" si="61"/>
        <v>10.5</v>
      </c>
      <c r="M253" s="27">
        <f t="shared" si="62"/>
        <v>318.29615495999991</v>
      </c>
      <c r="N253" s="8">
        <v>0.27700000000000002</v>
      </c>
      <c r="O253" s="18">
        <f t="shared" si="63"/>
        <v>88.16803492391999</v>
      </c>
      <c r="P253" s="8">
        <f>30*16</f>
        <v>480</v>
      </c>
      <c r="Q253" s="40">
        <f t="shared" si="64"/>
        <v>42.320656763481594</v>
      </c>
    </row>
    <row r="254" spans="5:17" ht="14" x14ac:dyDescent="0.25">
      <c r="E254" s="44" t="s">
        <v>23</v>
      </c>
      <c r="F254" s="8">
        <v>0.6</v>
      </c>
      <c r="G254" s="8">
        <v>38.880000000000003</v>
      </c>
      <c r="H254" s="8">
        <v>1.0049999999999999</v>
      </c>
      <c r="I254" s="8">
        <v>1.2929999999999999</v>
      </c>
      <c r="J254" s="41">
        <v>33.200000000000003</v>
      </c>
      <c r="K254" s="8">
        <v>23</v>
      </c>
      <c r="L254" s="8">
        <f t="shared" si="61"/>
        <v>10.200000000000003</v>
      </c>
      <c r="M254" s="27">
        <f t="shared" si="62"/>
        <v>309.20197910399997</v>
      </c>
      <c r="N254" s="8">
        <v>0.27700000000000002</v>
      </c>
      <c r="O254" s="18">
        <f t="shared" si="63"/>
        <v>85.648948211808005</v>
      </c>
      <c r="P254" s="8">
        <f>31*16</f>
        <v>496</v>
      </c>
      <c r="Q254" s="40">
        <f t="shared" si="64"/>
        <v>42.481878313056768</v>
      </c>
    </row>
    <row r="255" spans="5:17" ht="15" x14ac:dyDescent="0.4">
      <c r="E255" s="314" t="s">
        <v>88</v>
      </c>
      <c r="F255" s="315"/>
      <c r="G255" s="315"/>
      <c r="H255" s="315"/>
      <c r="I255" s="315"/>
      <c r="J255" s="315"/>
      <c r="K255" s="315"/>
      <c r="L255" s="315"/>
      <c r="M255" s="315"/>
      <c r="N255" s="315"/>
      <c r="O255" s="315"/>
      <c r="P255" s="315"/>
      <c r="Q255" s="84">
        <f>SUM(Q243:Q254)</f>
        <v>553.67510662852055</v>
      </c>
    </row>
    <row r="256" spans="5:17" ht="14" x14ac:dyDescent="0.25">
      <c r="E256" s="44" t="s">
        <v>15</v>
      </c>
      <c r="F256" s="8">
        <v>0.6</v>
      </c>
      <c r="G256" s="8">
        <v>38.880000000000003</v>
      </c>
      <c r="H256" s="8">
        <v>1.0049999999999999</v>
      </c>
      <c r="I256" s="8">
        <v>1.2929999999999999</v>
      </c>
      <c r="J256" s="71">
        <v>33.299999999999997</v>
      </c>
      <c r="K256" s="8">
        <v>24</v>
      </c>
      <c r="L256" s="8">
        <f>J256-K256</f>
        <v>9.2999999999999972</v>
      </c>
      <c r="M256" s="27">
        <f>F256*G256*H256*I256*L256</f>
        <v>281.91945153599983</v>
      </c>
      <c r="N256" s="8">
        <v>0.27700000000000002</v>
      </c>
      <c r="O256" s="18">
        <f>M256*N256</f>
        <v>78.091688075471964</v>
      </c>
      <c r="P256" s="8">
        <f>31*16</f>
        <v>496</v>
      </c>
      <c r="Q256" s="40">
        <f>(O256*P256)/1000</f>
        <v>38.733477285434091</v>
      </c>
    </row>
    <row r="257" spans="5:17" ht="14" x14ac:dyDescent="0.25">
      <c r="E257" s="44" t="s">
        <v>16</v>
      </c>
      <c r="F257" s="8">
        <v>0.6</v>
      </c>
      <c r="G257" s="8">
        <v>38.880000000000003</v>
      </c>
      <c r="H257" s="8">
        <v>1.0049999999999999</v>
      </c>
      <c r="I257" s="8">
        <v>1.2929999999999999</v>
      </c>
      <c r="J257" s="71">
        <v>34.1</v>
      </c>
      <c r="K257" s="8">
        <v>24</v>
      </c>
      <c r="L257" s="8">
        <f t="shared" ref="L257:L267" si="65">J257-K257</f>
        <v>10.100000000000001</v>
      </c>
      <c r="M257" s="27">
        <f t="shared" ref="M257:M267" si="66">F257*G257*H257*I257*L257</f>
        <v>306.17058715199994</v>
      </c>
      <c r="N257" s="8">
        <v>0.27700000000000002</v>
      </c>
      <c r="O257" s="18">
        <f t="shared" ref="O257:O267" si="67">M257*N257</f>
        <v>84.809252641103996</v>
      </c>
      <c r="P257" s="8">
        <f>28*16</f>
        <v>448</v>
      </c>
      <c r="Q257" s="40">
        <f t="shared" ref="Q257:Q267" si="68">(O257*P257)/1000</f>
        <v>37.994545183214591</v>
      </c>
    </row>
    <row r="258" spans="5:17" ht="14" x14ac:dyDescent="0.25">
      <c r="E258" s="44" t="s">
        <v>17</v>
      </c>
      <c r="F258" s="8">
        <v>0.6</v>
      </c>
      <c r="G258" s="8">
        <v>38.880000000000003</v>
      </c>
      <c r="H258" s="8">
        <v>1.0049999999999999</v>
      </c>
      <c r="I258" s="8">
        <v>1.2929999999999999</v>
      </c>
      <c r="J258" s="71">
        <v>35.200000000000003</v>
      </c>
      <c r="K258" s="8">
        <v>24</v>
      </c>
      <c r="L258" s="8">
        <f t="shared" si="65"/>
        <v>11.200000000000003</v>
      </c>
      <c r="M258" s="27">
        <f t="shared" si="66"/>
        <v>339.51589862399999</v>
      </c>
      <c r="N258" s="8">
        <v>0.27700000000000002</v>
      </c>
      <c r="O258" s="18">
        <f t="shared" si="67"/>
        <v>94.045903918847998</v>
      </c>
      <c r="P258" s="8">
        <f>31*16</f>
        <v>496</v>
      </c>
      <c r="Q258" s="40">
        <f t="shared" si="68"/>
        <v>46.646768343748604</v>
      </c>
    </row>
    <row r="259" spans="5:17" ht="14" x14ac:dyDescent="0.25">
      <c r="E259" s="44" t="s">
        <v>18</v>
      </c>
      <c r="F259" s="8">
        <v>0.6</v>
      </c>
      <c r="G259" s="8">
        <v>38.880000000000003</v>
      </c>
      <c r="H259" s="8">
        <v>1.0049999999999999</v>
      </c>
      <c r="I259" s="8">
        <v>1.2929999999999999</v>
      </c>
      <c r="J259" s="71">
        <v>36.4</v>
      </c>
      <c r="K259" s="8">
        <v>24</v>
      </c>
      <c r="L259" s="8">
        <f t="shared" si="65"/>
        <v>12.399999999999999</v>
      </c>
      <c r="M259" s="27">
        <f t="shared" si="66"/>
        <v>375.89260204799984</v>
      </c>
      <c r="N259" s="8">
        <v>0.27700000000000002</v>
      </c>
      <c r="O259" s="18">
        <f t="shared" si="67"/>
        <v>104.12225076729597</v>
      </c>
      <c r="P259" s="8">
        <f>30*16</f>
        <v>480</v>
      </c>
      <c r="Q259" s="40">
        <f t="shared" si="68"/>
        <v>49.978680368302065</v>
      </c>
    </row>
    <row r="260" spans="5:17" ht="14" x14ac:dyDescent="0.25">
      <c r="E260" s="44" t="s">
        <v>12</v>
      </c>
      <c r="F260" s="8">
        <v>0.6</v>
      </c>
      <c r="G260" s="8">
        <v>38.880000000000003</v>
      </c>
      <c r="H260" s="8">
        <v>1.0049999999999999</v>
      </c>
      <c r="I260" s="8">
        <v>1.2929999999999999</v>
      </c>
      <c r="J260" s="71">
        <v>36.1</v>
      </c>
      <c r="K260" s="8">
        <v>24</v>
      </c>
      <c r="L260" s="8">
        <f t="shared" si="65"/>
        <v>12.100000000000001</v>
      </c>
      <c r="M260" s="27">
        <f t="shared" si="66"/>
        <v>366.79842619199997</v>
      </c>
      <c r="N260" s="8">
        <v>0.27700000000000002</v>
      </c>
      <c r="O260" s="18">
        <f t="shared" si="67"/>
        <v>101.603164055184</v>
      </c>
      <c r="P260" s="8">
        <f>31*16</f>
        <v>496</v>
      </c>
      <c r="Q260" s="40">
        <f t="shared" si="68"/>
        <v>50.39516937137126</v>
      </c>
    </row>
    <row r="261" spans="5:17" ht="14" x14ac:dyDescent="0.25">
      <c r="E261" s="44" t="s">
        <v>13</v>
      </c>
      <c r="F261" s="8">
        <v>0.6</v>
      </c>
      <c r="G261" s="8">
        <v>38.880000000000003</v>
      </c>
      <c r="H261" s="8">
        <v>1.0049999999999999</v>
      </c>
      <c r="I261" s="8">
        <v>1.2929999999999999</v>
      </c>
      <c r="J261" s="71">
        <v>34.6</v>
      </c>
      <c r="K261" s="8">
        <v>24</v>
      </c>
      <c r="L261" s="8">
        <f t="shared" si="65"/>
        <v>10.600000000000001</v>
      </c>
      <c r="M261" s="27">
        <f t="shared" si="66"/>
        <v>321.32754691199995</v>
      </c>
      <c r="N261" s="8">
        <v>0.27700000000000002</v>
      </c>
      <c r="O261" s="18">
        <f t="shared" si="67"/>
        <v>89.007730494623999</v>
      </c>
      <c r="P261" s="8">
        <f>30*16</f>
        <v>480</v>
      </c>
      <c r="Q261" s="40">
        <f t="shared" si="68"/>
        <v>42.723710637419522</v>
      </c>
    </row>
    <row r="262" spans="5:17" ht="14" x14ac:dyDescent="0.25">
      <c r="E262" s="44" t="s">
        <v>24</v>
      </c>
      <c r="F262" s="8">
        <v>0.6</v>
      </c>
      <c r="G262" s="8">
        <v>38.880000000000003</v>
      </c>
      <c r="H262" s="8">
        <v>1.0049999999999999</v>
      </c>
      <c r="I262" s="8">
        <v>1.2929999999999999</v>
      </c>
      <c r="J262" s="41">
        <v>34</v>
      </c>
      <c r="K262" s="8">
        <v>24</v>
      </c>
      <c r="L262" s="8">
        <f t="shared" si="65"/>
        <v>10</v>
      </c>
      <c r="M262" s="27">
        <f t="shared" si="66"/>
        <v>303.1391951999999</v>
      </c>
      <c r="N262" s="8">
        <v>0.27700000000000002</v>
      </c>
      <c r="O262" s="18">
        <f t="shared" si="67"/>
        <v>83.969557070399986</v>
      </c>
      <c r="P262" s="8">
        <f>31*16</f>
        <v>496</v>
      </c>
      <c r="Q262" s="40">
        <f t="shared" si="68"/>
        <v>41.648900306918399</v>
      </c>
    </row>
    <row r="263" spans="5:17" ht="14" x14ac:dyDescent="0.25">
      <c r="E263" s="44" t="s">
        <v>19</v>
      </c>
      <c r="F263" s="8">
        <v>0.6</v>
      </c>
      <c r="G263" s="8">
        <v>38.880000000000003</v>
      </c>
      <c r="H263" s="8">
        <v>1.0049999999999999</v>
      </c>
      <c r="I263" s="8">
        <v>1.2929999999999999</v>
      </c>
      <c r="J263" s="41">
        <v>33.799999999999997</v>
      </c>
      <c r="K263" s="8">
        <v>24</v>
      </c>
      <c r="L263" s="8">
        <f t="shared" si="65"/>
        <v>9.7999999999999972</v>
      </c>
      <c r="M263" s="27">
        <f t="shared" si="66"/>
        <v>297.07641129599983</v>
      </c>
      <c r="N263" s="8">
        <v>0.27700000000000002</v>
      </c>
      <c r="O263" s="18">
        <f t="shared" si="67"/>
        <v>82.290165928991968</v>
      </c>
      <c r="P263" s="8">
        <f>31*16</f>
        <v>496</v>
      </c>
      <c r="Q263" s="40">
        <f t="shared" si="68"/>
        <v>40.815922300780016</v>
      </c>
    </row>
    <row r="264" spans="5:17" ht="14" x14ac:dyDescent="0.25">
      <c r="E264" s="44" t="s">
        <v>20</v>
      </c>
      <c r="F264" s="8">
        <v>0.6</v>
      </c>
      <c r="G264" s="8">
        <v>38.880000000000003</v>
      </c>
      <c r="H264" s="8">
        <v>1.0049999999999999</v>
      </c>
      <c r="I264" s="8">
        <v>1.2929999999999999</v>
      </c>
      <c r="J264" s="41">
        <v>33.6</v>
      </c>
      <c r="K264" s="8">
        <v>24</v>
      </c>
      <c r="L264" s="8">
        <f t="shared" si="65"/>
        <v>9.6000000000000014</v>
      </c>
      <c r="M264" s="27">
        <f t="shared" si="66"/>
        <v>291.01362739199999</v>
      </c>
      <c r="N264" s="8">
        <v>0.27700000000000002</v>
      </c>
      <c r="O264" s="18">
        <f t="shared" si="67"/>
        <v>80.610774787584006</v>
      </c>
      <c r="P264" s="8">
        <f>30*16</f>
        <v>480</v>
      </c>
      <c r="Q264" s="40">
        <f t="shared" si="68"/>
        <v>38.693171898040326</v>
      </c>
    </row>
    <row r="265" spans="5:17" ht="14" x14ac:dyDescent="0.25">
      <c r="E265" s="44" t="s">
        <v>21</v>
      </c>
      <c r="F265" s="8">
        <v>0.6</v>
      </c>
      <c r="G265" s="8">
        <v>38.880000000000003</v>
      </c>
      <c r="H265" s="8">
        <v>1.0049999999999999</v>
      </c>
      <c r="I265" s="8">
        <v>1.2929999999999999</v>
      </c>
      <c r="J265" s="41">
        <v>33.700000000000003</v>
      </c>
      <c r="K265" s="8">
        <v>24</v>
      </c>
      <c r="L265" s="8">
        <f t="shared" si="65"/>
        <v>9.7000000000000028</v>
      </c>
      <c r="M265" s="27">
        <f t="shared" si="66"/>
        <v>294.04501934400002</v>
      </c>
      <c r="N265" s="8">
        <v>0.27700000000000002</v>
      </c>
      <c r="O265" s="18">
        <f t="shared" si="67"/>
        <v>81.450470358288015</v>
      </c>
      <c r="P265" s="8">
        <f>31*16</f>
        <v>496</v>
      </c>
      <c r="Q265" s="40">
        <f t="shared" si="68"/>
        <v>40.399433297710857</v>
      </c>
    </row>
    <row r="266" spans="5:17" ht="14" x14ac:dyDescent="0.25">
      <c r="E266" s="44" t="s">
        <v>22</v>
      </c>
      <c r="F266" s="8">
        <v>0.6</v>
      </c>
      <c r="G266" s="8">
        <v>38.880000000000003</v>
      </c>
      <c r="H266" s="8">
        <v>1.0049999999999999</v>
      </c>
      <c r="I266" s="8">
        <v>1.2929999999999999</v>
      </c>
      <c r="J266" s="41">
        <v>33.5</v>
      </c>
      <c r="K266" s="8">
        <v>24</v>
      </c>
      <c r="L266" s="8">
        <f t="shared" si="65"/>
        <v>9.5</v>
      </c>
      <c r="M266" s="27">
        <f t="shared" si="66"/>
        <v>287.9822354399999</v>
      </c>
      <c r="N266" s="8">
        <v>0.27700000000000002</v>
      </c>
      <c r="O266" s="18">
        <f t="shared" si="67"/>
        <v>79.771079216879983</v>
      </c>
      <c r="P266" s="8">
        <f>30*16</f>
        <v>480</v>
      </c>
      <c r="Q266" s="40">
        <f t="shared" si="68"/>
        <v>38.290118024102391</v>
      </c>
    </row>
    <row r="267" spans="5:17" ht="14" x14ac:dyDescent="0.25">
      <c r="E267" s="44" t="s">
        <v>23</v>
      </c>
      <c r="F267" s="8">
        <v>0.6</v>
      </c>
      <c r="G267" s="8">
        <v>38.880000000000003</v>
      </c>
      <c r="H267" s="8">
        <v>1.0049999999999999</v>
      </c>
      <c r="I267" s="8">
        <v>1.2929999999999999</v>
      </c>
      <c r="J267" s="41">
        <v>33.200000000000003</v>
      </c>
      <c r="K267" s="8">
        <v>24</v>
      </c>
      <c r="L267" s="8">
        <f t="shared" si="65"/>
        <v>9.2000000000000028</v>
      </c>
      <c r="M267" s="27">
        <f t="shared" si="66"/>
        <v>278.88805958400002</v>
      </c>
      <c r="N267" s="8">
        <v>0.27700000000000002</v>
      </c>
      <c r="O267" s="18">
        <f t="shared" si="67"/>
        <v>77.251992504768012</v>
      </c>
      <c r="P267" s="8">
        <f>31*16</f>
        <v>496</v>
      </c>
      <c r="Q267" s="40">
        <f t="shared" si="68"/>
        <v>38.316988282364932</v>
      </c>
    </row>
    <row r="268" spans="5:17" ht="15" x14ac:dyDescent="0.4">
      <c r="E268" s="314" t="s">
        <v>90</v>
      </c>
      <c r="F268" s="315"/>
      <c r="G268" s="315"/>
      <c r="H268" s="315"/>
      <c r="I268" s="315"/>
      <c r="J268" s="315"/>
      <c r="K268" s="315"/>
      <c r="L268" s="315"/>
      <c r="M268" s="315"/>
      <c r="N268" s="315"/>
      <c r="O268" s="315"/>
      <c r="P268" s="315"/>
      <c r="Q268" s="84">
        <f>SUM(Q256:Q267)</f>
        <v>504.63688529940703</v>
      </c>
    </row>
    <row r="269" spans="5:17" ht="14" x14ac:dyDescent="0.25">
      <c r="E269" s="44" t="s">
        <v>15</v>
      </c>
      <c r="F269" s="8">
        <v>0.6</v>
      </c>
      <c r="G269" s="8">
        <v>38.880000000000003</v>
      </c>
      <c r="H269" s="8">
        <v>1.0049999999999999</v>
      </c>
      <c r="I269" s="8">
        <v>1.2929999999999999</v>
      </c>
      <c r="J269" s="71">
        <v>33.299999999999997</v>
      </c>
      <c r="K269" s="8">
        <v>25</v>
      </c>
      <c r="L269" s="8">
        <f>J269-K269</f>
        <v>8.2999999999999972</v>
      </c>
      <c r="M269" s="27">
        <f>F269*G269*H269*I269*L269</f>
        <v>251.60553201599984</v>
      </c>
      <c r="N269" s="8">
        <v>0.27700000000000002</v>
      </c>
      <c r="O269" s="18">
        <f>M269*N269</f>
        <v>69.694732368431957</v>
      </c>
      <c r="P269" s="8">
        <f>31*16</f>
        <v>496</v>
      </c>
      <c r="Q269" s="40">
        <f>(O269*P269)/1000</f>
        <v>34.568587254742248</v>
      </c>
    </row>
    <row r="270" spans="5:17" ht="14" x14ac:dyDescent="0.25">
      <c r="E270" s="44" t="s">
        <v>16</v>
      </c>
      <c r="F270" s="8">
        <v>0.6</v>
      </c>
      <c r="G270" s="8">
        <v>38.880000000000003</v>
      </c>
      <c r="H270" s="8">
        <v>1.0049999999999999</v>
      </c>
      <c r="I270" s="8">
        <v>1.2929999999999999</v>
      </c>
      <c r="J270" s="71">
        <v>34.1</v>
      </c>
      <c r="K270" s="8">
        <v>25</v>
      </c>
      <c r="L270" s="8">
        <f t="shared" ref="L270:L280" si="69">J270-K270</f>
        <v>9.1000000000000014</v>
      </c>
      <c r="M270" s="27">
        <f t="shared" ref="M270:M280" si="70">F270*G270*H270*I270*L270</f>
        <v>275.85666763199998</v>
      </c>
      <c r="N270" s="8">
        <v>0.27700000000000002</v>
      </c>
      <c r="O270" s="18">
        <f t="shared" ref="O270:O280" si="71">M270*N270</f>
        <v>76.412296934064003</v>
      </c>
      <c r="P270" s="8">
        <f>28*16</f>
        <v>448</v>
      </c>
      <c r="Q270" s="40">
        <f t="shared" ref="Q270:Q280" si="72">(O270*P270)/1000</f>
        <v>34.232709026460675</v>
      </c>
    </row>
    <row r="271" spans="5:17" ht="14" x14ac:dyDescent="0.25">
      <c r="E271" s="44" t="s">
        <v>17</v>
      </c>
      <c r="F271" s="8">
        <v>0.6</v>
      </c>
      <c r="G271" s="8">
        <v>38.880000000000003</v>
      </c>
      <c r="H271" s="8">
        <v>1.0049999999999999</v>
      </c>
      <c r="I271" s="8">
        <v>1.2929999999999999</v>
      </c>
      <c r="J271" s="71">
        <v>35.200000000000003</v>
      </c>
      <c r="K271" s="8">
        <v>25</v>
      </c>
      <c r="L271" s="8">
        <f t="shared" si="69"/>
        <v>10.200000000000003</v>
      </c>
      <c r="M271" s="27">
        <f t="shared" si="70"/>
        <v>309.20197910399997</v>
      </c>
      <c r="N271" s="8">
        <v>0.27700000000000002</v>
      </c>
      <c r="O271" s="18">
        <f t="shared" si="71"/>
        <v>85.648948211808005</v>
      </c>
      <c r="P271" s="8">
        <f>31*16</f>
        <v>496</v>
      </c>
      <c r="Q271" s="40">
        <f t="shared" si="72"/>
        <v>42.481878313056768</v>
      </c>
    </row>
    <row r="272" spans="5:17" ht="14" x14ac:dyDescent="0.25">
      <c r="E272" s="44" t="s">
        <v>18</v>
      </c>
      <c r="F272" s="8">
        <v>0.6</v>
      </c>
      <c r="G272" s="8">
        <v>38.880000000000003</v>
      </c>
      <c r="H272" s="8">
        <v>1.0049999999999999</v>
      </c>
      <c r="I272" s="8">
        <v>1.2929999999999999</v>
      </c>
      <c r="J272" s="71">
        <v>36.4</v>
      </c>
      <c r="K272" s="8">
        <v>25</v>
      </c>
      <c r="L272" s="8">
        <f t="shared" si="69"/>
        <v>11.399999999999999</v>
      </c>
      <c r="M272" s="27">
        <f t="shared" si="70"/>
        <v>345.57868252799989</v>
      </c>
      <c r="N272" s="8">
        <v>0.27700000000000002</v>
      </c>
      <c r="O272" s="18">
        <f t="shared" si="71"/>
        <v>95.725295060255974</v>
      </c>
      <c r="P272" s="8">
        <f>30*16</f>
        <v>480</v>
      </c>
      <c r="Q272" s="40">
        <f t="shared" si="72"/>
        <v>45.948141628922869</v>
      </c>
    </row>
    <row r="273" spans="5:17" ht="14" x14ac:dyDescent="0.25">
      <c r="E273" s="44" t="s">
        <v>12</v>
      </c>
      <c r="F273" s="8">
        <v>0.6</v>
      </c>
      <c r="G273" s="8">
        <v>38.880000000000003</v>
      </c>
      <c r="H273" s="8">
        <v>1.0049999999999999</v>
      </c>
      <c r="I273" s="8">
        <v>1.2929999999999999</v>
      </c>
      <c r="J273" s="71">
        <v>36.1</v>
      </c>
      <c r="K273" s="8">
        <v>25</v>
      </c>
      <c r="L273" s="8">
        <f t="shared" si="69"/>
        <v>11.100000000000001</v>
      </c>
      <c r="M273" s="27">
        <f t="shared" si="70"/>
        <v>336.48450667199995</v>
      </c>
      <c r="N273" s="8">
        <v>0.27700000000000002</v>
      </c>
      <c r="O273" s="18">
        <f t="shared" si="71"/>
        <v>93.206208348143988</v>
      </c>
      <c r="P273" s="8">
        <f>31*16</f>
        <v>496</v>
      </c>
      <c r="Q273" s="40">
        <f t="shared" si="72"/>
        <v>46.230279340679417</v>
      </c>
    </row>
    <row r="274" spans="5:17" ht="14" x14ac:dyDescent="0.25">
      <c r="E274" s="44" t="s">
        <v>13</v>
      </c>
      <c r="F274" s="8">
        <v>0.6</v>
      </c>
      <c r="G274" s="8">
        <v>38.880000000000003</v>
      </c>
      <c r="H274" s="8">
        <v>1.0049999999999999</v>
      </c>
      <c r="I274" s="8">
        <v>1.2929999999999999</v>
      </c>
      <c r="J274" s="71">
        <v>34.6</v>
      </c>
      <c r="K274" s="8">
        <v>25</v>
      </c>
      <c r="L274" s="8">
        <f t="shared" si="69"/>
        <v>9.6000000000000014</v>
      </c>
      <c r="M274" s="27">
        <f t="shared" si="70"/>
        <v>291.01362739199999</v>
      </c>
      <c r="N274" s="8">
        <v>0.27700000000000002</v>
      </c>
      <c r="O274" s="18">
        <f t="shared" si="71"/>
        <v>80.610774787584006</v>
      </c>
      <c r="P274" s="8">
        <f>30*16</f>
        <v>480</v>
      </c>
      <c r="Q274" s="40">
        <f t="shared" si="72"/>
        <v>38.693171898040326</v>
      </c>
    </row>
    <row r="275" spans="5:17" ht="14" x14ac:dyDescent="0.25">
      <c r="E275" s="44" t="s">
        <v>24</v>
      </c>
      <c r="F275" s="8">
        <v>0.6</v>
      </c>
      <c r="G275" s="8">
        <v>38.880000000000003</v>
      </c>
      <c r="H275" s="8">
        <v>1.0049999999999999</v>
      </c>
      <c r="I275" s="8">
        <v>1.2929999999999999</v>
      </c>
      <c r="J275" s="41">
        <v>34</v>
      </c>
      <c r="K275" s="8">
        <v>25</v>
      </c>
      <c r="L275" s="8">
        <f t="shared" si="69"/>
        <v>9</v>
      </c>
      <c r="M275" s="27">
        <f t="shared" si="70"/>
        <v>272.82527567999995</v>
      </c>
      <c r="N275" s="8">
        <v>0.27700000000000002</v>
      </c>
      <c r="O275" s="18">
        <f t="shared" si="71"/>
        <v>75.572601363359993</v>
      </c>
      <c r="P275" s="8">
        <f>31*16</f>
        <v>496</v>
      </c>
      <c r="Q275" s="40">
        <f t="shared" si="72"/>
        <v>37.484010276226563</v>
      </c>
    </row>
    <row r="276" spans="5:17" ht="14" x14ac:dyDescent="0.25">
      <c r="E276" s="44" t="s">
        <v>19</v>
      </c>
      <c r="F276" s="8">
        <v>0.6</v>
      </c>
      <c r="G276" s="8">
        <v>38.880000000000003</v>
      </c>
      <c r="H276" s="8">
        <v>1.0049999999999999</v>
      </c>
      <c r="I276" s="8">
        <v>1.2929999999999999</v>
      </c>
      <c r="J276" s="41">
        <v>33.799999999999997</v>
      </c>
      <c r="K276" s="8">
        <v>25</v>
      </c>
      <c r="L276" s="8">
        <f t="shared" si="69"/>
        <v>8.7999999999999972</v>
      </c>
      <c r="M276" s="27">
        <f t="shared" si="70"/>
        <v>266.76249177599982</v>
      </c>
      <c r="N276" s="8">
        <v>0.27700000000000002</v>
      </c>
      <c r="O276" s="18">
        <f t="shared" si="71"/>
        <v>73.893210221951961</v>
      </c>
      <c r="P276" s="8">
        <f>31*16</f>
        <v>496</v>
      </c>
      <c r="Q276" s="40">
        <f t="shared" si="72"/>
        <v>36.651032270088173</v>
      </c>
    </row>
    <row r="277" spans="5:17" ht="14" x14ac:dyDescent="0.25">
      <c r="E277" s="44" t="s">
        <v>20</v>
      </c>
      <c r="F277" s="8">
        <v>0.6</v>
      </c>
      <c r="G277" s="8">
        <v>38.880000000000003</v>
      </c>
      <c r="H277" s="8">
        <v>1.0049999999999999</v>
      </c>
      <c r="I277" s="8">
        <v>1.2929999999999999</v>
      </c>
      <c r="J277" s="41">
        <v>33.6</v>
      </c>
      <c r="K277" s="8">
        <v>25</v>
      </c>
      <c r="L277" s="8">
        <f t="shared" si="69"/>
        <v>8.6000000000000014</v>
      </c>
      <c r="M277" s="27">
        <f t="shared" si="70"/>
        <v>260.69970787199998</v>
      </c>
      <c r="N277" s="8">
        <v>0.27700000000000002</v>
      </c>
      <c r="O277" s="18">
        <f t="shared" si="71"/>
        <v>72.213819080543999</v>
      </c>
      <c r="P277" s="8">
        <f>30*16</f>
        <v>480</v>
      </c>
      <c r="Q277" s="40">
        <f t="shared" si="72"/>
        <v>34.662633158661123</v>
      </c>
    </row>
    <row r="278" spans="5:17" ht="14" x14ac:dyDescent="0.25">
      <c r="E278" s="44" t="s">
        <v>21</v>
      </c>
      <c r="F278" s="8">
        <v>0.6</v>
      </c>
      <c r="G278" s="8">
        <v>38.880000000000003</v>
      </c>
      <c r="H278" s="8">
        <v>1.0049999999999999</v>
      </c>
      <c r="I278" s="8">
        <v>1.2929999999999999</v>
      </c>
      <c r="J278" s="41">
        <v>33.700000000000003</v>
      </c>
      <c r="K278" s="8">
        <v>25</v>
      </c>
      <c r="L278" s="8">
        <f t="shared" si="69"/>
        <v>8.7000000000000028</v>
      </c>
      <c r="M278" s="27">
        <f t="shared" si="70"/>
        <v>263.73109982400001</v>
      </c>
      <c r="N278" s="8">
        <v>0.27700000000000002</v>
      </c>
      <c r="O278" s="18">
        <f t="shared" si="71"/>
        <v>73.053514651248008</v>
      </c>
      <c r="P278" s="8">
        <f>31*16</f>
        <v>496</v>
      </c>
      <c r="Q278" s="40">
        <f t="shared" si="72"/>
        <v>36.234543267019014</v>
      </c>
    </row>
    <row r="279" spans="5:17" ht="14" x14ac:dyDescent="0.25">
      <c r="E279" s="44" t="s">
        <v>22</v>
      </c>
      <c r="F279" s="8">
        <v>0.6</v>
      </c>
      <c r="G279" s="8">
        <v>38.880000000000003</v>
      </c>
      <c r="H279" s="8">
        <v>1.0049999999999999</v>
      </c>
      <c r="I279" s="8">
        <v>1.2929999999999999</v>
      </c>
      <c r="J279" s="41">
        <v>33.5</v>
      </c>
      <c r="K279" s="8">
        <v>25</v>
      </c>
      <c r="L279" s="8">
        <f t="shared" si="69"/>
        <v>8.5</v>
      </c>
      <c r="M279" s="27">
        <f t="shared" si="70"/>
        <v>257.66831591999994</v>
      </c>
      <c r="N279" s="8">
        <v>0.27700000000000002</v>
      </c>
      <c r="O279" s="18">
        <f t="shared" si="71"/>
        <v>71.37412350983999</v>
      </c>
      <c r="P279" s="8">
        <f>30*16</f>
        <v>480</v>
      </c>
      <c r="Q279" s="40">
        <f t="shared" si="72"/>
        <v>34.259579284723195</v>
      </c>
    </row>
    <row r="280" spans="5:17" ht="14" x14ac:dyDescent="0.25">
      <c r="E280" s="44" t="s">
        <v>23</v>
      </c>
      <c r="F280" s="8">
        <v>0.6</v>
      </c>
      <c r="G280" s="8">
        <v>38.880000000000003</v>
      </c>
      <c r="H280" s="8">
        <v>1.0049999999999999</v>
      </c>
      <c r="I280" s="8">
        <v>1.2929999999999999</v>
      </c>
      <c r="J280" s="41">
        <v>33.200000000000003</v>
      </c>
      <c r="K280" s="8">
        <v>25</v>
      </c>
      <c r="L280" s="8">
        <f t="shared" si="69"/>
        <v>8.2000000000000028</v>
      </c>
      <c r="M280" s="27">
        <f t="shared" si="70"/>
        <v>248.57414006400001</v>
      </c>
      <c r="N280" s="8">
        <v>0.27700000000000002</v>
      </c>
      <c r="O280" s="18">
        <f t="shared" si="71"/>
        <v>68.855036797728005</v>
      </c>
      <c r="P280" s="8">
        <f>31*16</f>
        <v>496</v>
      </c>
      <c r="Q280" s="40">
        <f t="shared" si="72"/>
        <v>34.152098251673088</v>
      </c>
    </row>
    <row r="281" spans="5:17" ht="15" x14ac:dyDescent="0.4">
      <c r="E281" s="314" t="s">
        <v>91</v>
      </c>
      <c r="F281" s="315"/>
      <c r="G281" s="315"/>
      <c r="H281" s="315"/>
      <c r="I281" s="315"/>
      <c r="J281" s="315"/>
      <c r="K281" s="315"/>
      <c r="L281" s="315"/>
      <c r="M281" s="315"/>
      <c r="N281" s="315"/>
      <c r="O281" s="315"/>
      <c r="P281" s="315"/>
      <c r="Q281" s="84">
        <f>SUM(Q269:Q280)</f>
        <v>455.5986639702935</v>
      </c>
    </row>
    <row r="282" spans="5:17" ht="14" x14ac:dyDescent="0.25">
      <c r="E282" s="44" t="s">
        <v>15</v>
      </c>
      <c r="F282" s="8">
        <v>0.6</v>
      </c>
      <c r="G282" s="8">
        <v>38.880000000000003</v>
      </c>
      <c r="H282" s="8">
        <v>1.0049999999999999</v>
      </c>
      <c r="I282" s="8">
        <v>1.2929999999999999</v>
      </c>
      <c r="J282" s="71">
        <v>33.299999999999997</v>
      </c>
      <c r="K282" s="8">
        <v>26</v>
      </c>
      <c r="L282" s="8">
        <f>J282-K282</f>
        <v>7.2999999999999972</v>
      </c>
      <c r="M282" s="27">
        <f>F282*G282*H282*I282*L282</f>
        <v>221.29161249599986</v>
      </c>
      <c r="N282" s="8">
        <v>0.27700000000000002</v>
      </c>
      <c r="O282" s="18">
        <f>M282*N282</f>
        <v>61.297776661391964</v>
      </c>
      <c r="P282" s="8">
        <f>31*16</f>
        <v>496</v>
      </c>
      <c r="Q282" s="40">
        <f>(O282*P282)/1000</f>
        <v>30.403697224050415</v>
      </c>
    </row>
    <row r="283" spans="5:17" ht="14" x14ac:dyDescent="0.25">
      <c r="E283" s="44" t="s">
        <v>16</v>
      </c>
      <c r="F283" s="8">
        <v>0.6</v>
      </c>
      <c r="G283" s="8">
        <v>38.880000000000003</v>
      </c>
      <c r="H283" s="8">
        <v>1.0049999999999999</v>
      </c>
      <c r="I283" s="8">
        <v>1.2929999999999999</v>
      </c>
      <c r="J283" s="71">
        <v>34.1</v>
      </c>
      <c r="K283" s="8">
        <v>26</v>
      </c>
      <c r="L283" s="8">
        <f t="shared" ref="L283:L293" si="73">J283-K283</f>
        <v>8.1000000000000014</v>
      </c>
      <c r="M283" s="27">
        <f t="shared" ref="M283:M293" si="74">F283*G283*H283*I283*L283</f>
        <v>245.54274811199997</v>
      </c>
      <c r="N283" s="8">
        <v>0.27700000000000002</v>
      </c>
      <c r="O283" s="18">
        <f t="shared" ref="O283:O293" si="75">M283*N283</f>
        <v>68.015341227023995</v>
      </c>
      <c r="P283" s="8">
        <f>28*16</f>
        <v>448</v>
      </c>
      <c r="Q283" s="40">
        <f t="shared" ref="Q283:Q293" si="76">(O283*P283)/1000</f>
        <v>30.470872869706749</v>
      </c>
    </row>
    <row r="284" spans="5:17" ht="14" x14ac:dyDescent="0.25">
      <c r="E284" s="44" t="s">
        <v>17</v>
      </c>
      <c r="F284" s="8">
        <v>0.6</v>
      </c>
      <c r="G284" s="8">
        <v>38.880000000000003</v>
      </c>
      <c r="H284" s="8">
        <v>1.0049999999999999</v>
      </c>
      <c r="I284" s="8">
        <v>1.2929999999999999</v>
      </c>
      <c r="J284" s="71">
        <v>35.200000000000003</v>
      </c>
      <c r="K284" s="8">
        <v>26</v>
      </c>
      <c r="L284" s="8">
        <f t="shared" si="73"/>
        <v>9.2000000000000028</v>
      </c>
      <c r="M284" s="27">
        <f t="shared" si="74"/>
        <v>278.88805958400002</v>
      </c>
      <c r="N284" s="8">
        <v>0.27700000000000002</v>
      </c>
      <c r="O284" s="18">
        <f t="shared" si="75"/>
        <v>77.251992504768012</v>
      </c>
      <c r="P284" s="8">
        <f>31*16</f>
        <v>496</v>
      </c>
      <c r="Q284" s="40">
        <f t="shared" si="76"/>
        <v>38.316988282364932</v>
      </c>
    </row>
    <row r="285" spans="5:17" ht="14" x14ac:dyDescent="0.25">
      <c r="E285" s="44" t="s">
        <v>18</v>
      </c>
      <c r="F285" s="8">
        <v>0.6</v>
      </c>
      <c r="G285" s="8">
        <v>38.880000000000003</v>
      </c>
      <c r="H285" s="8">
        <v>1.0049999999999999</v>
      </c>
      <c r="I285" s="8">
        <v>1.2929999999999999</v>
      </c>
      <c r="J285" s="71">
        <v>36.4</v>
      </c>
      <c r="K285" s="8">
        <v>26</v>
      </c>
      <c r="L285" s="8">
        <f t="shared" si="73"/>
        <v>10.399999999999999</v>
      </c>
      <c r="M285" s="27">
        <f t="shared" si="74"/>
        <v>315.26476300799987</v>
      </c>
      <c r="N285" s="8">
        <v>0.27700000000000002</v>
      </c>
      <c r="O285" s="18">
        <f t="shared" si="75"/>
        <v>87.328339353215966</v>
      </c>
      <c r="P285" s="8">
        <f>30*16</f>
        <v>480</v>
      </c>
      <c r="Q285" s="40">
        <f t="shared" si="76"/>
        <v>41.917602889543659</v>
      </c>
    </row>
    <row r="286" spans="5:17" ht="14" x14ac:dyDescent="0.25">
      <c r="E286" s="44" t="s">
        <v>12</v>
      </c>
      <c r="F286" s="8">
        <v>0.6</v>
      </c>
      <c r="G286" s="8">
        <v>38.880000000000003</v>
      </c>
      <c r="H286" s="8">
        <v>1.0049999999999999</v>
      </c>
      <c r="I286" s="8">
        <v>1.2929999999999999</v>
      </c>
      <c r="J286" s="71">
        <v>36.1</v>
      </c>
      <c r="K286" s="8">
        <v>26</v>
      </c>
      <c r="L286" s="8">
        <f t="shared" si="73"/>
        <v>10.100000000000001</v>
      </c>
      <c r="M286" s="27">
        <f t="shared" si="74"/>
        <v>306.17058715199994</v>
      </c>
      <c r="N286" s="8">
        <v>0.27700000000000002</v>
      </c>
      <c r="O286" s="18">
        <f t="shared" si="75"/>
        <v>84.809252641103996</v>
      </c>
      <c r="P286" s="8">
        <f>31*16</f>
        <v>496</v>
      </c>
      <c r="Q286" s="40">
        <f t="shared" si="76"/>
        <v>42.06538930998758</v>
      </c>
    </row>
    <row r="287" spans="5:17" ht="14" x14ac:dyDescent="0.25">
      <c r="E287" s="44" t="s">
        <v>13</v>
      </c>
      <c r="F287" s="8">
        <v>0.6</v>
      </c>
      <c r="G287" s="8">
        <v>38.880000000000003</v>
      </c>
      <c r="H287" s="8">
        <v>1.0049999999999999</v>
      </c>
      <c r="I287" s="8">
        <v>1.2929999999999999</v>
      </c>
      <c r="J287" s="71">
        <v>34.6</v>
      </c>
      <c r="K287" s="8">
        <v>26</v>
      </c>
      <c r="L287" s="8">
        <f t="shared" si="73"/>
        <v>8.6000000000000014</v>
      </c>
      <c r="M287" s="27">
        <f t="shared" si="74"/>
        <v>260.69970787199998</v>
      </c>
      <c r="N287" s="8">
        <v>0.27700000000000002</v>
      </c>
      <c r="O287" s="18">
        <f t="shared" si="75"/>
        <v>72.213819080543999</v>
      </c>
      <c r="P287" s="8">
        <f>30*16</f>
        <v>480</v>
      </c>
      <c r="Q287" s="40">
        <f t="shared" si="76"/>
        <v>34.662633158661123</v>
      </c>
    </row>
    <row r="288" spans="5:17" ht="14" x14ac:dyDescent="0.25">
      <c r="E288" s="44" t="s">
        <v>24</v>
      </c>
      <c r="F288" s="8">
        <v>0.6</v>
      </c>
      <c r="G288" s="8">
        <v>38.880000000000003</v>
      </c>
      <c r="H288" s="8">
        <v>1.0049999999999999</v>
      </c>
      <c r="I288" s="8">
        <v>1.2929999999999999</v>
      </c>
      <c r="J288" s="41">
        <v>34</v>
      </c>
      <c r="K288" s="8">
        <v>26</v>
      </c>
      <c r="L288" s="8">
        <f t="shared" si="73"/>
        <v>8</v>
      </c>
      <c r="M288" s="27">
        <f t="shared" si="74"/>
        <v>242.51135615999993</v>
      </c>
      <c r="N288" s="8">
        <v>0.27700000000000002</v>
      </c>
      <c r="O288" s="18">
        <f t="shared" si="75"/>
        <v>67.175645656319986</v>
      </c>
      <c r="P288" s="8">
        <f>31*16</f>
        <v>496</v>
      </c>
      <c r="Q288" s="40">
        <f t="shared" si="76"/>
        <v>33.319120245534712</v>
      </c>
    </row>
    <row r="289" spans="5:17" ht="14" x14ac:dyDescent="0.25">
      <c r="E289" s="44" t="s">
        <v>19</v>
      </c>
      <c r="F289" s="8">
        <v>0.6</v>
      </c>
      <c r="G289" s="8">
        <v>38.880000000000003</v>
      </c>
      <c r="H289" s="8">
        <v>1.0049999999999999</v>
      </c>
      <c r="I289" s="8">
        <v>1.2929999999999999</v>
      </c>
      <c r="J289" s="41">
        <v>33.799999999999997</v>
      </c>
      <c r="K289" s="8">
        <v>26</v>
      </c>
      <c r="L289" s="8">
        <f t="shared" si="73"/>
        <v>7.7999999999999972</v>
      </c>
      <c r="M289" s="27">
        <f t="shared" si="74"/>
        <v>236.44857225599986</v>
      </c>
      <c r="N289" s="8">
        <v>0.27700000000000002</v>
      </c>
      <c r="O289" s="18">
        <f t="shared" si="75"/>
        <v>65.496254514911968</v>
      </c>
      <c r="P289" s="8">
        <f>31*16</f>
        <v>496</v>
      </c>
      <c r="Q289" s="40">
        <f t="shared" si="76"/>
        <v>32.486142239396337</v>
      </c>
    </row>
    <row r="290" spans="5:17" ht="14" x14ac:dyDescent="0.25">
      <c r="E290" s="44" t="s">
        <v>20</v>
      </c>
      <c r="F290" s="8">
        <v>0.6</v>
      </c>
      <c r="G290" s="8">
        <v>38.880000000000003</v>
      </c>
      <c r="H290" s="8">
        <v>1.0049999999999999</v>
      </c>
      <c r="I290" s="8">
        <v>1.2929999999999999</v>
      </c>
      <c r="J290" s="41">
        <v>33.6</v>
      </c>
      <c r="K290" s="8">
        <v>26</v>
      </c>
      <c r="L290" s="8">
        <f t="shared" si="73"/>
        <v>7.6000000000000014</v>
      </c>
      <c r="M290" s="27">
        <f t="shared" si="74"/>
        <v>230.38578835199999</v>
      </c>
      <c r="N290" s="8">
        <v>0.27700000000000002</v>
      </c>
      <c r="O290" s="18">
        <f t="shared" si="75"/>
        <v>63.816863373504006</v>
      </c>
      <c r="P290" s="8">
        <f>30*16</f>
        <v>480</v>
      </c>
      <c r="Q290" s="40">
        <f t="shared" si="76"/>
        <v>30.632094419281923</v>
      </c>
    </row>
    <row r="291" spans="5:17" ht="14" x14ac:dyDescent="0.25">
      <c r="E291" s="44" t="s">
        <v>21</v>
      </c>
      <c r="F291" s="8">
        <v>0.6</v>
      </c>
      <c r="G291" s="8">
        <v>38.880000000000003</v>
      </c>
      <c r="H291" s="8">
        <v>1.0049999999999999</v>
      </c>
      <c r="I291" s="8">
        <v>1.2929999999999999</v>
      </c>
      <c r="J291" s="41">
        <v>33.700000000000003</v>
      </c>
      <c r="K291" s="8">
        <v>26</v>
      </c>
      <c r="L291" s="8">
        <f t="shared" si="73"/>
        <v>7.7000000000000028</v>
      </c>
      <c r="M291" s="27">
        <f t="shared" si="74"/>
        <v>233.41718030400003</v>
      </c>
      <c r="N291" s="8">
        <v>0.27700000000000002</v>
      </c>
      <c r="O291" s="18">
        <f t="shared" si="75"/>
        <v>64.656558944208015</v>
      </c>
      <c r="P291" s="8">
        <f>31*16</f>
        <v>496</v>
      </c>
      <c r="Q291" s="40">
        <f t="shared" si="76"/>
        <v>32.069653236327177</v>
      </c>
    </row>
    <row r="292" spans="5:17" ht="14" x14ac:dyDescent="0.25">
      <c r="E292" s="44" t="s">
        <v>22</v>
      </c>
      <c r="F292" s="8">
        <v>0.6</v>
      </c>
      <c r="G292" s="8">
        <v>38.880000000000003</v>
      </c>
      <c r="H292" s="8">
        <v>1.0049999999999999</v>
      </c>
      <c r="I292" s="8">
        <v>1.2929999999999999</v>
      </c>
      <c r="J292" s="41">
        <v>33.5</v>
      </c>
      <c r="K292" s="8">
        <v>26</v>
      </c>
      <c r="L292" s="8">
        <f t="shared" si="73"/>
        <v>7.5</v>
      </c>
      <c r="M292" s="27">
        <f t="shared" si="74"/>
        <v>227.35439639999993</v>
      </c>
      <c r="N292" s="8">
        <v>0.27700000000000002</v>
      </c>
      <c r="O292" s="18">
        <f t="shared" si="75"/>
        <v>62.977167802799983</v>
      </c>
      <c r="P292" s="8">
        <f>30*16</f>
        <v>480</v>
      </c>
      <c r="Q292" s="40">
        <f t="shared" si="76"/>
        <v>30.229040545343992</v>
      </c>
    </row>
    <row r="293" spans="5:17" ht="14" x14ac:dyDescent="0.25">
      <c r="E293" s="44" t="s">
        <v>23</v>
      </c>
      <c r="F293" s="8">
        <v>0.6</v>
      </c>
      <c r="G293" s="8">
        <v>38.880000000000003</v>
      </c>
      <c r="H293" s="8">
        <v>1.0049999999999999</v>
      </c>
      <c r="I293" s="8">
        <v>1.2929999999999999</v>
      </c>
      <c r="J293" s="41">
        <v>33.200000000000003</v>
      </c>
      <c r="K293" s="8">
        <v>26</v>
      </c>
      <c r="L293" s="8">
        <f t="shared" si="73"/>
        <v>7.2000000000000028</v>
      </c>
      <c r="M293" s="27">
        <f t="shared" si="74"/>
        <v>218.26022054400002</v>
      </c>
      <c r="N293" s="8">
        <v>0.27700000000000002</v>
      </c>
      <c r="O293" s="18">
        <f t="shared" si="75"/>
        <v>60.458081090688012</v>
      </c>
      <c r="P293" s="8">
        <f>31*16</f>
        <v>496</v>
      </c>
      <c r="Q293" s="40">
        <f t="shared" si="76"/>
        <v>29.987208220981255</v>
      </c>
    </row>
    <row r="294" spans="5:17" ht="15" x14ac:dyDescent="0.4">
      <c r="E294" s="314" t="s">
        <v>92</v>
      </c>
      <c r="F294" s="315"/>
      <c r="G294" s="315"/>
      <c r="H294" s="315"/>
      <c r="I294" s="315"/>
      <c r="J294" s="315"/>
      <c r="K294" s="315"/>
      <c r="L294" s="315"/>
      <c r="M294" s="315"/>
      <c r="N294" s="315"/>
      <c r="O294" s="315"/>
      <c r="P294" s="315"/>
      <c r="Q294" s="84">
        <f>SUM(Q282:Q293)</f>
        <v>406.56044264117986</v>
      </c>
    </row>
    <row r="295" spans="5:17" ht="14" x14ac:dyDescent="0.25">
      <c r="E295" s="44" t="s">
        <v>15</v>
      </c>
      <c r="F295" s="8">
        <v>0.6</v>
      </c>
      <c r="G295" s="8">
        <v>38.880000000000003</v>
      </c>
      <c r="H295" s="8">
        <v>1.0049999999999999</v>
      </c>
      <c r="I295" s="8">
        <v>1.2929999999999999</v>
      </c>
      <c r="J295" s="71">
        <v>33.299999999999997</v>
      </c>
      <c r="K295" s="8">
        <v>27</v>
      </c>
      <c r="L295" s="8">
        <f>J295-K295</f>
        <v>6.2999999999999972</v>
      </c>
      <c r="M295" s="27">
        <f>F295*G295*H295*I295*L295</f>
        <v>190.97769297599987</v>
      </c>
      <c r="N295" s="8">
        <v>0.27700000000000002</v>
      </c>
      <c r="O295" s="18">
        <f>M295*N295</f>
        <v>52.900820954351971</v>
      </c>
      <c r="P295" s="8">
        <f>31*16</f>
        <v>496</v>
      </c>
      <c r="Q295" s="40">
        <f>(O295*P295)/1000</f>
        <v>26.238807193358578</v>
      </c>
    </row>
    <row r="296" spans="5:17" ht="14" x14ac:dyDescent="0.25">
      <c r="E296" s="44" t="s">
        <v>16</v>
      </c>
      <c r="F296" s="8">
        <v>0.6</v>
      </c>
      <c r="G296" s="8">
        <v>38.880000000000003</v>
      </c>
      <c r="H296" s="8">
        <v>1.0049999999999999</v>
      </c>
      <c r="I296" s="8">
        <v>1.2929999999999999</v>
      </c>
      <c r="J296" s="71">
        <v>34.1</v>
      </c>
      <c r="K296" s="8">
        <v>27</v>
      </c>
      <c r="L296" s="8">
        <f t="shared" ref="L296:L306" si="77">J296-K296</f>
        <v>7.1000000000000014</v>
      </c>
      <c r="M296" s="27">
        <f t="shared" ref="M296:M306" si="78">F296*G296*H296*I296*L296</f>
        <v>215.22882859199999</v>
      </c>
      <c r="N296" s="8">
        <v>0.27700000000000002</v>
      </c>
      <c r="O296" s="18">
        <f t="shared" ref="O296:O306" si="79">M296*N296</f>
        <v>59.618385519984002</v>
      </c>
      <c r="P296" s="8">
        <f>28*16</f>
        <v>448</v>
      </c>
      <c r="Q296" s="40">
        <f t="shared" ref="Q296:Q306" si="80">(O296*P296)/1000</f>
        <v>26.70903671295283</v>
      </c>
    </row>
    <row r="297" spans="5:17" ht="14" x14ac:dyDescent="0.25">
      <c r="E297" s="44" t="s">
        <v>17</v>
      </c>
      <c r="F297" s="8">
        <v>0.6</v>
      </c>
      <c r="G297" s="8">
        <v>38.880000000000003</v>
      </c>
      <c r="H297" s="8">
        <v>1.0049999999999999</v>
      </c>
      <c r="I297" s="8">
        <v>1.2929999999999999</v>
      </c>
      <c r="J297" s="71">
        <v>35.200000000000003</v>
      </c>
      <c r="K297" s="8">
        <v>27</v>
      </c>
      <c r="L297" s="8">
        <f t="shared" si="77"/>
        <v>8.2000000000000028</v>
      </c>
      <c r="M297" s="27">
        <f t="shared" si="78"/>
        <v>248.57414006400001</v>
      </c>
      <c r="N297" s="8">
        <v>0.27700000000000002</v>
      </c>
      <c r="O297" s="18">
        <f t="shared" si="79"/>
        <v>68.855036797728005</v>
      </c>
      <c r="P297" s="8">
        <f>31*16</f>
        <v>496</v>
      </c>
      <c r="Q297" s="40">
        <f t="shared" si="80"/>
        <v>34.152098251673088</v>
      </c>
    </row>
    <row r="298" spans="5:17" ht="14" x14ac:dyDescent="0.25">
      <c r="E298" s="44" t="s">
        <v>18</v>
      </c>
      <c r="F298" s="8">
        <v>0.6</v>
      </c>
      <c r="G298" s="8">
        <v>38.880000000000003</v>
      </c>
      <c r="H298" s="8">
        <v>1.0049999999999999</v>
      </c>
      <c r="I298" s="8">
        <v>1.2929999999999999</v>
      </c>
      <c r="J298" s="71">
        <v>36.4</v>
      </c>
      <c r="K298" s="8">
        <v>27</v>
      </c>
      <c r="L298" s="8">
        <f t="shared" si="77"/>
        <v>9.3999999999999986</v>
      </c>
      <c r="M298" s="27">
        <f t="shared" si="78"/>
        <v>284.95084348799986</v>
      </c>
      <c r="N298" s="8">
        <v>0.27700000000000002</v>
      </c>
      <c r="O298" s="18">
        <f t="shared" si="79"/>
        <v>78.931383646175973</v>
      </c>
      <c r="P298" s="8">
        <f>30*16</f>
        <v>480</v>
      </c>
      <c r="Q298" s="40">
        <f t="shared" si="80"/>
        <v>37.887064150164463</v>
      </c>
    </row>
    <row r="299" spans="5:17" ht="14" x14ac:dyDescent="0.25">
      <c r="E299" s="44" t="s">
        <v>12</v>
      </c>
      <c r="F299" s="8">
        <v>0.6</v>
      </c>
      <c r="G299" s="8">
        <v>38.880000000000003</v>
      </c>
      <c r="H299" s="8">
        <v>1.0049999999999999</v>
      </c>
      <c r="I299" s="8">
        <v>1.2929999999999999</v>
      </c>
      <c r="J299" s="71">
        <v>36.1</v>
      </c>
      <c r="K299" s="8">
        <v>27</v>
      </c>
      <c r="L299" s="8">
        <f t="shared" si="77"/>
        <v>9.1000000000000014</v>
      </c>
      <c r="M299" s="27">
        <f t="shared" si="78"/>
        <v>275.85666763199998</v>
      </c>
      <c r="N299" s="8">
        <v>0.27700000000000002</v>
      </c>
      <c r="O299" s="18">
        <f t="shared" si="79"/>
        <v>76.412296934064003</v>
      </c>
      <c r="P299" s="8">
        <f>31*16</f>
        <v>496</v>
      </c>
      <c r="Q299" s="40">
        <f t="shared" si="80"/>
        <v>37.900499279295744</v>
      </c>
    </row>
    <row r="300" spans="5:17" ht="14" x14ac:dyDescent="0.25">
      <c r="E300" s="44" t="s">
        <v>13</v>
      </c>
      <c r="F300" s="8">
        <v>0.6</v>
      </c>
      <c r="G300" s="8">
        <v>38.880000000000003</v>
      </c>
      <c r="H300" s="8">
        <v>1.0049999999999999</v>
      </c>
      <c r="I300" s="8">
        <v>1.2929999999999999</v>
      </c>
      <c r="J300" s="71">
        <v>34.6</v>
      </c>
      <c r="K300" s="8">
        <v>27</v>
      </c>
      <c r="L300" s="8">
        <f t="shared" si="77"/>
        <v>7.6000000000000014</v>
      </c>
      <c r="M300" s="27">
        <f t="shared" si="78"/>
        <v>230.38578835199999</v>
      </c>
      <c r="N300" s="8">
        <v>0.27700000000000002</v>
      </c>
      <c r="O300" s="18">
        <f t="shared" si="79"/>
        <v>63.816863373504006</v>
      </c>
      <c r="P300" s="8">
        <f>30*16</f>
        <v>480</v>
      </c>
      <c r="Q300" s="40">
        <f t="shared" si="80"/>
        <v>30.632094419281923</v>
      </c>
    </row>
    <row r="301" spans="5:17" ht="14" x14ac:dyDescent="0.25">
      <c r="E301" s="44" t="s">
        <v>24</v>
      </c>
      <c r="F301" s="8">
        <v>0.6</v>
      </c>
      <c r="G301" s="8">
        <v>38.880000000000003</v>
      </c>
      <c r="H301" s="8">
        <v>1.0049999999999999</v>
      </c>
      <c r="I301" s="8">
        <v>1.2929999999999999</v>
      </c>
      <c r="J301" s="41">
        <v>34</v>
      </c>
      <c r="K301" s="8">
        <v>27</v>
      </c>
      <c r="L301" s="8">
        <f t="shared" si="77"/>
        <v>7</v>
      </c>
      <c r="M301" s="27">
        <f t="shared" si="78"/>
        <v>212.19743663999995</v>
      </c>
      <c r="N301" s="8">
        <v>0.27700000000000002</v>
      </c>
      <c r="O301" s="18">
        <f t="shared" si="79"/>
        <v>58.778689949279993</v>
      </c>
      <c r="P301" s="8">
        <f>31*16</f>
        <v>496</v>
      </c>
      <c r="Q301" s="40">
        <f t="shared" si="80"/>
        <v>29.154230214842876</v>
      </c>
    </row>
    <row r="302" spans="5:17" ht="14" x14ac:dyDescent="0.25">
      <c r="E302" s="44" t="s">
        <v>19</v>
      </c>
      <c r="F302" s="8">
        <v>0.6</v>
      </c>
      <c r="G302" s="8">
        <v>38.880000000000003</v>
      </c>
      <c r="H302" s="8">
        <v>1.0049999999999999</v>
      </c>
      <c r="I302" s="8">
        <v>1.2929999999999999</v>
      </c>
      <c r="J302" s="41">
        <v>33.799999999999997</v>
      </c>
      <c r="K302" s="8">
        <v>27</v>
      </c>
      <c r="L302" s="8">
        <f t="shared" si="77"/>
        <v>6.7999999999999972</v>
      </c>
      <c r="M302" s="27">
        <f t="shared" si="78"/>
        <v>206.13465273599985</v>
      </c>
      <c r="N302" s="8">
        <v>0.27700000000000002</v>
      </c>
      <c r="O302" s="18">
        <f t="shared" si="79"/>
        <v>57.099298807871961</v>
      </c>
      <c r="P302" s="8">
        <f>31*16</f>
        <v>496</v>
      </c>
      <c r="Q302" s="40">
        <f t="shared" si="80"/>
        <v>28.321252208704493</v>
      </c>
    </row>
    <row r="303" spans="5:17" ht="14" x14ac:dyDescent="0.25">
      <c r="E303" s="44" t="s">
        <v>20</v>
      </c>
      <c r="F303" s="8">
        <v>0.6</v>
      </c>
      <c r="G303" s="8">
        <v>38.880000000000003</v>
      </c>
      <c r="H303" s="8">
        <v>1.0049999999999999</v>
      </c>
      <c r="I303" s="8">
        <v>1.2929999999999999</v>
      </c>
      <c r="J303" s="41">
        <v>33.6</v>
      </c>
      <c r="K303" s="8">
        <v>27</v>
      </c>
      <c r="L303" s="8">
        <f t="shared" si="77"/>
        <v>6.6000000000000014</v>
      </c>
      <c r="M303" s="27">
        <f t="shared" si="78"/>
        <v>200.07186883199998</v>
      </c>
      <c r="N303" s="8">
        <v>0.27700000000000002</v>
      </c>
      <c r="O303" s="18">
        <f t="shared" si="79"/>
        <v>55.419907666463999</v>
      </c>
      <c r="P303" s="8">
        <f>30*16</f>
        <v>480</v>
      </c>
      <c r="Q303" s="40">
        <f t="shared" si="80"/>
        <v>26.601555679902717</v>
      </c>
    </row>
    <row r="304" spans="5:17" ht="14" x14ac:dyDescent="0.25">
      <c r="E304" s="44" t="s">
        <v>21</v>
      </c>
      <c r="F304" s="8">
        <v>0.6</v>
      </c>
      <c r="G304" s="8">
        <v>38.880000000000003</v>
      </c>
      <c r="H304" s="8">
        <v>1.0049999999999999</v>
      </c>
      <c r="I304" s="8">
        <v>1.2929999999999999</v>
      </c>
      <c r="J304" s="41">
        <v>33.700000000000003</v>
      </c>
      <c r="K304" s="8">
        <v>27</v>
      </c>
      <c r="L304" s="8">
        <f t="shared" si="77"/>
        <v>6.7000000000000028</v>
      </c>
      <c r="M304" s="27">
        <f t="shared" si="78"/>
        <v>203.10326078400004</v>
      </c>
      <c r="N304" s="8">
        <v>0.27700000000000002</v>
      </c>
      <c r="O304" s="18">
        <f t="shared" si="79"/>
        <v>56.259603237168015</v>
      </c>
      <c r="P304" s="8">
        <f>31*16</f>
        <v>496</v>
      </c>
      <c r="Q304" s="40">
        <f t="shared" si="80"/>
        <v>27.904763205635337</v>
      </c>
    </row>
    <row r="305" spans="5:17" ht="14" x14ac:dyDescent="0.25">
      <c r="E305" s="44" t="s">
        <v>22</v>
      </c>
      <c r="F305" s="8">
        <v>0.6</v>
      </c>
      <c r="G305" s="8">
        <v>38.880000000000003</v>
      </c>
      <c r="H305" s="8">
        <v>1.0049999999999999</v>
      </c>
      <c r="I305" s="8">
        <v>1.2929999999999999</v>
      </c>
      <c r="J305" s="41">
        <v>33.5</v>
      </c>
      <c r="K305" s="8">
        <v>27</v>
      </c>
      <c r="L305" s="8">
        <f t="shared" si="77"/>
        <v>6.5</v>
      </c>
      <c r="M305" s="27">
        <f t="shared" si="78"/>
        <v>197.04047687999994</v>
      </c>
      <c r="N305" s="8">
        <v>0.27700000000000002</v>
      </c>
      <c r="O305" s="18">
        <f t="shared" si="79"/>
        <v>54.58021209575999</v>
      </c>
      <c r="P305" s="8">
        <f>30*16</f>
        <v>480</v>
      </c>
      <c r="Q305" s="40">
        <f t="shared" si="80"/>
        <v>26.198501805964796</v>
      </c>
    </row>
    <row r="306" spans="5:17" ht="14" x14ac:dyDescent="0.25">
      <c r="E306" s="44" t="s">
        <v>23</v>
      </c>
      <c r="F306" s="8">
        <v>0.6</v>
      </c>
      <c r="G306" s="8">
        <v>38.880000000000003</v>
      </c>
      <c r="H306" s="8">
        <v>1.0049999999999999</v>
      </c>
      <c r="I306" s="8">
        <v>1.2929999999999999</v>
      </c>
      <c r="J306" s="41">
        <v>33.200000000000003</v>
      </c>
      <c r="K306" s="8">
        <v>27</v>
      </c>
      <c r="L306" s="8">
        <f t="shared" si="77"/>
        <v>6.2000000000000028</v>
      </c>
      <c r="M306" s="27">
        <f t="shared" si="78"/>
        <v>187.94630102400004</v>
      </c>
      <c r="N306" s="8">
        <v>0.27700000000000002</v>
      </c>
      <c r="O306" s="18">
        <f t="shared" si="79"/>
        <v>52.061125383648012</v>
      </c>
      <c r="P306" s="8">
        <f>31*16</f>
        <v>496</v>
      </c>
      <c r="Q306" s="40">
        <f t="shared" si="80"/>
        <v>25.822318190289415</v>
      </c>
    </row>
    <row r="307" spans="5:17" ht="15" x14ac:dyDescent="0.4">
      <c r="E307" s="314" t="s">
        <v>93</v>
      </c>
      <c r="F307" s="315"/>
      <c r="G307" s="315"/>
      <c r="H307" s="315"/>
      <c r="I307" s="315"/>
      <c r="J307" s="315"/>
      <c r="K307" s="315"/>
      <c r="L307" s="315"/>
      <c r="M307" s="315"/>
      <c r="N307" s="315"/>
      <c r="O307" s="315"/>
      <c r="P307" s="315"/>
      <c r="Q307" s="84">
        <f>SUM(Q295:Q306)</f>
        <v>357.52222131206622</v>
      </c>
    </row>
    <row r="308" spans="5:17" ht="14" x14ac:dyDescent="0.25">
      <c r="E308" s="44" t="s">
        <v>15</v>
      </c>
      <c r="F308" s="8">
        <v>0.6</v>
      </c>
      <c r="G308" s="8">
        <v>38.880000000000003</v>
      </c>
      <c r="H308" s="8">
        <v>1.0049999999999999</v>
      </c>
      <c r="I308" s="8">
        <v>1.2929999999999999</v>
      </c>
      <c r="J308" s="71">
        <v>33.299999999999997</v>
      </c>
      <c r="K308" s="8">
        <v>28</v>
      </c>
      <c r="L308" s="8">
        <f>J308-K308</f>
        <v>5.2999999999999972</v>
      </c>
      <c r="M308" s="27">
        <f>F308*G308*H308*I308*L308</f>
        <v>160.66377345599986</v>
      </c>
      <c r="N308" s="8">
        <v>0.27700000000000002</v>
      </c>
      <c r="O308" s="18">
        <f>M308*N308</f>
        <v>44.503865247311964</v>
      </c>
      <c r="P308" s="8">
        <f>31*16</f>
        <v>496</v>
      </c>
      <c r="Q308" s="40">
        <f>(O308*P308)/1000</f>
        <v>22.073917162666735</v>
      </c>
    </row>
    <row r="309" spans="5:17" ht="14" x14ac:dyDescent="0.25">
      <c r="E309" s="44" t="s">
        <v>16</v>
      </c>
      <c r="F309" s="8">
        <v>0.6</v>
      </c>
      <c r="G309" s="8">
        <v>38.880000000000003</v>
      </c>
      <c r="H309" s="8">
        <v>1.0049999999999999</v>
      </c>
      <c r="I309" s="8">
        <v>1.2929999999999999</v>
      </c>
      <c r="J309" s="71">
        <v>34.1</v>
      </c>
      <c r="K309" s="8">
        <v>28</v>
      </c>
      <c r="L309" s="8">
        <f t="shared" ref="L309:L319" si="81">J309-K309</f>
        <v>6.1000000000000014</v>
      </c>
      <c r="M309" s="27">
        <f t="shared" ref="M309:M319" si="82">F309*G309*H309*I309*L309</f>
        <v>184.914909072</v>
      </c>
      <c r="N309" s="8">
        <v>0.27700000000000002</v>
      </c>
      <c r="O309" s="18">
        <f t="shared" ref="O309:O319" si="83">M309*N309</f>
        <v>51.221429812944002</v>
      </c>
      <c r="P309" s="8">
        <f>28*16</f>
        <v>448</v>
      </c>
      <c r="Q309" s="40">
        <f t="shared" ref="Q309:Q319" si="84">(O309*P309)/1000</f>
        <v>22.947200556198915</v>
      </c>
    </row>
    <row r="310" spans="5:17" ht="14" x14ac:dyDescent="0.25">
      <c r="E310" s="44" t="s">
        <v>17</v>
      </c>
      <c r="F310" s="8">
        <v>0.6</v>
      </c>
      <c r="G310" s="8">
        <v>38.880000000000003</v>
      </c>
      <c r="H310" s="8">
        <v>1.0049999999999999</v>
      </c>
      <c r="I310" s="8">
        <v>1.2929999999999999</v>
      </c>
      <c r="J310" s="71">
        <v>35.200000000000003</v>
      </c>
      <c r="K310" s="8">
        <v>28</v>
      </c>
      <c r="L310" s="8">
        <f t="shared" si="81"/>
        <v>7.2000000000000028</v>
      </c>
      <c r="M310" s="27">
        <f t="shared" si="82"/>
        <v>218.26022054400002</v>
      </c>
      <c r="N310" s="8">
        <v>0.27700000000000002</v>
      </c>
      <c r="O310" s="18">
        <f t="shared" si="83"/>
        <v>60.458081090688012</v>
      </c>
      <c r="P310" s="8">
        <f>31*16</f>
        <v>496</v>
      </c>
      <c r="Q310" s="40">
        <f t="shared" si="84"/>
        <v>29.987208220981255</v>
      </c>
    </row>
    <row r="311" spans="5:17" ht="14" x14ac:dyDescent="0.25">
      <c r="E311" s="44" t="s">
        <v>18</v>
      </c>
      <c r="F311" s="8">
        <v>0.6</v>
      </c>
      <c r="G311" s="8">
        <v>38.880000000000003</v>
      </c>
      <c r="H311" s="8">
        <v>1.0049999999999999</v>
      </c>
      <c r="I311" s="8">
        <v>1.2929999999999999</v>
      </c>
      <c r="J311" s="71">
        <v>36.4</v>
      </c>
      <c r="K311" s="8">
        <v>28</v>
      </c>
      <c r="L311" s="8">
        <f t="shared" si="81"/>
        <v>8.3999999999999986</v>
      </c>
      <c r="M311" s="27">
        <f t="shared" si="82"/>
        <v>254.63692396799988</v>
      </c>
      <c r="N311" s="8">
        <v>0.27700000000000002</v>
      </c>
      <c r="O311" s="18">
        <f t="shared" si="83"/>
        <v>70.534427939135966</v>
      </c>
      <c r="P311" s="8">
        <f>30*16</f>
        <v>480</v>
      </c>
      <c r="Q311" s="40">
        <f t="shared" si="84"/>
        <v>33.856525410785267</v>
      </c>
    </row>
    <row r="312" spans="5:17" ht="14" x14ac:dyDescent="0.25">
      <c r="E312" s="44" t="s">
        <v>12</v>
      </c>
      <c r="F312" s="8">
        <v>0.6</v>
      </c>
      <c r="G312" s="8">
        <v>38.880000000000003</v>
      </c>
      <c r="H312" s="8">
        <v>1.0049999999999999</v>
      </c>
      <c r="I312" s="8">
        <v>1.2929999999999999</v>
      </c>
      <c r="J312" s="71">
        <v>36.1</v>
      </c>
      <c r="K312" s="8">
        <v>28</v>
      </c>
      <c r="L312" s="8">
        <f t="shared" si="81"/>
        <v>8.1000000000000014</v>
      </c>
      <c r="M312" s="27">
        <f t="shared" si="82"/>
        <v>245.54274811199997</v>
      </c>
      <c r="N312" s="8">
        <v>0.27700000000000002</v>
      </c>
      <c r="O312" s="18">
        <f t="shared" si="83"/>
        <v>68.015341227023995</v>
      </c>
      <c r="P312" s="8">
        <f>31*16</f>
        <v>496</v>
      </c>
      <c r="Q312" s="40">
        <f t="shared" si="84"/>
        <v>33.735609248603907</v>
      </c>
    </row>
    <row r="313" spans="5:17" ht="14" x14ac:dyDescent="0.25">
      <c r="E313" s="44" t="s">
        <v>13</v>
      </c>
      <c r="F313" s="8">
        <v>0.6</v>
      </c>
      <c r="G313" s="8">
        <v>38.880000000000003</v>
      </c>
      <c r="H313" s="8">
        <v>1.0049999999999999</v>
      </c>
      <c r="I313" s="8">
        <v>1.2929999999999999</v>
      </c>
      <c r="J313" s="71">
        <v>34.6</v>
      </c>
      <c r="K313" s="8">
        <v>28</v>
      </c>
      <c r="L313" s="8">
        <f t="shared" si="81"/>
        <v>6.6000000000000014</v>
      </c>
      <c r="M313" s="27">
        <f t="shared" si="82"/>
        <v>200.07186883199998</v>
      </c>
      <c r="N313" s="8">
        <v>0.27700000000000002</v>
      </c>
      <c r="O313" s="18">
        <f t="shared" si="83"/>
        <v>55.419907666463999</v>
      </c>
      <c r="P313" s="8">
        <f>30*16</f>
        <v>480</v>
      </c>
      <c r="Q313" s="40">
        <f t="shared" si="84"/>
        <v>26.601555679902717</v>
      </c>
    </row>
    <row r="314" spans="5:17" ht="14" x14ac:dyDescent="0.25">
      <c r="E314" s="44" t="s">
        <v>24</v>
      </c>
      <c r="F314" s="8">
        <v>0.6</v>
      </c>
      <c r="G314" s="8">
        <v>38.880000000000003</v>
      </c>
      <c r="H314" s="8">
        <v>1.0049999999999999</v>
      </c>
      <c r="I314" s="8">
        <v>1.2929999999999999</v>
      </c>
      <c r="J314" s="41">
        <v>34</v>
      </c>
      <c r="K314" s="8">
        <v>28</v>
      </c>
      <c r="L314" s="8">
        <f t="shared" si="81"/>
        <v>6</v>
      </c>
      <c r="M314" s="27">
        <f t="shared" si="82"/>
        <v>181.88351711999996</v>
      </c>
      <c r="N314" s="8">
        <v>0.27700000000000002</v>
      </c>
      <c r="O314" s="18">
        <f t="shared" si="83"/>
        <v>50.381734242239993</v>
      </c>
      <c r="P314" s="8">
        <f>31*16</f>
        <v>496</v>
      </c>
      <c r="Q314" s="40">
        <f t="shared" si="84"/>
        <v>24.989340184151036</v>
      </c>
    </row>
    <row r="315" spans="5:17" ht="14" x14ac:dyDescent="0.25">
      <c r="E315" s="44" t="s">
        <v>19</v>
      </c>
      <c r="F315" s="8">
        <v>0.6</v>
      </c>
      <c r="G315" s="8">
        <v>38.880000000000003</v>
      </c>
      <c r="H315" s="8">
        <v>1.0049999999999999</v>
      </c>
      <c r="I315" s="8">
        <v>1.2929999999999999</v>
      </c>
      <c r="J315" s="41">
        <v>33.799999999999997</v>
      </c>
      <c r="K315" s="8">
        <v>28</v>
      </c>
      <c r="L315" s="8">
        <f t="shared" si="81"/>
        <v>5.7999999999999972</v>
      </c>
      <c r="M315" s="27">
        <f t="shared" si="82"/>
        <v>175.82073321599987</v>
      </c>
      <c r="N315" s="8">
        <v>0.27700000000000002</v>
      </c>
      <c r="O315" s="18">
        <f t="shared" si="83"/>
        <v>48.702343100831968</v>
      </c>
      <c r="P315" s="8">
        <f>31*16</f>
        <v>496</v>
      </c>
      <c r="Q315" s="40">
        <f t="shared" si="84"/>
        <v>24.156362178012657</v>
      </c>
    </row>
    <row r="316" spans="5:17" ht="14" x14ac:dyDescent="0.25">
      <c r="E316" s="44" t="s">
        <v>20</v>
      </c>
      <c r="F316" s="8">
        <v>0.6</v>
      </c>
      <c r="G316" s="8">
        <v>38.880000000000003</v>
      </c>
      <c r="H316" s="8">
        <v>1.0049999999999999</v>
      </c>
      <c r="I316" s="8">
        <v>1.2929999999999999</v>
      </c>
      <c r="J316" s="41">
        <v>33.6</v>
      </c>
      <c r="K316" s="8">
        <v>28</v>
      </c>
      <c r="L316" s="8">
        <f t="shared" si="81"/>
        <v>5.6000000000000014</v>
      </c>
      <c r="M316" s="27">
        <f t="shared" si="82"/>
        <v>169.75794931199999</v>
      </c>
      <c r="N316" s="8">
        <v>0.27700000000000002</v>
      </c>
      <c r="O316" s="18">
        <f t="shared" si="83"/>
        <v>47.022951959423999</v>
      </c>
      <c r="P316" s="8">
        <f>30*16</f>
        <v>480</v>
      </c>
      <c r="Q316" s="40">
        <f t="shared" si="84"/>
        <v>22.571016940523521</v>
      </c>
    </row>
    <row r="317" spans="5:17" ht="14" x14ac:dyDescent="0.25">
      <c r="E317" s="44" t="s">
        <v>21</v>
      </c>
      <c r="F317" s="8">
        <v>0.6</v>
      </c>
      <c r="G317" s="8">
        <v>38.880000000000003</v>
      </c>
      <c r="H317" s="8">
        <v>1.0049999999999999</v>
      </c>
      <c r="I317" s="8">
        <v>1.2929999999999999</v>
      </c>
      <c r="J317" s="41">
        <v>33.700000000000003</v>
      </c>
      <c r="K317" s="8">
        <v>28</v>
      </c>
      <c r="L317" s="8">
        <f t="shared" si="81"/>
        <v>5.7000000000000028</v>
      </c>
      <c r="M317" s="27">
        <f t="shared" si="82"/>
        <v>172.78934126400003</v>
      </c>
      <c r="N317" s="8">
        <v>0.27700000000000002</v>
      </c>
      <c r="O317" s="18">
        <f t="shared" si="83"/>
        <v>47.862647530128015</v>
      </c>
      <c r="P317" s="8">
        <f>31*16</f>
        <v>496</v>
      </c>
      <c r="Q317" s="40">
        <f t="shared" si="84"/>
        <v>23.739873174943497</v>
      </c>
    </row>
    <row r="318" spans="5:17" ht="14" x14ac:dyDescent="0.25">
      <c r="E318" s="44" t="s">
        <v>22</v>
      </c>
      <c r="F318" s="8">
        <v>0.6</v>
      </c>
      <c r="G318" s="8">
        <v>38.880000000000003</v>
      </c>
      <c r="H318" s="8">
        <v>1.0049999999999999</v>
      </c>
      <c r="I318" s="8">
        <v>1.2929999999999999</v>
      </c>
      <c r="J318" s="41">
        <v>33.5</v>
      </c>
      <c r="K318" s="8">
        <v>28</v>
      </c>
      <c r="L318" s="8">
        <f t="shared" si="81"/>
        <v>5.5</v>
      </c>
      <c r="M318" s="27">
        <f t="shared" si="82"/>
        <v>166.72655735999996</v>
      </c>
      <c r="N318" s="8">
        <v>0.27700000000000002</v>
      </c>
      <c r="O318" s="18">
        <f t="shared" si="83"/>
        <v>46.18325638871999</v>
      </c>
      <c r="P318" s="8">
        <f>30*16</f>
        <v>480</v>
      </c>
      <c r="Q318" s="40">
        <f t="shared" si="84"/>
        <v>22.167963066585596</v>
      </c>
    </row>
    <row r="319" spans="5:17" ht="14" x14ac:dyDescent="0.25">
      <c r="E319" s="44" t="s">
        <v>23</v>
      </c>
      <c r="F319" s="8">
        <v>0.6</v>
      </c>
      <c r="G319" s="8">
        <v>38.880000000000003</v>
      </c>
      <c r="H319" s="8">
        <v>1.0049999999999999</v>
      </c>
      <c r="I319" s="8">
        <v>1.2929999999999999</v>
      </c>
      <c r="J319" s="41">
        <v>33.200000000000003</v>
      </c>
      <c r="K319" s="8">
        <v>28</v>
      </c>
      <c r="L319" s="8">
        <f t="shared" si="81"/>
        <v>5.2000000000000028</v>
      </c>
      <c r="M319" s="27">
        <f t="shared" si="82"/>
        <v>157.63238150400005</v>
      </c>
      <c r="N319" s="8">
        <v>0.27700000000000002</v>
      </c>
      <c r="O319" s="18">
        <f t="shared" si="83"/>
        <v>43.664169676608019</v>
      </c>
      <c r="P319" s="8">
        <f>31*16</f>
        <v>496</v>
      </c>
      <c r="Q319" s="40">
        <f t="shared" si="84"/>
        <v>21.657428159597576</v>
      </c>
    </row>
    <row r="320" spans="5:17" ht="15.5" thickBot="1" x14ac:dyDescent="0.45">
      <c r="E320" s="312" t="s">
        <v>94</v>
      </c>
      <c r="F320" s="313"/>
      <c r="G320" s="313"/>
      <c r="H320" s="313"/>
      <c r="I320" s="313"/>
      <c r="J320" s="313"/>
      <c r="K320" s="313"/>
      <c r="L320" s="313"/>
      <c r="M320" s="313"/>
      <c r="N320" s="313"/>
      <c r="O320" s="313"/>
      <c r="P320" s="313"/>
      <c r="Q320" s="74">
        <f>SUM(Q308:Q319)</f>
        <v>308.48399998295275</v>
      </c>
    </row>
    <row r="323" spans="5:17" ht="13" thickBot="1" x14ac:dyDescent="0.3">
      <c r="P323" s="384"/>
      <c r="Q323" s="384"/>
    </row>
    <row r="324" spans="5:17" ht="13" x14ac:dyDescent="0.3">
      <c r="E324" s="295" t="s">
        <v>111</v>
      </c>
      <c r="F324" s="296"/>
      <c r="G324" s="296"/>
      <c r="H324" s="296"/>
      <c r="I324" s="296"/>
      <c r="J324" s="296"/>
      <c r="K324" s="296"/>
      <c r="L324" s="296"/>
      <c r="M324" s="296"/>
      <c r="N324" s="297"/>
      <c r="P324" s="384"/>
      <c r="Q324" s="384"/>
    </row>
    <row r="325" spans="5:17" ht="13" customHeight="1" x14ac:dyDescent="0.25">
      <c r="E325" s="2" t="s">
        <v>0</v>
      </c>
      <c r="F325" s="5" t="s">
        <v>104</v>
      </c>
      <c r="G325" s="5" t="s">
        <v>105</v>
      </c>
      <c r="H325" s="5" t="s">
        <v>64</v>
      </c>
      <c r="I325" s="5" t="s">
        <v>106</v>
      </c>
      <c r="J325" s="5" t="s">
        <v>107</v>
      </c>
      <c r="K325" s="5" t="s">
        <v>108</v>
      </c>
      <c r="L325" s="5" t="s">
        <v>110</v>
      </c>
      <c r="M325" s="5" t="s">
        <v>86</v>
      </c>
      <c r="N325" s="85" t="s">
        <v>109</v>
      </c>
      <c r="P325" s="384"/>
      <c r="Q325" s="384"/>
    </row>
    <row r="326" spans="5:17" x14ac:dyDescent="0.25">
      <c r="E326" s="44" t="s">
        <v>15</v>
      </c>
      <c r="F326" s="5">
        <v>4</v>
      </c>
      <c r="G326" s="5">
        <v>75</v>
      </c>
      <c r="H326" s="5">
        <v>1</v>
      </c>
      <c r="I326" s="5">
        <f>F326*G326*H326</f>
        <v>300</v>
      </c>
      <c r="J326" s="5">
        <v>30</v>
      </c>
      <c r="K326" s="8">
        <f>F326*J326</f>
        <v>120</v>
      </c>
      <c r="L326" s="8">
        <f>I326+K326</f>
        <v>420</v>
      </c>
      <c r="M326" s="8">
        <f>31*16</f>
        <v>496</v>
      </c>
      <c r="N326" s="85">
        <f>(L326*M326)/1000</f>
        <v>208.32</v>
      </c>
    </row>
    <row r="327" spans="5:17" x14ac:dyDescent="0.25">
      <c r="E327" s="44" t="s">
        <v>16</v>
      </c>
      <c r="F327" s="5">
        <v>4</v>
      </c>
      <c r="G327" s="5">
        <v>75</v>
      </c>
      <c r="H327" s="5">
        <v>1</v>
      </c>
      <c r="I327" s="5">
        <f t="shared" ref="I327:I337" si="85">F327*G327*H327</f>
        <v>300</v>
      </c>
      <c r="J327" s="5">
        <v>30</v>
      </c>
      <c r="K327" s="8">
        <f t="shared" ref="K327:K337" si="86">F327*J327</f>
        <v>120</v>
      </c>
      <c r="L327" s="8">
        <f t="shared" ref="L327:L337" si="87">I327+K327</f>
        <v>420</v>
      </c>
      <c r="M327" s="8">
        <f>28*16</f>
        <v>448</v>
      </c>
      <c r="N327" s="85">
        <f t="shared" ref="N327:N337" si="88">(L327*M327)/1000</f>
        <v>188.16</v>
      </c>
    </row>
    <row r="328" spans="5:17" x14ac:dyDescent="0.25">
      <c r="E328" s="44" t="s">
        <v>17</v>
      </c>
      <c r="F328" s="5">
        <v>4</v>
      </c>
      <c r="G328" s="5">
        <v>75</v>
      </c>
      <c r="H328" s="5">
        <v>1</v>
      </c>
      <c r="I328" s="5">
        <f t="shared" si="85"/>
        <v>300</v>
      </c>
      <c r="J328" s="5">
        <v>30</v>
      </c>
      <c r="K328" s="8">
        <f t="shared" si="86"/>
        <v>120</v>
      </c>
      <c r="L328" s="8">
        <f t="shared" si="87"/>
        <v>420</v>
      </c>
      <c r="M328" s="8">
        <f>31*16</f>
        <v>496</v>
      </c>
      <c r="N328" s="85">
        <f t="shared" si="88"/>
        <v>208.32</v>
      </c>
    </row>
    <row r="329" spans="5:17" x14ac:dyDescent="0.25">
      <c r="E329" s="44" t="s">
        <v>18</v>
      </c>
      <c r="F329" s="5">
        <v>4</v>
      </c>
      <c r="G329" s="5">
        <v>75</v>
      </c>
      <c r="H329" s="5">
        <v>1</v>
      </c>
      <c r="I329" s="5">
        <f t="shared" si="85"/>
        <v>300</v>
      </c>
      <c r="J329" s="5">
        <v>30</v>
      </c>
      <c r="K329" s="8">
        <f t="shared" si="86"/>
        <v>120</v>
      </c>
      <c r="L329" s="8">
        <f t="shared" si="87"/>
        <v>420</v>
      </c>
      <c r="M329" s="8">
        <f>30*16</f>
        <v>480</v>
      </c>
      <c r="N329" s="85">
        <f t="shared" si="88"/>
        <v>201.6</v>
      </c>
    </row>
    <row r="330" spans="5:17" x14ac:dyDescent="0.25">
      <c r="E330" s="44" t="s">
        <v>12</v>
      </c>
      <c r="F330" s="5">
        <v>4</v>
      </c>
      <c r="G330" s="5">
        <v>75</v>
      </c>
      <c r="H330" s="5">
        <v>1</v>
      </c>
      <c r="I330" s="5">
        <f t="shared" si="85"/>
        <v>300</v>
      </c>
      <c r="J330" s="5">
        <v>30</v>
      </c>
      <c r="K330" s="8">
        <f t="shared" si="86"/>
        <v>120</v>
      </c>
      <c r="L330" s="8">
        <f t="shared" si="87"/>
        <v>420</v>
      </c>
      <c r="M330" s="8">
        <f>31*16</f>
        <v>496</v>
      </c>
      <c r="N330" s="85">
        <f t="shared" si="88"/>
        <v>208.32</v>
      </c>
    </row>
    <row r="331" spans="5:17" x14ac:dyDescent="0.25">
      <c r="E331" s="44" t="s">
        <v>13</v>
      </c>
      <c r="F331" s="5">
        <v>4</v>
      </c>
      <c r="G331" s="5">
        <v>75</v>
      </c>
      <c r="H331" s="5">
        <v>1</v>
      </c>
      <c r="I331" s="5">
        <f t="shared" si="85"/>
        <v>300</v>
      </c>
      <c r="J331" s="5">
        <v>30</v>
      </c>
      <c r="K331" s="8">
        <f t="shared" si="86"/>
        <v>120</v>
      </c>
      <c r="L331" s="8">
        <f t="shared" si="87"/>
        <v>420</v>
      </c>
      <c r="M331" s="8">
        <f>30*16</f>
        <v>480</v>
      </c>
      <c r="N331" s="85">
        <f t="shared" si="88"/>
        <v>201.6</v>
      </c>
    </row>
    <row r="332" spans="5:17" x14ac:dyDescent="0.25">
      <c r="E332" s="44" t="s">
        <v>24</v>
      </c>
      <c r="F332" s="5">
        <v>4</v>
      </c>
      <c r="G332" s="5">
        <v>75</v>
      </c>
      <c r="H332" s="5">
        <v>1</v>
      </c>
      <c r="I332" s="5">
        <f t="shared" si="85"/>
        <v>300</v>
      </c>
      <c r="J332" s="5">
        <v>30</v>
      </c>
      <c r="K332" s="8">
        <f t="shared" si="86"/>
        <v>120</v>
      </c>
      <c r="L332" s="8">
        <f t="shared" si="87"/>
        <v>420</v>
      </c>
      <c r="M332" s="8">
        <f>31*16</f>
        <v>496</v>
      </c>
      <c r="N332" s="85">
        <f t="shared" si="88"/>
        <v>208.32</v>
      </c>
    </row>
    <row r="333" spans="5:17" x14ac:dyDescent="0.25">
      <c r="E333" s="44" t="s">
        <v>19</v>
      </c>
      <c r="F333" s="5">
        <v>4</v>
      </c>
      <c r="G333" s="5">
        <v>75</v>
      </c>
      <c r="H333" s="5">
        <v>1</v>
      </c>
      <c r="I333" s="5">
        <f t="shared" si="85"/>
        <v>300</v>
      </c>
      <c r="J333" s="5">
        <v>30</v>
      </c>
      <c r="K333" s="8">
        <f t="shared" si="86"/>
        <v>120</v>
      </c>
      <c r="L333" s="8">
        <f t="shared" si="87"/>
        <v>420</v>
      </c>
      <c r="M333" s="8">
        <f>31*16</f>
        <v>496</v>
      </c>
      <c r="N333" s="85">
        <f t="shared" si="88"/>
        <v>208.32</v>
      </c>
    </row>
    <row r="334" spans="5:17" x14ac:dyDescent="0.25">
      <c r="E334" s="44" t="s">
        <v>20</v>
      </c>
      <c r="F334" s="5">
        <v>4</v>
      </c>
      <c r="G334" s="5">
        <v>75</v>
      </c>
      <c r="H334" s="5">
        <v>1</v>
      </c>
      <c r="I334" s="5">
        <f t="shared" si="85"/>
        <v>300</v>
      </c>
      <c r="J334" s="5">
        <v>30</v>
      </c>
      <c r="K334" s="8">
        <f t="shared" si="86"/>
        <v>120</v>
      </c>
      <c r="L334" s="8">
        <f t="shared" si="87"/>
        <v>420</v>
      </c>
      <c r="M334" s="8">
        <f>30*16</f>
        <v>480</v>
      </c>
      <c r="N334" s="85">
        <f t="shared" si="88"/>
        <v>201.6</v>
      </c>
    </row>
    <row r="335" spans="5:17" x14ac:dyDescent="0.25">
      <c r="E335" s="44" t="s">
        <v>21</v>
      </c>
      <c r="F335" s="5">
        <v>4</v>
      </c>
      <c r="G335" s="5">
        <v>75</v>
      </c>
      <c r="H335" s="5">
        <v>1</v>
      </c>
      <c r="I335" s="5">
        <f t="shared" si="85"/>
        <v>300</v>
      </c>
      <c r="J335" s="5">
        <v>30</v>
      </c>
      <c r="K335" s="8">
        <f t="shared" si="86"/>
        <v>120</v>
      </c>
      <c r="L335" s="8">
        <f t="shared" si="87"/>
        <v>420</v>
      </c>
      <c r="M335" s="8">
        <f>31*16</f>
        <v>496</v>
      </c>
      <c r="N335" s="85">
        <f t="shared" si="88"/>
        <v>208.32</v>
      </c>
    </row>
    <row r="336" spans="5:17" x14ac:dyDescent="0.25">
      <c r="E336" s="44" t="s">
        <v>22</v>
      </c>
      <c r="F336" s="5">
        <v>4</v>
      </c>
      <c r="G336" s="5">
        <v>75</v>
      </c>
      <c r="H336" s="5">
        <v>1</v>
      </c>
      <c r="I336" s="5">
        <f t="shared" si="85"/>
        <v>300</v>
      </c>
      <c r="J336" s="5">
        <v>30</v>
      </c>
      <c r="K336" s="8">
        <f t="shared" si="86"/>
        <v>120</v>
      </c>
      <c r="L336" s="8">
        <f t="shared" si="87"/>
        <v>420</v>
      </c>
      <c r="M336" s="8">
        <f>30*16</f>
        <v>480</v>
      </c>
      <c r="N336" s="85">
        <f t="shared" si="88"/>
        <v>201.6</v>
      </c>
    </row>
    <row r="337" spans="5:14" x14ac:dyDescent="0.25">
      <c r="E337" s="44" t="s">
        <v>23</v>
      </c>
      <c r="F337" s="5">
        <v>4</v>
      </c>
      <c r="G337" s="5">
        <v>75</v>
      </c>
      <c r="H337" s="5">
        <v>1</v>
      </c>
      <c r="I337" s="5">
        <f t="shared" si="85"/>
        <v>300</v>
      </c>
      <c r="J337" s="5">
        <v>30</v>
      </c>
      <c r="K337" s="8">
        <f t="shared" si="86"/>
        <v>120</v>
      </c>
      <c r="L337" s="8">
        <f t="shared" si="87"/>
        <v>420</v>
      </c>
      <c r="M337" s="8">
        <f>31*16</f>
        <v>496</v>
      </c>
      <c r="N337" s="85">
        <f t="shared" si="88"/>
        <v>208.32</v>
      </c>
    </row>
    <row r="338" spans="5:14" ht="13.5" thickBot="1" x14ac:dyDescent="0.35">
      <c r="E338" s="312" t="s">
        <v>111</v>
      </c>
      <c r="F338" s="313"/>
      <c r="G338" s="313"/>
      <c r="H338" s="313"/>
      <c r="I338" s="313"/>
      <c r="J338" s="313"/>
      <c r="K338" s="313"/>
      <c r="L338" s="313"/>
      <c r="M338" s="313"/>
      <c r="N338" s="88">
        <f>SUM(N326:N337)</f>
        <v>2452.7999999999997</v>
      </c>
    </row>
    <row r="340" spans="5:14" ht="13" thickBot="1" x14ac:dyDescent="0.3"/>
    <row r="341" spans="5:14" ht="13" x14ac:dyDescent="0.3">
      <c r="E341" s="289" t="s">
        <v>118</v>
      </c>
      <c r="F341" s="290"/>
      <c r="G341" s="290"/>
      <c r="H341" s="290"/>
      <c r="I341" s="290"/>
      <c r="J341" s="290"/>
      <c r="K341" s="291"/>
    </row>
    <row r="342" spans="5:14" ht="15.5" x14ac:dyDescent="0.4">
      <c r="E342" s="49" t="s">
        <v>112</v>
      </c>
      <c r="F342" s="18" t="s">
        <v>113</v>
      </c>
      <c r="G342" s="18" t="s">
        <v>114</v>
      </c>
      <c r="H342" s="18" t="s">
        <v>115</v>
      </c>
      <c r="I342" s="18" t="s">
        <v>64</v>
      </c>
      <c r="J342" s="18" t="s">
        <v>116</v>
      </c>
      <c r="K342" s="86" t="s">
        <v>117</v>
      </c>
    </row>
    <row r="343" spans="5:14" x14ac:dyDescent="0.25">
      <c r="E343" s="49">
        <v>3</v>
      </c>
      <c r="F343" s="18">
        <v>60</v>
      </c>
      <c r="G343" s="18">
        <v>1.24</v>
      </c>
      <c r="H343" s="18">
        <v>0.66</v>
      </c>
      <c r="I343" s="18">
        <v>0.8</v>
      </c>
      <c r="J343" s="18">
        <f>6*365</f>
        <v>2190</v>
      </c>
      <c r="K343" s="35">
        <f>(E343*F343*G343*H343*I343*J343)/1000</f>
        <v>258.09062399999999</v>
      </c>
    </row>
    <row r="344" spans="5:14" ht="13.5" thickBot="1" x14ac:dyDescent="0.35">
      <c r="E344" s="327" t="s">
        <v>118</v>
      </c>
      <c r="F344" s="328"/>
      <c r="G344" s="328"/>
      <c r="H344" s="328"/>
      <c r="I344" s="328"/>
      <c r="J344" s="328"/>
      <c r="K344" s="74">
        <f>K343</f>
        <v>258.09062399999999</v>
      </c>
    </row>
    <row r="346" spans="5:14" ht="13" thickBot="1" x14ac:dyDescent="0.3"/>
    <row r="347" spans="5:14" ht="13" x14ac:dyDescent="0.3">
      <c r="E347" s="295" t="s">
        <v>124</v>
      </c>
      <c r="F347" s="296"/>
      <c r="G347" s="296"/>
      <c r="H347" s="297"/>
    </row>
    <row r="348" spans="5:14" x14ac:dyDescent="0.25">
      <c r="E348" s="44" t="s">
        <v>119</v>
      </c>
      <c r="F348" s="8" t="s">
        <v>120</v>
      </c>
      <c r="G348" s="8" t="s">
        <v>121</v>
      </c>
      <c r="H348" s="87" t="s">
        <v>122</v>
      </c>
    </row>
    <row r="349" spans="5:14" x14ac:dyDescent="0.25">
      <c r="E349" s="44">
        <v>36</v>
      </c>
      <c r="F349" s="8">
        <v>5</v>
      </c>
      <c r="G349" s="8">
        <f>F349*365</f>
        <v>1825</v>
      </c>
      <c r="H349" s="85">
        <f>(E349*G349)/1000</f>
        <v>65.7</v>
      </c>
    </row>
    <row r="350" spans="5:14" ht="13.5" thickBot="1" x14ac:dyDescent="0.35">
      <c r="E350" s="312" t="s">
        <v>123</v>
      </c>
      <c r="F350" s="313"/>
      <c r="G350" s="313"/>
      <c r="H350" s="88">
        <f>H349</f>
        <v>65.7</v>
      </c>
    </row>
    <row r="353" spans="5:12" ht="13" thickBot="1" x14ac:dyDescent="0.3"/>
    <row r="354" spans="5:12" ht="13" x14ac:dyDescent="0.25">
      <c r="E354" s="93" t="s">
        <v>125</v>
      </c>
      <c r="F354" s="90" t="s">
        <v>126</v>
      </c>
      <c r="G354" s="90" t="s">
        <v>127</v>
      </c>
      <c r="H354" s="90" t="s">
        <v>87</v>
      </c>
      <c r="I354" s="90" t="s">
        <v>128</v>
      </c>
      <c r="J354" s="90" t="s">
        <v>129</v>
      </c>
      <c r="K354" s="90" t="s">
        <v>130</v>
      </c>
      <c r="L354" s="91" t="s">
        <v>134</v>
      </c>
    </row>
    <row r="355" spans="5:12" x14ac:dyDescent="0.25">
      <c r="E355" s="94">
        <v>22</v>
      </c>
      <c r="F355" s="27">
        <f>R122</f>
        <v>191.71728000000007</v>
      </c>
      <c r="G355" s="27">
        <f>K$224</f>
        <v>267.49251074304004</v>
      </c>
      <c r="H355" s="27">
        <f>Q242</f>
        <v>602.71332795763419</v>
      </c>
      <c r="I355" s="8">
        <f>N$338</f>
        <v>2452.7999999999997</v>
      </c>
      <c r="J355" s="27">
        <f>K$344</f>
        <v>258.09062399999999</v>
      </c>
      <c r="K355" s="8">
        <f>H$350</f>
        <v>65.7</v>
      </c>
      <c r="L355" s="51">
        <f>F355+G355+H355+I355+J355+K355</f>
        <v>3838.5137427006739</v>
      </c>
    </row>
    <row r="356" spans="5:12" x14ac:dyDescent="0.25">
      <c r="E356" s="94">
        <v>23</v>
      </c>
      <c r="F356" s="27">
        <f>R136</f>
        <v>163.33488000000008</v>
      </c>
      <c r="G356" s="27">
        <f t="shared" ref="G356:G361" si="89">K$224</f>
        <v>267.49251074304004</v>
      </c>
      <c r="H356" s="27">
        <f>Q255</f>
        <v>553.67510662852055</v>
      </c>
      <c r="I356" s="8">
        <f t="shared" ref="I356:I361" si="90">N$338</f>
        <v>2452.7999999999997</v>
      </c>
      <c r="J356" s="27">
        <f t="shared" ref="J356:J361" si="91">K$344</f>
        <v>258.09062399999999</v>
      </c>
      <c r="K356" s="8">
        <f t="shared" ref="K356:K361" si="92">H$350</f>
        <v>65.7</v>
      </c>
      <c r="L356" s="51">
        <f t="shared" ref="L356:L361" si="93">F356+G356+H356+I356+J356+K356</f>
        <v>3761.0931213715603</v>
      </c>
    </row>
    <row r="357" spans="5:12" x14ac:dyDescent="0.25">
      <c r="E357" s="94">
        <v>24</v>
      </c>
      <c r="F357" s="27">
        <f>R150</f>
        <v>134.95248000000007</v>
      </c>
      <c r="G357" s="27">
        <f t="shared" si="89"/>
        <v>267.49251074304004</v>
      </c>
      <c r="H357" s="27">
        <f>Q268</f>
        <v>504.63688529940703</v>
      </c>
      <c r="I357" s="8">
        <f t="shared" si="90"/>
        <v>2452.7999999999997</v>
      </c>
      <c r="J357" s="27">
        <f t="shared" si="91"/>
        <v>258.09062399999999</v>
      </c>
      <c r="K357" s="8">
        <f t="shared" si="92"/>
        <v>65.7</v>
      </c>
      <c r="L357" s="51">
        <f t="shared" si="93"/>
        <v>3683.6725000424467</v>
      </c>
    </row>
    <row r="358" spans="5:12" x14ac:dyDescent="0.25">
      <c r="E358" s="94">
        <v>25</v>
      </c>
      <c r="F358" s="27">
        <f>R164</f>
        <v>106.57008000000006</v>
      </c>
      <c r="G358" s="27">
        <f t="shared" si="89"/>
        <v>267.49251074304004</v>
      </c>
      <c r="H358" s="27">
        <f>Q281</f>
        <v>455.5986639702935</v>
      </c>
      <c r="I358" s="8">
        <f t="shared" si="90"/>
        <v>2452.7999999999997</v>
      </c>
      <c r="J358" s="27">
        <f t="shared" si="91"/>
        <v>258.09062399999999</v>
      </c>
      <c r="K358" s="8">
        <f t="shared" si="92"/>
        <v>65.7</v>
      </c>
      <c r="L358" s="51">
        <f t="shared" si="93"/>
        <v>3606.2518787133331</v>
      </c>
    </row>
    <row r="359" spans="5:12" x14ac:dyDescent="0.25">
      <c r="E359" s="94">
        <v>26</v>
      </c>
      <c r="F359" s="27">
        <f>R178</f>
        <v>78.187680000000071</v>
      </c>
      <c r="G359" s="27">
        <f t="shared" si="89"/>
        <v>267.49251074304004</v>
      </c>
      <c r="H359" s="27">
        <f>Q294</f>
        <v>406.56044264117986</v>
      </c>
      <c r="I359" s="8">
        <f t="shared" si="90"/>
        <v>2452.7999999999997</v>
      </c>
      <c r="J359" s="27">
        <f t="shared" si="91"/>
        <v>258.09062399999999</v>
      </c>
      <c r="K359" s="8">
        <f t="shared" si="92"/>
        <v>65.7</v>
      </c>
      <c r="L359" s="51">
        <f t="shared" si="93"/>
        <v>3528.8312573842195</v>
      </c>
    </row>
    <row r="360" spans="5:12" x14ac:dyDescent="0.25">
      <c r="E360" s="94">
        <v>27</v>
      </c>
      <c r="F360" s="27">
        <f>R192</f>
        <v>49.805280000000067</v>
      </c>
      <c r="G360" s="27">
        <f t="shared" si="89"/>
        <v>267.49251074304004</v>
      </c>
      <c r="H360" s="27">
        <f>Q307</f>
        <v>357.52222131206622</v>
      </c>
      <c r="I360" s="8">
        <f t="shared" si="90"/>
        <v>2452.7999999999997</v>
      </c>
      <c r="J360" s="27">
        <f t="shared" si="91"/>
        <v>258.09062399999999</v>
      </c>
      <c r="K360" s="8">
        <f t="shared" si="92"/>
        <v>65.7</v>
      </c>
      <c r="L360" s="51">
        <f t="shared" si="93"/>
        <v>3451.4106360551059</v>
      </c>
    </row>
    <row r="361" spans="5:12" ht="13" thickBot="1" x14ac:dyDescent="0.3">
      <c r="E361" s="95">
        <v>28</v>
      </c>
      <c r="F361" s="89">
        <f>R206</f>
        <v>21.422880000000063</v>
      </c>
      <c r="G361" s="89">
        <f t="shared" si="89"/>
        <v>267.49251074304004</v>
      </c>
      <c r="H361" s="89">
        <f>Q320</f>
        <v>308.48399998295275</v>
      </c>
      <c r="I361" s="21">
        <f t="shared" si="90"/>
        <v>2452.7999999999997</v>
      </c>
      <c r="J361" s="89">
        <f t="shared" si="91"/>
        <v>258.09062399999999</v>
      </c>
      <c r="K361" s="21">
        <f t="shared" si="92"/>
        <v>65.7</v>
      </c>
      <c r="L361" s="92">
        <f t="shared" si="93"/>
        <v>3373.9900147259923</v>
      </c>
    </row>
    <row r="362" spans="5:12" x14ac:dyDescent="0.25">
      <c r="E362" s="32"/>
      <c r="F362" s="32"/>
      <c r="G362" s="32"/>
      <c r="H362" s="32"/>
      <c r="I362" s="32"/>
      <c r="J362" s="32"/>
      <c r="K362" s="32"/>
    </row>
    <row r="363" spans="5:12" x14ac:dyDescent="0.25">
      <c r="E363" s="32"/>
      <c r="F363" s="32"/>
      <c r="G363" s="32"/>
      <c r="H363" s="32"/>
      <c r="I363" s="32"/>
      <c r="J363" s="32"/>
      <c r="K363" s="32"/>
    </row>
    <row r="364" spans="5:12" x14ac:dyDescent="0.25">
      <c r="E364" s="32"/>
      <c r="F364" s="32"/>
      <c r="G364" s="32"/>
      <c r="H364" s="32"/>
      <c r="I364" s="32"/>
      <c r="J364" s="32"/>
      <c r="K364" s="32"/>
    </row>
    <row r="365" spans="5:12" x14ac:dyDescent="0.25">
      <c r="E365" s="32"/>
      <c r="F365" s="32"/>
      <c r="G365" s="32"/>
      <c r="H365" s="32"/>
      <c r="I365" s="32"/>
      <c r="J365" s="32"/>
      <c r="K365" s="32"/>
    </row>
    <row r="366" spans="5:12" x14ac:dyDescent="0.25">
      <c r="E366" s="32"/>
      <c r="F366" s="32"/>
      <c r="G366" s="32"/>
      <c r="H366" s="32"/>
      <c r="I366" s="32"/>
      <c r="J366" s="32"/>
      <c r="K366" s="32"/>
    </row>
    <row r="367" spans="5:12" x14ac:dyDescent="0.25">
      <c r="E367" s="32"/>
      <c r="F367" s="32"/>
      <c r="G367" s="32"/>
      <c r="H367" s="32"/>
      <c r="I367" s="32"/>
      <c r="J367" s="32"/>
      <c r="K367" s="32"/>
    </row>
    <row r="368" spans="5:12" x14ac:dyDescent="0.25">
      <c r="E368" s="32"/>
      <c r="F368" s="32"/>
      <c r="G368" s="32"/>
      <c r="H368" s="32"/>
      <c r="I368" s="32"/>
      <c r="J368" s="32"/>
      <c r="K368" s="32"/>
    </row>
    <row r="369" spans="5:11" x14ac:dyDescent="0.25">
      <c r="E369" s="32"/>
      <c r="F369" s="32"/>
      <c r="G369" s="32"/>
      <c r="H369" s="32"/>
      <c r="I369" s="32"/>
      <c r="J369" s="32"/>
      <c r="K369" s="32"/>
    </row>
  </sheetData>
  <mergeCells count="45">
    <mergeCell ref="E268:P268"/>
    <mergeCell ref="E165:R165"/>
    <mergeCell ref="E3:AH3"/>
    <mergeCell ref="B107:C108"/>
    <mergeCell ref="E107:R107"/>
    <mergeCell ref="E108:R108"/>
    <mergeCell ref="E122:Q122"/>
    <mergeCell ref="E123:R123"/>
    <mergeCell ref="E136:Q136"/>
    <mergeCell ref="E137:R137"/>
    <mergeCell ref="E150:Q150"/>
    <mergeCell ref="E151:R151"/>
    <mergeCell ref="E164:Q164"/>
    <mergeCell ref="E46:AG46"/>
    <mergeCell ref="F45:M45"/>
    <mergeCell ref="F60:M60"/>
    <mergeCell ref="E347:H347"/>
    <mergeCell ref="E350:G350"/>
    <mergeCell ref="E294:P294"/>
    <mergeCell ref="E307:P307"/>
    <mergeCell ref="E320:P320"/>
    <mergeCell ref="P323:Q325"/>
    <mergeCell ref="E324:N324"/>
    <mergeCell ref="E338:M338"/>
    <mergeCell ref="AN4:AP4"/>
    <mergeCell ref="AN45:AP45"/>
    <mergeCell ref="AN76:AP76"/>
    <mergeCell ref="E341:K341"/>
    <mergeCell ref="E344:J344"/>
    <mergeCell ref="E281:P281"/>
    <mergeCell ref="E178:Q178"/>
    <mergeCell ref="E179:R179"/>
    <mergeCell ref="E192:Q192"/>
    <mergeCell ref="E193:R193"/>
    <mergeCell ref="E206:Q206"/>
    <mergeCell ref="E210:K210"/>
    <mergeCell ref="E224:J224"/>
    <mergeCell ref="E228:Q228"/>
    <mergeCell ref="E242:P242"/>
    <mergeCell ref="E255:P255"/>
    <mergeCell ref="E104:AG104"/>
    <mergeCell ref="F103:M103"/>
    <mergeCell ref="F89:M89"/>
    <mergeCell ref="F75:M75"/>
    <mergeCell ref="E61:AG6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CDD6-0548-40A2-B3A2-B03BEEE18DDF}">
  <dimension ref="B2:AP369"/>
  <sheetViews>
    <sheetView topLeftCell="D1" zoomScale="70" zoomScaleNormal="70" workbookViewId="0">
      <selection activeCell="M9" sqref="M9:N11"/>
    </sheetView>
  </sheetViews>
  <sheetFormatPr defaultRowHeight="13" x14ac:dyDescent="0.25"/>
  <cols>
    <col min="2" max="2" width="15.26953125" customWidth="1"/>
    <col min="3" max="3" width="17.1796875" customWidth="1"/>
    <col min="5" max="5" width="12.81640625" customWidth="1"/>
    <col min="6" max="6" width="11.54296875" customWidth="1"/>
    <col min="7" max="7" width="9" style="1" customWidth="1"/>
    <col min="8" max="8" width="10.1796875" customWidth="1"/>
    <col min="9" max="9" width="17.81640625" customWidth="1"/>
    <col min="10" max="10" width="14.1796875" customWidth="1"/>
    <col min="11" max="11" width="11.453125" customWidth="1"/>
    <col min="12" max="12" width="14.81640625" customWidth="1"/>
    <col min="13" max="14" width="12.1796875" customWidth="1"/>
    <col min="15" max="15" width="15.54296875" style="32" customWidth="1"/>
    <col min="16" max="16" width="17.1796875" style="1" customWidth="1"/>
    <col min="17" max="17" width="28.1796875" style="1" customWidth="1"/>
    <col min="18" max="18" width="18.54296875" customWidth="1"/>
    <col min="19" max="19" width="18.81640625" customWidth="1"/>
    <col min="20" max="20" width="11.54296875" customWidth="1"/>
    <col min="21" max="21" width="9.7265625" customWidth="1"/>
    <col min="24" max="24" width="12" customWidth="1"/>
    <col min="28" max="28" width="11.26953125" customWidth="1"/>
    <col min="29" max="29" width="10.453125" customWidth="1"/>
    <col min="30" max="30" width="17.81640625" customWidth="1"/>
    <col min="31" max="31" width="15" customWidth="1"/>
    <col min="35" max="35" width="11" customWidth="1"/>
    <col min="36" max="36" width="8.7265625" style="32"/>
    <col min="37" max="37" width="8.7265625" style="39"/>
    <col min="40" max="40" width="26.1796875" customWidth="1"/>
    <col min="41" max="41" width="15.81640625" customWidth="1"/>
    <col min="42" max="42" width="11.81640625" customWidth="1"/>
  </cols>
  <sheetData>
    <row r="2" spans="2:42" ht="13.5" thickBot="1" x14ac:dyDescent="0.3"/>
    <row r="3" spans="2:42" ht="13.5" thickBot="1" x14ac:dyDescent="0.35">
      <c r="E3" s="376" t="s">
        <v>9</v>
      </c>
      <c r="F3" s="377"/>
      <c r="G3" s="377"/>
      <c r="H3" s="377"/>
      <c r="I3" s="377"/>
      <c r="J3" s="377"/>
      <c r="K3" s="377"/>
      <c r="L3" s="377"/>
      <c r="M3" s="377"/>
      <c r="N3" s="377"/>
      <c r="O3" s="377"/>
      <c r="P3" s="377"/>
      <c r="Q3" s="377"/>
      <c r="R3" s="377"/>
      <c r="S3" s="377"/>
      <c r="T3" s="377"/>
      <c r="U3" s="377"/>
      <c r="V3" s="377"/>
      <c r="W3" s="377"/>
      <c r="X3" s="377"/>
      <c r="Y3" s="377"/>
      <c r="Z3" s="377"/>
      <c r="AA3" s="377"/>
      <c r="AB3" s="377"/>
      <c r="AC3" s="377"/>
      <c r="AD3" s="377"/>
      <c r="AE3" s="377"/>
      <c r="AF3" s="377"/>
      <c r="AG3" s="377"/>
      <c r="AH3" s="377"/>
      <c r="AI3" s="378"/>
    </row>
    <row r="4" spans="2:42" ht="15" customHeight="1" x14ac:dyDescent="0.4">
      <c r="E4" s="2" t="s">
        <v>0</v>
      </c>
      <c r="F4" s="3"/>
      <c r="G4" s="5"/>
      <c r="H4" s="4"/>
      <c r="I4" s="4"/>
      <c r="J4" s="4"/>
      <c r="K4" s="4"/>
      <c r="L4" s="4"/>
      <c r="M4" s="3" t="s">
        <v>138</v>
      </c>
      <c r="N4" s="3" t="s">
        <v>137</v>
      </c>
      <c r="O4" s="8" t="s">
        <v>2</v>
      </c>
      <c r="P4" s="4" t="s">
        <v>10</v>
      </c>
      <c r="Q4" s="4" t="s">
        <v>11</v>
      </c>
      <c r="R4" s="4"/>
      <c r="S4" s="4"/>
      <c r="T4" s="4" t="s">
        <v>3</v>
      </c>
      <c r="U4" s="4"/>
      <c r="V4" s="4"/>
      <c r="W4" s="4"/>
      <c r="X4" s="4" t="s">
        <v>3</v>
      </c>
      <c r="Y4" s="4"/>
      <c r="Z4" s="4"/>
      <c r="AA4" s="4"/>
      <c r="AB4" s="4" t="s">
        <v>3</v>
      </c>
      <c r="AC4" s="4"/>
      <c r="AD4" s="4" t="s">
        <v>4</v>
      </c>
      <c r="AE4" s="4" t="s">
        <v>5</v>
      </c>
      <c r="AF4" s="4" t="s">
        <v>6</v>
      </c>
      <c r="AG4" s="4"/>
      <c r="AH4" s="4" t="s">
        <v>7</v>
      </c>
      <c r="AI4" s="6" t="s">
        <v>8</v>
      </c>
      <c r="AN4" s="295" t="s">
        <v>202</v>
      </c>
      <c r="AO4" s="296"/>
      <c r="AP4" s="297"/>
    </row>
    <row r="5" spans="2:42" ht="15" customHeight="1" x14ac:dyDescent="0.25">
      <c r="B5" s="53"/>
      <c r="E5" s="2" t="s">
        <v>15</v>
      </c>
      <c r="F5" s="7">
        <v>22</v>
      </c>
      <c r="G5" s="54">
        <v>36.694516320000005</v>
      </c>
      <c r="H5" s="5">
        <v>420</v>
      </c>
      <c r="I5" s="5">
        <v>118.8</v>
      </c>
      <c r="J5" s="5">
        <v>36</v>
      </c>
      <c r="K5" s="8">
        <v>191.96</v>
      </c>
      <c r="L5" s="8">
        <v>8.4700000000000006</v>
      </c>
      <c r="M5" s="9">
        <f>(F5-((G5+H5+I5+J5)/(K5+L5)))</f>
        <v>18.949086881604551</v>
      </c>
      <c r="N5" s="9">
        <v>19</v>
      </c>
      <c r="O5" s="8">
        <v>229.1</v>
      </c>
      <c r="P5" s="4"/>
      <c r="Q5" s="4"/>
      <c r="R5" s="4"/>
      <c r="S5" s="4"/>
      <c r="T5" s="4"/>
      <c r="U5" s="4"/>
      <c r="V5" s="4"/>
      <c r="W5" s="4"/>
      <c r="X5" s="4"/>
      <c r="Y5" s="4"/>
      <c r="Z5" s="4"/>
      <c r="AA5" s="4"/>
      <c r="AB5" s="4"/>
      <c r="AC5" s="4"/>
      <c r="AD5" s="4"/>
      <c r="AE5" s="4"/>
      <c r="AF5" s="4"/>
      <c r="AG5" s="4"/>
      <c r="AH5" s="4"/>
      <c r="AI5" s="6"/>
      <c r="AN5" s="76" t="s">
        <v>195</v>
      </c>
      <c r="AO5" s="27" t="s">
        <v>196</v>
      </c>
      <c r="AP5" s="86" t="s">
        <v>201</v>
      </c>
    </row>
    <row r="6" spans="2:42" ht="15" customHeight="1" x14ac:dyDescent="0.25">
      <c r="B6" s="53"/>
      <c r="E6" s="2" t="s">
        <v>16</v>
      </c>
      <c r="F6" s="7">
        <v>22</v>
      </c>
      <c r="G6" s="54">
        <v>38.988378000000012</v>
      </c>
      <c r="H6" s="5">
        <v>420</v>
      </c>
      <c r="I6" s="5">
        <v>118.8</v>
      </c>
      <c r="J6" s="5">
        <v>36</v>
      </c>
      <c r="K6" s="8">
        <v>191.96</v>
      </c>
      <c r="L6" s="8">
        <v>8.4700000000000006</v>
      </c>
      <c r="M6" s="9">
        <f t="shared" ref="M6:M16" si="0">(F6-((G6+H6+I6+J6)/(K6+L6)))</f>
        <v>18.937642179314473</v>
      </c>
      <c r="N6" s="9">
        <v>19</v>
      </c>
      <c r="O6" s="8">
        <v>234.8</v>
      </c>
      <c r="P6" s="4"/>
      <c r="Q6" s="4"/>
      <c r="R6" s="4"/>
      <c r="S6" s="4"/>
      <c r="T6" s="4"/>
      <c r="U6" s="4"/>
      <c r="V6" s="4"/>
      <c r="W6" s="4"/>
      <c r="X6" s="4"/>
      <c r="Y6" s="4"/>
      <c r="Z6" s="4"/>
      <c r="AA6" s="4"/>
      <c r="AB6" s="4"/>
      <c r="AC6" s="4"/>
      <c r="AD6" s="4"/>
      <c r="AE6" s="4"/>
      <c r="AF6" s="4"/>
      <c r="AG6" s="4"/>
      <c r="AH6" s="4"/>
      <c r="AI6" s="6"/>
      <c r="AN6" s="76">
        <v>22</v>
      </c>
      <c r="AO6" s="27">
        <v>16</v>
      </c>
      <c r="AP6" s="145">
        <f>AO6/AO9</f>
        <v>0.34782608695652173</v>
      </c>
    </row>
    <row r="7" spans="2:42" ht="15" customHeight="1" x14ac:dyDescent="0.25">
      <c r="B7" s="53"/>
      <c r="E7" s="2" t="s">
        <v>17</v>
      </c>
      <c r="F7" s="7">
        <v>22</v>
      </c>
      <c r="G7" s="54">
        <v>42.427352880000001</v>
      </c>
      <c r="H7" s="5">
        <v>420</v>
      </c>
      <c r="I7" s="5">
        <v>118.8</v>
      </c>
      <c r="J7" s="5">
        <v>36</v>
      </c>
      <c r="K7" s="8">
        <v>191.96</v>
      </c>
      <c r="L7" s="8">
        <v>8.4700000000000006</v>
      </c>
      <c r="M7" s="9">
        <f t="shared" si="0"/>
        <v>18.92048419458165</v>
      </c>
      <c r="N7" s="9">
        <v>19</v>
      </c>
      <c r="O7" s="8">
        <v>264.39999999999998</v>
      </c>
      <c r="P7" s="4"/>
      <c r="Q7" s="4"/>
      <c r="R7" s="4"/>
      <c r="S7" s="4"/>
      <c r="T7" s="4"/>
      <c r="U7" s="4"/>
      <c r="V7" s="4"/>
      <c r="W7" s="4"/>
      <c r="X7" s="4"/>
      <c r="Y7" s="4"/>
      <c r="Z7" s="4"/>
      <c r="AA7" s="4"/>
      <c r="AB7" s="4"/>
      <c r="AC7" s="4"/>
      <c r="AD7" s="4"/>
      <c r="AE7" s="4"/>
      <c r="AF7" s="4"/>
      <c r="AG7" s="4"/>
      <c r="AH7" s="4"/>
      <c r="AI7" s="6"/>
      <c r="AN7" s="76">
        <v>23</v>
      </c>
      <c r="AO7" s="27">
        <v>10</v>
      </c>
      <c r="AP7" s="145">
        <f>AO7/AO9</f>
        <v>0.21739130434782608</v>
      </c>
    </row>
    <row r="8" spans="2:42" ht="15" customHeight="1" x14ac:dyDescent="0.25">
      <c r="B8" s="53"/>
      <c r="E8" s="2" t="s">
        <v>18</v>
      </c>
      <c r="F8" s="7">
        <v>22</v>
      </c>
      <c r="G8" s="54">
        <v>50.457686400000007</v>
      </c>
      <c r="H8" s="5">
        <v>420</v>
      </c>
      <c r="I8" s="5">
        <v>118.8</v>
      </c>
      <c r="J8" s="5">
        <v>36</v>
      </c>
      <c r="K8" s="8">
        <v>191.96</v>
      </c>
      <c r="L8" s="8">
        <v>8.4700000000000006</v>
      </c>
      <c r="M8" s="9">
        <f t="shared" si="0"/>
        <v>18.880418667864092</v>
      </c>
      <c r="N8" s="9">
        <v>19</v>
      </c>
      <c r="O8" s="8">
        <v>277.60000000000002</v>
      </c>
      <c r="P8" s="4"/>
      <c r="Q8" s="4"/>
      <c r="R8" s="4"/>
      <c r="S8" s="4"/>
      <c r="T8" s="4"/>
      <c r="U8" s="4"/>
      <c r="V8" s="4"/>
      <c r="W8" s="4"/>
      <c r="X8" s="4"/>
      <c r="Y8" s="4"/>
      <c r="Z8" s="4"/>
      <c r="AA8" s="4"/>
      <c r="AB8" s="4"/>
      <c r="AC8" s="4"/>
      <c r="AD8" s="4"/>
      <c r="AE8" s="4"/>
      <c r="AF8" s="4"/>
      <c r="AG8" s="4"/>
      <c r="AH8" s="4"/>
      <c r="AI8" s="6"/>
      <c r="AN8" s="76">
        <v>24</v>
      </c>
      <c r="AO8" s="27">
        <v>20</v>
      </c>
      <c r="AP8" s="145">
        <f>AO8/AO9</f>
        <v>0.43478260869565216</v>
      </c>
    </row>
    <row r="9" spans="2:42" ht="15" customHeight="1" thickBot="1" x14ac:dyDescent="0.3">
      <c r="B9" s="53"/>
      <c r="E9" s="2" t="s">
        <v>12</v>
      </c>
      <c r="F9" s="7">
        <v>22</v>
      </c>
      <c r="G9" s="54">
        <v>84.858341040000013</v>
      </c>
      <c r="H9" s="5">
        <v>420</v>
      </c>
      <c r="I9" s="5">
        <v>118.8</v>
      </c>
      <c r="J9" s="5">
        <v>36</v>
      </c>
      <c r="K9" s="8">
        <v>191.96</v>
      </c>
      <c r="L9" s="8">
        <v>8.4700000000000006</v>
      </c>
      <c r="M9" s="9">
        <f t="shared" si="0"/>
        <v>18.708784408322106</v>
      </c>
      <c r="N9" s="9">
        <v>18.5</v>
      </c>
      <c r="O9" s="8">
        <v>308.2</v>
      </c>
      <c r="P9" s="4"/>
      <c r="Q9" s="4"/>
      <c r="R9" s="4"/>
      <c r="S9" s="4"/>
      <c r="T9" s="4"/>
      <c r="U9" s="4"/>
      <c r="V9" s="4"/>
      <c r="W9" s="4"/>
      <c r="X9" s="4"/>
      <c r="Y9" s="4"/>
      <c r="Z9" s="4"/>
      <c r="AA9" s="4"/>
      <c r="AB9" s="4"/>
      <c r="AC9" s="4"/>
      <c r="AD9" s="4"/>
      <c r="AE9" s="4"/>
      <c r="AF9" s="4"/>
      <c r="AG9" s="4"/>
      <c r="AH9" s="4"/>
      <c r="AI9" s="6"/>
      <c r="AN9" s="142"/>
      <c r="AO9" s="89">
        <f>AO6+AO7+AO8</f>
        <v>46</v>
      </c>
      <c r="AP9" s="140"/>
    </row>
    <row r="10" spans="2:42" ht="15" customHeight="1" x14ac:dyDescent="0.25">
      <c r="B10" s="53"/>
      <c r="E10" s="2" t="s">
        <v>13</v>
      </c>
      <c r="F10" s="7">
        <v>22</v>
      </c>
      <c r="G10" s="54">
        <v>103.20923448000003</v>
      </c>
      <c r="H10" s="5">
        <v>420</v>
      </c>
      <c r="I10" s="5">
        <v>118.8</v>
      </c>
      <c r="J10" s="5">
        <v>36</v>
      </c>
      <c r="K10" s="8">
        <v>191.96</v>
      </c>
      <c r="L10" s="8">
        <v>8.4700000000000006</v>
      </c>
      <c r="M10" s="9">
        <f t="shared" si="0"/>
        <v>18.617226790001496</v>
      </c>
      <c r="N10" s="9">
        <v>18.5</v>
      </c>
      <c r="O10" s="8">
        <v>287.5</v>
      </c>
      <c r="P10" s="4"/>
      <c r="Q10" s="4"/>
      <c r="R10" s="4"/>
      <c r="S10" s="4"/>
      <c r="T10" s="4"/>
      <c r="U10" s="4"/>
      <c r="V10" s="4"/>
      <c r="W10" s="4"/>
      <c r="X10" s="4"/>
      <c r="Y10" s="4"/>
      <c r="Z10" s="4"/>
      <c r="AA10" s="4"/>
      <c r="AB10" s="4"/>
      <c r="AC10" s="4"/>
      <c r="AD10" s="4"/>
      <c r="AE10" s="4"/>
      <c r="AF10" s="4"/>
      <c r="AG10" s="4"/>
      <c r="AH10" s="4"/>
      <c r="AI10" s="6"/>
    </row>
    <row r="11" spans="2:42" x14ac:dyDescent="0.25">
      <c r="B11" s="53"/>
      <c r="E11" s="2" t="s">
        <v>1</v>
      </c>
      <c r="F11" s="7">
        <v>22</v>
      </c>
      <c r="G11" s="54">
        <v>88.300951200000014</v>
      </c>
      <c r="H11" s="5">
        <v>420</v>
      </c>
      <c r="I11" s="5">
        <v>118.8</v>
      </c>
      <c r="J11" s="5">
        <v>36</v>
      </c>
      <c r="K11" s="8">
        <v>191.96</v>
      </c>
      <c r="L11" s="8">
        <v>8.4700000000000006</v>
      </c>
      <c r="M11" s="9">
        <f t="shared" si="0"/>
        <v>18.691608286184703</v>
      </c>
      <c r="N11" s="9">
        <v>18.5</v>
      </c>
      <c r="O11" s="8">
        <v>299.2</v>
      </c>
      <c r="P11" s="8"/>
      <c r="Q11" s="8"/>
      <c r="R11" s="4"/>
      <c r="S11" s="4"/>
      <c r="T11" s="4"/>
      <c r="U11" s="4"/>
      <c r="V11" s="4"/>
      <c r="W11" s="4"/>
      <c r="X11" s="4"/>
      <c r="Y11" s="4"/>
      <c r="Z11" s="4"/>
      <c r="AA11" s="4"/>
      <c r="AB11" s="4"/>
      <c r="AC11" s="4"/>
      <c r="AD11" s="4"/>
      <c r="AE11" s="4"/>
      <c r="AF11" s="4"/>
      <c r="AG11" s="4"/>
      <c r="AH11" s="4"/>
      <c r="AI11" s="6"/>
    </row>
    <row r="12" spans="2:42" x14ac:dyDescent="0.25">
      <c r="B12" s="53"/>
      <c r="E12" s="2" t="s">
        <v>19</v>
      </c>
      <c r="F12" s="7">
        <v>22</v>
      </c>
      <c r="G12" s="54">
        <v>53.896661280000004</v>
      </c>
      <c r="H12" s="5">
        <v>420</v>
      </c>
      <c r="I12" s="5">
        <v>118.8</v>
      </c>
      <c r="J12" s="5">
        <v>36</v>
      </c>
      <c r="K12" s="8">
        <v>191.96</v>
      </c>
      <c r="L12" s="8">
        <v>8.4700000000000006</v>
      </c>
      <c r="M12" s="9">
        <f t="shared" si="0"/>
        <v>18.863260683131269</v>
      </c>
      <c r="N12" s="9">
        <v>19</v>
      </c>
      <c r="O12" s="8">
        <v>281.39999999999998</v>
      </c>
      <c r="P12" s="8"/>
      <c r="Q12" s="8"/>
      <c r="R12" s="4"/>
      <c r="S12" s="4"/>
      <c r="T12" s="4"/>
      <c r="U12" s="4"/>
      <c r="V12" s="4"/>
      <c r="W12" s="4"/>
      <c r="X12" s="4"/>
      <c r="Y12" s="4"/>
      <c r="Z12" s="4"/>
      <c r="AA12" s="4"/>
      <c r="AB12" s="4"/>
      <c r="AC12" s="4"/>
      <c r="AD12" s="4"/>
      <c r="AE12" s="4"/>
      <c r="AF12" s="4"/>
      <c r="AG12" s="4"/>
      <c r="AH12" s="4"/>
      <c r="AI12" s="6"/>
    </row>
    <row r="13" spans="2:42" x14ac:dyDescent="0.25">
      <c r="B13" s="53"/>
      <c r="E13" s="2" t="s">
        <v>20</v>
      </c>
      <c r="F13" s="7">
        <v>22</v>
      </c>
      <c r="G13" s="54">
        <v>72.658341360000009</v>
      </c>
      <c r="H13" s="5">
        <v>420</v>
      </c>
      <c r="I13" s="5">
        <v>118.8</v>
      </c>
      <c r="J13" s="5">
        <v>36</v>
      </c>
      <c r="K13" s="8">
        <v>191.96</v>
      </c>
      <c r="L13" s="8">
        <v>8.4700000000000006</v>
      </c>
      <c r="M13" s="9">
        <f t="shared" si="0"/>
        <v>18.769653538093099</v>
      </c>
      <c r="N13" s="9">
        <v>19</v>
      </c>
      <c r="O13" s="8">
        <v>284.7</v>
      </c>
      <c r="P13" s="8"/>
      <c r="Q13" s="8"/>
      <c r="R13" s="4"/>
      <c r="S13" s="4"/>
      <c r="T13" s="4"/>
      <c r="U13" s="4"/>
      <c r="V13" s="4"/>
      <c r="W13" s="4"/>
      <c r="X13" s="4"/>
      <c r="Y13" s="4"/>
      <c r="Z13" s="4"/>
      <c r="AA13" s="4"/>
      <c r="AB13" s="4"/>
      <c r="AC13" s="4"/>
      <c r="AD13" s="4"/>
      <c r="AE13" s="4"/>
      <c r="AF13" s="4"/>
      <c r="AG13" s="4"/>
      <c r="AH13" s="4"/>
      <c r="AI13" s="6"/>
    </row>
    <row r="14" spans="2:42" x14ac:dyDescent="0.25">
      <c r="B14" s="53"/>
      <c r="E14" s="2" t="s">
        <v>21</v>
      </c>
      <c r="F14" s="7">
        <v>22</v>
      </c>
      <c r="G14" s="54">
        <v>40.137126480000006</v>
      </c>
      <c r="H14" s="5">
        <v>420</v>
      </c>
      <c r="I14" s="5">
        <v>118.8</v>
      </c>
      <c r="J14" s="5">
        <v>36</v>
      </c>
      <c r="K14" s="8">
        <v>191.96</v>
      </c>
      <c r="L14" s="8">
        <v>8.4700000000000006</v>
      </c>
      <c r="M14" s="9">
        <f t="shared" si="0"/>
        <v>18.931910759467147</v>
      </c>
      <c r="N14" s="9">
        <v>19</v>
      </c>
      <c r="O14" s="8">
        <v>261.89999999999998</v>
      </c>
      <c r="P14" s="8"/>
      <c r="Q14" s="8"/>
      <c r="R14" s="4"/>
      <c r="S14" s="4"/>
      <c r="T14" s="4"/>
      <c r="U14" s="4"/>
      <c r="V14" s="4"/>
      <c r="W14" s="4"/>
      <c r="X14" s="4"/>
      <c r="Y14" s="4"/>
      <c r="Z14" s="4"/>
      <c r="AA14" s="4"/>
      <c r="AB14" s="4"/>
      <c r="AC14" s="4"/>
      <c r="AD14" s="4"/>
      <c r="AE14" s="4"/>
      <c r="AF14" s="4"/>
      <c r="AG14" s="4"/>
      <c r="AH14" s="4"/>
      <c r="AI14" s="6"/>
      <c r="AN14" s="82"/>
      <c r="AO14" s="82"/>
      <c r="AP14" s="54"/>
    </row>
    <row r="15" spans="2:42" x14ac:dyDescent="0.25">
      <c r="B15" s="53"/>
      <c r="E15" s="2" t="s">
        <v>22</v>
      </c>
      <c r="F15" s="7">
        <v>22</v>
      </c>
      <c r="G15" s="54">
        <v>37.843264800000007</v>
      </c>
      <c r="H15" s="5">
        <v>420</v>
      </c>
      <c r="I15" s="5">
        <v>118.8</v>
      </c>
      <c r="J15" s="5">
        <v>36</v>
      </c>
      <c r="K15" s="8">
        <v>191.96</v>
      </c>
      <c r="L15" s="8">
        <v>8.4700000000000006</v>
      </c>
      <c r="M15" s="9">
        <f t="shared" si="0"/>
        <v>18.943355461757221</v>
      </c>
      <c r="N15" s="9">
        <v>19</v>
      </c>
      <c r="O15" s="8">
        <v>228.1</v>
      </c>
      <c r="P15" s="8"/>
      <c r="Q15" s="8"/>
      <c r="R15" s="4"/>
      <c r="S15" s="4"/>
      <c r="T15" s="4"/>
      <c r="U15" s="4"/>
      <c r="V15" s="4"/>
      <c r="W15" s="4"/>
      <c r="X15" s="4"/>
      <c r="Y15" s="4"/>
      <c r="Z15" s="4"/>
      <c r="AA15" s="4"/>
      <c r="AB15" s="4"/>
      <c r="AC15" s="4"/>
      <c r="AD15" s="4"/>
      <c r="AE15" s="4"/>
      <c r="AF15" s="4"/>
      <c r="AG15" s="4"/>
      <c r="AH15" s="4"/>
      <c r="AI15" s="6"/>
      <c r="AN15" s="82"/>
      <c r="AO15" s="82"/>
      <c r="AP15" s="54"/>
    </row>
    <row r="16" spans="2:42" x14ac:dyDescent="0.25">
      <c r="B16" s="53"/>
      <c r="E16" s="2" t="s">
        <v>23</v>
      </c>
      <c r="F16" s="7">
        <v>22</v>
      </c>
      <c r="G16" s="54">
        <v>35.549403120000008</v>
      </c>
      <c r="H16" s="5">
        <v>420</v>
      </c>
      <c r="I16" s="5">
        <v>118.8</v>
      </c>
      <c r="J16" s="5">
        <v>36</v>
      </c>
      <c r="K16" s="8">
        <v>191.96</v>
      </c>
      <c r="L16" s="8">
        <v>8.4700000000000006</v>
      </c>
      <c r="M16" s="9">
        <f t="shared" si="0"/>
        <v>18.954800164047299</v>
      </c>
      <c r="N16" s="9">
        <v>19</v>
      </c>
      <c r="O16" s="8">
        <v>255.3</v>
      </c>
      <c r="P16" s="8"/>
      <c r="Q16" s="8"/>
      <c r="R16" s="4"/>
      <c r="S16" s="4"/>
      <c r="T16" s="4"/>
      <c r="U16" s="4"/>
      <c r="V16" s="4"/>
      <c r="W16" s="4"/>
      <c r="X16" s="4"/>
      <c r="Y16" s="4"/>
      <c r="Z16" s="4"/>
      <c r="AA16" s="4"/>
      <c r="AB16" s="4"/>
      <c r="AC16" s="4"/>
      <c r="AD16" s="4"/>
      <c r="AE16" s="4"/>
      <c r="AF16" s="4"/>
      <c r="AG16" s="4"/>
      <c r="AH16" s="4"/>
      <c r="AI16" s="6"/>
      <c r="AN16" s="82"/>
      <c r="AO16" s="82"/>
      <c r="AP16" s="54"/>
    </row>
    <row r="17" spans="5:42" ht="14.15" customHeight="1" x14ac:dyDescent="0.3">
      <c r="E17" s="423" t="s">
        <v>3</v>
      </c>
      <c r="F17" s="424"/>
      <c r="G17" s="424"/>
      <c r="H17" s="424"/>
      <c r="I17" s="424"/>
      <c r="J17" s="424"/>
      <c r="K17" s="424"/>
      <c r="L17" s="424"/>
      <c r="M17" s="424"/>
      <c r="N17" s="425"/>
      <c r="O17" s="11">
        <f>SUM(O5:O16)</f>
        <v>3212.2</v>
      </c>
      <c r="P17" s="28">
        <f>16/24</f>
        <v>0.66666666666666663</v>
      </c>
      <c r="Q17" s="34">
        <f>24/1000</f>
        <v>2.4E-2</v>
      </c>
      <c r="R17" s="8">
        <v>3.59</v>
      </c>
      <c r="S17" s="8">
        <v>12.96</v>
      </c>
      <c r="T17" s="5">
        <f>O17</f>
        <v>3212.2</v>
      </c>
      <c r="U17" s="15">
        <f>P17*Q17*R17*S17*T17</f>
        <v>2391.23363328</v>
      </c>
      <c r="V17" s="5">
        <v>3.94</v>
      </c>
      <c r="W17" s="5">
        <v>12.96</v>
      </c>
      <c r="X17" s="5">
        <f>O17</f>
        <v>3212.2</v>
      </c>
      <c r="Y17" s="16">
        <f>(P17*Q17*V17*W17*X17)</f>
        <v>2624.3622604799998</v>
      </c>
      <c r="Z17" s="8">
        <v>2.13</v>
      </c>
      <c r="AA17" s="8">
        <v>41.904000000000003</v>
      </c>
      <c r="AB17" s="8">
        <f>O17</f>
        <v>3212.2</v>
      </c>
      <c r="AC17" s="17">
        <f>(P17*Q17*Z17*AA17*AB17)</f>
        <v>4587.3053015039995</v>
      </c>
      <c r="AD17" s="96">
        <f>L355</f>
        <v>3696.9556819750437</v>
      </c>
      <c r="AE17" s="18">
        <f>U17+Y17+AC17+AD17</f>
        <v>13299.856877239043</v>
      </c>
      <c r="AF17" s="4">
        <f>AE17*0.1</f>
        <v>1329.9856877239044</v>
      </c>
      <c r="AG17" s="19">
        <f>AE17+AF17</f>
        <v>14629.842564962946</v>
      </c>
      <c r="AH17" s="8">
        <v>3.1</v>
      </c>
      <c r="AI17" s="20">
        <f>ROUND((AG17/AH17),0)</f>
        <v>4719</v>
      </c>
      <c r="AJ17" s="39">
        <v>22</v>
      </c>
      <c r="AN17" s="53"/>
      <c r="AO17" s="54"/>
      <c r="AP17" s="54"/>
    </row>
    <row r="18" spans="5:42" ht="15.5" x14ac:dyDescent="0.4">
      <c r="E18" s="2" t="s">
        <v>0</v>
      </c>
      <c r="F18" s="3"/>
      <c r="G18" s="5"/>
      <c r="H18" s="4"/>
      <c r="I18" s="4"/>
      <c r="J18" s="4"/>
      <c r="K18" s="4"/>
      <c r="L18" s="4"/>
      <c r="M18" s="3" t="s">
        <v>138</v>
      </c>
      <c r="N18" s="3" t="s">
        <v>137</v>
      </c>
      <c r="O18" s="8" t="s">
        <v>2</v>
      </c>
      <c r="P18" s="5"/>
      <c r="Q18" s="5"/>
      <c r="R18" s="4"/>
      <c r="S18" s="4"/>
      <c r="T18" s="4"/>
      <c r="U18" s="4"/>
      <c r="V18" s="4"/>
      <c r="W18" s="4"/>
      <c r="X18" s="4"/>
      <c r="Y18" s="4"/>
      <c r="Z18" s="4"/>
      <c r="AA18" s="4"/>
      <c r="AB18" s="4"/>
      <c r="AC18" s="4"/>
      <c r="AD18" s="4"/>
      <c r="AE18" s="4"/>
      <c r="AF18" s="4"/>
      <c r="AG18" s="4"/>
      <c r="AH18" s="4"/>
      <c r="AI18" s="6"/>
    </row>
    <row r="19" spans="5:42" x14ac:dyDescent="0.25">
      <c r="E19" s="2" t="s">
        <v>15</v>
      </c>
      <c r="F19" s="7">
        <v>23</v>
      </c>
      <c r="G19" s="54">
        <v>36.694516320000005</v>
      </c>
      <c r="H19" s="5">
        <v>420</v>
      </c>
      <c r="I19" s="5">
        <v>118.8</v>
      </c>
      <c r="J19" s="5">
        <v>36</v>
      </c>
      <c r="K19" s="8">
        <v>191.96</v>
      </c>
      <c r="L19" s="8">
        <v>8.4700000000000006</v>
      </c>
      <c r="M19" s="9">
        <f>(F19-((G19+H19+I19+J19)/(K19+L19)))</f>
        <v>19.949086881604551</v>
      </c>
      <c r="N19" s="9">
        <v>20</v>
      </c>
      <c r="O19" s="8">
        <v>198.1</v>
      </c>
      <c r="P19" s="5"/>
      <c r="Q19" s="5"/>
      <c r="R19" s="4"/>
      <c r="S19" s="4"/>
      <c r="T19" s="4"/>
      <c r="U19" s="4"/>
      <c r="V19" s="4"/>
      <c r="W19" s="4"/>
      <c r="X19" s="4"/>
      <c r="Y19" s="4"/>
      <c r="Z19" s="4"/>
      <c r="AA19" s="4"/>
      <c r="AB19" s="4"/>
      <c r="AC19" s="4"/>
      <c r="AD19" s="4"/>
      <c r="AE19" s="4"/>
      <c r="AF19" s="4"/>
      <c r="AG19" s="4"/>
      <c r="AH19" s="4"/>
      <c r="AI19" s="6"/>
    </row>
    <row r="20" spans="5:42" x14ac:dyDescent="0.25">
      <c r="E20" s="2" t="s">
        <v>16</v>
      </c>
      <c r="F20" s="7">
        <v>23</v>
      </c>
      <c r="G20" s="54">
        <v>38.988378000000012</v>
      </c>
      <c r="H20" s="5">
        <v>420</v>
      </c>
      <c r="I20" s="5">
        <v>118.8</v>
      </c>
      <c r="J20" s="5">
        <v>36</v>
      </c>
      <c r="K20" s="8">
        <v>191.96</v>
      </c>
      <c r="L20" s="8">
        <v>8.4700000000000006</v>
      </c>
      <c r="M20" s="9">
        <f t="shared" ref="M20:M30" si="1">(F20-((G20+H20+I20+J20)/(K20+L20)))</f>
        <v>19.937642179314473</v>
      </c>
      <c r="N20" s="9">
        <v>20</v>
      </c>
      <c r="O20" s="8">
        <v>206.8</v>
      </c>
      <c r="P20" s="5"/>
      <c r="Q20" s="5"/>
      <c r="R20" s="4"/>
      <c r="S20" s="4"/>
      <c r="T20" s="4"/>
      <c r="U20" s="4"/>
      <c r="V20" s="4"/>
      <c r="W20" s="4"/>
      <c r="X20" s="4"/>
      <c r="Y20" s="4"/>
      <c r="Z20" s="4"/>
      <c r="AA20" s="4"/>
      <c r="AB20" s="4"/>
      <c r="AC20" s="4"/>
      <c r="AD20" s="4"/>
      <c r="AE20" s="4"/>
      <c r="AF20" s="4"/>
      <c r="AG20" s="4"/>
      <c r="AH20" s="4"/>
      <c r="AI20" s="6"/>
    </row>
    <row r="21" spans="5:42" x14ac:dyDescent="0.25">
      <c r="E21" s="2" t="s">
        <v>17</v>
      </c>
      <c r="F21" s="7">
        <v>23</v>
      </c>
      <c r="G21" s="54">
        <v>42.427352880000001</v>
      </c>
      <c r="H21" s="5">
        <v>420</v>
      </c>
      <c r="I21" s="5">
        <v>118.8</v>
      </c>
      <c r="J21" s="5">
        <v>36</v>
      </c>
      <c r="K21" s="8">
        <v>191.96</v>
      </c>
      <c r="L21" s="8">
        <v>8.4700000000000006</v>
      </c>
      <c r="M21" s="9">
        <f t="shared" si="1"/>
        <v>19.92048419458165</v>
      </c>
      <c r="N21" s="9">
        <v>20</v>
      </c>
      <c r="O21" s="8">
        <v>233.4</v>
      </c>
      <c r="P21" s="5"/>
      <c r="Q21" s="5"/>
      <c r="R21" s="4"/>
      <c r="S21" s="4"/>
      <c r="T21" s="4"/>
      <c r="U21" s="4"/>
      <c r="V21" s="4"/>
      <c r="W21" s="4"/>
      <c r="X21" s="4"/>
      <c r="Y21" s="4"/>
      <c r="Z21" s="4"/>
      <c r="AA21" s="4"/>
      <c r="AB21" s="4"/>
      <c r="AC21" s="4"/>
      <c r="AD21" s="4"/>
      <c r="AE21" s="4"/>
      <c r="AF21" s="4"/>
      <c r="AG21" s="4"/>
      <c r="AH21" s="4"/>
      <c r="AI21" s="6"/>
    </row>
    <row r="22" spans="5:42" x14ac:dyDescent="0.25">
      <c r="E22" s="2" t="s">
        <v>18</v>
      </c>
      <c r="F22" s="7">
        <v>23</v>
      </c>
      <c r="G22" s="54">
        <v>50.457686400000007</v>
      </c>
      <c r="H22" s="5">
        <v>420</v>
      </c>
      <c r="I22" s="5">
        <v>118.8</v>
      </c>
      <c r="J22" s="5">
        <v>36</v>
      </c>
      <c r="K22" s="8">
        <v>191.96</v>
      </c>
      <c r="L22" s="8">
        <v>8.4700000000000006</v>
      </c>
      <c r="M22" s="9">
        <f t="shared" si="1"/>
        <v>19.880418667864092</v>
      </c>
      <c r="N22" s="9">
        <v>20</v>
      </c>
      <c r="O22" s="8">
        <v>247.6</v>
      </c>
      <c r="P22" s="5"/>
      <c r="Q22" s="5"/>
      <c r="R22" s="4"/>
      <c r="S22" s="4"/>
      <c r="T22" s="4"/>
      <c r="U22" s="4"/>
      <c r="V22" s="4"/>
      <c r="W22" s="4"/>
      <c r="X22" s="4"/>
      <c r="Y22" s="4"/>
      <c r="Z22" s="4"/>
      <c r="AA22" s="4"/>
      <c r="AB22" s="4"/>
      <c r="AC22" s="4"/>
      <c r="AD22" s="4"/>
      <c r="AE22" s="4"/>
      <c r="AF22" s="4"/>
      <c r="AG22" s="4"/>
      <c r="AH22" s="4"/>
      <c r="AI22" s="6"/>
    </row>
    <row r="23" spans="5:42" x14ac:dyDescent="0.25">
      <c r="E23" s="2" t="s">
        <v>12</v>
      </c>
      <c r="F23" s="7">
        <v>23</v>
      </c>
      <c r="G23" s="54">
        <v>84.858341040000013</v>
      </c>
      <c r="H23" s="5">
        <v>420</v>
      </c>
      <c r="I23" s="5">
        <v>118.8</v>
      </c>
      <c r="J23" s="5">
        <v>36</v>
      </c>
      <c r="K23" s="8">
        <v>191.96</v>
      </c>
      <c r="L23" s="8">
        <v>8.4700000000000006</v>
      </c>
      <c r="M23" s="9">
        <f t="shared" si="1"/>
        <v>19.708784408322106</v>
      </c>
      <c r="N23" s="9">
        <v>19.5</v>
      </c>
      <c r="O23" s="8">
        <v>277.2</v>
      </c>
      <c r="P23" s="5"/>
      <c r="Q23" s="5"/>
      <c r="R23" s="4"/>
      <c r="S23" s="4"/>
      <c r="T23" s="4"/>
      <c r="U23" s="4"/>
      <c r="V23" s="4"/>
      <c r="W23" s="4"/>
      <c r="X23" s="4"/>
      <c r="Y23" s="4"/>
      <c r="Z23" s="4"/>
      <c r="AA23" s="4"/>
      <c r="AB23" s="4"/>
      <c r="AC23" s="4"/>
      <c r="AD23" s="4"/>
      <c r="AE23" s="4"/>
      <c r="AF23" s="4"/>
      <c r="AG23" s="4"/>
      <c r="AH23" s="4"/>
      <c r="AI23" s="6"/>
    </row>
    <row r="24" spans="5:42" x14ac:dyDescent="0.25">
      <c r="E24" s="2" t="s">
        <v>13</v>
      </c>
      <c r="F24" s="7">
        <v>23</v>
      </c>
      <c r="G24" s="54">
        <v>103.20923448000003</v>
      </c>
      <c r="H24" s="5">
        <v>420</v>
      </c>
      <c r="I24" s="5">
        <v>118.8</v>
      </c>
      <c r="J24" s="5">
        <v>36</v>
      </c>
      <c r="K24" s="8">
        <v>191.96</v>
      </c>
      <c r="L24" s="8">
        <v>8.4700000000000006</v>
      </c>
      <c r="M24" s="9">
        <f t="shared" si="1"/>
        <v>19.617226790001496</v>
      </c>
      <c r="N24" s="9">
        <v>19.5</v>
      </c>
      <c r="O24" s="8">
        <v>257.5</v>
      </c>
      <c r="P24" s="5"/>
      <c r="Q24" s="5"/>
      <c r="R24" s="4"/>
      <c r="S24" s="4"/>
      <c r="T24" s="4"/>
      <c r="U24" s="4"/>
      <c r="V24" s="4"/>
      <c r="W24" s="4"/>
      <c r="X24" s="4"/>
      <c r="Y24" s="4"/>
      <c r="Z24" s="4"/>
      <c r="AA24" s="4"/>
      <c r="AB24" s="4"/>
      <c r="AC24" s="4"/>
      <c r="AD24" s="4"/>
      <c r="AE24" s="4"/>
      <c r="AF24" s="4"/>
      <c r="AG24" s="4"/>
      <c r="AH24" s="4"/>
      <c r="AI24" s="6"/>
    </row>
    <row r="25" spans="5:42" x14ac:dyDescent="0.25">
      <c r="E25" s="2" t="s">
        <v>1</v>
      </c>
      <c r="F25" s="7">
        <v>23</v>
      </c>
      <c r="G25" s="54">
        <v>88.300951200000014</v>
      </c>
      <c r="H25" s="5">
        <v>420</v>
      </c>
      <c r="I25" s="5">
        <v>118.8</v>
      </c>
      <c r="J25" s="5">
        <v>36</v>
      </c>
      <c r="K25" s="8">
        <v>191.96</v>
      </c>
      <c r="L25" s="8">
        <v>8.4700000000000006</v>
      </c>
      <c r="M25" s="9">
        <f t="shared" si="1"/>
        <v>19.691608286184703</v>
      </c>
      <c r="N25" s="9">
        <v>19.5</v>
      </c>
      <c r="O25" s="8">
        <v>268.2</v>
      </c>
      <c r="P25" s="29"/>
      <c r="Q25" s="29"/>
      <c r="R25" s="4"/>
      <c r="S25" s="4"/>
      <c r="T25" s="4"/>
      <c r="U25" s="4"/>
      <c r="V25" s="4"/>
      <c r="W25" s="4"/>
      <c r="X25" s="4"/>
      <c r="Y25" s="4"/>
      <c r="Z25" s="4"/>
      <c r="AA25" s="4"/>
      <c r="AB25" s="4"/>
      <c r="AC25" s="4"/>
      <c r="AD25" s="4"/>
      <c r="AE25" s="4"/>
      <c r="AF25" s="4"/>
      <c r="AG25" s="4"/>
      <c r="AH25" s="4"/>
      <c r="AI25" s="6"/>
    </row>
    <row r="26" spans="5:42" x14ac:dyDescent="0.25">
      <c r="E26" s="2" t="s">
        <v>19</v>
      </c>
      <c r="F26" s="7">
        <v>23</v>
      </c>
      <c r="G26" s="54">
        <v>53.896661280000004</v>
      </c>
      <c r="H26" s="5">
        <v>420</v>
      </c>
      <c r="I26" s="5">
        <v>118.8</v>
      </c>
      <c r="J26" s="5">
        <v>36</v>
      </c>
      <c r="K26" s="8">
        <v>191.96</v>
      </c>
      <c r="L26" s="8">
        <v>8.4700000000000006</v>
      </c>
      <c r="M26" s="9">
        <f t="shared" si="1"/>
        <v>19.863260683131269</v>
      </c>
      <c r="N26" s="9">
        <v>20</v>
      </c>
      <c r="O26" s="8">
        <v>250.4</v>
      </c>
      <c r="P26" s="29"/>
      <c r="Q26" s="29"/>
      <c r="R26" s="4"/>
      <c r="S26" s="4"/>
      <c r="T26" s="4"/>
      <c r="U26" s="4"/>
      <c r="V26" s="4"/>
      <c r="W26" s="4"/>
      <c r="X26" s="4"/>
      <c r="Y26" s="4"/>
      <c r="Z26" s="4"/>
      <c r="AA26" s="4"/>
      <c r="AB26" s="4"/>
      <c r="AC26" s="4"/>
      <c r="AD26" s="4"/>
      <c r="AE26" s="4"/>
      <c r="AF26" s="4"/>
      <c r="AG26" s="4"/>
      <c r="AH26" s="4"/>
      <c r="AI26" s="6"/>
    </row>
    <row r="27" spans="5:42" x14ac:dyDescent="0.25">
      <c r="E27" s="2" t="s">
        <v>20</v>
      </c>
      <c r="F27" s="7">
        <v>23</v>
      </c>
      <c r="G27" s="54">
        <v>72.658341360000009</v>
      </c>
      <c r="H27" s="5">
        <v>420</v>
      </c>
      <c r="I27" s="5">
        <v>118.8</v>
      </c>
      <c r="J27" s="5">
        <v>36</v>
      </c>
      <c r="K27" s="8">
        <v>191.96</v>
      </c>
      <c r="L27" s="8">
        <v>8.4700000000000006</v>
      </c>
      <c r="M27" s="9">
        <f t="shared" si="1"/>
        <v>19.769653538093099</v>
      </c>
      <c r="N27" s="9">
        <v>20</v>
      </c>
      <c r="O27" s="8">
        <v>254.7</v>
      </c>
      <c r="P27" s="29"/>
      <c r="Q27" s="29"/>
      <c r="R27" s="4"/>
      <c r="S27" s="4"/>
      <c r="T27" s="4"/>
      <c r="U27" s="4"/>
      <c r="V27" s="4"/>
      <c r="W27" s="4"/>
      <c r="X27" s="4"/>
      <c r="Y27" s="4"/>
      <c r="Z27" s="4"/>
      <c r="AA27" s="4"/>
      <c r="AB27" s="4"/>
      <c r="AC27" s="4"/>
      <c r="AD27" s="4"/>
      <c r="AE27" s="4"/>
      <c r="AF27" s="4"/>
      <c r="AG27" s="4"/>
      <c r="AH27" s="4"/>
      <c r="AI27" s="6"/>
    </row>
    <row r="28" spans="5:42" x14ac:dyDescent="0.25">
      <c r="E28" s="2" t="s">
        <v>21</v>
      </c>
      <c r="F28" s="7">
        <v>23</v>
      </c>
      <c r="G28" s="54">
        <v>40.137126480000006</v>
      </c>
      <c r="H28" s="5">
        <v>420</v>
      </c>
      <c r="I28" s="5">
        <v>118.8</v>
      </c>
      <c r="J28" s="5">
        <v>36</v>
      </c>
      <c r="K28" s="8">
        <v>191.96</v>
      </c>
      <c r="L28" s="8">
        <v>8.4700000000000006</v>
      </c>
      <c r="M28" s="9">
        <f t="shared" si="1"/>
        <v>19.931910759467147</v>
      </c>
      <c r="N28" s="9">
        <v>20</v>
      </c>
      <c r="O28" s="8">
        <v>230.9</v>
      </c>
      <c r="P28" s="29"/>
      <c r="Q28" s="29"/>
      <c r="R28" s="4"/>
      <c r="S28" s="4"/>
      <c r="T28" s="4"/>
      <c r="U28" s="4"/>
      <c r="V28" s="4"/>
      <c r="W28" s="4"/>
      <c r="X28" s="4"/>
      <c r="Y28" s="4"/>
      <c r="Z28" s="4"/>
      <c r="AA28" s="4"/>
      <c r="AB28" s="4"/>
      <c r="AC28" s="4"/>
      <c r="AD28" s="4"/>
      <c r="AE28" s="4"/>
      <c r="AF28" s="4"/>
      <c r="AG28" s="4"/>
      <c r="AH28" s="4"/>
      <c r="AI28" s="6"/>
    </row>
    <row r="29" spans="5:42" x14ac:dyDescent="0.25">
      <c r="E29" s="2" t="s">
        <v>22</v>
      </c>
      <c r="F29" s="7">
        <v>23</v>
      </c>
      <c r="G29" s="54">
        <v>37.843264800000007</v>
      </c>
      <c r="H29" s="5">
        <v>420</v>
      </c>
      <c r="I29" s="5">
        <v>118.8</v>
      </c>
      <c r="J29" s="5">
        <v>36</v>
      </c>
      <c r="K29" s="8">
        <v>191.96</v>
      </c>
      <c r="L29" s="8">
        <v>8.4700000000000006</v>
      </c>
      <c r="M29" s="9">
        <f t="shared" si="1"/>
        <v>19.943355461757221</v>
      </c>
      <c r="N29" s="9">
        <v>20</v>
      </c>
      <c r="O29" s="8">
        <v>198.1</v>
      </c>
      <c r="P29" s="29"/>
      <c r="Q29" s="29"/>
      <c r="R29" s="4"/>
      <c r="S29" s="4"/>
      <c r="T29" s="4"/>
      <c r="U29" s="4"/>
      <c r="V29" s="4"/>
      <c r="W29" s="4"/>
      <c r="X29" s="4"/>
      <c r="Y29" s="4"/>
      <c r="Z29" s="4"/>
      <c r="AA29" s="4"/>
      <c r="AB29" s="4"/>
      <c r="AC29" s="4"/>
      <c r="AD29" s="4"/>
      <c r="AE29" s="4"/>
      <c r="AF29" s="4"/>
      <c r="AG29" s="4"/>
      <c r="AH29" s="4"/>
      <c r="AI29" s="6"/>
    </row>
    <row r="30" spans="5:42" x14ac:dyDescent="0.25">
      <c r="E30" s="2" t="s">
        <v>23</v>
      </c>
      <c r="F30" s="7">
        <v>23</v>
      </c>
      <c r="G30" s="54">
        <v>35.549403120000008</v>
      </c>
      <c r="H30" s="5">
        <v>420</v>
      </c>
      <c r="I30" s="5">
        <v>118.8</v>
      </c>
      <c r="J30" s="5">
        <v>36</v>
      </c>
      <c r="K30" s="8">
        <v>191.96</v>
      </c>
      <c r="L30" s="8">
        <v>8.4700000000000006</v>
      </c>
      <c r="M30" s="9">
        <f t="shared" si="1"/>
        <v>19.954800164047299</v>
      </c>
      <c r="N30" s="9">
        <v>20</v>
      </c>
      <c r="O30" s="8">
        <v>224.3</v>
      </c>
      <c r="P30" s="29"/>
      <c r="Q30" s="29"/>
      <c r="R30" s="4"/>
      <c r="S30" s="4"/>
      <c r="T30" s="4"/>
      <c r="U30" s="4"/>
      <c r="V30" s="4"/>
      <c r="W30" s="4"/>
      <c r="X30" s="4"/>
      <c r="Y30" s="4"/>
      <c r="Z30" s="4"/>
      <c r="AA30" s="4"/>
      <c r="AB30" s="4"/>
      <c r="AC30" s="4"/>
      <c r="AD30" s="4"/>
      <c r="AE30" s="4"/>
      <c r="AF30" s="4"/>
      <c r="AG30" s="4"/>
      <c r="AH30" s="4"/>
      <c r="AI30" s="6"/>
    </row>
    <row r="31" spans="5:42" x14ac:dyDescent="0.3">
      <c r="E31" s="423" t="s">
        <v>3</v>
      </c>
      <c r="F31" s="424"/>
      <c r="G31" s="424"/>
      <c r="H31" s="424"/>
      <c r="I31" s="424"/>
      <c r="J31" s="424"/>
      <c r="K31" s="424"/>
      <c r="L31" s="424"/>
      <c r="M31" s="424"/>
      <c r="N31" s="425"/>
      <c r="O31" s="11">
        <f>SUM(O19:O30)</f>
        <v>2847.2000000000003</v>
      </c>
      <c r="P31" s="28">
        <f>16/24</f>
        <v>0.66666666666666663</v>
      </c>
      <c r="Q31" s="28">
        <f>24/1000</f>
        <v>2.4E-2</v>
      </c>
      <c r="R31" s="8">
        <v>3.59</v>
      </c>
      <c r="S31" s="8">
        <v>12.96</v>
      </c>
      <c r="T31" s="5">
        <f>O31</f>
        <v>2847.2000000000003</v>
      </c>
      <c r="U31" s="15">
        <f>P31*Q31*R31*S31*T31</f>
        <v>2119.5194572800001</v>
      </c>
      <c r="V31" s="5">
        <v>3.94</v>
      </c>
      <c r="W31" s="5">
        <v>12.96</v>
      </c>
      <c r="X31" s="5">
        <f>O31</f>
        <v>2847.2000000000003</v>
      </c>
      <c r="Y31" s="16">
        <f>(P31*Q31*V31*W31*X31)</f>
        <v>2326.1578444800002</v>
      </c>
      <c r="Z31" s="8">
        <v>2.13</v>
      </c>
      <c r="AA31" s="8">
        <v>41.904000000000003</v>
      </c>
      <c r="AB31" s="8">
        <f>O31</f>
        <v>2847.2000000000003</v>
      </c>
      <c r="AC31" s="17">
        <f>(P31*Q31*Z31*AA31*AB31)</f>
        <v>4066.0530647040005</v>
      </c>
      <c r="AD31" s="96">
        <f>L356</f>
        <v>3619.5350606459301</v>
      </c>
      <c r="AE31" s="18">
        <f>U31+Y31+AC31+AD31</f>
        <v>12131.265427109933</v>
      </c>
      <c r="AF31" s="4">
        <f>AE31*0.1</f>
        <v>1213.1265427109934</v>
      </c>
      <c r="AG31" s="19">
        <f>AE31+AF31</f>
        <v>13344.391969820927</v>
      </c>
      <c r="AH31" s="8">
        <v>3.1</v>
      </c>
      <c r="AI31" s="20">
        <f>ROUND((AG31/AH31),0)</f>
        <v>4305</v>
      </c>
      <c r="AJ31" s="39">
        <v>23</v>
      </c>
    </row>
    <row r="32" spans="5:42" ht="15.5" x14ac:dyDescent="0.4">
      <c r="E32" s="2" t="s">
        <v>0</v>
      </c>
      <c r="F32" s="3"/>
      <c r="G32" s="5"/>
      <c r="H32" s="4"/>
      <c r="I32" s="4"/>
      <c r="J32" s="4"/>
      <c r="K32" s="4"/>
      <c r="L32" s="4"/>
      <c r="M32" s="3" t="s">
        <v>138</v>
      </c>
      <c r="N32" s="3" t="s">
        <v>137</v>
      </c>
      <c r="O32" s="8" t="s">
        <v>2</v>
      </c>
      <c r="P32" s="5"/>
      <c r="Q32" s="5"/>
      <c r="R32" s="4"/>
      <c r="S32" s="4"/>
      <c r="T32" s="4"/>
      <c r="U32" s="4"/>
      <c r="V32" s="4"/>
      <c r="W32" s="4"/>
      <c r="X32" s="4"/>
      <c r="Y32" s="4"/>
      <c r="Z32" s="4"/>
      <c r="AA32" s="4"/>
      <c r="AB32" s="4"/>
      <c r="AC32" s="4"/>
      <c r="AD32" s="4"/>
      <c r="AE32" s="4"/>
      <c r="AF32" s="4"/>
      <c r="AG32" s="4"/>
      <c r="AH32" s="4"/>
      <c r="AI32" s="6"/>
    </row>
    <row r="33" spans="5:42" x14ac:dyDescent="0.25">
      <c r="E33" s="2" t="s">
        <v>15</v>
      </c>
      <c r="F33" s="33">
        <v>24</v>
      </c>
      <c r="G33" s="54">
        <v>36.694516320000005</v>
      </c>
      <c r="H33" s="5">
        <v>420</v>
      </c>
      <c r="I33" s="5">
        <v>118.8</v>
      </c>
      <c r="J33" s="5">
        <v>36</v>
      </c>
      <c r="K33" s="8">
        <v>191.96</v>
      </c>
      <c r="L33" s="8">
        <v>8.4700000000000006</v>
      </c>
      <c r="M33" s="9">
        <f>(F33-((G33+H33+I33+J33)/(K33+L33)))</f>
        <v>20.949086881604551</v>
      </c>
      <c r="N33" s="9">
        <v>21</v>
      </c>
      <c r="O33" s="8">
        <v>167.1</v>
      </c>
      <c r="P33" s="5"/>
      <c r="Q33" s="5"/>
      <c r="R33" s="4"/>
      <c r="S33" s="4"/>
      <c r="T33" s="4"/>
      <c r="U33" s="4"/>
      <c r="V33" s="4"/>
      <c r="W33" s="4"/>
      <c r="X33" s="4"/>
      <c r="Y33" s="4"/>
      <c r="Z33" s="4"/>
      <c r="AA33" s="4"/>
      <c r="AB33" s="4"/>
      <c r="AC33" s="4"/>
      <c r="AD33" s="4"/>
      <c r="AE33" s="4"/>
      <c r="AF33" s="4"/>
      <c r="AG33" s="4"/>
      <c r="AH33" s="4"/>
      <c r="AI33" s="6"/>
    </row>
    <row r="34" spans="5:42" x14ac:dyDescent="0.25">
      <c r="E34" s="2" t="s">
        <v>16</v>
      </c>
      <c r="F34" s="33">
        <v>24</v>
      </c>
      <c r="G34" s="54">
        <v>38.988378000000012</v>
      </c>
      <c r="H34" s="5">
        <v>420</v>
      </c>
      <c r="I34" s="5">
        <v>118.8</v>
      </c>
      <c r="J34" s="5">
        <v>36</v>
      </c>
      <c r="K34" s="8">
        <v>191.96</v>
      </c>
      <c r="L34" s="8">
        <v>8.4700000000000006</v>
      </c>
      <c r="M34" s="9">
        <f t="shared" ref="M34:M44" si="2">(F34-((G34+H34+I34+J34)/(K34+L34)))</f>
        <v>20.937642179314473</v>
      </c>
      <c r="N34" s="9">
        <v>21</v>
      </c>
      <c r="O34" s="8">
        <v>178.8</v>
      </c>
      <c r="P34" s="5"/>
      <c r="Q34" s="5"/>
      <c r="R34" s="4"/>
      <c r="S34" s="4"/>
      <c r="T34" s="4"/>
      <c r="U34" s="4"/>
      <c r="V34" s="4"/>
      <c r="W34" s="4"/>
      <c r="X34" s="4"/>
      <c r="Y34" s="4"/>
      <c r="Z34" s="4"/>
      <c r="AA34" s="4"/>
      <c r="AB34" s="4"/>
      <c r="AC34" s="4"/>
      <c r="AD34" s="4"/>
      <c r="AE34" s="4"/>
      <c r="AF34" s="4"/>
      <c r="AG34" s="4"/>
      <c r="AH34" s="4"/>
      <c r="AI34" s="6"/>
    </row>
    <row r="35" spans="5:42" x14ac:dyDescent="0.25">
      <c r="E35" s="2" t="s">
        <v>17</v>
      </c>
      <c r="F35" s="33">
        <v>24</v>
      </c>
      <c r="G35" s="54">
        <v>42.427352880000001</v>
      </c>
      <c r="H35" s="5">
        <v>420</v>
      </c>
      <c r="I35" s="5">
        <v>118.8</v>
      </c>
      <c r="J35" s="5">
        <v>36</v>
      </c>
      <c r="K35" s="8">
        <v>191.96</v>
      </c>
      <c r="L35" s="8">
        <v>8.4700000000000006</v>
      </c>
      <c r="M35" s="9">
        <f t="shared" si="2"/>
        <v>20.92048419458165</v>
      </c>
      <c r="N35" s="9">
        <v>21</v>
      </c>
      <c r="O35" s="8">
        <v>202.4</v>
      </c>
      <c r="P35" s="5"/>
      <c r="Q35" s="5"/>
      <c r="R35" s="4"/>
      <c r="S35" s="4"/>
      <c r="T35" s="4"/>
      <c r="U35" s="4"/>
      <c r="V35" s="4"/>
      <c r="W35" s="4"/>
      <c r="X35" s="4"/>
      <c r="Y35" s="4"/>
      <c r="Z35" s="4"/>
      <c r="AA35" s="4"/>
      <c r="AB35" s="4"/>
      <c r="AC35" s="4"/>
      <c r="AD35" s="4"/>
      <c r="AE35" s="4"/>
      <c r="AF35" s="4"/>
      <c r="AG35" s="4"/>
      <c r="AH35" s="4"/>
      <c r="AI35" s="6"/>
    </row>
    <row r="36" spans="5:42" x14ac:dyDescent="0.25">
      <c r="E36" s="2" t="s">
        <v>18</v>
      </c>
      <c r="F36" s="33">
        <v>24</v>
      </c>
      <c r="G36" s="54">
        <v>50.457686400000007</v>
      </c>
      <c r="H36" s="5">
        <v>420</v>
      </c>
      <c r="I36" s="5">
        <v>118.8</v>
      </c>
      <c r="J36" s="5">
        <v>36</v>
      </c>
      <c r="K36" s="8">
        <v>191.96</v>
      </c>
      <c r="L36" s="8">
        <v>8.4700000000000006</v>
      </c>
      <c r="M36" s="9">
        <f t="shared" si="2"/>
        <v>20.880418667864092</v>
      </c>
      <c r="N36" s="9">
        <v>21</v>
      </c>
      <c r="O36" s="8">
        <v>217.6</v>
      </c>
      <c r="P36" s="5"/>
      <c r="Q36" s="5"/>
      <c r="R36" s="4"/>
      <c r="S36" s="4"/>
      <c r="T36" s="4"/>
      <c r="U36" s="4"/>
      <c r="V36" s="4"/>
      <c r="W36" s="4"/>
      <c r="X36" s="4"/>
      <c r="Y36" s="4"/>
      <c r="Z36" s="4"/>
      <c r="AA36" s="4"/>
      <c r="AB36" s="4"/>
      <c r="AC36" s="4"/>
      <c r="AD36" s="4"/>
      <c r="AE36" s="4"/>
      <c r="AF36" s="4"/>
      <c r="AG36" s="4"/>
      <c r="AH36" s="4"/>
      <c r="AI36" s="6"/>
    </row>
    <row r="37" spans="5:42" x14ac:dyDescent="0.25">
      <c r="E37" s="2" t="s">
        <v>12</v>
      </c>
      <c r="F37" s="33">
        <v>24</v>
      </c>
      <c r="G37" s="54">
        <v>84.858341040000013</v>
      </c>
      <c r="H37" s="5">
        <v>420</v>
      </c>
      <c r="I37" s="5">
        <v>118.8</v>
      </c>
      <c r="J37" s="5">
        <v>36</v>
      </c>
      <c r="K37" s="8">
        <v>191.96</v>
      </c>
      <c r="L37" s="8">
        <v>8.4700000000000006</v>
      </c>
      <c r="M37" s="9">
        <f t="shared" si="2"/>
        <v>20.708784408322106</v>
      </c>
      <c r="N37" s="9">
        <v>20.5</v>
      </c>
      <c r="O37" s="8">
        <v>246.2</v>
      </c>
      <c r="P37" s="5"/>
      <c r="Q37" s="5"/>
      <c r="R37" s="4"/>
      <c r="S37" s="4"/>
      <c r="T37" s="4"/>
      <c r="U37" s="4"/>
      <c r="V37" s="4"/>
      <c r="W37" s="4"/>
      <c r="X37" s="4"/>
      <c r="Y37" s="4"/>
      <c r="Z37" s="4"/>
      <c r="AA37" s="4"/>
      <c r="AB37" s="4"/>
      <c r="AC37" s="4"/>
      <c r="AD37" s="4"/>
      <c r="AE37" s="4"/>
      <c r="AF37" s="4"/>
      <c r="AG37" s="4"/>
      <c r="AH37" s="4"/>
      <c r="AI37" s="6"/>
    </row>
    <row r="38" spans="5:42" x14ac:dyDescent="0.25">
      <c r="E38" s="2" t="s">
        <v>13</v>
      </c>
      <c r="F38" s="33">
        <v>24</v>
      </c>
      <c r="G38" s="54">
        <v>103.20923448000003</v>
      </c>
      <c r="H38" s="5">
        <v>420</v>
      </c>
      <c r="I38" s="5">
        <v>118.8</v>
      </c>
      <c r="J38" s="5">
        <v>36</v>
      </c>
      <c r="K38" s="8">
        <v>191.96</v>
      </c>
      <c r="L38" s="8">
        <v>8.4700000000000006</v>
      </c>
      <c r="M38" s="9">
        <f t="shared" si="2"/>
        <v>20.617226790001496</v>
      </c>
      <c r="N38" s="9">
        <v>20.5</v>
      </c>
      <c r="O38" s="8">
        <v>227.5</v>
      </c>
      <c r="P38" s="5"/>
      <c r="Q38" s="5"/>
      <c r="R38" s="4"/>
      <c r="S38" s="4"/>
      <c r="T38" s="4"/>
      <c r="U38" s="4"/>
      <c r="V38" s="4"/>
      <c r="W38" s="4"/>
      <c r="X38" s="4"/>
      <c r="Y38" s="4"/>
      <c r="Z38" s="4"/>
      <c r="AA38" s="4"/>
      <c r="AB38" s="4"/>
      <c r="AC38" s="4"/>
      <c r="AD38" s="4"/>
      <c r="AE38" s="4"/>
      <c r="AF38" s="4"/>
      <c r="AG38" s="4"/>
      <c r="AH38" s="4"/>
      <c r="AI38" s="6"/>
    </row>
    <row r="39" spans="5:42" x14ac:dyDescent="0.25">
      <c r="E39" s="2" t="s">
        <v>24</v>
      </c>
      <c r="F39" s="33">
        <v>24</v>
      </c>
      <c r="G39" s="54">
        <v>88.300951200000014</v>
      </c>
      <c r="H39" s="5">
        <v>420</v>
      </c>
      <c r="I39" s="5">
        <v>118.8</v>
      </c>
      <c r="J39" s="5">
        <v>36</v>
      </c>
      <c r="K39" s="8">
        <v>191.96</v>
      </c>
      <c r="L39" s="8">
        <v>8.4700000000000006</v>
      </c>
      <c r="M39" s="9">
        <f t="shared" si="2"/>
        <v>20.691608286184703</v>
      </c>
      <c r="N39" s="9">
        <v>20.5</v>
      </c>
      <c r="O39" s="8">
        <v>237.2</v>
      </c>
      <c r="P39" s="5"/>
      <c r="Q39" s="5"/>
      <c r="R39" s="4"/>
      <c r="S39" s="4"/>
      <c r="T39" s="4"/>
      <c r="U39" s="4"/>
      <c r="V39" s="4"/>
      <c r="W39" s="4"/>
      <c r="X39" s="4"/>
      <c r="Y39" s="4"/>
      <c r="Z39" s="4"/>
      <c r="AA39" s="4"/>
      <c r="AB39" s="4"/>
      <c r="AC39" s="4"/>
      <c r="AD39" s="4"/>
      <c r="AE39" s="4"/>
      <c r="AF39" s="4"/>
      <c r="AG39" s="4"/>
      <c r="AH39" s="4"/>
      <c r="AI39" s="6"/>
    </row>
    <row r="40" spans="5:42" x14ac:dyDescent="0.25">
      <c r="E40" s="2" t="s">
        <v>19</v>
      </c>
      <c r="F40" s="33">
        <v>24</v>
      </c>
      <c r="G40" s="54">
        <v>53.896661280000004</v>
      </c>
      <c r="H40" s="5">
        <v>420</v>
      </c>
      <c r="I40" s="5">
        <v>118.8</v>
      </c>
      <c r="J40" s="5">
        <v>36</v>
      </c>
      <c r="K40" s="8">
        <v>191.96</v>
      </c>
      <c r="L40" s="8">
        <v>8.4700000000000006</v>
      </c>
      <c r="M40" s="9">
        <f t="shared" si="2"/>
        <v>20.863260683131269</v>
      </c>
      <c r="N40" s="9">
        <v>21</v>
      </c>
      <c r="O40" s="8">
        <v>219.4</v>
      </c>
      <c r="P40" s="5"/>
      <c r="Q40" s="5"/>
      <c r="R40" s="4"/>
      <c r="S40" s="4"/>
      <c r="T40" s="4"/>
      <c r="U40" s="4"/>
      <c r="V40" s="4"/>
      <c r="W40" s="4"/>
      <c r="X40" s="4"/>
      <c r="Y40" s="4"/>
      <c r="Z40" s="4"/>
      <c r="AA40" s="4"/>
      <c r="AB40" s="4"/>
      <c r="AC40" s="4"/>
      <c r="AD40" s="4"/>
      <c r="AE40" s="4"/>
      <c r="AF40" s="4"/>
      <c r="AG40" s="4"/>
      <c r="AH40" s="4"/>
      <c r="AI40" s="6"/>
    </row>
    <row r="41" spans="5:42" x14ac:dyDescent="0.25">
      <c r="E41" s="2" t="s">
        <v>20</v>
      </c>
      <c r="F41" s="33">
        <v>24</v>
      </c>
      <c r="G41" s="54">
        <v>72.658341360000009</v>
      </c>
      <c r="H41" s="5">
        <v>420</v>
      </c>
      <c r="I41" s="5">
        <v>118.8</v>
      </c>
      <c r="J41" s="5">
        <v>36</v>
      </c>
      <c r="K41" s="8">
        <v>191.96</v>
      </c>
      <c r="L41" s="8">
        <v>8.4700000000000006</v>
      </c>
      <c r="M41" s="9">
        <f t="shared" si="2"/>
        <v>20.769653538093099</v>
      </c>
      <c r="N41" s="9">
        <v>21</v>
      </c>
      <c r="O41" s="8">
        <v>224.7</v>
      </c>
      <c r="P41" s="5"/>
      <c r="Q41" s="5"/>
      <c r="R41" s="4"/>
      <c r="S41" s="4"/>
      <c r="T41" s="4"/>
      <c r="U41" s="4"/>
      <c r="V41" s="4"/>
      <c r="W41" s="4"/>
      <c r="X41" s="4"/>
      <c r="Y41" s="4"/>
      <c r="Z41" s="4"/>
      <c r="AA41" s="4"/>
      <c r="AB41" s="4"/>
      <c r="AC41" s="4"/>
      <c r="AD41" s="4"/>
      <c r="AE41" s="4"/>
      <c r="AF41" s="4"/>
      <c r="AG41" s="4"/>
      <c r="AH41" s="4"/>
      <c r="AI41" s="6"/>
    </row>
    <row r="42" spans="5:42" x14ac:dyDescent="0.25">
      <c r="E42" s="2" t="s">
        <v>21</v>
      </c>
      <c r="F42" s="33">
        <v>24</v>
      </c>
      <c r="G42" s="54">
        <v>40.137126480000006</v>
      </c>
      <c r="H42" s="5">
        <v>420</v>
      </c>
      <c r="I42" s="5">
        <v>118.8</v>
      </c>
      <c r="J42" s="5">
        <v>36</v>
      </c>
      <c r="K42" s="8">
        <v>191.96</v>
      </c>
      <c r="L42" s="8">
        <v>8.4700000000000006</v>
      </c>
      <c r="M42" s="9">
        <f t="shared" si="2"/>
        <v>20.931910759467147</v>
      </c>
      <c r="N42" s="9">
        <v>21</v>
      </c>
      <c r="O42" s="8">
        <v>199.9</v>
      </c>
      <c r="P42" s="5"/>
      <c r="Q42" s="5"/>
      <c r="R42" s="4"/>
      <c r="S42" s="4"/>
      <c r="T42" s="4"/>
      <c r="U42" s="4"/>
      <c r="V42" s="4"/>
      <c r="W42" s="4"/>
      <c r="X42" s="4"/>
      <c r="Y42" s="4"/>
      <c r="Z42" s="4"/>
      <c r="AA42" s="4"/>
      <c r="AB42" s="4"/>
      <c r="AC42" s="4"/>
      <c r="AD42" s="4"/>
      <c r="AE42" s="4"/>
      <c r="AF42" s="4"/>
      <c r="AG42" s="4"/>
      <c r="AH42" s="4"/>
      <c r="AI42" s="6"/>
    </row>
    <row r="43" spans="5:42" x14ac:dyDescent="0.25">
      <c r="E43" s="2" t="s">
        <v>22</v>
      </c>
      <c r="F43" s="33">
        <v>24</v>
      </c>
      <c r="G43" s="54">
        <v>37.843264800000007</v>
      </c>
      <c r="H43" s="5">
        <v>420</v>
      </c>
      <c r="I43" s="5">
        <v>118.8</v>
      </c>
      <c r="J43" s="5">
        <v>36</v>
      </c>
      <c r="K43" s="8">
        <v>191.96</v>
      </c>
      <c r="L43" s="8">
        <v>8.4700000000000006</v>
      </c>
      <c r="M43" s="9">
        <f t="shared" si="2"/>
        <v>20.943355461757221</v>
      </c>
      <c r="N43" s="9">
        <v>21</v>
      </c>
      <c r="O43" s="8">
        <v>168.1</v>
      </c>
      <c r="P43" s="5"/>
      <c r="Q43" s="5"/>
      <c r="R43" s="4"/>
      <c r="S43" s="4"/>
      <c r="T43" s="4"/>
      <c r="U43" s="4"/>
      <c r="V43" s="4"/>
      <c r="W43" s="4"/>
      <c r="X43" s="4"/>
      <c r="Y43" s="4"/>
      <c r="Z43" s="4"/>
      <c r="AA43" s="4"/>
      <c r="AB43" s="4"/>
      <c r="AC43" s="4"/>
      <c r="AD43" s="4"/>
      <c r="AE43" s="4"/>
      <c r="AF43" s="4"/>
      <c r="AG43" s="4"/>
      <c r="AH43" s="4"/>
      <c r="AI43" s="6"/>
    </row>
    <row r="44" spans="5:42" ht="13.5" thickBot="1" x14ac:dyDescent="0.3">
      <c r="E44" s="2" t="s">
        <v>23</v>
      </c>
      <c r="F44" s="33">
        <v>24</v>
      </c>
      <c r="G44" s="54">
        <v>35.549403120000008</v>
      </c>
      <c r="H44" s="5">
        <v>420</v>
      </c>
      <c r="I44" s="5">
        <v>118.8</v>
      </c>
      <c r="J44" s="5">
        <v>36</v>
      </c>
      <c r="K44" s="8">
        <v>191.96</v>
      </c>
      <c r="L44" s="8">
        <v>8.4700000000000006</v>
      </c>
      <c r="M44" s="9">
        <f t="shared" si="2"/>
        <v>20.954800164047299</v>
      </c>
      <c r="N44" s="9">
        <v>21</v>
      </c>
      <c r="O44" s="8">
        <v>193.3</v>
      </c>
      <c r="P44" s="5"/>
      <c r="Q44" s="5"/>
      <c r="R44" s="4"/>
      <c r="S44" s="4"/>
      <c r="T44" s="4"/>
      <c r="U44" s="4"/>
      <c r="V44" s="4"/>
      <c r="W44" s="4"/>
      <c r="X44" s="4"/>
      <c r="Y44" s="4"/>
      <c r="Z44" s="4"/>
      <c r="AA44" s="4"/>
      <c r="AB44" s="4"/>
      <c r="AC44" s="4"/>
      <c r="AD44" s="4"/>
      <c r="AE44" s="4"/>
      <c r="AF44" s="4"/>
      <c r="AG44" s="4"/>
      <c r="AH44" s="4"/>
      <c r="AI44" s="6"/>
    </row>
    <row r="45" spans="5:42" x14ac:dyDescent="0.3">
      <c r="E45" s="168" t="s">
        <v>3</v>
      </c>
      <c r="F45" s="398"/>
      <c r="G45" s="398"/>
      <c r="H45" s="398"/>
      <c r="I45" s="398"/>
      <c r="J45" s="398"/>
      <c r="K45" s="398"/>
      <c r="L45" s="398"/>
      <c r="M45" s="398"/>
      <c r="N45" s="399"/>
      <c r="O45" s="11">
        <f>SUM(O33:O44)</f>
        <v>2482.2000000000003</v>
      </c>
      <c r="P45" s="28">
        <f>16/24</f>
        <v>0.66666666666666663</v>
      </c>
      <c r="Q45" s="28">
        <f>24/1000</f>
        <v>2.4E-2</v>
      </c>
      <c r="R45" s="8">
        <v>3.59</v>
      </c>
      <c r="S45" s="8">
        <v>12.96</v>
      </c>
      <c r="T45" s="5">
        <f>O45</f>
        <v>2482.2000000000003</v>
      </c>
      <c r="U45" s="15">
        <f>P45*Q45*R45*S45*T45</f>
        <v>1847.8052812800004</v>
      </c>
      <c r="V45" s="5">
        <v>3.94</v>
      </c>
      <c r="W45" s="5">
        <v>12.96</v>
      </c>
      <c r="X45" s="5">
        <f>O45</f>
        <v>2482.2000000000003</v>
      </c>
      <c r="Y45" s="16">
        <f>(P45*Q45*V45*W45*X45)</f>
        <v>2027.9534284800002</v>
      </c>
      <c r="Z45" s="8">
        <v>2.13</v>
      </c>
      <c r="AA45" s="8">
        <v>41.904000000000003</v>
      </c>
      <c r="AB45" s="8">
        <f>O45</f>
        <v>2482.2000000000003</v>
      </c>
      <c r="AC45" s="17">
        <f>(P45*Q45*Z45*AA45*AB45)</f>
        <v>3544.8008279040005</v>
      </c>
      <c r="AD45" s="96">
        <f>L357</f>
        <v>3542.1144393168165</v>
      </c>
      <c r="AE45" s="18">
        <f>U45+Y45+AC45+AD45</f>
        <v>10962.673976980817</v>
      </c>
      <c r="AF45" s="4">
        <f>AE45*0.1</f>
        <v>1096.2673976980818</v>
      </c>
      <c r="AG45" s="19">
        <f>AE45+AF45</f>
        <v>12058.9413746789</v>
      </c>
      <c r="AH45" s="8">
        <v>3.1</v>
      </c>
      <c r="AI45" s="20">
        <f>ROUND((AG45/AH45),0)</f>
        <v>3890</v>
      </c>
      <c r="AJ45" s="39">
        <v>24</v>
      </c>
      <c r="AK45" s="122"/>
      <c r="AN45" s="295" t="s">
        <v>203</v>
      </c>
      <c r="AO45" s="296"/>
      <c r="AP45" s="297"/>
    </row>
    <row r="46" spans="5:42" x14ac:dyDescent="0.3">
      <c r="E46" s="385" t="s">
        <v>220</v>
      </c>
      <c r="F46" s="386"/>
      <c r="G46" s="386"/>
      <c r="H46" s="386"/>
      <c r="I46" s="386"/>
      <c r="J46" s="386"/>
      <c r="K46" s="386"/>
      <c r="L46" s="386"/>
      <c r="M46" s="386"/>
      <c r="N46" s="386"/>
      <c r="O46" s="386"/>
      <c r="P46" s="386"/>
      <c r="Q46" s="386"/>
      <c r="R46" s="386"/>
      <c r="S46" s="386"/>
      <c r="T46" s="386"/>
      <c r="U46" s="386"/>
      <c r="V46" s="386"/>
      <c r="W46" s="386"/>
      <c r="X46" s="386"/>
      <c r="Y46" s="386"/>
      <c r="Z46" s="386"/>
      <c r="AA46" s="386"/>
      <c r="AB46" s="386"/>
      <c r="AC46" s="386"/>
      <c r="AD46" s="386"/>
      <c r="AE46" s="386"/>
      <c r="AF46" s="386"/>
      <c r="AG46" s="386"/>
      <c r="AH46" s="387"/>
      <c r="AI46" s="150">
        <f>(AI17*AP6+AI31*AP7+AI45*AP8)</f>
        <v>4268.565217391304</v>
      </c>
      <c r="AJ46" s="39"/>
      <c r="AK46" s="122"/>
      <c r="AN46" s="163"/>
      <c r="AO46" s="164"/>
      <c r="AP46" s="165"/>
    </row>
    <row r="47" spans="5:42" ht="15.5" x14ac:dyDescent="0.4">
      <c r="E47" s="2" t="s">
        <v>0</v>
      </c>
      <c r="F47" s="4"/>
      <c r="G47" s="5"/>
      <c r="H47" s="4"/>
      <c r="I47" s="4"/>
      <c r="J47" s="4"/>
      <c r="K47" s="4"/>
      <c r="L47" s="4"/>
      <c r="M47" s="3" t="s">
        <v>138</v>
      </c>
      <c r="N47" s="3" t="s">
        <v>137</v>
      </c>
      <c r="O47" s="8" t="s">
        <v>2</v>
      </c>
      <c r="P47" s="5"/>
      <c r="Q47" s="5"/>
      <c r="R47" s="4"/>
      <c r="S47" s="4"/>
      <c r="T47" s="4"/>
      <c r="U47" s="4"/>
      <c r="V47" s="4"/>
      <c r="W47" s="4"/>
      <c r="X47" s="4"/>
      <c r="Y47" s="4"/>
      <c r="Z47" s="4"/>
      <c r="AA47" s="4"/>
      <c r="AB47" s="4"/>
      <c r="AC47" s="4"/>
      <c r="AD47" s="4"/>
      <c r="AE47" s="4"/>
      <c r="AF47" s="4"/>
      <c r="AG47" s="4"/>
      <c r="AH47" s="4"/>
      <c r="AI47" s="6"/>
      <c r="AM47" s="141"/>
      <c r="AN47" s="76" t="s">
        <v>195</v>
      </c>
      <c r="AO47" s="27" t="s">
        <v>196</v>
      </c>
      <c r="AP47" s="86" t="s">
        <v>201</v>
      </c>
    </row>
    <row r="48" spans="5:42" x14ac:dyDescent="0.25">
      <c r="E48" s="2" t="s">
        <v>15</v>
      </c>
      <c r="F48" s="7">
        <v>25</v>
      </c>
      <c r="G48" s="54">
        <v>36.694516320000005</v>
      </c>
      <c r="H48" s="5">
        <v>420</v>
      </c>
      <c r="I48" s="5">
        <v>118.8</v>
      </c>
      <c r="J48" s="5">
        <v>36</v>
      </c>
      <c r="K48" s="8">
        <v>191.96</v>
      </c>
      <c r="L48" s="8">
        <v>8.4700000000000006</v>
      </c>
      <c r="M48" s="9">
        <f>(F48-((G48+H48+I48+J48)/(K48+L48)))</f>
        <v>21.949086881604551</v>
      </c>
      <c r="N48" s="9">
        <v>22</v>
      </c>
      <c r="O48" s="8">
        <v>136.1</v>
      </c>
      <c r="P48" s="5"/>
      <c r="Q48" s="5"/>
      <c r="R48" s="4"/>
      <c r="S48" s="4"/>
      <c r="T48" s="4"/>
      <c r="U48" s="4"/>
      <c r="V48" s="4"/>
      <c r="W48" s="4"/>
      <c r="X48" s="4"/>
      <c r="Y48" s="4"/>
      <c r="Z48" s="4"/>
      <c r="AA48" s="4"/>
      <c r="AB48" s="4"/>
      <c r="AC48" s="4"/>
      <c r="AD48" s="4"/>
      <c r="AE48" s="4"/>
      <c r="AF48" s="4"/>
      <c r="AG48" s="4"/>
      <c r="AH48" s="4"/>
      <c r="AI48" s="6"/>
      <c r="AN48" s="76">
        <v>25</v>
      </c>
      <c r="AO48" s="27">
        <v>12</v>
      </c>
      <c r="AP48" s="35">
        <v>100</v>
      </c>
    </row>
    <row r="49" spans="5:42" x14ac:dyDescent="0.25">
      <c r="E49" s="2" t="s">
        <v>16</v>
      </c>
      <c r="F49" s="7">
        <v>25</v>
      </c>
      <c r="G49" s="54">
        <v>38.988378000000012</v>
      </c>
      <c r="H49" s="5">
        <v>420</v>
      </c>
      <c r="I49" s="5">
        <v>118.8</v>
      </c>
      <c r="J49" s="5">
        <v>36</v>
      </c>
      <c r="K49" s="8">
        <v>191.96</v>
      </c>
      <c r="L49" s="8">
        <v>8.4700000000000006</v>
      </c>
      <c r="M49" s="9">
        <f t="shared" ref="M49:M59" si="3">(F49-((G49+H49+I49+J49)/(K49+L49)))</f>
        <v>21.937642179314473</v>
      </c>
      <c r="N49" s="9">
        <v>22</v>
      </c>
      <c r="O49" s="8">
        <v>151.30000000000001</v>
      </c>
      <c r="P49" s="5"/>
      <c r="Q49" s="5"/>
      <c r="R49" s="4"/>
      <c r="S49" s="4"/>
      <c r="T49" s="4"/>
      <c r="U49" s="4"/>
      <c r="V49" s="4"/>
      <c r="W49" s="4"/>
      <c r="X49" s="4"/>
      <c r="Y49" s="4"/>
      <c r="Z49" s="4"/>
      <c r="AA49" s="4"/>
      <c r="AB49" s="4"/>
      <c r="AC49" s="4"/>
      <c r="AD49" s="4"/>
      <c r="AE49" s="4"/>
      <c r="AF49" s="4"/>
      <c r="AG49" s="4"/>
      <c r="AH49" s="4"/>
      <c r="AI49" s="6"/>
    </row>
    <row r="50" spans="5:42" x14ac:dyDescent="0.25">
      <c r="E50" s="2" t="s">
        <v>17</v>
      </c>
      <c r="F50" s="7">
        <v>25</v>
      </c>
      <c r="G50" s="54">
        <v>42.427352880000001</v>
      </c>
      <c r="H50" s="5">
        <v>420</v>
      </c>
      <c r="I50" s="5">
        <v>118.8</v>
      </c>
      <c r="J50" s="5">
        <v>36</v>
      </c>
      <c r="K50" s="8">
        <v>191.96</v>
      </c>
      <c r="L50" s="8">
        <v>8.4700000000000006</v>
      </c>
      <c r="M50" s="9">
        <f t="shared" si="3"/>
        <v>21.92048419458165</v>
      </c>
      <c r="N50" s="9">
        <v>22</v>
      </c>
      <c r="O50" s="8">
        <v>171.4</v>
      </c>
      <c r="P50" s="5"/>
      <c r="Q50" s="5"/>
      <c r="R50" s="4"/>
      <c r="S50" s="4"/>
      <c r="T50" s="4"/>
      <c r="U50" s="4"/>
      <c r="V50" s="4"/>
      <c r="W50" s="4"/>
      <c r="X50" s="4"/>
      <c r="Y50" s="4"/>
      <c r="Z50" s="4"/>
      <c r="AA50" s="4"/>
      <c r="AB50" s="4"/>
      <c r="AC50" s="4"/>
      <c r="AD50" s="4"/>
      <c r="AE50" s="4"/>
      <c r="AF50" s="4"/>
      <c r="AG50" s="4"/>
      <c r="AH50" s="4"/>
      <c r="AI50" s="6"/>
      <c r="AN50" s="82"/>
      <c r="AO50" s="82"/>
      <c r="AP50" s="54"/>
    </row>
    <row r="51" spans="5:42" x14ac:dyDescent="0.25">
      <c r="E51" s="2" t="s">
        <v>18</v>
      </c>
      <c r="F51" s="7">
        <v>25</v>
      </c>
      <c r="G51" s="54">
        <v>50.457686400000007</v>
      </c>
      <c r="H51" s="5">
        <v>420</v>
      </c>
      <c r="I51" s="5">
        <v>118.8</v>
      </c>
      <c r="J51" s="5">
        <v>36</v>
      </c>
      <c r="K51" s="8">
        <v>191.96</v>
      </c>
      <c r="L51" s="8">
        <v>8.4700000000000006</v>
      </c>
      <c r="M51" s="9">
        <f t="shared" si="3"/>
        <v>21.880418667864092</v>
      </c>
      <c r="N51" s="9">
        <v>22</v>
      </c>
      <c r="O51" s="8">
        <v>187.6</v>
      </c>
      <c r="P51" s="5"/>
      <c r="Q51" s="5"/>
      <c r="R51" s="4"/>
      <c r="S51" s="4"/>
      <c r="T51" s="4"/>
      <c r="U51" s="4"/>
      <c r="V51" s="4"/>
      <c r="W51" s="4"/>
      <c r="X51" s="4"/>
      <c r="Y51" s="4"/>
      <c r="Z51" s="4"/>
      <c r="AA51" s="4"/>
      <c r="AB51" s="4"/>
      <c r="AC51" s="4"/>
      <c r="AD51" s="4"/>
      <c r="AE51" s="4"/>
      <c r="AF51" s="4"/>
      <c r="AG51" s="4"/>
      <c r="AH51" s="4"/>
      <c r="AI51" s="6"/>
      <c r="AN51" s="82"/>
      <c r="AO51" s="82"/>
      <c r="AP51" s="54"/>
    </row>
    <row r="52" spans="5:42" x14ac:dyDescent="0.25">
      <c r="E52" s="2" t="s">
        <v>12</v>
      </c>
      <c r="F52" s="7">
        <v>25</v>
      </c>
      <c r="G52" s="54">
        <v>84.858341040000013</v>
      </c>
      <c r="H52" s="5">
        <v>420</v>
      </c>
      <c r="I52" s="5">
        <v>118.8</v>
      </c>
      <c r="J52" s="5">
        <v>36</v>
      </c>
      <c r="K52" s="8">
        <v>191.96</v>
      </c>
      <c r="L52" s="8">
        <v>8.4700000000000006</v>
      </c>
      <c r="M52" s="9">
        <f t="shared" si="3"/>
        <v>21.708784408322106</v>
      </c>
      <c r="N52" s="9">
        <v>21.5</v>
      </c>
      <c r="O52" s="8">
        <v>215.2</v>
      </c>
      <c r="P52" s="5"/>
      <c r="Q52" s="5"/>
      <c r="R52" s="4"/>
      <c r="S52" s="4"/>
      <c r="T52" s="4"/>
      <c r="U52" s="4"/>
      <c r="V52" s="4"/>
      <c r="W52" s="4"/>
      <c r="X52" s="4"/>
      <c r="Y52" s="4"/>
      <c r="Z52" s="4"/>
      <c r="AA52" s="4"/>
      <c r="AB52" s="4"/>
      <c r="AC52" s="4"/>
      <c r="AD52" s="4"/>
      <c r="AE52" s="4"/>
      <c r="AF52" s="4"/>
      <c r="AG52" s="4"/>
      <c r="AH52" s="4"/>
      <c r="AI52" s="6"/>
      <c r="AN52" s="82"/>
      <c r="AO52" s="82"/>
      <c r="AP52" s="54"/>
    </row>
    <row r="53" spans="5:42" x14ac:dyDescent="0.25">
      <c r="E53" s="2" t="s">
        <v>13</v>
      </c>
      <c r="F53" s="7">
        <v>25</v>
      </c>
      <c r="G53" s="54">
        <v>103.20923448000003</v>
      </c>
      <c r="H53" s="5">
        <v>420</v>
      </c>
      <c r="I53" s="5">
        <v>118.8</v>
      </c>
      <c r="J53" s="5">
        <v>36</v>
      </c>
      <c r="K53" s="8">
        <v>191.96</v>
      </c>
      <c r="L53" s="8">
        <v>8.4700000000000006</v>
      </c>
      <c r="M53" s="9">
        <f t="shared" si="3"/>
        <v>21.617226790001496</v>
      </c>
      <c r="N53" s="9">
        <v>21.5</v>
      </c>
      <c r="O53" s="8">
        <v>197.5</v>
      </c>
      <c r="P53" s="5"/>
      <c r="Q53" s="5"/>
      <c r="R53" s="4"/>
      <c r="S53" s="4"/>
      <c r="T53" s="4"/>
      <c r="U53" s="4"/>
      <c r="V53" s="4"/>
      <c r="W53" s="4"/>
      <c r="X53" s="4"/>
      <c r="Y53" s="4"/>
      <c r="Z53" s="4"/>
      <c r="AA53" s="4"/>
      <c r="AB53" s="4"/>
      <c r="AC53" s="4"/>
      <c r="AD53" s="4"/>
      <c r="AE53" s="4"/>
      <c r="AF53" s="4"/>
      <c r="AG53" s="4"/>
      <c r="AH53" s="4"/>
      <c r="AI53" s="6"/>
      <c r="AN53" s="82"/>
      <c r="AO53" s="82"/>
      <c r="AP53" s="54"/>
    </row>
    <row r="54" spans="5:42" x14ac:dyDescent="0.25">
      <c r="E54" s="2" t="s">
        <v>24</v>
      </c>
      <c r="F54" s="7">
        <v>25</v>
      </c>
      <c r="G54" s="54">
        <v>88.300951200000014</v>
      </c>
      <c r="H54" s="5">
        <v>420</v>
      </c>
      <c r="I54" s="5">
        <v>118.8</v>
      </c>
      <c r="J54" s="5">
        <v>36</v>
      </c>
      <c r="K54" s="8">
        <v>191.96</v>
      </c>
      <c r="L54" s="8">
        <v>8.4700000000000006</v>
      </c>
      <c r="M54" s="9">
        <f t="shared" si="3"/>
        <v>21.691608286184703</v>
      </c>
      <c r="N54" s="9">
        <v>21.5</v>
      </c>
      <c r="O54" s="8">
        <v>206.2</v>
      </c>
      <c r="P54" s="5"/>
      <c r="Q54" s="5"/>
      <c r="R54" s="4"/>
      <c r="S54" s="4"/>
      <c r="T54" s="4"/>
      <c r="U54" s="4"/>
      <c r="V54" s="4"/>
      <c r="W54" s="4"/>
      <c r="X54" s="4"/>
      <c r="Y54" s="4"/>
      <c r="Z54" s="4"/>
      <c r="AA54" s="4"/>
      <c r="AB54" s="4"/>
      <c r="AC54" s="4"/>
      <c r="AD54" s="4"/>
      <c r="AE54" s="4"/>
      <c r="AF54" s="4"/>
      <c r="AG54" s="4"/>
      <c r="AH54" s="4"/>
      <c r="AI54" s="6"/>
      <c r="AL54" s="174">
        <f>AI46-AI61</f>
        <v>792.56521739130403</v>
      </c>
    </row>
    <row r="55" spans="5:42" x14ac:dyDescent="0.25">
      <c r="E55" s="2" t="s">
        <v>19</v>
      </c>
      <c r="F55" s="7">
        <v>25</v>
      </c>
      <c r="G55" s="54">
        <v>53.896661280000004</v>
      </c>
      <c r="H55" s="5">
        <v>420</v>
      </c>
      <c r="I55" s="5">
        <v>118.8</v>
      </c>
      <c r="J55" s="5">
        <v>36</v>
      </c>
      <c r="K55" s="8">
        <v>191.96</v>
      </c>
      <c r="L55" s="8">
        <v>8.4700000000000006</v>
      </c>
      <c r="M55" s="9">
        <f t="shared" si="3"/>
        <v>21.863260683131269</v>
      </c>
      <c r="N55" s="9">
        <v>22</v>
      </c>
      <c r="O55" s="8">
        <v>188.4</v>
      </c>
      <c r="P55" s="5"/>
      <c r="Q55" s="5"/>
      <c r="R55" s="4"/>
      <c r="S55" s="4"/>
      <c r="T55" s="4"/>
      <c r="U55" s="4"/>
      <c r="V55" s="4"/>
      <c r="W55" s="4"/>
      <c r="X55" s="4"/>
      <c r="Y55" s="4"/>
      <c r="Z55" s="4"/>
      <c r="AA55" s="4"/>
      <c r="AB55" s="4"/>
      <c r="AC55" s="4"/>
      <c r="AD55" s="4"/>
      <c r="AE55" s="4"/>
      <c r="AF55" s="4"/>
      <c r="AG55" s="4"/>
      <c r="AH55" s="4"/>
      <c r="AI55" s="6"/>
    </row>
    <row r="56" spans="5:42" x14ac:dyDescent="0.25">
      <c r="E56" s="2" t="s">
        <v>20</v>
      </c>
      <c r="F56" s="7">
        <v>25</v>
      </c>
      <c r="G56" s="54">
        <v>72.658341360000009</v>
      </c>
      <c r="H56" s="5">
        <v>420</v>
      </c>
      <c r="I56" s="5">
        <v>118.8</v>
      </c>
      <c r="J56" s="5">
        <v>36</v>
      </c>
      <c r="K56" s="8">
        <v>191.96</v>
      </c>
      <c r="L56" s="8">
        <v>8.4700000000000006</v>
      </c>
      <c r="M56" s="9">
        <f t="shared" si="3"/>
        <v>21.769653538093099</v>
      </c>
      <c r="N56" s="9">
        <v>22</v>
      </c>
      <c r="O56" s="8">
        <v>194.7</v>
      </c>
      <c r="P56" s="5"/>
      <c r="Q56" s="5"/>
      <c r="R56" s="4"/>
      <c r="S56" s="4"/>
      <c r="T56" s="4"/>
      <c r="U56" s="4"/>
      <c r="V56" s="4"/>
      <c r="W56" s="4"/>
      <c r="X56" s="4"/>
      <c r="Y56" s="4"/>
      <c r="Z56" s="4"/>
      <c r="AA56" s="4"/>
      <c r="AB56" s="4"/>
      <c r="AC56" s="4"/>
      <c r="AD56" s="4"/>
      <c r="AE56" s="4"/>
      <c r="AF56" s="4"/>
      <c r="AG56" s="4"/>
      <c r="AH56" s="4"/>
      <c r="AI56" s="6"/>
    </row>
    <row r="57" spans="5:42" x14ac:dyDescent="0.25">
      <c r="E57" s="2" t="s">
        <v>21</v>
      </c>
      <c r="F57" s="7">
        <v>25</v>
      </c>
      <c r="G57" s="54">
        <v>40.137126480000006</v>
      </c>
      <c r="H57" s="5">
        <v>420</v>
      </c>
      <c r="I57" s="5">
        <v>118.8</v>
      </c>
      <c r="J57" s="5">
        <v>36</v>
      </c>
      <c r="K57" s="8">
        <v>191.96</v>
      </c>
      <c r="L57" s="8">
        <v>8.4700000000000006</v>
      </c>
      <c r="M57" s="9">
        <f t="shared" si="3"/>
        <v>21.931910759467147</v>
      </c>
      <c r="N57" s="9">
        <v>22</v>
      </c>
      <c r="O57" s="8">
        <v>168.9</v>
      </c>
      <c r="P57" s="5"/>
      <c r="Q57" s="5"/>
      <c r="R57" s="4"/>
      <c r="S57" s="4"/>
      <c r="T57" s="4"/>
      <c r="U57" s="4"/>
      <c r="V57" s="4"/>
      <c r="W57" s="4"/>
      <c r="X57" s="4"/>
      <c r="Y57" s="4"/>
      <c r="Z57" s="4"/>
      <c r="AA57" s="4"/>
      <c r="AB57" s="4"/>
      <c r="AC57" s="4"/>
      <c r="AD57" s="4"/>
      <c r="AE57" s="4"/>
      <c r="AF57" s="4"/>
      <c r="AG57" s="4"/>
      <c r="AH57" s="4"/>
      <c r="AI57" s="6"/>
      <c r="AN57" s="82"/>
      <c r="AO57" s="82"/>
      <c r="AP57" s="54"/>
    </row>
    <row r="58" spans="5:42" x14ac:dyDescent="0.25">
      <c r="E58" s="2" t="s">
        <v>22</v>
      </c>
      <c r="F58" s="7">
        <v>25</v>
      </c>
      <c r="G58" s="54">
        <v>37.843264800000007</v>
      </c>
      <c r="H58" s="5">
        <v>420</v>
      </c>
      <c r="I58" s="5">
        <v>118.8</v>
      </c>
      <c r="J58" s="5">
        <v>36</v>
      </c>
      <c r="K58" s="8">
        <v>191.96</v>
      </c>
      <c r="L58" s="8">
        <v>8.4700000000000006</v>
      </c>
      <c r="M58" s="9">
        <f t="shared" si="3"/>
        <v>21.943355461757221</v>
      </c>
      <c r="N58" s="9">
        <v>22</v>
      </c>
      <c r="O58" s="8">
        <v>138.1</v>
      </c>
      <c r="P58" s="5"/>
      <c r="Q58" s="5"/>
      <c r="R58" s="4"/>
      <c r="S58" s="4"/>
      <c r="T58" s="4"/>
      <c r="U58" s="4"/>
      <c r="V58" s="4"/>
      <c r="W58" s="4"/>
      <c r="X58" s="4"/>
      <c r="Y58" s="4"/>
      <c r="Z58" s="4"/>
      <c r="AA58" s="4"/>
      <c r="AB58" s="4"/>
      <c r="AC58" s="4"/>
      <c r="AD58" s="4"/>
      <c r="AE58" s="4"/>
      <c r="AF58" s="4"/>
      <c r="AG58" s="4"/>
      <c r="AH58" s="4"/>
      <c r="AI58" s="6"/>
      <c r="AN58" s="82"/>
      <c r="AO58" s="82"/>
      <c r="AP58" s="54"/>
    </row>
    <row r="59" spans="5:42" x14ac:dyDescent="0.25">
      <c r="E59" s="2" t="s">
        <v>23</v>
      </c>
      <c r="F59" s="7">
        <v>25</v>
      </c>
      <c r="G59" s="54">
        <v>35.549403120000008</v>
      </c>
      <c r="H59" s="5">
        <v>420</v>
      </c>
      <c r="I59" s="5">
        <v>118.8</v>
      </c>
      <c r="J59" s="5">
        <v>36</v>
      </c>
      <c r="K59" s="8">
        <v>191.96</v>
      </c>
      <c r="L59" s="8">
        <v>8.4700000000000006</v>
      </c>
      <c r="M59" s="9">
        <f t="shared" si="3"/>
        <v>21.954800164047299</v>
      </c>
      <c r="N59" s="9">
        <v>22</v>
      </c>
      <c r="O59" s="8">
        <v>162.30000000000001</v>
      </c>
      <c r="P59" s="5"/>
      <c r="Q59" s="5"/>
      <c r="R59" s="4"/>
      <c r="S59" s="4"/>
      <c r="T59" s="4"/>
      <c r="U59" s="4"/>
      <c r="V59" s="4"/>
      <c r="W59" s="4"/>
      <c r="X59" s="4"/>
      <c r="Y59" s="4"/>
      <c r="Z59" s="4"/>
      <c r="AA59" s="4"/>
      <c r="AB59" s="4"/>
      <c r="AC59" s="4"/>
      <c r="AD59" s="4"/>
      <c r="AE59" s="4"/>
      <c r="AF59" s="4"/>
      <c r="AG59" s="4"/>
      <c r="AH59" s="4"/>
      <c r="AI59" s="6"/>
      <c r="AN59" s="53"/>
      <c r="AO59" s="54"/>
      <c r="AP59" s="54"/>
    </row>
    <row r="60" spans="5:42" x14ac:dyDescent="0.3">
      <c r="E60" s="168" t="s">
        <v>3</v>
      </c>
      <c r="F60" s="398"/>
      <c r="G60" s="398"/>
      <c r="H60" s="398"/>
      <c r="I60" s="398"/>
      <c r="J60" s="398"/>
      <c r="K60" s="398"/>
      <c r="L60" s="398"/>
      <c r="M60" s="398"/>
      <c r="N60" s="399"/>
      <c r="O60" s="11">
        <f>SUM(O48:O59)</f>
        <v>2117.7000000000003</v>
      </c>
      <c r="P60" s="28">
        <f>16/24</f>
        <v>0.66666666666666663</v>
      </c>
      <c r="Q60" s="28">
        <f>24/1000</f>
        <v>2.4E-2</v>
      </c>
      <c r="R60" s="8">
        <v>3.59</v>
      </c>
      <c r="S60" s="8">
        <v>12.96</v>
      </c>
      <c r="T60" s="5">
        <f>O60</f>
        <v>2117.7000000000003</v>
      </c>
      <c r="U60" s="15">
        <f>P60*Q60*R60*S60*T60</f>
        <v>1576.4633164800002</v>
      </c>
      <c r="V60" s="5">
        <v>3.94</v>
      </c>
      <c r="W60" s="5">
        <v>12.96</v>
      </c>
      <c r="X60" s="5">
        <f>O60</f>
        <v>2117.7000000000003</v>
      </c>
      <c r="Y60" s="16">
        <f>(P60*Q60*V60*W60*X60)</f>
        <v>1730.1575116800002</v>
      </c>
      <c r="Z60" s="8">
        <v>2.13</v>
      </c>
      <c r="AA60" s="8">
        <v>41.904000000000003</v>
      </c>
      <c r="AB60" s="8">
        <f>O60</f>
        <v>2117.7000000000003</v>
      </c>
      <c r="AC60" s="17">
        <f>(P60*Q60*Z60*AA60*AB60)</f>
        <v>3024.2626352640004</v>
      </c>
      <c r="AD60" s="96">
        <f>L358</f>
        <v>3464.6938179877029</v>
      </c>
      <c r="AE60" s="18">
        <f>U60+Y60+AC60+AD60</f>
        <v>9795.5772814117045</v>
      </c>
      <c r="AF60" s="4">
        <f>AE60*0.1</f>
        <v>979.55772814117051</v>
      </c>
      <c r="AG60" s="19">
        <f>AE60+AF60</f>
        <v>10775.135009552874</v>
      </c>
      <c r="AH60" s="8">
        <v>3.1</v>
      </c>
      <c r="AI60" s="20">
        <f>ROUND((AG60/AH60),0)</f>
        <v>3476</v>
      </c>
      <c r="AJ60" s="39">
        <v>25</v>
      </c>
    </row>
    <row r="61" spans="5:42" x14ac:dyDescent="0.3">
      <c r="E61" s="385" t="s">
        <v>219</v>
      </c>
      <c r="F61" s="386"/>
      <c r="G61" s="386"/>
      <c r="H61" s="386"/>
      <c r="I61" s="386"/>
      <c r="J61" s="386"/>
      <c r="K61" s="386"/>
      <c r="L61" s="386"/>
      <c r="M61" s="386"/>
      <c r="N61" s="386"/>
      <c r="O61" s="386"/>
      <c r="P61" s="386"/>
      <c r="Q61" s="386"/>
      <c r="R61" s="386"/>
      <c r="S61" s="386"/>
      <c r="T61" s="386"/>
      <c r="U61" s="386"/>
      <c r="V61" s="386"/>
      <c r="W61" s="386"/>
      <c r="X61" s="386"/>
      <c r="Y61" s="386"/>
      <c r="Z61" s="386"/>
      <c r="AA61" s="386"/>
      <c r="AB61" s="386"/>
      <c r="AC61" s="386"/>
      <c r="AD61" s="386"/>
      <c r="AE61" s="386"/>
      <c r="AF61" s="386"/>
      <c r="AG61" s="386"/>
      <c r="AH61" s="387"/>
      <c r="AI61" s="150">
        <f>AI60</f>
        <v>3476</v>
      </c>
      <c r="AJ61" s="39"/>
    </row>
    <row r="62" spans="5:42" ht="15.5" x14ac:dyDescent="0.4">
      <c r="E62" s="2" t="s">
        <v>0</v>
      </c>
      <c r="F62" s="3"/>
      <c r="G62" s="5"/>
      <c r="H62" s="4"/>
      <c r="I62" s="4"/>
      <c r="J62" s="4"/>
      <c r="K62" s="4"/>
      <c r="L62" s="4"/>
      <c r="M62" s="3" t="s">
        <v>138</v>
      </c>
      <c r="N62" s="3" t="s">
        <v>137</v>
      </c>
      <c r="O62" s="8" t="s">
        <v>2</v>
      </c>
      <c r="P62" s="5"/>
      <c r="Q62" s="5"/>
      <c r="R62" s="4"/>
      <c r="S62" s="4"/>
      <c r="T62" s="4"/>
      <c r="U62" s="4"/>
      <c r="V62" s="4"/>
      <c r="W62" s="4"/>
      <c r="X62" s="4"/>
      <c r="Y62" s="4"/>
      <c r="Z62" s="4"/>
      <c r="AA62" s="4"/>
      <c r="AB62" s="4"/>
      <c r="AC62" s="4"/>
      <c r="AD62" s="4"/>
      <c r="AE62" s="4"/>
      <c r="AF62" s="4"/>
      <c r="AG62" s="4"/>
      <c r="AH62" s="4"/>
      <c r="AI62" s="6"/>
    </row>
    <row r="63" spans="5:42" x14ac:dyDescent="0.25">
      <c r="E63" s="2" t="s">
        <v>15</v>
      </c>
      <c r="F63" s="7">
        <v>26</v>
      </c>
      <c r="G63" s="54">
        <v>36.694516320000005</v>
      </c>
      <c r="H63" s="5">
        <v>420</v>
      </c>
      <c r="I63" s="5">
        <v>118.8</v>
      </c>
      <c r="J63" s="5">
        <v>36</v>
      </c>
      <c r="K63" s="8">
        <v>191.96</v>
      </c>
      <c r="L63" s="8">
        <v>8.4700000000000006</v>
      </c>
      <c r="M63" s="9">
        <f>(F63-((G63+H63+I63+J63)/(K63+L63)))</f>
        <v>22.949086881604551</v>
      </c>
      <c r="N63" s="9">
        <v>23</v>
      </c>
      <c r="O63" s="8">
        <v>105.4</v>
      </c>
      <c r="P63" s="5"/>
      <c r="Q63" s="5"/>
      <c r="R63" s="4"/>
      <c r="S63" s="4"/>
      <c r="T63" s="4"/>
      <c r="U63" s="4"/>
      <c r="V63" s="4"/>
      <c r="W63" s="4"/>
      <c r="X63" s="4"/>
      <c r="Y63" s="4"/>
      <c r="Z63" s="4"/>
      <c r="AA63" s="4"/>
      <c r="AB63" s="4"/>
      <c r="AC63" s="4"/>
      <c r="AD63" s="4"/>
      <c r="AE63" s="4"/>
      <c r="AF63" s="4"/>
      <c r="AG63" s="4"/>
      <c r="AH63" s="4"/>
      <c r="AI63" s="6"/>
    </row>
    <row r="64" spans="5:42" x14ac:dyDescent="0.25">
      <c r="E64" s="2" t="s">
        <v>16</v>
      </c>
      <c r="F64" s="7">
        <v>26</v>
      </c>
      <c r="G64" s="54">
        <v>38.988378000000012</v>
      </c>
      <c r="H64" s="5">
        <v>420</v>
      </c>
      <c r="I64" s="5">
        <v>118.8</v>
      </c>
      <c r="J64" s="5">
        <v>36</v>
      </c>
      <c r="K64" s="8">
        <v>191.96</v>
      </c>
      <c r="L64" s="8">
        <v>8.4700000000000006</v>
      </c>
      <c r="M64" s="9">
        <f t="shared" ref="M64:M74" si="4">(F64-((G64+H64+I64+J64)/(K64+L64)))</f>
        <v>22.937642179314473</v>
      </c>
      <c r="N64" s="9">
        <v>23</v>
      </c>
      <c r="O64" s="8">
        <v>124.9</v>
      </c>
      <c r="P64" s="5"/>
      <c r="Q64" s="5"/>
      <c r="R64" s="4"/>
      <c r="S64" s="4"/>
      <c r="T64" s="4"/>
      <c r="U64" s="4"/>
      <c r="V64" s="4"/>
      <c r="W64" s="4"/>
      <c r="X64" s="4"/>
      <c r="Y64" s="4"/>
      <c r="Z64" s="4"/>
      <c r="AA64" s="4"/>
      <c r="AB64" s="4"/>
      <c r="AC64" s="4"/>
      <c r="AD64" s="4"/>
      <c r="AE64" s="4"/>
      <c r="AF64" s="4"/>
      <c r="AG64" s="4"/>
      <c r="AH64" s="4"/>
      <c r="AI64" s="6"/>
    </row>
    <row r="65" spans="5:42" x14ac:dyDescent="0.25">
      <c r="E65" s="2" t="s">
        <v>17</v>
      </c>
      <c r="F65" s="7">
        <v>26</v>
      </c>
      <c r="G65" s="54">
        <v>42.427352880000001</v>
      </c>
      <c r="H65" s="5">
        <v>420</v>
      </c>
      <c r="I65" s="5">
        <v>118.8</v>
      </c>
      <c r="J65" s="5">
        <v>36</v>
      </c>
      <c r="K65" s="8">
        <v>191.96</v>
      </c>
      <c r="L65" s="8">
        <v>8.4700000000000006</v>
      </c>
      <c r="M65" s="9">
        <f t="shared" si="4"/>
        <v>22.92048419458165</v>
      </c>
      <c r="N65" s="9">
        <v>23</v>
      </c>
      <c r="O65" s="8">
        <v>140.4</v>
      </c>
      <c r="P65" s="5"/>
      <c r="Q65" s="5"/>
      <c r="R65" s="4"/>
      <c r="S65" s="4"/>
      <c r="T65" s="4"/>
      <c r="U65" s="4"/>
      <c r="V65" s="4"/>
      <c r="W65" s="4"/>
      <c r="X65" s="4"/>
      <c r="Y65" s="4"/>
      <c r="Z65" s="4"/>
      <c r="AA65" s="4"/>
      <c r="AB65" s="4"/>
      <c r="AC65" s="4"/>
      <c r="AD65" s="4"/>
      <c r="AE65" s="4"/>
      <c r="AF65" s="4"/>
      <c r="AG65" s="4"/>
      <c r="AH65" s="4"/>
      <c r="AI65" s="6"/>
    </row>
    <row r="66" spans="5:42" x14ac:dyDescent="0.25">
      <c r="E66" s="2" t="s">
        <v>18</v>
      </c>
      <c r="F66" s="7">
        <v>26</v>
      </c>
      <c r="G66" s="54">
        <v>50.457686400000007</v>
      </c>
      <c r="H66" s="5">
        <v>420</v>
      </c>
      <c r="I66" s="5">
        <v>118.8</v>
      </c>
      <c r="J66" s="5">
        <v>36</v>
      </c>
      <c r="K66" s="8">
        <v>191.96</v>
      </c>
      <c r="L66" s="8">
        <v>8.4700000000000006</v>
      </c>
      <c r="M66" s="9">
        <f t="shared" si="4"/>
        <v>22.880418667864092</v>
      </c>
      <c r="N66" s="9">
        <v>23</v>
      </c>
      <c r="O66" s="8">
        <v>157.6</v>
      </c>
      <c r="P66" s="5"/>
      <c r="Q66" s="5"/>
      <c r="R66" s="4"/>
      <c r="S66" s="4"/>
      <c r="T66" s="4"/>
      <c r="U66" s="4"/>
      <c r="V66" s="4"/>
      <c r="W66" s="4"/>
      <c r="X66" s="4"/>
      <c r="Y66" s="4"/>
      <c r="Z66" s="4"/>
      <c r="AA66" s="4"/>
      <c r="AB66" s="4"/>
      <c r="AC66" s="4"/>
      <c r="AD66" s="4"/>
      <c r="AE66" s="4"/>
      <c r="AF66" s="4"/>
      <c r="AG66" s="4"/>
      <c r="AH66" s="4"/>
      <c r="AI66" s="6"/>
    </row>
    <row r="67" spans="5:42" x14ac:dyDescent="0.25">
      <c r="E67" s="2" t="s">
        <v>12</v>
      </c>
      <c r="F67" s="7">
        <v>26</v>
      </c>
      <c r="G67" s="54">
        <v>84.858341040000013</v>
      </c>
      <c r="H67" s="5">
        <v>420</v>
      </c>
      <c r="I67" s="5">
        <v>118.8</v>
      </c>
      <c r="J67" s="5">
        <v>36</v>
      </c>
      <c r="K67" s="8">
        <v>191.96</v>
      </c>
      <c r="L67" s="8">
        <v>8.4700000000000006</v>
      </c>
      <c r="M67" s="9">
        <f t="shared" si="4"/>
        <v>22.708784408322106</v>
      </c>
      <c r="N67" s="9">
        <v>22.5</v>
      </c>
      <c r="O67" s="8">
        <v>184.2</v>
      </c>
      <c r="P67" s="5"/>
      <c r="Q67" s="5"/>
      <c r="R67" s="4"/>
      <c r="S67" s="4"/>
      <c r="T67" s="4"/>
      <c r="U67" s="4"/>
      <c r="V67" s="4"/>
      <c r="W67" s="4"/>
      <c r="X67" s="4"/>
      <c r="Y67" s="4"/>
      <c r="Z67" s="4"/>
      <c r="AA67" s="4"/>
      <c r="AB67" s="4"/>
      <c r="AC67" s="4"/>
      <c r="AD67" s="4"/>
      <c r="AE67" s="4"/>
      <c r="AF67" s="4"/>
      <c r="AG67" s="4"/>
      <c r="AH67" s="4"/>
      <c r="AI67" s="6"/>
    </row>
    <row r="68" spans="5:42" x14ac:dyDescent="0.25">
      <c r="E68" s="2" t="s">
        <v>13</v>
      </c>
      <c r="F68" s="7">
        <v>26</v>
      </c>
      <c r="G68" s="54">
        <v>103.20923448000003</v>
      </c>
      <c r="H68" s="5">
        <v>420</v>
      </c>
      <c r="I68" s="5">
        <v>118.8</v>
      </c>
      <c r="J68" s="5">
        <v>36</v>
      </c>
      <c r="K68" s="8">
        <v>191.96</v>
      </c>
      <c r="L68" s="8">
        <v>8.4700000000000006</v>
      </c>
      <c r="M68" s="9">
        <f t="shared" si="4"/>
        <v>22.617226790001496</v>
      </c>
      <c r="N68" s="9">
        <v>22.5</v>
      </c>
      <c r="O68" s="8">
        <v>167.5</v>
      </c>
      <c r="P68" s="5"/>
      <c r="Q68" s="5"/>
      <c r="R68" s="4"/>
      <c r="S68" s="4"/>
      <c r="T68" s="4"/>
      <c r="U68" s="4"/>
      <c r="V68" s="4"/>
      <c r="W68" s="4"/>
      <c r="X68" s="4"/>
      <c r="Y68" s="4"/>
      <c r="Z68" s="4"/>
      <c r="AA68" s="4"/>
      <c r="AB68" s="4"/>
      <c r="AC68" s="4"/>
      <c r="AD68" s="4"/>
      <c r="AE68" s="4"/>
      <c r="AF68" s="4"/>
      <c r="AG68" s="4"/>
      <c r="AH68" s="4"/>
      <c r="AI68" s="6"/>
    </row>
    <row r="69" spans="5:42" x14ac:dyDescent="0.25">
      <c r="E69" s="2" t="s">
        <v>1</v>
      </c>
      <c r="F69" s="7">
        <v>26</v>
      </c>
      <c r="G69" s="54">
        <v>88.300951200000014</v>
      </c>
      <c r="H69" s="5">
        <v>420</v>
      </c>
      <c r="I69" s="5">
        <v>118.8</v>
      </c>
      <c r="J69" s="5">
        <v>36</v>
      </c>
      <c r="K69" s="8">
        <v>191.96</v>
      </c>
      <c r="L69" s="8">
        <v>8.4700000000000006</v>
      </c>
      <c r="M69" s="9">
        <f t="shared" si="4"/>
        <v>22.691608286184703</v>
      </c>
      <c r="N69" s="9">
        <v>22.5</v>
      </c>
      <c r="O69" s="8">
        <v>175.2</v>
      </c>
      <c r="P69" s="27"/>
      <c r="Q69" s="27"/>
      <c r="R69" s="4"/>
      <c r="S69" s="4"/>
      <c r="T69" s="4"/>
      <c r="U69" s="4"/>
      <c r="V69" s="4"/>
      <c r="W69" s="4"/>
      <c r="X69" s="4"/>
      <c r="Y69" s="4"/>
      <c r="Z69" s="4"/>
      <c r="AA69" s="4"/>
      <c r="AB69" s="4"/>
      <c r="AC69" s="4"/>
      <c r="AD69" s="4"/>
      <c r="AE69" s="4"/>
      <c r="AF69" s="4"/>
      <c r="AG69" s="4"/>
      <c r="AH69" s="4"/>
      <c r="AI69" s="6"/>
    </row>
    <row r="70" spans="5:42" x14ac:dyDescent="0.25">
      <c r="E70" s="2" t="s">
        <v>19</v>
      </c>
      <c r="F70" s="7">
        <v>26</v>
      </c>
      <c r="G70" s="54">
        <v>53.896661280000004</v>
      </c>
      <c r="H70" s="5">
        <v>420</v>
      </c>
      <c r="I70" s="5">
        <v>118.8</v>
      </c>
      <c r="J70" s="5">
        <v>36</v>
      </c>
      <c r="K70" s="8">
        <v>191.96</v>
      </c>
      <c r="L70" s="8">
        <v>8.4700000000000006</v>
      </c>
      <c r="M70" s="9">
        <f t="shared" si="4"/>
        <v>22.863260683131269</v>
      </c>
      <c r="N70" s="9">
        <v>23</v>
      </c>
      <c r="O70" s="8">
        <v>157.4</v>
      </c>
      <c r="P70" s="27"/>
      <c r="Q70" s="27"/>
      <c r="R70" s="4"/>
      <c r="S70" s="4"/>
      <c r="T70" s="4"/>
      <c r="U70" s="4"/>
      <c r="V70" s="4"/>
      <c r="W70" s="4"/>
      <c r="X70" s="4"/>
      <c r="Y70" s="4"/>
      <c r="Z70" s="4"/>
      <c r="AA70" s="4"/>
      <c r="AB70" s="4"/>
      <c r="AC70" s="4"/>
      <c r="AD70" s="4"/>
      <c r="AE70" s="4"/>
      <c r="AF70" s="4"/>
      <c r="AG70" s="4"/>
      <c r="AH70" s="4"/>
      <c r="AI70" s="6"/>
    </row>
    <row r="71" spans="5:42" x14ac:dyDescent="0.25">
      <c r="E71" s="2" t="s">
        <v>20</v>
      </c>
      <c r="F71" s="7">
        <v>26</v>
      </c>
      <c r="G71" s="54">
        <v>72.658341360000009</v>
      </c>
      <c r="H71" s="5">
        <v>420</v>
      </c>
      <c r="I71" s="5">
        <v>118.8</v>
      </c>
      <c r="J71" s="5">
        <v>36</v>
      </c>
      <c r="K71" s="8">
        <v>191.96</v>
      </c>
      <c r="L71" s="8">
        <v>8.4700000000000006</v>
      </c>
      <c r="M71" s="9">
        <f t="shared" si="4"/>
        <v>22.769653538093099</v>
      </c>
      <c r="N71" s="9">
        <v>23</v>
      </c>
      <c r="O71" s="8">
        <v>164.7</v>
      </c>
      <c r="P71" s="27"/>
      <c r="Q71" s="27"/>
      <c r="R71" s="4"/>
      <c r="S71" s="4"/>
      <c r="T71" s="4"/>
      <c r="U71" s="4"/>
      <c r="V71" s="4"/>
      <c r="W71" s="4"/>
      <c r="X71" s="4"/>
      <c r="Y71" s="4"/>
      <c r="Z71" s="4"/>
      <c r="AA71" s="4"/>
      <c r="AB71" s="4"/>
      <c r="AC71" s="4"/>
      <c r="AD71" s="4"/>
      <c r="AE71" s="4"/>
      <c r="AF71" s="4"/>
      <c r="AG71" s="4"/>
      <c r="AH71" s="4"/>
      <c r="AI71" s="6"/>
    </row>
    <row r="72" spans="5:42" x14ac:dyDescent="0.25">
      <c r="E72" s="2" t="s">
        <v>21</v>
      </c>
      <c r="F72" s="7">
        <v>26</v>
      </c>
      <c r="G72" s="54">
        <v>40.137126480000006</v>
      </c>
      <c r="H72" s="5">
        <v>420</v>
      </c>
      <c r="I72" s="5">
        <v>118.8</v>
      </c>
      <c r="J72" s="5">
        <v>36</v>
      </c>
      <c r="K72" s="8">
        <v>191.96</v>
      </c>
      <c r="L72" s="8">
        <v>8.4700000000000006</v>
      </c>
      <c r="M72" s="9">
        <f t="shared" si="4"/>
        <v>22.931910759467147</v>
      </c>
      <c r="N72" s="9">
        <v>23</v>
      </c>
      <c r="O72" s="8">
        <v>137.9</v>
      </c>
      <c r="P72" s="27"/>
      <c r="Q72" s="27"/>
      <c r="R72" s="4"/>
      <c r="S72" s="4"/>
      <c r="T72" s="4"/>
      <c r="U72" s="4"/>
      <c r="V72" s="4"/>
      <c r="W72" s="4"/>
      <c r="X72" s="4"/>
      <c r="Y72" s="4"/>
      <c r="Z72" s="4"/>
      <c r="AA72" s="4"/>
      <c r="AB72" s="4"/>
      <c r="AC72" s="4"/>
      <c r="AD72" s="4"/>
      <c r="AE72" s="4"/>
      <c r="AF72" s="4"/>
      <c r="AG72" s="4"/>
      <c r="AH72" s="4"/>
      <c r="AI72" s="6"/>
    </row>
    <row r="73" spans="5:42" x14ac:dyDescent="0.25">
      <c r="E73" s="2" t="s">
        <v>22</v>
      </c>
      <c r="F73" s="7">
        <v>26</v>
      </c>
      <c r="G73" s="54">
        <v>37.843264800000007</v>
      </c>
      <c r="H73" s="5">
        <v>420</v>
      </c>
      <c r="I73" s="5">
        <v>118.8</v>
      </c>
      <c r="J73" s="5">
        <v>36</v>
      </c>
      <c r="K73" s="8">
        <v>191.96</v>
      </c>
      <c r="L73" s="8">
        <v>8.4700000000000006</v>
      </c>
      <c r="M73" s="9">
        <f t="shared" si="4"/>
        <v>22.943355461757221</v>
      </c>
      <c r="N73" s="9">
        <v>23</v>
      </c>
      <c r="O73" s="8">
        <v>108.1</v>
      </c>
      <c r="P73" s="27"/>
      <c r="Q73" s="27"/>
      <c r="R73" s="4"/>
      <c r="S73" s="4"/>
      <c r="T73" s="4"/>
      <c r="U73" s="4"/>
      <c r="V73" s="4"/>
      <c r="W73" s="4"/>
      <c r="X73" s="4"/>
      <c r="Y73" s="4"/>
      <c r="Z73" s="4"/>
      <c r="AA73" s="4"/>
      <c r="AB73" s="4"/>
      <c r="AC73" s="4"/>
      <c r="AD73" s="4"/>
      <c r="AE73" s="4"/>
      <c r="AF73" s="4"/>
      <c r="AG73" s="4"/>
      <c r="AH73" s="4"/>
      <c r="AI73" s="6"/>
    </row>
    <row r="74" spans="5:42" x14ac:dyDescent="0.25">
      <c r="E74" s="2" t="s">
        <v>23</v>
      </c>
      <c r="F74" s="7">
        <v>26</v>
      </c>
      <c r="G74" s="54">
        <v>35.549403120000008</v>
      </c>
      <c r="H74" s="5">
        <v>420</v>
      </c>
      <c r="I74" s="5">
        <v>118.8</v>
      </c>
      <c r="J74" s="5">
        <v>36</v>
      </c>
      <c r="K74" s="8">
        <v>191.96</v>
      </c>
      <c r="L74" s="8">
        <v>8.4700000000000006</v>
      </c>
      <c r="M74" s="9">
        <f t="shared" si="4"/>
        <v>22.954800164047299</v>
      </c>
      <c r="N74" s="9">
        <v>23</v>
      </c>
      <c r="O74" s="8">
        <v>131.80000000000001</v>
      </c>
      <c r="P74" s="27"/>
      <c r="Q74" s="27"/>
      <c r="R74" s="4"/>
      <c r="S74" s="4"/>
      <c r="T74" s="4"/>
      <c r="U74" s="4"/>
      <c r="V74" s="4"/>
      <c r="W74" s="4"/>
      <c r="X74" s="4"/>
      <c r="Y74" s="4"/>
      <c r="Z74" s="4"/>
      <c r="AA74" s="4"/>
      <c r="AB74" s="4"/>
      <c r="AC74" s="4"/>
      <c r="AD74" s="4"/>
      <c r="AE74" s="4"/>
      <c r="AF74" s="4"/>
      <c r="AG74" s="4"/>
      <c r="AH74" s="4"/>
      <c r="AI74" s="6"/>
    </row>
    <row r="75" spans="5:42" ht="13.5" thickBot="1" x14ac:dyDescent="0.35">
      <c r="E75" s="423" t="s">
        <v>3</v>
      </c>
      <c r="F75" s="424"/>
      <c r="G75" s="424"/>
      <c r="H75" s="424"/>
      <c r="I75" s="424"/>
      <c r="J75" s="424"/>
      <c r="K75" s="424"/>
      <c r="L75" s="424"/>
      <c r="M75" s="424"/>
      <c r="N75" s="425"/>
      <c r="O75" s="11">
        <f>SUM(O63:O74)</f>
        <v>1755.1000000000001</v>
      </c>
      <c r="P75" s="28">
        <f>16/24</f>
        <v>0.66666666666666663</v>
      </c>
      <c r="Q75" s="28">
        <f>24/1000</f>
        <v>2.4E-2</v>
      </c>
      <c r="R75" s="8">
        <v>3.59</v>
      </c>
      <c r="S75" s="8">
        <v>12.96</v>
      </c>
      <c r="T75" s="5">
        <f>O75</f>
        <v>1755.1000000000001</v>
      </c>
      <c r="U75" s="15">
        <f>P75*Q75*R75*S75*T75</f>
        <v>1306.5357542400002</v>
      </c>
      <c r="V75" s="5">
        <v>3.94</v>
      </c>
      <c r="W75" s="5">
        <v>12.96</v>
      </c>
      <c r="X75" s="5">
        <f>O75</f>
        <v>1755.1000000000001</v>
      </c>
      <c r="Y75" s="16">
        <f>(P75*Q75*V75*W75*X75)</f>
        <v>1433.9138918400001</v>
      </c>
      <c r="Z75" s="8">
        <v>2.13</v>
      </c>
      <c r="AA75" s="8">
        <v>41.904000000000003</v>
      </c>
      <c r="AB75" s="8">
        <f>O75</f>
        <v>1755.1000000000001</v>
      </c>
      <c r="AC75" s="17">
        <f>(P75*Q75*Z75*AA75*AB75)</f>
        <v>2506.4378104320003</v>
      </c>
      <c r="AD75" s="96">
        <f>L359</f>
        <v>3387.2731966585893</v>
      </c>
      <c r="AE75" s="18">
        <f>U75+Y75+AC75+AD75</f>
        <v>8634.1606531705893</v>
      </c>
      <c r="AF75" s="4">
        <f>AE75*0.1</f>
        <v>863.41606531705895</v>
      </c>
      <c r="AG75" s="19">
        <f>AE75+AF75</f>
        <v>9497.5767184876477</v>
      </c>
      <c r="AH75" s="8">
        <v>3.1</v>
      </c>
      <c r="AI75" s="20">
        <f>ROUND((AG75/AH75),0)</f>
        <v>3064</v>
      </c>
      <c r="AJ75" s="39">
        <v>26</v>
      </c>
      <c r="AK75" s="122"/>
    </row>
    <row r="76" spans="5:42" ht="15.5" x14ac:dyDescent="0.4">
      <c r="E76" s="2" t="s">
        <v>0</v>
      </c>
      <c r="F76" s="3"/>
      <c r="G76" s="5"/>
      <c r="H76" s="4"/>
      <c r="I76" s="4"/>
      <c r="J76" s="4"/>
      <c r="K76" s="4"/>
      <c r="L76" s="4"/>
      <c r="M76" s="3" t="s">
        <v>138</v>
      </c>
      <c r="N76" s="3" t="s">
        <v>137</v>
      </c>
      <c r="O76" s="8" t="s">
        <v>2</v>
      </c>
      <c r="P76" s="5"/>
      <c r="Q76" s="5"/>
      <c r="R76" s="4"/>
      <c r="S76" s="4"/>
      <c r="T76" s="4"/>
      <c r="U76" s="4"/>
      <c r="V76" s="4"/>
      <c r="W76" s="4"/>
      <c r="X76" s="4"/>
      <c r="Y76" s="4"/>
      <c r="Z76" s="4"/>
      <c r="AA76" s="4"/>
      <c r="AB76" s="4"/>
      <c r="AC76" s="4"/>
      <c r="AD76" s="4"/>
      <c r="AE76" s="4"/>
      <c r="AF76" s="4"/>
      <c r="AG76" s="4"/>
      <c r="AH76" s="4"/>
      <c r="AI76" s="6"/>
      <c r="AM76" s="141"/>
      <c r="AN76" s="295" t="s">
        <v>204</v>
      </c>
      <c r="AO76" s="296"/>
      <c r="AP76" s="297"/>
    </row>
    <row r="77" spans="5:42" x14ac:dyDescent="0.25">
      <c r="E77" s="2" t="s">
        <v>15</v>
      </c>
      <c r="F77" s="7">
        <v>27</v>
      </c>
      <c r="G77" s="54">
        <v>36.694516320000005</v>
      </c>
      <c r="H77" s="5">
        <v>420</v>
      </c>
      <c r="I77" s="5">
        <v>118.8</v>
      </c>
      <c r="J77" s="5">
        <v>36</v>
      </c>
      <c r="K77" s="8">
        <v>191.96</v>
      </c>
      <c r="L77" s="8">
        <v>8.4700000000000006</v>
      </c>
      <c r="M77" s="9">
        <f>(F77-((G77+H77+I77+J77)/(K77+L77)))</f>
        <v>23.949086881604551</v>
      </c>
      <c r="N77" s="9">
        <v>24</v>
      </c>
      <c r="O77" s="8">
        <v>75.900000000000006</v>
      </c>
      <c r="P77" s="5"/>
      <c r="Q77" s="5"/>
      <c r="R77" s="4"/>
      <c r="S77" s="4"/>
      <c r="T77" s="4"/>
      <c r="U77" s="4"/>
      <c r="V77" s="4"/>
      <c r="W77" s="4"/>
      <c r="X77" s="4"/>
      <c r="Y77" s="4"/>
      <c r="Z77" s="4"/>
      <c r="AA77" s="4"/>
      <c r="AB77" s="4"/>
      <c r="AC77" s="4"/>
      <c r="AD77" s="4"/>
      <c r="AE77" s="4"/>
      <c r="AF77" s="4"/>
      <c r="AG77" s="4"/>
      <c r="AH77" s="4"/>
      <c r="AI77" s="6"/>
      <c r="AN77" s="76" t="s">
        <v>195</v>
      </c>
      <c r="AO77" s="27" t="s">
        <v>196</v>
      </c>
      <c r="AP77" s="86" t="s">
        <v>201</v>
      </c>
    </row>
    <row r="78" spans="5:42" x14ac:dyDescent="0.25">
      <c r="E78" s="2" t="s">
        <v>16</v>
      </c>
      <c r="F78" s="7">
        <v>27</v>
      </c>
      <c r="G78" s="54">
        <v>38.988378000000012</v>
      </c>
      <c r="H78" s="5">
        <v>420</v>
      </c>
      <c r="I78" s="5">
        <v>118.8</v>
      </c>
      <c r="J78" s="5">
        <v>36</v>
      </c>
      <c r="K78" s="8">
        <v>191.96</v>
      </c>
      <c r="L78" s="8">
        <v>8.4700000000000006</v>
      </c>
      <c r="M78" s="9">
        <f t="shared" ref="M78:M88" si="5">(F78-((G78+H78+I78+J78)/(K78+L78)))</f>
        <v>23.937642179314473</v>
      </c>
      <c r="N78" s="9">
        <v>24</v>
      </c>
      <c r="O78" s="8">
        <v>101.2</v>
      </c>
      <c r="P78" s="5"/>
      <c r="Q78" s="5"/>
      <c r="R78" s="4"/>
      <c r="S78" s="4"/>
      <c r="T78" s="4"/>
      <c r="U78" s="4"/>
      <c r="V78" s="4"/>
      <c r="W78" s="4"/>
      <c r="X78" s="4"/>
      <c r="Y78" s="4"/>
      <c r="Z78" s="4"/>
      <c r="AA78" s="4"/>
      <c r="AB78" s="4"/>
      <c r="AC78" s="4"/>
      <c r="AD78" s="4"/>
      <c r="AE78" s="4"/>
      <c r="AF78" s="4"/>
      <c r="AG78" s="4"/>
      <c r="AH78" s="4"/>
      <c r="AI78" s="6"/>
      <c r="AN78" s="76">
        <v>26</v>
      </c>
      <c r="AO78" s="27">
        <v>10</v>
      </c>
      <c r="AP78" s="35">
        <f>AO78/AO81</f>
        <v>0.5</v>
      </c>
    </row>
    <row r="79" spans="5:42" x14ac:dyDescent="0.25">
      <c r="E79" s="2" t="s">
        <v>17</v>
      </c>
      <c r="F79" s="7">
        <v>27</v>
      </c>
      <c r="G79" s="54">
        <v>42.427352880000001</v>
      </c>
      <c r="H79" s="5">
        <v>420</v>
      </c>
      <c r="I79" s="5">
        <v>118.8</v>
      </c>
      <c r="J79" s="5">
        <v>36</v>
      </c>
      <c r="K79" s="8">
        <v>191.96</v>
      </c>
      <c r="L79" s="8">
        <v>8.4700000000000006</v>
      </c>
      <c r="M79" s="9">
        <f t="shared" si="5"/>
        <v>23.92048419458165</v>
      </c>
      <c r="N79" s="9">
        <v>24</v>
      </c>
      <c r="O79" s="8">
        <v>110.1</v>
      </c>
      <c r="P79" s="5"/>
      <c r="Q79" s="5"/>
      <c r="R79" s="4"/>
      <c r="S79" s="4"/>
      <c r="T79" s="4"/>
      <c r="U79" s="4"/>
      <c r="V79" s="4"/>
      <c r="W79" s="4"/>
      <c r="X79" s="4"/>
      <c r="Y79" s="4"/>
      <c r="Z79" s="4"/>
      <c r="AA79" s="4"/>
      <c r="AB79" s="4"/>
      <c r="AC79" s="4"/>
      <c r="AD79" s="4"/>
      <c r="AE79" s="4"/>
      <c r="AF79" s="4"/>
      <c r="AG79" s="4"/>
      <c r="AH79" s="4"/>
      <c r="AI79" s="6"/>
      <c r="AN79" s="76">
        <v>27</v>
      </c>
      <c r="AO79" s="27">
        <v>8</v>
      </c>
      <c r="AP79" s="35">
        <f>AO79/AO81</f>
        <v>0.4</v>
      </c>
    </row>
    <row r="80" spans="5:42" x14ac:dyDescent="0.25">
      <c r="E80" s="2" t="s">
        <v>18</v>
      </c>
      <c r="F80" s="7">
        <v>27</v>
      </c>
      <c r="G80" s="54">
        <v>50.457686400000007</v>
      </c>
      <c r="H80" s="5">
        <v>420</v>
      </c>
      <c r="I80" s="5">
        <v>118.8</v>
      </c>
      <c r="J80" s="5">
        <v>36</v>
      </c>
      <c r="K80" s="8">
        <v>191.96</v>
      </c>
      <c r="L80" s="8">
        <v>8.4700000000000006</v>
      </c>
      <c r="M80" s="9">
        <f t="shared" si="5"/>
        <v>23.880418667864092</v>
      </c>
      <c r="N80" s="9">
        <v>24</v>
      </c>
      <c r="O80" s="8">
        <v>127.6</v>
      </c>
      <c r="P80" s="5"/>
      <c r="Q80" s="5"/>
      <c r="R80" s="4"/>
      <c r="S80" s="4"/>
      <c r="T80" s="4"/>
      <c r="U80" s="4"/>
      <c r="V80" s="4"/>
      <c r="W80" s="4"/>
      <c r="X80" s="4"/>
      <c r="Y80" s="4"/>
      <c r="Z80" s="4"/>
      <c r="AA80" s="4"/>
      <c r="AB80" s="4"/>
      <c r="AC80" s="4"/>
      <c r="AD80" s="4"/>
      <c r="AE80" s="4"/>
      <c r="AF80" s="4"/>
      <c r="AG80" s="4"/>
      <c r="AH80" s="4"/>
      <c r="AI80" s="6"/>
      <c r="AN80" s="76">
        <v>28</v>
      </c>
      <c r="AO80" s="27">
        <v>2</v>
      </c>
      <c r="AP80" s="35">
        <f>AO80/AO81</f>
        <v>0.1</v>
      </c>
    </row>
    <row r="81" spans="5:42" ht="13.5" thickBot="1" x14ac:dyDescent="0.3">
      <c r="E81" s="2" t="s">
        <v>12</v>
      </c>
      <c r="F81" s="7">
        <v>27</v>
      </c>
      <c r="G81" s="54">
        <v>84.858341040000013</v>
      </c>
      <c r="H81" s="5">
        <v>420</v>
      </c>
      <c r="I81" s="5">
        <v>118.8</v>
      </c>
      <c r="J81" s="5">
        <v>36</v>
      </c>
      <c r="K81" s="8">
        <v>191.96</v>
      </c>
      <c r="L81" s="8">
        <v>8.4700000000000006</v>
      </c>
      <c r="M81" s="9">
        <f t="shared" si="5"/>
        <v>23.708784408322106</v>
      </c>
      <c r="N81" s="9">
        <v>23.5</v>
      </c>
      <c r="O81" s="8">
        <v>153.19999999999999</v>
      </c>
      <c r="P81" s="5"/>
      <c r="Q81" s="5"/>
      <c r="R81" s="4"/>
      <c r="S81" s="4"/>
      <c r="T81" s="4"/>
      <c r="U81" s="4"/>
      <c r="V81" s="4"/>
      <c r="W81" s="4"/>
      <c r="X81" s="4"/>
      <c r="Y81" s="4"/>
      <c r="Z81" s="4"/>
      <c r="AA81" s="4"/>
      <c r="AB81" s="4"/>
      <c r="AC81" s="4"/>
      <c r="AD81" s="4"/>
      <c r="AE81" s="4"/>
      <c r="AF81" s="4"/>
      <c r="AG81" s="4"/>
      <c r="AH81" s="4"/>
      <c r="AI81" s="6"/>
      <c r="AN81" s="142"/>
      <c r="AO81" s="89">
        <f>AO78+AO79+AO80</f>
        <v>20</v>
      </c>
      <c r="AP81" s="140"/>
    </row>
    <row r="82" spans="5:42" x14ac:dyDescent="0.25">
      <c r="E82" s="2" t="s">
        <v>13</v>
      </c>
      <c r="F82" s="7">
        <v>27</v>
      </c>
      <c r="G82" s="54">
        <v>103.20923448000003</v>
      </c>
      <c r="H82" s="5">
        <v>420</v>
      </c>
      <c r="I82" s="5">
        <v>118.8</v>
      </c>
      <c r="J82" s="5">
        <v>36</v>
      </c>
      <c r="K82" s="8">
        <v>191.96</v>
      </c>
      <c r="L82" s="8">
        <v>8.4700000000000006</v>
      </c>
      <c r="M82" s="9">
        <f t="shared" si="5"/>
        <v>23.617226790001496</v>
      </c>
      <c r="N82" s="9">
        <v>23.5</v>
      </c>
      <c r="O82" s="8">
        <v>137.5</v>
      </c>
      <c r="P82" s="5"/>
      <c r="Q82" s="5"/>
      <c r="R82" s="4"/>
      <c r="S82" s="4"/>
      <c r="T82" s="4"/>
      <c r="U82" s="4"/>
      <c r="V82" s="4"/>
      <c r="W82" s="4"/>
      <c r="X82" s="4"/>
      <c r="Y82" s="4"/>
      <c r="Z82" s="4"/>
      <c r="AA82" s="4"/>
      <c r="AB82" s="4"/>
      <c r="AC82" s="4"/>
      <c r="AD82" s="4"/>
      <c r="AE82" s="4"/>
      <c r="AF82" s="4"/>
      <c r="AG82" s="4"/>
      <c r="AH82" s="4"/>
      <c r="AI82" s="6"/>
      <c r="AN82" s="143"/>
      <c r="AO82" s="143"/>
      <c r="AP82" s="144"/>
    </row>
    <row r="83" spans="5:42" x14ac:dyDescent="0.25">
      <c r="E83" s="2" t="s">
        <v>24</v>
      </c>
      <c r="F83" s="7">
        <v>27</v>
      </c>
      <c r="G83" s="54">
        <v>88.300951200000014</v>
      </c>
      <c r="H83" s="5">
        <v>420</v>
      </c>
      <c r="I83" s="5">
        <v>118.8</v>
      </c>
      <c r="J83" s="5">
        <v>36</v>
      </c>
      <c r="K83" s="8">
        <v>191.96</v>
      </c>
      <c r="L83" s="8">
        <v>8.4700000000000006</v>
      </c>
      <c r="M83" s="9">
        <f t="shared" si="5"/>
        <v>23.691608286184703</v>
      </c>
      <c r="N83" s="9">
        <v>23.5</v>
      </c>
      <c r="O83" s="8">
        <v>144.19999999999999</v>
      </c>
      <c r="P83" s="27"/>
      <c r="Q83" s="27"/>
      <c r="R83" s="4"/>
      <c r="S83" s="4"/>
      <c r="T83" s="4"/>
      <c r="U83" s="4"/>
      <c r="V83" s="4"/>
      <c r="W83" s="4"/>
      <c r="X83" s="4"/>
      <c r="Y83" s="4"/>
      <c r="Z83" s="4"/>
      <c r="AA83" s="4"/>
      <c r="AB83" s="4"/>
      <c r="AC83" s="4"/>
      <c r="AD83" s="4"/>
      <c r="AE83" s="4"/>
      <c r="AF83" s="4"/>
      <c r="AG83" s="4"/>
      <c r="AH83" s="4"/>
      <c r="AI83" s="6"/>
      <c r="AN83" s="82"/>
      <c r="AO83" s="82"/>
      <c r="AP83" s="54"/>
    </row>
    <row r="84" spans="5:42" x14ac:dyDescent="0.25">
      <c r="E84" s="2" t="s">
        <v>19</v>
      </c>
      <c r="F84" s="7">
        <v>27</v>
      </c>
      <c r="G84" s="54">
        <v>53.896661280000004</v>
      </c>
      <c r="H84" s="5">
        <v>420</v>
      </c>
      <c r="I84" s="5">
        <v>118.8</v>
      </c>
      <c r="J84" s="5">
        <v>36</v>
      </c>
      <c r="K84" s="8">
        <v>191.96</v>
      </c>
      <c r="L84" s="8">
        <v>8.4700000000000006</v>
      </c>
      <c r="M84" s="9">
        <f t="shared" si="5"/>
        <v>23.863260683131269</v>
      </c>
      <c r="N84" s="9">
        <v>24</v>
      </c>
      <c r="O84" s="8">
        <v>126.4</v>
      </c>
      <c r="P84" s="27"/>
      <c r="Q84" s="27"/>
      <c r="R84" s="4"/>
      <c r="S84" s="4"/>
      <c r="T84" s="4"/>
      <c r="U84" s="4"/>
      <c r="V84" s="4"/>
      <c r="W84" s="4"/>
      <c r="X84" s="4"/>
      <c r="Y84" s="4"/>
      <c r="Z84" s="4"/>
      <c r="AA84" s="4"/>
      <c r="AB84" s="4"/>
      <c r="AC84" s="4"/>
      <c r="AD84" s="4"/>
      <c r="AE84" s="4"/>
      <c r="AF84" s="4"/>
      <c r="AG84" s="4"/>
      <c r="AH84" s="4"/>
      <c r="AI84" s="6"/>
      <c r="AN84" s="82"/>
      <c r="AO84" s="82"/>
      <c r="AP84" s="54"/>
    </row>
    <row r="85" spans="5:42" x14ac:dyDescent="0.25">
      <c r="E85" s="2" t="s">
        <v>20</v>
      </c>
      <c r="F85" s="7">
        <v>27</v>
      </c>
      <c r="G85" s="54">
        <v>72.658341360000009</v>
      </c>
      <c r="H85" s="5">
        <v>420</v>
      </c>
      <c r="I85" s="5">
        <v>118.8</v>
      </c>
      <c r="J85" s="5">
        <v>36</v>
      </c>
      <c r="K85" s="8">
        <v>191.96</v>
      </c>
      <c r="L85" s="8">
        <v>8.4700000000000006</v>
      </c>
      <c r="M85" s="9">
        <f t="shared" si="5"/>
        <v>23.769653538093099</v>
      </c>
      <c r="N85" s="9">
        <v>24</v>
      </c>
      <c r="O85" s="8">
        <v>134.69999999999999</v>
      </c>
      <c r="P85" s="27"/>
      <c r="Q85" s="27"/>
      <c r="R85" s="4"/>
      <c r="S85" s="4"/>
      <c r="T85" s="4"/>
      <c r="U85" s="4"/>
      <c r="V85" s="4"/>
      <c r="W85" s="4"/>
      <c r="X85" s="4"/>
      <c r="Y85" s="4"/>
      <c r="Z85" s="4"/>
      <c r="AA85" s="4"/>
      <c r="AB85" s="4"/>
      <c r="AC85" s="4"/>
      <c r="AD85" s="4"/>
      <c r="AE85" s="4"/>
      <c r="AF85" s="4"/>
      <c r="AG85" s="4"/>
      <c r="AH85" s="4"/>
      <c r="AI85" s="6"/>
      <c r="AN85" s="82"/>
      <c r="AO85" s="82"/>
      <c r="AP85" s="54"/>
    </row>
    <row r="86" spans="5:42" x14ac:dyDescent="0.25">
      <c r="E86" s="2" t="s">
        <v>21</v>
      </c>
      <c r="F86" s="7">
        <v>27</v>
      </c>
      <c r="G86" s="54">
        <v>40.137126480000006</v>
      </c>
      <c r="H86" s="5">
        <v>420</v>
      </c>
      <c r="I86" s="5">
        <v>118.8</v>
      </c>
      <c r="J86" s="5">
        <v>36</v>
      </c>
      <c r="K86" s="8">
        <v>191.96</v>
      </c>
      <c r="L86" s="8">
        <v>8.4700000000000006</v>
      </c>
      <c r="M86" s="9">
        <f t="shared" si="5"/>
        <v>23.931910759467147</v>
      </c>
      <c r="N86" s="9">
        <v>24</v>
      </c>
      <c r="O86" s="8">
        <v>106.9</v>
      </c>
      <c r="P86" s="27"/>
      <c r="Q86" s="27"/>
      <c r="R86" s="4"/>
      <c r="S86" s="4"/>
      <c r="T86" s="4"/>
      <c r="U86" s="4"/>
      <c r="V86" s="4"/>
      <c r="W86" s="4"/>
      <c r="X86" s="4"/>
      <c r="Y86" s="4"/>
      <c r="Z86" s="4"/>
      <c r="AA86" s="4"/>
      <c r="AB86" s="4"/>
      <c r="AC86" s="4"/>
      <c r="AD86" s="4"/>
      <c r="AE86" s="4"/>
      <c r="AF86" s="4"/>
      <c r="AG86" s="4"/>
      <c r="AH86" s="4"/>
      <c r="AI86" s="6"/>
    </row>
    <row r="87" spans="5:42" x14ac:dyDescent="0.25">
      <c r="E87" s="2" t="s">
        <v>22</v>
      </c>
      <c r="F87" s="7">
        <v>27</v>
      </c>
      <c r="G87" s="54">
        <v>37.843264800000007</v>
      </c>
      <c r="H87" s="5">
        <v>420</v>
      </c>
      <c r="I87" s="5">
        <v>118.8</v>
      </c>
      <c r="J87" s="5">
        <v>36</v>
      </c>
      <c r="K87" s="8">
        <v>191.96</v>
      </c>
      <c r="L87" s="8">
        <v>8.4700000000000006</v>
      </c>
      <c r="M87" s="9">
        <f t="shared" si="5"/>
        <v>23.943355461757221</v>
      </c>
      <c r="N87" s="9">
        <v>24</v>
      </c>
      <c r="O87" s="8">
        <v>78.7</v>
      </c>
      <c r="P87" s="27"/>
      <c r="Q87" s="27"/>
      <c r="R87" s="4"/>
      <c r="S87" s="4"/>
      <c r="T87" s="4"/>
      <c r="U87" s="4"/>
      <c r="V87" s="4"/>
      <c r="W87" s="4"/>
      <c r="X87" s="4"/>
      <c r="Y87" s="4"/>
      <c r="Z87" s="4"/>
      <c r="AA87" s="4"/>
      <c r="AB87" s="4"/>
      <c r="AC87" s="4"/>
      <c r="AD87" s="4"/>
      <c r="AE87" s="4"/>
      <c r="AF87" s="4"/>
      <c r="AG87" s="4"/>
      <c r="AH87" s="4"/>
      <c r="AI87" s="6"/>
    </row>
    <row r="88" spans="5:42" x14ac:dyDescent="0.25">
      <c r="E88" s="2" t="s">
        <v>23</v>
      </c>
      <c r="F88" s="7">
        <v>27</v>
      </c>
      <c r="G88" s="54">
        <v>35.549403120000008</v>
      </c>
      <c r="H88" s="5">
        <v>420</v>
      </c>
      <c r="I88" s="5">
        <v>118.8</v>
      </c>
      <c r="J88" s="5">
        <v>36</v>
      </c>
      <c r="K88" s="8">
        <v>191.96</v>
      </c>
      <c r="L88" s="8">
        <v>8.4700000000000006</v>
      </c>
      <c r="M88" s="9">
        <f t="shared" si="5"/>
        <v>23.954800164047299</v>
      </c>
      <c r="N88" s="9">
        <v>24</v>
      </c>
      <c r="O88" s="8">
        <v>102.2</v>
      </c>
      <c r="P88" s="27"/>
      <c r="Q88" s="27"/>
      <c r="R88" s="4"/>
      <c r="S88" s="4"/>
      <c r="T88" s="4"/>
      <c r="U88" s="4"/>
      <c r="V88" s="4"/>
      <c r="W88" s="4"/>
      <c r="X88" s="4"/>
      <c r="Y88" s="4"/>
      <c r="Z88" s="4"/>
      <c r="AA88" s="4"/>
      <c r="AB88" s="4"/>
      <c r="AC88" s="4"/>
      <c r="AD88" s="4"/>
      <c r="AE88" s="4"/>
      <c r="AF88" s="4"/>
      <c r="AG88" s="4"/>
      <c r="AH88" s="4"/>
      <c r="AI88" s="6"/>
    </row>
    <row r="89" spans="5:42" x14ac:dyDescent="0.3">
      <c r="E89" s="423" t="s">
        <v>3</v>
      </c>
      <c r="F89" s="424"/>
      <c r="G89" s="424"/>
      <c r="H89" s="424"/>
      <c r="I89" s="424"/>
      <c r="J89" s="424"/>
      <c r="K89" s="424"/>
      <c r="L89" s="424"/>
      <c r="M89" s="424"/>
      <c r="N89" s="425"/>
      <c r="O89" s="14">
        <f>SUM(O77:O88)</f>
        <v>1398.6000000000001</v>
      </c>
      <c r="P89" s="28">
        <f>16/24</f>
        <v>0.66666666666666663</v>
      </c>
      <c r="Q89" s="28">
        <f>24/1000</f>
        <v>2.4E-2</v>
      </c>
      <c r="R89" s="8">
        <v>3.59</v>
      </c>
      <c r="S89" s="8">
        <v>12.96</v>
      </c>
      <c r="T89" s="5">
        <f>O89</f>
        <v>1398.6000000000001</v>
      </c>
      <c r="U89" s="15">
        <f>P89*Q89*R89*S89*T89</f>
        <v>1041.1491686400002</v>
      </c>
      <c r="V89" s="5">
        <v>3.94</v>
      </c>
      <c r="W89" s="5">
        <v>12.96</v>
      </c>
      <c r="X89" s="5">
        <f>O89</f>
        <v>1398.6000000000001</v>
      </c>
      <c r="Y89" s="16">
        <f>(P89*Q89*V89*W89*X89)</f>
        <v>1142.6539622400001</v>
      </c>
      <c r="Z89" s="8">
        <v>2.13</v>
      </c>
      <c r="AA89" s="8">
        <v>41.904000000000003</v>
      </c>
      <c r="AB89" s="8">
        <f>O89</f>
        <v>1398.6000000000001</v>
      </c>
      <c r="AC89" s="17">
        <f>(P89*Q89*Z89*AA89*AB89)</f>
        <v>1997.3243243520003</v>
      </c>
      <c r="AD89" s="96">
        <f>L360</f>
        <v>3309.8525753294757</v>
      </c>
      <c r="AE89" s="18">
        <f>U89+Y89+AC89+AD89</f>
        <v>7490.9800305614754</v>
      </c>
      <c r="AF89" s="4">
        <f>AE89*0.1</f>
        <v>749.0980030561476</v>
      </c>
      <c r="AG89" s="19">
        <f>AE89+AF89</f>
        <v>8240.0780336176231</v>
      </c>
      <c r="AH89" s="8">
        <v>3.1</v>
      </c>
      <c r="AI89" s="20">
        <f>ROUND((AG89/AH89),0)</f>
        <v>2658</v>
      </c>
      <c r="AJ89" s="39">
        <v>27</v>
      </c>
      <c r="AN89" s="53"/>
      <c r="AO89" s="54"/>
      <c r="AP89" s="54"/>
    </row>
    <row r="90" spans="5:42" ht="15.5" x14ac:dyDescent="0.4">
      <c r="E90" s="2" t="s">
        <v>0</v>
      </c>
      <c r="F90" s="3"/>
      <c r="G90" s="5"/>
      <c r="H90" s="4"/>
      <c r="I90" s="4"/>
      <c r="J90" s="4"/>
      <c r="K90" s="4"/>
      <c r="L90" s="4"/>
      <c r="M90" s="3" t="s">
        <v>138</v>
      </c>
      <c r="N90" s="3" t="s">
        <v>137</v>
      </c>
      <c r="O90" s="8" t="s">
        <v>2</v>
      </c>
      <c r="P90" s="5"/>
      <c r="Q90" s="5"/>
      <c r="R90" s="4"/>
      <c r="S90" s="4"/>
      <c r="T90" s="4"/>
      <c r="U90" s="4"/>
      <c r="V90" s="4"/>
      <c r="W90" s="4"/>
      <c r="X90" s="4"/>
      <c r="Y90" s="4"/>
      <c r="Z90" s="4"/>
      <c r="AA90" s="4"/>
      <c r="AB90" s="4"/>
      <c r="AC90" s="4"/>
      <c r="AD90" s="4"/>
      <c r="AE90" s="4"/>
      <c r="AF90" s="4"/>
      <c r="AG90" s="4"/>
      <c r="AH90" s="4"/>
      <c r="AI90" s="6"/>
    </row>
    <row r="91" spans="5:42" x14ac:dyDescent="0.25">
      <c r="E91" s="2" t="s">
        <v>15</v>
      </c>
      <c r="F91" s="7">
        <v>28</v>
      </c>
      <c r="G91" s="54">
        <v>36.694516320000005</v>
      </c>
      <c r="H91" s="5">
        <v>420</v>
      </c>
      <c r="I91" s="5">
        <v>118.8</v>
      </c>
      <c r="J91" s="5">
        <v>36</v>
      </c>
      <c r="K91" s="8">
        <v>191.96</v>
      </c>
      <c r="L91" s="8">
        <v>8.4700000000000006</v>
      </c>
      <c r="M91" s="9">
        <f>(F91-((G91+H91+I91+J91)/(K91+L91)))</f>
        <v>24.949086881604551</v>
      </c>
      <c r="N91" s="9">
        <v>25</v>
      </c>
      <c r="O91" s="8">
        <v>53.7</v>
      </c>
      <c r="P91" s="5"/>
      <c r="Q91" s="5"/>
      <c r="R91" s="4"/>
      <c r="S91" s="4"/>
      <c r="T91" s="4"/>
      <c r="U91" s="4"/>
      <c r="V91" s="4"/>
      <c r="W91" s="4"/>
      <c r="X91" s="4"/>
      <c r="Y91" s="4"/>
      <c r="Z91" s="4"/>
      <c r="AA91" s="4"/>
      <c r="AB91" s="4"/>
      <c r="AC91" s="4"/>
      <c r="AD91" s="4"/>
      <c r="AE91" s="4"/>
      <c r="AF91" s="4"/>
      <c r="AG91" s="4"/>
      <c r="AH91" s="4"/>
      <c r="AI91" s="6"/>
    </row>
    <row r="92" spans="5:42" x14ac:dyDescent="0.25">
      <c r="E92" s="2" t="s">
        <v>16</v>
      </c>
      <c r="F92" s="7">
        <v>28</v>
      </c>
      <c r="G92" s="54">
        <v>38.988378000000012</v>
      </c>
      <c r="H92" s="5">
        <v>420</v>
      </c>
      <c r="I92" s="5">
        <v>118.8</v>
      </c>
      <c r="J92" s="5">
        <v>36</v>
      </c>
      <c r="K92" s="8">
        <v>191.96</v>
      </c>
      <c r="L92" s="8">
        <v>8.4700000000000006</v>
      </c>
      <c r="M92" s="9">
        <f t="shared" ref="M92:M102" si="6">(F92-((G92+H92+I92+J92)/(K92+L92)))</f>
        <v>24.937642179314473</v>
      </c>
      <c r="N92" s="9">
        <v>25</v>
      </c>
      <c r="O92" s="8">
        <v>80.3</v>
      </c>
      <c r="P92" s="5"/>
      <c r="Q92" s="5"/>
      <c r="R92" s="4"/>
      <c r="S92" s="4"/>
      <c r="T92" s="4"/>
      <c r="U92" s="4"/>
      <c r="V92" s="4"/>
      <c r="W92" s="4"/>
      <c r="X92" s="4"/>
      <c r="Y92" s="4"/>
      <c r="Z92" s="4"/>
      <c r="AA92" s="4"/>
      <c r="AB92" s="4"/>
      <c r="AC92" s="4"/>
      <c r="AD92" s="4"/>
      <c r="AE92" s="4"/>
      <c r="AF92" s="4"/>
      <c r="AG92" s="4"/>
      <c r="AH92" s="4"/>
      <c r="AI92" s="6"/>
    </row>
    <row r="93" spans="5:42" x14ac:dyDescent="0.25">
      <c r="E93" s="2" t="s">
        <v>17</v>
      </c>
      <c r="F93" s="7">
        <v>28</v>
      </c>
      <c r="G93" s="54">
        <v>42.427352880000001</v>
      </c>
      <c r="H93" s="5">
        <v>420</v>
      </c>
      <c r="I93" s="5">
        <v>118.8</v>
      </c>
      <c r="J93" s="5">
        <v>36</v>
      </c>
      <c r="K93" s="8">
        <v>191.96</v>
      </c>
      <c r="L93" s="8">
        <v>8.4700000000000006</v>
      </c>
      <c r="M93" s="9">
        <f t="shared" si="6"/>
        <v>24.92048419458165</v>
      </c>
      <c r="N93" s="9">
        <v>25</v>
      </c>
      <c r="O93" s="8">
        <v>84.9</v>
      </c>
      <c r="P93" s="5"/>
      <c r="Q93" s="5"/>
      <c r="R93" s="4"/>
      <c r="S93" s="4"/>
      <c r="T93" s="4"/>
      <c r="U93" s="4"/>
      <c r="V93" s="4"/>
      <c r="W93" s="4"/>
      <c r="X93" s="4"/>
      <c r="Y93" s="4"/>
      <c r="Z93" s="4"/>
      <c r="AA93" s="4"/>
      <c r="AB93" s="4"/>
      <c r="AC93" s="4"/>
      <c r="AD93" s="4"/>
      <c r="AE93" s="4"/>
      <c r="AF93" s="4"/>
      <c r="AG93" s="4"/>
      <c r="AH93" s="4"/>
      <c r="AI93" s="6"/>
    </row>
    <row r="94" spans="5:42" x14ac:dyDescent="0.25">
      <c r="E94" s="2" t="s">
        <v>18</v>
      </c>
      <c r="F94" s="7">
        <v>28</v>
      </c>
      <c r="G94" s="54">
        <v>50.457686400000007</v>
      </c>
      <c r="H94" s="5">
        <v>420</v>
      </c>
      <c r="I94" s="5">
        <v>118.8</v>
      </c>
      <c r="J94" s="5">
        <v>36</v>
      </c>
      <c r="K94" s="8">
        <v>191.96</v>
      </c>
      <c r="L94" s="8">
        <v>8.4700000000000006</v>
      </c>
      <c r="M94" s="9">
        <f t="shared" si="6"/>
        <v>24.880418667864092</v>
      </c>
      <c r="N94" s="9">
        <v>25</v>
      </c>
      <c r="O94" s="8">
        <v>99.3</v>
      </c>
      <c r="P94" s="5"/>
      <c r="Q94" s="5"/>
      <c r="R94" s="4"/>
      <c r="S94" s="4"/>
      <c r="T94" s="4"/>
      <c r="U94" s="4"/>
      <c r="V94" s="4"/>
      <c r="W94" s="4"/>
      <c r="X94" s="4"/>
      <c r="Y94" s="4"/>
      <c r="Z94" s="4"/>
      <c r="AA94" s="4"/>
      <c r="AB94" s="4"/>
      <c r="AC94" s="4"/>
      <c r="AD94" s="4"/>
      <c r="AE94" s="4"/>
      <c r="AF94" s="4"/>
      <c r="AG94" s="4"/>
      <c r="AH94" s="4"/>
      <c r="AI94" s="6"/>
    </row>
    <row r="95" spans="5:42" x14ac:dyDescent="0.25">
      <c r="E95" s="2" t="s">
        <v>12</v>
      </c>
      <c r="F95" s="7">
        <v>28</v>
      </c>
      <c r="G95" s="54">
        <v>84.858341040000013</v>
      </c>
      <c r="H95" s="5">
        <v>420</v>
      </c>
      <c r="I95" s="5">
        <v>118.8</v>
      </c>
      <c r="J95" s="5">
        <v>36</v>
      </c>
      <c r="K95" s="8">
        <v>191.96</v>
      </c>
      <c r="L95" s="8">
        <v>8.4700000000000006</v>
      </c>
      <c r="M95" s="99">
        <f t="shared" si="6"/>
        <v>24.708784408322106</v>
      </c>
      <c r="N95" s="99">
        <v>24.5</v>
      </c>
      <c r="O95" s="8">
        <v>122.5</v>
      </c>
      <c r="P95" s="5"/>
      <c r="Q95" s="5"/>
      <c r="R95" s="4"/>
      <c r="S95" s="4"/>
      <c r="T95" s="4"/>
      <c r="U95" s="4"/>
      <c r="V95" s="4"/>
      <c r="W95" s="4"/>
      <c r="X95" s="4"/>
      <c r="Y95" s="4"/>
      <c r="Z95" s="4"/>
      <c r="AA95" s="4"/>
      <c r="AB95" s="4"/>
      <c r="AC95" s="4"/>
      <c r="AD95" s="4"/>
      <c r="AE95" s="4"/>
      <c r="AF95" s="4"/>
      <c r="AG95" s="4"/>
      <c r="AH95" s="4"/>
      <c r="AI95" s="6"/>
    </row>
    <row r="96" spans="5:42" x14ac:dyDescent="0.25">
      <c r="E96" s="2" t="s">
        <v>13</v>
      </c>
      <c r="F96" s="7">
        <v>28</v>
      </c>
      <c r="G96" s="54">
        <v>103.20923448000003</v>
      </c>
      <c r="H96" s="5">
        <v>420</v>
      </c>
      <c r="I96" s="5">
        <v>118.8</v>
      </c>
      <c r="J96" s="5">
        <v>36</v>
      </c>
      <c r="K96" s="8">
        <v>191.96</v>
      </c>
      <c r="L96" s="8">
        <v>8.4700000000000006</v>
      </c>
      <c r="M96" s="99">
        <f t="shared" si="6"/>
        <v>24.617226790001496</v>
      </c>
      <c r="N96" s="99">
        <v>24.5</v>
      </c>
      <c r="O96" s="8">
        <v>107.6</v>
      </c>
      <c r="P96" s="5"/>
      <c r="Q96" s="5"/>
      <c r="R96" s="4"/>
      <c r="S96" s="4"/>
      <c r="T96" s="4"/>
      <c r="U96" s="4"/>
      <c r="V96" s="4"/>
      <c r="W96" s="4"/>
      <c r="X96" s="4"/>
      <c r="Y96" s="4"/>
      <c r="Z96" s="4"/>
      <c r="AA96" s="4"/>
      <c r="AB96" s="4"/>
      <c r="AC96" s="4"/>
      <c r="AD96" s="4"/>
      <c r="AE96" s="4"/>
      <c r="AF96" s="4"/>
      <c r="AG96" s="4"/>
      <c r="AH96" s="4"/>
      <c r="AI96" s="6"/>
    </row>
    <row r="97" spans="2:39" x14ac:dyDescent="0.25">
      <c r="E97" s="2" t="s">
        <v>24</v>
      </c>
      <c r="F97" s="7">
        <v>28</v>
      </c>
      <c r="G97" s="54">
        <v>88.300951200000014</v>
      </c>
      <c r="H97" s="5">
        <v>420</v>
      </c>
      <c r="I97" s="5">
        <v>118.8</v>
      </c>
      <c r="J97" s="5">
        <v>36</v>
      </c>
      <c r="K97" s="8">
        <v>191.96</v>
      </c>
      <c r="L97" s="8">
        <v>8.4700000000000006</v>
      </c>
      <c r="M97" s="99">
        <f t="shared" si="6"/>
        <v>24.691608286184703</v>
      </c>
      <c r="N97" s="99">
        <v>24.5</v>
      </c>
      <c r="O97" s="8">
        <v>113.4</v>
      </c>
      <c r="P97" s="18"/>
      <c r="Q97" s="18"/>
      <c r="R97" s="4"/>
      <c r="S97" s="4"/>
      <c r="T97" s="4"/>
      <c r="U97" s="4"/>
      <c r="V97" s="4"/>
      <c r="W97" s="4"/>
      <c r="X97" s="4"/>
      <c r="Y97" s="4"/>
      <c r="Z97" s="4"/>
      <c r="AA97" s="4"/>
      <c r="AB97" s="4"/>
      <c r="AC97" s="4"/>
      <c r="AD97" s="4"/>
      <c r="AE97" s="4"/>
      <c r="AF97" s="4"/>
      <c r="AG97" s="4"/>
      <c r="AH97" s="4"/>
      <c r="AI97" s="6"/>
    </row>
    <row r="98" spans="2:39" x14ac:dyDescent="0.25">
      <c r="E98" s="2" t="s">
        <v>19</v>
      </c>
      <c r="F98" s="7">
        <v>28</v>
      </c>
      <c r="G98" s="54">
        <v>53.896661280000004</v>
      </c>
      <c r="H98" s="5">
        <v>420</v>
      </c>
      <c r="I98" s="5">
        <v>118.8</v>
      </c>
      <c r="J98" s="5">
        <v>36</v>
      </c>
      <c r="K98" s="8">
        <v>191.96</v>
      </c>
      <c r="L98" s="8">
        <v>8.4700000000000006</v>
      </c>
      <c r="M98" s="9">
        <f t="shared" si="6"/>
        <v>24.863260683131269</v>
      </c>
      <c r="N98" s="9">
        <v>25</v>
      </c>
      <c r="O98" s="8">
        <v>95.8</v>
      </c>
      <c r="P98" s="18"/>
      <c r="Q98" s="18"/>
      <c r="R98" s="4"/>
      <c r="S98" s="4"/>
      <c r="T98" s="4"/>
      <c r="U98" s="4"/>
      <c r="V98" s="4"/>
      <c r="W98" s="4"/>
      <c r="X98" s="4"/>
      <c r="Y98" s="4"/>
      <c r="Z98" s="4"/>
      <c r="AA98" s="4"/>
      <c r="AB98" s="4"/>
      <c r="AC98" s="4"/>
      <c r="AD98" s="4"/>
      <c r="AE98" s="4"/>
      <c r="AF98" s="4"/>
      <c r="AG98" s="4"/>
      <c r="AH98" s="4"/>
      <c r="AI98" s="6"/>
    </row>
    <row r="99" spans="2:39" x14ac:dyDescent="0.25">
      <c r="E99" s="2" t="s">
        <v>20</v>
      </c>
      <c r="F99" s="7">
        <v>28</v>
      </c>
      <c r="G99" s="54">
        <v>72.658341360000009</v>
      </c>
      <c r="H99" s="5">
        <v>420</v>
      </c>
      <c r="I99" s="5">
        <v>118.8</v>
      </c>
      <c r="J99" s="5">
        <v>36</v>
      </c>
      <c r="K99" s="8">
        <v>191.96</v>
      </c>
      <c r="L99" s="8">
        <v>8.4700000000000006</v>
      </c>
      <c r="M99" s="9">
        <f t="shared" si="6"/>
        <v>24.769653538093099</v>
      </c>
      <c r="N99" s="9">
        <v>25</v>
      </c>
      <c r="O99" s="8">
        <v>105.1</v>
      </c>
      <c r="P99" s="18"/>
      <c r="Q99" s="18"/>
      <c r="R99" s="4"/>
      <c r="S99" s="4"/>
      <c r="T99" s="4"/>
      <c r="U99" s="4"/>
      <c r="V99" s="4"/>
      <c r="W99" s="4"/>
      <c r="X99" s="4"/>
      <c r="Y99" s="4"/>
      <c r="Z99" s="4"/>
      <c r="AA99" s="4"/>
      <c r="AB99" s="4"/>
      <c r="AC99" s="4"/>
      <c r="AD99" s="4"/>
      <c r="AE99" s="4"/>
      <c r="AF99" s="4"/>
      <c r="AG99" s="4"/>
      <c r="AH99" s="4"/>
      <c r="AI99" s="6"/>
    </row>
    <row r="100" spans="2:39" x14ac:dyDescent="0.25">
      <c r="E100" s="2" t="s">
        <v>21</v>
      </c>
      <c r="F100" s="7">
        <v>28</v>
      </c>
      <c r="G100" s="54">
        <v>40.137126480000006</v>
      </c>
      <c r="H100" s="5">
        <v>420</v>
      </c>
      <c r="I100" s="5">
        <v>118.8</v>
      </c>
      <c r="J100" s="5">
        <v>36</v>
      </c>
      <c r="K100" s="8">
        <v>191.96</v>
      </c>
      <c r="L100" s="8">
        <v>8.4700000000000006</v>
      </c>
      <c r="M100" s="9">
        <f t="shared" si="6"/>
        <v>24.931910759467147</v>
      </c>
      <c r="N100" s="9">
        <v>25</v>
      </c>
      <c r="O100" s="8">
        <v>77.599999999999994</v>
      </c>
      <c r="P100" s="18"/>
      <c r="Q100" s="18"/>
      <c r="R100" s="4"/>
      <c r="S100" s="4"/>
      <c r="T100" s="4"/>
      <c r="U100" s="4"/>
      <c r="V100" s="4"/>
      <c r="W100" s="4"/>
      <c r="X100" s="4"/>
      <c r="Y100" s="4"/>
      <c r="Z100" s="4"/>
      <c r="AA100" s="4"/>
      <c r="AB100" s="4"/>
      <c r="AC100" s="4"/>
      <c r="AD100" s="4"/>
      <c r="AE100" s="4"/>
      <c r="AF100" s="4"/>
      <c r="AG100" s="4"/>
      <c r="AH100" s="4"/>
      <c r="AI100" s="6"/>
    </row>
    <row r="101" spans="2:39" x14ac:dyDescent="0.25">
      <c r="E101" s="2" t="s">
        <v>22</v>
      </c>
      <c r="F101" s="7">
        <v>28</v>
      </c>
      <c r="G101" s="54">
        <v>37.843264800000007</v>
      </c>
      <c r="H101" s="5">
        <v>420</v>
      </c>
      <c r="I101" s="5">
        <v>118.8</v>
      </c>
      <c r="J101" s="5">
        <v>36</v>
      </c>
      <c r="K101" s="8">
        <v>191.96</v>
      </c>
      <c r="L101" s="8">
        <v>8.4700000000000006</v>
      </c>
      <c r="M101" s="9">
        <f t="shared" si="6"/>
        <v>24.943355461757221</v>
      </c>
      <c r="N101" s="9">
        <v>25</v>
      </c>
      <c r="O101" s="8">
        <v>55.7</v>
      </c>
      <c r="P101" s="18"/>
      <c r="Q101" s="18"/>
      <c r="R101" s="30"/>
      <c r="S101" s="30"/>
      <c r="T101" s="30"/>
      <c r="U101" s="4"/>
      <c r="V101" s="30"/>
      <c r="W101" s="30"/>
      <c r="X101" s="30"/>
      <c r="Y101" s="4"/>
      <c r="Z101" s="30"/>
      <c r="AA101" s="30"/>
      <c r="AB101" s="30"/>
      <c r="AC101" s="4"/>
      <c r="AD101" s="30"/>
      <c r="AE101" s="30"/>
      <c r="AF101" s="30"/>
      <c r="AG101" s="30"/>
      <c r="AH101" s="30"/>
      <c r="AI101" s="31"/>
    </row>
    <row r="102" spans="2:39" x14ac:dyDescent="0.25">
      <c r="E102" s="2" t="s">
        <v>23</v>
      </c>
      <c r="F102" s="7">
        <v>28</v>
      </c>
      <c r="G102" s="54">
        <v>35.549403120000008</v>
      </c>
      <c r="H102" s="5">
        <v>420</v>
      </c>
      <c r="I102" s="5">
        <v>118.8</v>
      </c>
      <c r="J102" s="5">
        <v>36</v>
      </c>
      <c r="K102" s="8">
        <v>191.96</v>
      </c>
      <c r="L102" s="8">
        <v>8.4700000000000006</v>
      </c>
      <c r="M102" s="9">
        <f t="shared" si="6"/>
        <v>24.954800164047299</v>
      </c>
      <c r="N102" s="9">
        <v>25</v>
      </c>
      <c r="O102" s="8">
        <v>76.099999999999994</v>
      </c>
      <c r="P102" s="18"/>
      <c r="Q102" s="18"/>
      <c r="R102" s="30"/>
      <c r="S102" s="30"/>
      <c r="T102" s="30"/>
      <c r="U102" s="4"/>
      <c r="V102" s="30"/>
      <c r="W102" s="30"/>
      <c r="X102" s="30"/>
      <c r="Y102" s="4"/>
      <c r="Z102" s="30"/>
      <c r="AA102" s="30"/>
      <c r="AB102" s="30"/>
      <c r="AC102" s="4"/>
      <c r="AD102" s="30"/>
      <c r="AE102" s="30"/>
      <c r="AF102" s="30"/>
      <c r="AG102" s="30"/>
      <c r="AH102" s="30"/>
      <c r="AI102" s="31"/>
    </row>
    <row r="103" spans="2:39" ht="13.5" thickBot="1" x14ac:dyDescent="0.35">
      <c r="E103" s="426" t="s">
        <v>3</v>
      </c>
      <c r="F103" s="427"/>
      <c r="G103" s="427"/>
      <c r="H103" s="427"/>
      <c r="I103" s="427"/>
      <c r="J103" s="427"/>
      <c r="K103" s="427"/>
      <c r="L103" s="427"/>
      <c r="M103" s="427"/>
      <c r="N103" s="428"/>
      <c r="O103" s="169">
        <f>SUM(O91:O102)</f>
        <v>1072</v>
      </c>
      <c r="P103" s="153">
        <f>16/24</f>
        <v>0.66666666666666663</v>
      </c>
      <c r="Q103" s="153">
        <f>24/1000</f>
        <v>2.4E-2</v>
      </c>
      <c r="R103" s="154">
        <v>3.59</v>
      </c>
      <c r="S103" s="154">
        <v>12.96</v>
      </c>
      <c r="T103" s="155">
        <f>O103</f>
        <v>1072</v>
      </c>
      <c r="U103" s="156">
        <f>P103*Q103*R103*S103*T103</f>
        <v>798.02081280000004</v>
      </c>
      <c r="V103" s="155">
        <v>3.94</v>
      </c>
      <c r="W103" s="155">
        <v>12.96</v>
      </c>
      <c r="X103" s="155">
        <f>O103</f>
        <v>1072</v>
      </c>
      <c r="Y103" s="157">
        <f>(P103*Q103*V103*W103*X103)</f>
        <v>875.82228480000003</v>
      </c>
      <c r="Z103" s="154">
        <v>2.13</v>
      </c>
      <c r="AA103" s="154">
        <v>41.904000000000003</v>
      </c>
      <c r="AB103" s="154">
        <f>O103</f>
        <v>1072</v>
      </c>
      <c r="AC103" s="158">
        <f>(P103*Q103*Z103*AA103*AB103)</f>
        <v>1530.9106790400001</v>
      </c>
      <c r="AD103" s="159">
        <f>L361</f>
        <v>3232.4319540003621</v>
      </c>
      <c r="AE103" s="160">
        <f>U103+Y103+AC103+AD103</f>
        <v>6437.1857306403617</v>
      </c>
      <c r="AF103" s="30">
        <f>AE103*0.1</f>
        <v>643.71857306403626</v>
      </c>
      <c r="AG103" s="161">
        <f>AE103+AF103</f>
        <v>7080.9043037043975</v>
      </c>
      <c r="AH103" s="154">
        <v>3.1</v>
      </c>
      <c r="AI103" s="166">
        <f>ROUND((AG103/AH103),0)</f>
        <v>2284</v>
      </c>
      <c r="AJ103" s="39">
        <v>28</v>
      </c>
      <c r="AK103" s="122"/>
    </row>
    <row r="104" spans="2:39" ht="13.5" thickBot="1" x14ac:dyDescent="0.35">
      <c r="E104" s="415" t="s">
        <v>218</v>
      </c>
      <c r="F104" s="416"/>
      <c r="G104" s="416"/>
      <c r="H104" s="416"/>
      <c r="I104" s="416"/>
      <c r="J104" s="416"/>
      <c r="K104" s="416"/>
      <c r="L104" s="416"/>
      <c r="M104" s="416"/>
      <c r="N104" s="416"/>
      <c r="O104" s="416"/>
      <c r="P104" s="416"/>
      <c r="Q104" s="416"/>
      <c r="R104" s="416"/>
      <c r="S104" s="416"/>
      <c r="T104" s="416"/>
      <c r="U104" s="416"/>
      <c r="V104" s="416"/>
      <c r="W104" s="416"/>
      <c r="X104" s="416"/>
      <c r="Y104" s="416"/>
      <c r="Z104" s="416"/>
      <c r="AA104" s="416"/>
      <c r="AB104" s="416"/>
      <c r="AC104" s="416"/>
      <c r="AD104" s="416"/>
      <c r="AE104" s="416"/>
      <c r="AF104" s="416"/>
      <c r="AG104" s="416"/>
      <c r="AH104" s="416"/>
      <c r="AI104" s="170">
        <f>ROUND((AI75*AP78+AI89*AP79+AI103*AP80),0)</f>
        <v>2824</v>
      </c>
      <c r="AL104" s="174">
        <f>AI46-AI104</f>
        <v>1444.565217391304</v>
      </c>
      <c r="AM104" s="123"/>
    </row>
    <row r="106" spans="2:39" ht="13.5" thickBot="1" x14ac:dyDescent="0.3"/>
    <row r="107" spans="2:39" ht="15" x14ac:dyDescent="0.4">
      <c r="B107" s="409" t="s">
        <v>83</v>
      </c>
      <c r="C107" s="410"/>
      <c r="E107" s="308" t="s">
        <v>59</v>
      </c>
      <c r="F107" s="309"/>
      <c r="G107" s="309"/>
      <c r="H107" s="309"/>
      <c r="I107" s="309"/>
      <c r="J107" s="309"/>
      <c r="K107" s="309"/>
      <c r="L107" s="309"/>
      <c r="M107" s="309"/>
      <c r="N107" s="309"/>
      <c r="O107" s="309"/>
      <c r="P107" s="309"/>
      <c r="Q107" s="309"/>
      <c r="R107" s="309"/>
      <c r="S107" s="104"/>
    </row>
    <row r="108" spans="2:39" ht="15" x14ac:dyDescent="0.4">
      <c r="B108" s="411"/>
      <c r="C108" s="412"/>
      <c r="E108" s="413" t="s">
        <v>132</v>
      </c>
      <c r="F108" s="414"/>
      <c r="G108" s="414"/>
      <c r="H108" s="414"/>
      <c r="I108" s="414"/>
      <c r="J108" s="414"/>
      <c r="K108" s="414"/>
      <c r="L108" s="414"/>
      <c r="M108" s="414"/>
      <c r="N108" s="414"/>
      <c r="O108" s="414"/>
      <c r="P108" s="414"/>
      <c r="Q108" s="414"/>
      <c r="R108" s="414"/>
      <c r="S108" s="104"/>
    </row>
    <row r="109" spans="2:39" ht="21.65" customHeight="1" x14ac:dyDescent="0.25">
      <c r="B109" s="76" t="s">
        <v>57</v>
      </c>
      <c r="C109" s="77" t="s">
        <v>34</v>
      </c>
      <c r="E109" s="43" t="s">
        <v>0</v>
      </c>
      <c r="F109" s="42" t="s">
        <v>37</v>
      </c>
      <c r="G109" s="42" t="s">
        <v>36</v>
      </c>
      <c r="H109" s="42" t="s">
        <v>35</v>
      </c>
      <c r="I109" s="42" t="s">
        <v>47</v>
      </c>
      <c r="J109" s="47" t="s">
        <v>56</v>
      </c>
      <c r="K109" s="47" t="s">
        <v>50</v>
      </c>
      <c r="L109" s="47" t="s">
        <v>51</v>
      </c>
      <c r="M109" s="47" t="s">
        <v>48</v>
      </c>
      <c r="N109" s="47" t="s">
        <v>52</v>
      </c>
      <c r="O109" s="37" t="s">
        <v>53</v>
      </c>
      <c r="P109" s="37" t="s">
        <v>54</v>
      </c>
      <c r="Q109" s="37" t="s">
        <v>49</v>
      </c>
      <c r="R109" s="48" t="s">
        <v>55</v>
      </c>
    </row>
    <row r="110" spans="2:39" ht="15.65" customHeight="1" x14ac:dyDescent="0.25">
      <c r="B110" s="76" t="s">
        <v>65</v>
      </c>
      <c r="C110" s="77">
        <v>1</v>
      </c>
      <c r="E110" s="2" t="s">
        <v>15</v>
      </c>
      <c r="F110" s="71">
        <v>31.6</v>
      </c>
      <c r="G110" s="71">
        <v>6.8</v>
      </c>
      <c r="H110" s="71">
        <f>G110/2</f>
        <v>3.4</v>
      </c>
      <c r="I110" s="71">
        <f>F110-H110</f>
        <v>28.200000000000003</v>
      </c>
      <c r="J110" s="59">
        <f t="shared" ref="J110:J121" si="7">C$126</f>
        <v>1.75</v>
      </c>
      <c r="K110" s="45">
        <v>22</v>
      </c>
      <c r="L110" s="45">
        <f>25.5-K110</f>
        <v>3.5</v>
      </c>
      <c r="M110" s="45">
        <f>I110-29.4</f>
        <v>-1.1999999999999957</v>
      </c>
      <c r="N110" s="8">
        <f t="shared" ref="N110:N121" si="8">J110+L110+M110</f>
        <v>4.0500000000000043</v>
      </c>
      <c r="O110" s="8">
        <v>3.75</v>
      </c>
      <c r="P110" s="8">
        <v>1.296</v>
      </c>
      <c r="Q110" s="8">
        <f>31*16</f>
        <v>496</v>
      </c>
      <c r="R110" s="40">
        <f>(N110*O110*P110*Q110)/1000</f>
        <v>9.7627680000000101</v>
      </c>
    </row>
    <row r="111" spans="2:39" ht="15" customHeight="1" x14ac:dyDescent="0.25">
      <c r="B111" s="76" t="s">
        <v>66</v>
      </c>
      <c r="C111" s="77">
        <v>1</v>
      </c>
      <c r="E111" s="2" t="s">
        <v>16</v>
      </c>
      <c r="F111" s="71">
        <v>32.1</v>
      </c>
      <c r="G111" s="71">
        <v>6.6</v>
      </c>
      <c r="H111" s="71">
        <f t="shared" ref="H111:H121" si="9">G111/2</f>
        <v>3.3</v>
      </c>
      <c r="I111" s="71">
        <f t="shared" ref="I111:I121" si="10">F111-H111</f>
        <v>28.8</v>
      </c>
      <c r="J111" s="45">
        <f t="shared" si="7"/>
        <v>1.75</v>
      </c>
      <c r="K111" s="45">
        <v>22</v>
      </c>
      <c r="L111" s="45">
        <f t="shared" ref="L111:L121" si="11">25.5-K111</f>
        <v>3.5</v>
      </c>
      <c r="M111" s="45">
        <f t="shared" ref="M111:M121" si="12">I111-29.4</f>
        <v>-0.59999999999999787</v>
      </c>
      <c r="N111" s="8">
        <f t="shared" si="8"/>
        <v>4.6500000000000021</v>
      </c>
      <c r="O111" s="8">
        <v>3.75</v>
      </c>
      <c r="P111" s="8">
        <v>1.296</v>
      </c>
      <c r="Q111" s="8">
        <f>28*16</f>
        <v>448</v>
      </c>
      <c r="R111" s="40">
        <f t="shared" ref="R111:R121" si="13">(N111*O111*P111*Q111)/1000</f>
        <v>10.124352000000004</v>
      </c>
    </row>
    <row r="112" spans="2:39" ht="16" customHeight="1" x14ac:dyDescent="0.25">
      <c r="B112" s="76" t="s">
        <v>67</v>
      </c>
      <c r="C112" s="77">
        <v>0</v>
      </c>
      <c r="E112" s="2" t="s">
        <v>17</v>
      </c>
      <c r="F112" s="71">
        <v>32</v>
      </c>
      <c r="G112" s="71">
        <v>6</v>
      </c>
      <c r="H112" s="71">
        <f t="shared" si="9"/>
        <v>3</v>
      </c>
      <c r="I112" s="71">
        <f t="shared" si="10"/>
        <v>29</v>
      </c>
      <c r="J112" s="45">
        <f t="shared" si="7"/>
        <v>1.75</v>
      </c>
      <c r="K112" s="45">
        <v>22</v>
      </c>
      <c r="L112" s="45">
        <f t="shared" si="11"/>
        <v>3.5</v>
      </c>
      <c r="M112" s="45">
        <f t="shared" si="12"/>
        <v>-0.39999999999999858</v>
      </c>
      <c r="N112" s="8">
        <f t="shared" si="8"/>
        <v>4.8500000000000014</v>
      </c>
      <c r="O112" s="8">
        <v>3.75</v>
      </c>
      <c r="P112" s="8">
        <v>1.296</v>
      </c>
      <c r="Q112" s="8">
        <f>31*16</f>
        <v>496</v>
      </c>
      <c r="R112" s="40">
        <f t="shared" si="13"/>
        <v>11.691216000000004</v>
      </c>
    </row>
    <row r="113" spans="2:19" ht="16" customHeight="1" x14ac:dyDescent="0.25">
      <c r="B113" s="76" t="s">
        <v>68</v>
      </c>
      <c r="C113" s="77">
        <v>-1</v>
      </c>
      <c r="E113" s="2" t="s">
        <v>18</v>
      </c>
      <c r="F113" s="71">
        <v>32.299999999999997</v>
      </c>
      <c r="G113" s="71">
        <v>5.8</v>
      </c>
      <c r="H113" s="71">
        <f t="shared" si="9"/>
        <v>2.9</v>
      </c>
      <c r="I113" s="71">
        <f t="shared" si="10"/>
        <v>29.4</v>
      </c>
      <c r="J113" s="45">
        <f t="shared" si="7"/>
        <v>1.75</v>
      </c>
      <c r="K113" s="45">
        <v>22</v>
      </c>
      <c r="L113" s="45">
        <f t="shared" si="11"/>
        <v>3.5</v>
      </c>
      <c r="M113" s="45">
        <f t="shared" si="12"/>
        <v>0</v>
      </c>
      <c r="N113" s="8">
        <f t="shared" si="8"/>
        <v>5.25</v>
      </c>
      <c r="O113" s="8">
        <v>3.75</v>
      </c>
      <c r="P113" s="8">
        <v>1.296</v>
      </c>
      <c r="Q113" s="8">
        <f>30*16</f>
        <v>480</v>
      </c>
      <c r="R113" s="40">
        <f t="shared" si="13"/>
        <v>12.247200000000001</v>
      </c>
    </row>
    <row r="114" spans="2:19" ht="16" customHeight="1" x14ac:dyDescent="0.25">
      <c r="B114" s="76" t="s">
        <v>69</v>
      </c>
      <c r="C114" s="77">
        <v>-1</v>
      </c>
      <c r="E114" s="2" t="s">
        <v>12</v>
      </c>
      <c r="F114" s="71">
        <v>31.9</v>
      </c>
      <c r="G114" s="71">
        <v>4.2</v>
      </c>
      <c r="H114" s="71">
        <f t="shared" si="9"/>
        <v>2.1</v>
      </c>
      <c r="I114" s="71">
        <f t="shared" si="10"/>
        <v>29.799999999999997</v>
      </c>
      <c r="J114" s="45">
        <f t="shared" si="7"/>
        <v>1.75</v>
      </c>
      <c r="K114" s="45">
        <v>22</v>
      </c>
      <c r="L114" s="45">
        <f t="shared" si="11"/>
        <v>3.5</v>
      </c>
      <c r="M114" s="45">
        <f t="shared" si="12"/>
        <v>0.39999999999999858</v>
      </c>
      <c r="N114" s="8">
        <f t="shared" si="8"/>
        <v>5.6499999999999986</v>
      </c>
      <c r="O114" s="8">
        <v>3.75</v>
      </c>
      <c r="P114" s="8">
        <v>1.296</v>
      </c>
      <c r="Q114" s="8">
        <f>31*16</f>
        <v>496</v>
      </c>
      <c r="R114" s="40">
        <f t="shared" si="13"/>
        <v>13.619663999999997</v>
      </c>
    </row>
    <row r="115" spans="2:19" ht="15" customHeight="1" x14ac:dyDescent="0.25">
      <c r="B115" s="76" t="s">
        <v>70</v>
      </c>
      <c r="C115" s="77">
        <v>-1</v>
      </c>
      <c r="E115" s="2" t="s">
        <v>13</v>
      </c>
      <c r="F115" s="71">
        <v>30.8</v>
      </c>
      <c r="G115" s="71">
        <v>3.5</v>
      </c>
      <c r="H115" s="71">
        <f t="shared" si="9"/>
        <v>1.75</v>
      </c>
      <c r="I115" s="71">
        <f t="shared" si="10"/>
        <v>29.05</v>
      </c>
      <c r="J115" s="45">
        <f t="shared" si="7"/>
        <v>1.75</v>
      </c>
      <c r="K115" s="45">
        <v>22</v>
      </c>
      <c r="L115" s="45">
        <f t="shared" si="11"/>
        <v>3.5</v>
      </c>
      <c r="M115" s="45">
        <f t="shared" si="12"/>
        <v>-0.34999999999999787</v>
      </c>
      <c r="N115" s="8">
        <f t="shared" si="8"/>
        <v>4.9000000000000021</v>
      </c>
      <c r="O115" s="8">
        <v>3.75</v>
      </c>
      <c r="P115" s="8">
        <v>1.296</v>
      </c>
      <c r="Q115" s="8">
        <f>30*16</f>
        <v>480</v>
      </c>
      <c r="R115" s="40">
        <f t="shared" si="13"/>
        <v>11.430720000000004</v>
      </c>
    </row>
    <row r="116" spans="2:19" ht="15.65" customHeight="1" x14ac:dyDescent="0.25">
      <c r="B116" s="78" t="s">
        <v>38</v>
      </c>
      <c r="C116" s="79">
        <v>-1</v>
      </c>
      <c r="E116" s="2" t="s">
        <v>24</v>
      </c>
      <c r="F116" s="41">
        <v>30.7</v>
      </c>
      <c r="G116" s="98">
        <v>3.4</v>
      </c>
      <c r="H116" s="71">
        <f t="shared" si="9"/>
        <v>1.7</v>
      </c>
      <c r="I116" s="71">
        <f t="shared" si="10"/>
        <v>29</v>
      </c>
      <c r="J116" s="45">
        <f t="shared" si="7"/>
        <v>1.75</v>
      </c>
      <c r="K116" s="45">
        <v>22</v>
      </c>
      <c r="L116" s="45">
        <f t="shared" si="11"/>
        <v>3.5</v>
      </c>
      <c r="M116" s="45">
        <f t="shared" si="12"/>
        <v>-0.39999999999999858</v>
      </c>
      <c r="N116" s="8">
        <f t="shared" si="8"/>
        <v>4.8500000000000014</v>
      </c>
      <c r="O116" s="8">
        <v>3.75</v>
      </c>
      <c r="P116" s="8">
        <v>1.296</v>
      </c>
      <c r="Q116" s="8">
        <f>31*16</f>
        <v>496</v>
      </c>
      <c r="R116" s="40">
        <f t="shared" si="13"/>
        <v>11.691216000000004</v>
      </c>
    </row>
    <row r="117" spans="2:19" ht="15.65" customHeight="1" x14ac:dyDescent="0.25">
      <c r="B117" s="78" t="s">
        <v>39</v>
      </c>
      <c r="C117" s="79">
        <v>-1</v>
      </c>
      <c r="E117" s="2" t="s">
        <v>19</v>
      </c>
      <c r="F117" s="41">
        <v>30.5</v>
      </c>
      <c r="G117" s="98">
        <v>3.3</v>
      </c>
      <c r="H117" s="71">
        <f t="shared" si="9"/>
        <v>1.65</v>
      </c>
      <c r="I117" s="71">
        <f t="shared" si="10"/>
        <v>28.85</v>
      </c>
      <c r="J117" s="45">
        <f t="shared" si="7"/>
        <v>1.75</v>
      </c>
      <c r="K117" s="45">
        <v>22</v>
      </c>
      <c r="L117" s="45">
        <f t="shared" si="11"/>
        <v>3.5</v>
      </c>
      <c r="M117" s="45">
        <f t="shared" si="12"/>
        <v>-0.54999999999999716</v>
      </c>
      <c r="N117" s="8">
        <f t="shared" si="8"/>
        <v>4.7000000000000028</v>
      </c>
      <c r="O117" s="8">
        <v>3.75</v>
      </c>
      <c r="P117" s="8">
        <v>1.296</v>
      </c>
      <c r="Q117" s="8">
        <f>31*16</f>
        <v>496</v>
      </c>
      <c r="R117" s="40">
        <f t="shared" si="13"/>
        <v>11.329632000000007</v>
      </c>
    </row>
    <row r="118" spans="2:19" ht="15" customHeight="1" x14ac:dyDescent="0.25">
      <c r="B118" s="78" t="s">
        <v>40</v>
      </c>
      <c r="C118" s="79">
        <v>0</v>
      </c>
      <c r="E118" s="2" t="s">
        <v>20</v>
      </c>
      <c r="F118" s="41">
        <v>30.5</v>
      </c>
      <c r="G118" s="98">
        <v>3.7</v>
      </c>
      <c r="H118" s="71">
        <f t="shared" si="9"/>
        <v>1.85</v>
      </c>
      <c r="I118" s="71">
        <f t="shared" si="10"/>
        <v>28.65</v>
      </c>
      <c r="J118" s="45">
        <f t="shared" si="7"/>
        <v>1.75</v>
      </c>
      <c r="K118" s="45">
        <v>22</v>
      </c>
      <c r="L118" s="45">
        <f t="shared" si="11"/>
        <v>3.5</v>
      </c>
      <c r="M118" s="45">
        <f t="shared" si="12"/>
        <v>-0.75</v>
      </c>
      <c r="N118" s="8">
        <f t="shared" si="8"/>
        <v>4.5</v>
      </c>
      <c r="O118" s="8">
        <v>3.75</v>
      </c>
      <c r="P118" s="8">
        <v>1.296</v>
      </c>
      <c r="Q118" s="8">
        <f>30*16</f>
        <v>480</v>
      </c>
      <c r="R118" s="40">
        <f t="shared" si="13"/>
        <v>10.4976</v>
      </c>
    </row>
    <row r="119" spans="2:19" ht="16.5" customHeight="1" x14ac:dyDescent="0.25">
      <c r="B119" s="78" t="s">
        <v>41</v>
      </c>
      <c r="C119" s="79">
        <v>7</v>
      </c>
      <c r="E119" s="2" t="s">
        <v>21</v>
      </c>
      <c r="F119" s="41">
        <v>30.7</v>
      </c>
      <c r="G119" s="98">
        <v>4.8</v>
      </c>
      <c r="H119" s="71">
        <f t="shared" si="9"/>
        <v>2.4</v>
      </c>
      <c r="I119" s="71">
        <f t="shared" si="10"/>
        <v>28.3</v>
      </c>
      <c r="J119" s="45">
        <f t="shared" si="7"/>
        <v>1.75</v>
      </c>
      <c r="K119" s="45">
        <v>22</v>
      </c>
      <c r="L119" s="45">
        <f t="shared" si="11"/>
        <v>3.5</v>
      </c>
      <c r="M119" s="45">
        <f t="shared" si="12"/>
        <v>-1.0999999999999979</v>
      </c>
      <c r="N119" s="8">
        <f t="shared" si="8"/>
        <v>4.1500000000000021</v>
      </c>
      <c r="O119" s="8">
        <v>3.75</v>
      </c>
      <c r="P119" s="8">
        <v>1.296</v>
      </c>
      <c r="Q119" s="8">
        <f>31*16</f>
        <v>496</v>
      </c>
      <c r="R119" s="40">
        <f t="shared" si="13"/>
        <v>10.003824000000005</v>
      </c>
    </row>
    <row r="120" spans="2:19" ht="14.5" customHeight="1" x14ac:dyDescent="0.25">
      <c r="B120" s="78" t="s">
        <v>42</v>
      </c>
      <c r="C120" s="79">
        <v>7</v>
      </c>
      <c r="E120" s="2" t="s">
        <v>22</v>
      </c>
      <c r="F120" s="41">
        <v>31.1</v>
      </c>
      <c r="G120" s="98">
        <v>5.7</v>
      </c>
      <c r="H120" s="71">
        <f t="shared" si="9"/>
        <v>2.85</v>
      </c>
      <c r="I120" s="71">
        <f t="shared" si="10"/>
        <v>28.25</v>
      </c>
      <c r="J120" s="45">
        <f t="shared" si="7"/>
        <v>1.75</v>
      </c>
      <c r="K120" s="45">
        <v>22</v>
      </c>
      <c r="L120" s="45">
        <f t="shared" si="11"/>
        <v>3.5</v>
      </c>
      <c r="M120" s="45">
        <f t="shared" si="12"/>
        <v>-1.1499999999999986</v>
      </c>
      <c r="N120" s="8">
        <f t="shared" si="8"/>
        <v>4.1000000000000014</v>
      </c>
      <c r="O120" s="8">
        <v>3.75</v>
      </c>
      <c r="P120" s="8">
        <v>1.296</v>
      </c>
      <c r="Q120" s="8">
        <f>30*16</f>
        <v>480</v>
      </c>
      <c r="R120" s="40">
        <f t="shared" si="13"/>
        <v>9.564480000000005</v>
      </c>
    </row>
    <row r="121" spans="2:19" ht="14.5" customHeight="1" x14ac:dyDescent="0.25">
      <c r="B121" s="78" t="s">
        <v>43</v>
      </c>
      <c r="C121" s="79">
        <v>6</v>
      </c>
      <c r="E121" s="2" t="s">
        <v>23</v>
      </c>
      <c r="F121" s="41">
        <v>31.2</v>
      </c>
      <c r="G121" s="98">
        <v>6</v>
      </c>
      <c r="H121" s="71">
        <f t="shared" si="9"/>
        <v>3</v>
      </c>
      <c r="I121" s="71">
        <f t="shared" si="10"/>
        <v>28.2</v>
      </c>
      <c r="J121" s="45">
        <f t="shared" si="7"/>
        <v>1.75</v>
      </c>
      <c r="K121" s="45">
        <v>22</v>
      </c>
      <c r="L121" s="45">
        <f t="shared" si="11"/>
        <v>3.5</v>
      </c>
      <c r="M121" s="45">
        <f t="shared" si="12"/>
        <v>-1.1999999999999993</v>
      </c>
      <c r="N121" s="8">
        <f t="shared" si="8"/>
        <v>4.0500000000000007</v>
      </c>
      <c r="O121" s="8">
        <v>3.75</v>
      </c>
      <c r="P121" s="8">
        <v>1.296</v>
      </c>
      <c r="Q121" s="8">
        <f>31*16</f>
        <v>496</v>
      </c>
      <c r="R121" s="40">
        <f t="shared" si="13"/>
        <v>9.762768000000003</v>
      </c>
    </row>
    <row r="122" spans="2:19" ht="14.5" customHeight="1" x14ac:dyDescent="0.25">
      <c r="B122" s="78" t="s">
        <v>44</v>
      </c>
      <c r="C122" s="79">
        <v>4</v>
      </c>
      <c r="E122" s="417" t="s">
        <v>58</v>
      </c>
      <c r="F122" s="418"/>
      <c r="G122" s="418"/>
      <c r="H122" s="418"/>
      <c r="I122" s="418"/>
      <c r="J122" s="418"/>
      <c r="K122" s="418"/>
      <c r="L122" s="418"/>
      <c r="M122" s="418"/>
      <c r="N122" s="418"/>
      <c r="O122" s="418"/>
      <c r="P122" s="418"/>
      <c r="Q122" s="419"/>
      <c r="R122" s="69">
        <f>SUM(R110:R121)</f>
        <v>131.72544000000005</v>
      </c>
      <c r="S122" s="105"/>
    </row>
    <row r="123" spans="2:19" ht="14.5" customHeight="1" x14ac:dyDescent="0.25">
      <c r="B123" s="78" t="s">
        <v>45</v>
      </c>
      <c r="C123" s="79">
        <v>3</v>
      </c>
      <c r="E123" s="394" t="s">
        <v>131</v>
      </c>
      <c r="F123" s="395"/>
      <c r="G123" s="395"/>
      <c r="H123" s="395"/>
      <c r="I123" s="395"/>
      <c r="J123" s="395"/>
      <c r="K123" s="395"/>
      <c r="L123" s="395"/>
      <c r="M123" s="395"/>
      <c r="N123" s="395"/>
      <c r="O123" s="395"/>
      <c r="P123" s="395"/>
      <c r="Q123" s="395"/>
      <c r="R123" s="396"/>
      <c r="S123" s="106"/>
    </row>
    <row r="124" spans="2:19" ht="14" x14ac:dyDescent="0.25">
      <c r="B124" s="78" t="s">
        <v>46</v>
      </c>
      <c r="C124" s="79">
        <v>2</v>
      </c>
      <c r="E124" s="2" t="s">
        <v>15</v>
      </c>
      <c r="F124" s="71">
        <v>31.6</v>
      </c>
      <c r="G124" s="71">
        <v>6.8</v>
      </c>
      <c r="H124" s="71">
        <f>G124/2</f>
        <v>3.4</v>
      </c>
      <c r="I124" s="71">
        <f>F124-H124</f>
        <v>28.200000000000003</v>
      </c>
      <c r="J124" s="59">
        <f t="shared" ref="J124:J135" si="14">C$126</f>
        <v>1.75</v>
      </c>
      <c r="K124" s="45">
        <v>23</v>
      </c>
      <c r="L124" s="45">
        <f>25.5-K124</f>
        <v>2.5</v>
      </c>
      <c r="M124" s="45">
        <f>I124-29.4</f>
        <v>-1.1999999999999957</v>
      </c>
      <c r="N124" s="8">
        <f t="shared" ref="N124:N135" si="15">J124+L124+M124</f>
        <v>3.0500000000000043</v>
      </c>
      <c r="O124" s="8">
        <v>3.75</v>
      </c>
      <c r="P124" s="8">
        <v>1.296</v>
      </c>
      <c r="Q124" s="8">
        <f>31*16</f>
        <v>496</v>
      </c>
      <c r="R124" s="40">
        <f>(N124*O124*P124*Q124)/1000</f>
        <v>7.3522080000000107</v>
      </c>
    </row>
    <row r="125" spans="2:19" ht="14" x14ac:dyDescent="0.25">
      <c r="B125" s="78" t="s">
        <v>71</v>
      </c>
      <c r="C125" s="79">
        <v>2</v>
      </c>
      <c r="E125" s="2" t="s">
        <v>16</v>
      </c>
      <c r="F125" s="71">
        <v>32.1</v>
      </c>
      <c r="G125" s="71">
        <v>6.6</v>
      </c>
      <c r="H125" s="71">
        <f t="shared" ref="H125:H135" si="16">G125/2</f>
        <v>3.3</v>
      </c>
      <c r="I125" s="71">
        <f t="shared" ref="I125:I135" si="17">F125-H125</f>
        <v>28.8</v>
      </c>
      <c r="J125" s="45">
        <f t="shared" si="14"/>
        <v>1.75</v>
      </c>
      <c r="K125" s="45">
        <v>23</v>
      </c>
      <c r="L125" s="45">
        <f t="shared" ref="L125:L135" si="18">25.5-K125</f>
        <v>2.5</v>
      </c>
      <c r="M125" s="45">
        <f t="shared" ref="M125:M135" si="19">I125-29.4</f>
        <v>-0.59999999999999787</v>
      </c>
      <c r="N125" s="8">
        <f t="shared" si="15"/>
        <v>3.6500000000000021</v>
      </c>
      <c r="O125" s="8">
        <v>3.75</v>
      </c>
      <c r="P125" s="8">
        <v>1.296</v>
      </c>
      <c r="Q125" s="8">
        <f>28*16</f>
        <v>448</v>
      </c>
      <c r="R125" s="40">
        <f t="shared" ref="R125:R135" si="20">(N125*O125*P125*Q125)/1000</f>
        <v>7.9470720000000057</v>
      </c>
    </row>
    <row r="126" spans="2:19" ht="16" thickBot="1" x14ac:dyDescent="0.3">
      <c r="B126" s="80" t="s">
        <v>77</v>
      </c>
      <c r="C126" s="81">
        <f>AVERAGE(C110:C125)</f>
        <v>1.75</v>
      </c>
      <c r="E126" s="2" t="s">
        <v>17</v>
      </c>
      <c r="F126" s="71">
        <v>32</v>
      </c>
      <c r="G126" s="71">
        <v>6</v>
      </c>
      <c r="H126" s="71">
        <f t="shared" si="16"/>
        <v>3</v>
      </c>
      <c r="I126" s="71">
        <f t="shared" si="17"/>
        <v>29</v>
      </c>
      <c r="J126" s="45">
        <f t="shared" si="14"/>
        <v>1.75</v>
      </c>
      <c r="K126" s="45">
        <v>23</v>
      </c>
      <c r="L126" s="45">
        <f t="shared" si="18"/>
        <v>2.5</v>
      </c>
      <c r="M126" s="45">
        <f t="shared" si="19"/>
        <v>-0.39999999999999858</v>
      </c>
      <c r="N126" s="8">
        <f t="shared" si="15"/>
        <v>3.8500000000000014</v>
      </c>
      <c r="O126" s="8">
        <v>3.75</v>
      </c>
      <c r="P126" s="8">
        <v>1.296</v>
      </c>
      <c r="Q126" s="8">
        <f>31*16</f>
        <v>496</v>
      </c>
      <c r="R126" s="40">
        <f t="shared" si="20"/>
        <v>9.280656000000004</v>
      </c>
    </row>
    <row r="127" spans="2:19" ht="14" x14ac:dyDescent="0.25">
      <c r="E127" s="2" t="s">
        <v>18</v>
      </c>
      <c r="F127" s="71">
        <v>32.299999999999997</v>
      </c>
      <c r="G127" s="71">
        <v>5.8</v>
      </c>
      <c r="H127" s="71">
        <f t="shared" si="16"/>
        <v>2.9</v>
      </c>
      <c r="I127" s="71">
        <f t="shared" si="17"/>
        <v>29.4</v>
      </c>
      <c r="J127" s="45">
        <f t="shared" si="14"/>
        <v>1.75</v>
      </c>
      <c r="K127" s="45">
        <v>23</v>
      </c>
      <c r="L127" s="45">
        <f t="shared" si="18"/>
        <v>2.5</v>
      </c>
      <c r="M127" s="45">
        <f t="shared" si="19"/>
        <v>0</v>
      </c>
      <c r="N127" s="8">
        <f t="shared" si="15"/>
        <v>4.25</v>
      </c>
      <c r="O127" s="8">
        <v>3.75</v>
      </c>
      <c r="P127" s="8">
        <v>1.296</v>
      </c>
      <c r="Q127" s="8">
        <f>30*16</f>
        <v>480</v>
      </c>
      <c r="R127" s="40">
        <f t="shared" si="20"/>
        <v>9.9144000000000023</v>
      </c>
    </row>
    <row r="128" spans="2:19" ht="14" x14ac:dyDescent="0.25">
      <c r="E128" s="2" t="s">
        <v>12</v>
      </c>
      <c r="F128" s="71">
        <v>31.9</v>
      </c>
      <c r="G128" s="71">
        <v>4.2</v>
      </c>
      <c r="H128" s="71">
        <f t="shared" si="16"/>
        <v>2.1</v>
      </c>
      <c r="I128" s="71">
        <f t="shared" si="17"/>
        <v>29.799999999999997</v>
      </c>
      <c r="J128" s="45">
        <f t="shared" si="14"/>
        <v>1.75</v>
      </c>
      <c r="K128" s="45">
        <v>23</v>
      </c>
      <c r="L128" s="45">
        <f t="shared" si="18"/>
        <v>2.5</v>
      </c>
      <c r="M128" s="45">
        <f t="shared" si="19"/>
        <v>0.39999999999999858</v>
      </c>
      <c r="N128" s="8">
        <f t="shared" si="15"/>
        <v>4.6499999999999986</v>
      </c>
      <c r="O128" s="8">
        <v>3.75</v>
      </c>
      <c r="P128" s="8">
        <v>1.296</v>
      </c>
      <c r="Q128" s="8">
        <f>31*16</f>
        <v>496</v>
      </c>
      <c r="R128" s="40">
        <f t="shared" si="20"/>
        <v>11.209103999999996</v>
      </c>
    </row>
    <row r="129" spans="5:19" ht="14" x14ac:dyDescent="0.25">
      <c r="E129" s="2" t="s">
        <v>13</v>
      </c>
      <c r="F129" s="71">
        <v>30.8</v>
      </c>
      <c r="G129" s="71">
        <v>3.5</v>
      </c>
      <c r="H129" s="71">
        <f t="shared" si="16"/>
        <v>1.75</v>
      </c>
      <c r="I129" s="71">
        <f t="shared" si="17"/>
        <v>29.05</v>
      </c>
      <c r="J129" s="45">
        <f t="shared" si="14"/>
        <v>1.75</v>
      </c>
      <c r="K129" s="45">
        <v>23</v>
      </c>
      <c r="L129" s="45">
        <f t="shared" si="18"/>
        <v>2.5</v>
      </c>
      <c r="M129" s="45">
        <f t="shared" si="19"/>
        <v>-0.34999999999999787</v>
      </c>
      <c r="N129" s="8">
        <f t="shared" si="15"/>
        <v>3.9000000000000021</v>
      </c>
      <c r="O129" s="8">
        <v>3.75</v>
      </c>
      <c r="P129" s="8">
        <v>1.296</v>
      </c>
      <c r="Q129" s="8">
        <f>30*16</f>
        <v>480</v>
      </c>
      <c r="R129" s="40">
        <f t="shared" si="20"/>
        <v>9.0979200000000056</v>
      </c>
    </row>
    <row r="130" spans="5:19" ht="14" x14ac:dyDescent="0.25">
      <c r="E130" s="2" t="s">
        <v>24</v>
      </c>
      <c r="F130" s="41">
        <v>30.7</v>
      </c>
      <c r="G130" s="98">
        <v>3.4</v>
      </c>
      <c r="H130" s="71">
        <f t="shared" si="16"/>
        <v>1.7</v>
      </c>
      <c r="I130" s="71">
        <f t="shared" si="17"/>
        <v>29</v>
      </c>
      <c r="J130" s="45">
        <f t="shared" si="14"/>
        <v>1.75</v>
      </c>
      <c r="K130" s="45">
        <v>23</v>
      </c>
      <c r="L130" s="45">
        <f t="shared" si="18"/>
        <v>2.5</v>
      </c>
      <c r="M130" s="45">
        <f t="shared" si="19"/>
        <v>-0.39999999999999858</v>
      </c>
      <c r="N130" s="8">
        <f t="shared" si="15"/>
        <v>3.8500000000000014</v>
      </c>
      <c r="O130" s="8">
        <v>3.75</v>
      </c>
      <c r="P130" s="8">
        <v>1.296</v>
      </c>
      <c r="Q130" s="8">
        <f>31*16</f>
        <v>496</v>
      </c>
      <c r="R130" s="40">
        <f t="shared" si="20"/>
        <v>9.280656000000004</v>
      </c>
    </row>
    <row r="131" spans="5:19" ht="14" x14ac:dyDescent="0.25">
      <c r="E131" s="2" t="s">
        <v>19</v>
      </c>
      <c r="F131" s="41">
        <v>30.5</v>
      </c>
      <c r="G131" s="98">
        <v>3.3</v>
      </c>
      <c r="H131" s="71">
        <f t="shared" si="16"/>
        <v>1.65</v>
      </c>
      <c r="I131" s="71">
        <f t="shared" si="17"/>
        <v>28.85</v>
      </c>
      <c r="J131" s="45">
        <f t="shared" si="14"/>
        <v>1.75</v>
      </c>
      <c r="K131" s="45">
        <v>23</v>
      </c>
      <c r="L131" s="45">
        <f t="shared" si="18"/>
        <v>2.5</v>
      </c>
      <c r="M131" s="45">
        <f t="shared" si="19"/>
        <v>-0.54999999999999716</v>
      </c>
      <c r="N131" s="8">
        <f t="shared" si="15"/>
        <v>3.7000000000000028</v>
      </c>
      <c r="O131" s="8">
        <v>3.75</v>
      </c>
      <c r="P131" s="8">
        <v>1.296</v>
      </c>
      <c r="Q131" s="8">
        <f>31*16</f>
        <v>496</v>
      </c>
      <c r="R131" s="40">
        <f t="shared" si="20"/>
        <v>8.919072000000007</v>
      </c>
    </row>
    <row r="132" spans="5:19" ht="14" x14ac:dyDescent="0.25">
      <c r="E132" s="2" t="s">
        <v>20</v>
      </c>
      <c r="F132" s="41">
        <v>30.5</v>
      </c>
      <c r="G132" s="98">
        <v>3.7</v>
      </c>
      <c r="H132" s="71">
        <f t="shared" si="16"/>
        <v>1.85</v>
      </c>
      <c r="I132" s="71">
        <f t="shared" si="17"/>
        <v>28.65</v>
      </c>
      <c r="J132" s="45">
        <f t="shared" si="14"/>
        <v>1.75</v>
      </c>
      <c r="K132" s="45">
        <v>23</v>
      </c>
      <c r="L132" s="45">
        <f t="shared" si="18"/>
        <v>2.5</v>
      </c>
      <c r="M132" s="45">
        <f t="shared" si="19"/>
        <v>-0.75</v>
      </c>
      <c r="N132" s="8">
        <f t="shared" si="15"/>
        <v>3.5</v>
      </c>
      <c r="O132" s="8">
        <v>3.75</v>
      </c>
      <c r="P132" s="8">
        <v>1.296</v>
      </c>
      <c r="Q132" s="8">
        <f>30*16</f>
        <v>480</v>
      </c>
      <c r="R132" s="40">
        <f t="shared" si="20"/>
        <v>8.1648000000000014</v>
      </c>
    </row>
    <row r="133" spans="5:19" ht="14" x14ac:dyDescent="0.25">
      <c r="E133" s="2" t="s">
        <v>21</v>
      </c>
      <c r="F133" s="41">
        <v>30.7</v>
      </c>
      <c r="G133" s="98">
        <v>4.8</v>
      </c>
      <c r="H133" s="71">
        <f t="shared" si="16"/>
        <v>2.4</v>
      </c>
      <c r="I133" s="71">
        <f t="shared" si="17"/>
        <v>28.3</v>
      </c>
      <c r="J133" s="45">
        <f t="shared" si="14"/>
        <v>1.75</v>
      </c>
      <c r="K133" s="45">
        <v>23</v>
      </c>
      <c r="L133" s="45">
        <f t="shared" si="18"/>
        <v>2.5</v>
      </c>
      <c r="M133" s="45">
        <f t="shared" si="19"/>
        <v>-1.0999999999999979</v>
      </c>
      <c r="N133" s="8">
        <f t="shared" si="15"/>
        <v>3.1500000000000021</v>
      </c>
      <c r="O133" s="8">
        <v>3.75</v>
      </c>
      <c r="P133" s="8">
        <v>1.296</v>
      </c>
      <c r="Q133" s="8">
        <f>31*16</f>
        <v>496</v>
      </c>
      <c r="R133" s="40">
        <f t="shared" si="20"/>
        <v>7.5932640000000049</v>
      </c>
    </row>
    <row r="134" spans="5:19" ht="14" x14ac:dyDescent="0.25">
      <c r="E134" s="2" t="s">
        <v>22</v>
      </c>
      <c r="F134" s="41">
        <v>31.1</v>
      </c>
      <c r="G134" s="98">
        <v>5.7</v>
      </c>
      <c r="H134" s="71">
        <f t="shared" si="16"/>
        <v>2.85</v>
      </c>
      <c r="I134" s="71">
        <f t="shared" si="17"/>
        <v>28.25</v>
      </c>
      <c r="J134" s="45">
        <f t="shared" si="14"/>
        <v>1.75</v>
      </c>
      <c r="K134" s="45">
        <v>23</v>
      </c>
      <c r="L134" s="45">
        <f t="shared" si="18"/>
        <v>2.5</v>
      </c>
      <c r="M134" s="45">
        <f t="shared" si="19"/>
        <v>-1.1499999999999986</v>
      </c>
      <c r="N134" s="8">
        <f t="shared" si="15"/>
        <v>3.1000000000000014</v>
      </c>
      <c r="O134" s="8">
        <v>3.75</v>
      </c>
      <c r="P134" s="8">
        <v>1.296</v>
      </c>
      <c r="Q134" s="8">
        <f>30*16</f>
        <v>480</v>
      </c>
      <c r="R134" s="40">
        <f t="shared" si="20"/>
        <v>7.2316800000000043</v>
      </c>
    </row>
    <row r="135" spans="5:19" ht="14" x14ac:dyDescent="0.25">
      <c r="E135" s="2" t="s">
        <v>23</v>
      </c>
      <c r="F135" s="41">
        <v>31.2</v>
      </c>
      <c r="G135" s="98">
        <v>6</v>
      </c>
      <c r="H135" s="71">
        <f t="shared" si="16"/>
        <v>3</v>
      </c>
      <c r="I135" s="71">
        <f t="shared" si="17"/>
        <v>28.2</v>
      </c>
      <c r="J135" s="45">
        <f t="shared" si="14"/>
        <v>1.75</v>
      </c>
      <c r="K135" s="45">
        <v>23</v>
      </c>
      <c r="L135" s="45">
        <f t="shared" si="18"/>
        <v>2.5</v>
      </c>
      <c r="M135" s="45">
        <f t="shared" si="19"/>
        <v>-1.1999999999999993</v>
      </c>
      <c r="N135" s="8">
        <f t="shared" si="15"/>
        <v>3.0500000000000007</v>
      </c>
      <c r="O135" s="8">
        <v>3.75</v>
      </c>
      <c r="P135" s="8">
        <v>1.296</v>
      </c>
      <c r="Q135" s="8">
        <f>31*16</f>
        <v>496</v>
      </c>
      <c r="R135" s="40">
        <f t="shared" si="20"/>
        <v>7.3522080000000036</v>
      </c>
    </row>
    <row r="136" spans="5:19" ht="15" x14ac:dyDescent="0.25">
      <c r="E136" s="417" t="s">
        <v>58</v>
      </c>
      <c r="F136" s="418"/>
      <c r="G136" s="418"/>
      <c r="H136" s="418"/>
      <c r="I136" s="418"/>
      <c r="J136" s="418"/>
      <c r="K136" s="418"/>
      <c r="L136" s="418"/>
      <c r="M136" s="418"/>
      <c r="N136" s="418"/>
      <c r="O136" s="418"/>
      <c r="P136" s="418"/>
      <c r="Q136" s="418"/>
      <c r="R136" s="107">
        <f>SUM(R124:R135)</f>
        <v>103.34304000000004</v>
      </c>
      <c r="S136" s="105"/>
    </row>
    <row r="137" spans="5:19" ht="15" x14ac:dyDescent="0.4">
      <c r="E137" s="413" t="s">
        <v>72</v>
      </c>
      <c r="F137" s="414"/>
      <c r="G137" s="414"/>
      <c r="H137" s="414"/>
      <c r="I137" s="414"/>
      <c r="J137" s="414"/>
      <c r="K137" s="414"/>
      <c r="L137" s="414"/>
      <c r="M137" s="414"/>
      <c r="N137" s="414"/>
      <c r="O137" s="414"/>
      <c r="P137" s="414"/>
      <c r="Q137" s="414"/>
      <c r="R137" s="414"/>
      <c r="S137" s="104"/>
    </row>
    <row r="138" spans="5:19" ht="14" x14ac:dyDescent="0.25">
      <c r="E138" s="2" t="s">
        <v>15</v>
      </c>
      <c r="F138" s="71">
        <v>31.6</v>
      </c>
      <c r="G138" s="71">
        <v>6.8</v>
      </c>
      <c r="H138" s="71">
        <f>G138/2</f>
        <v>3.4</v>
      </c>
      <c r="I138" s="71">
        <f>F138-H138</f>
        <v>28.200000000000003</v>
      </c>
      <c r="J138" s="45">
        <f t="shared" ref="J138:J149" si="21">C$126</f>
        <v>1.75</v>
      </c>
      <c r="K138" s="45">
        <v>24</v>
      </c>
      <c r="L138" s="72">
        <f>25.5-K138</f>
        <v>1.5</v>
      </c>
      <c r="M138" s="72">
        <f>I138-29.4</f>
        <v>-1.1999999999999957</v>
      </c>
      <c r="N138" s="8">
        <f t="shared" ref="N138:N149" si="22">J138+L138+M138</f>
        <v>2.0500000000000043</v>
      </c>
      <c r="O138" s="8">
        <v>3.75</v>
      </c>
      <c r="P138" s="8">
        <v>1.296</v>
      </c>
      <c r="Q138" s="8">
        <f>31*16</f>
        <v>496</v>
      </c>
      <c r="R138" s="40">
        <f>(N138*O138*P138*Q138)/1000</f>
        <v>4.9416480000000105</v>
      </c>
    </row>
    <row r="139" spans="5:19" ht="14" x14ac:dyDescent="0.25">
      <c r="E139" s="2" t="s">
        <v>16</v>
      </c>
      <c r="F139" s="71">
        <v>32.1</v>
      </c>
      <c r="G139" s="71">
        <v>6.6</v>
      </c>
      <c r="H139" s="71">
        <f t="shared" ref="H139:H149" si="23">G139/2</f>
        <v>3.3</v>
      </c>
      <c r="I139" s="71">
        <f t="shared" ref="I139:I149" si="24">F139-H139</f>
        <v>28.8</v>
      </c>
      <c r="J139" s="45">
        <f t="shared" si="21"/>
        <v>1.75</v>
      </c>
      <c r="K139" s="45">
        <v>24</v>
      </c>
      <c r="L139" s="72">
        <f t="shared" ref="L139:L149" si="25">25.5-K139</f>
        <v>1.5</v>
      </c>
      <c r="M139" s="72">
        <f t="shared" ref="M139:M149" si="26">I139-29.4</f>
        <v>-0.59999999999999787</v>
      </c>
      <c r="N139" s="8">
        <f t="shared" si="22"/>
        <v>2.6500000000000021</v>
      </c>
      <c r="O139" s="8">
        <v>3.75</v>
      </c>
      <c r="P139" s="8">
        <v>1.296</v>
      </c>
      <c r="Q139" s="8">
        <f>28*16</f>
        <v>448</v>
      </c>
      <c r="R139" s="40">
        <f t="shared" ref="R139:R149" si="27">(N139*O139*P139*Q139)/1000</f>
        <v>5.7697920000000051</v>
      </c>
    </row>
    <row r="140" spans="5:19" ht="14" x14ac:dyDescent="0.25">
      <c r="E140" s="2" t="s">
        <v>17</v>
      </c>
      <c r="F140" s="71">
        <v>32</v>
      </c>
      <c r="G140" s="71">
        <v>6</v>
      </c>
      <c r="H140" s="71">
        <f t="shared" si="23"/>
        <v>3</v>
      </c>
      <c r="I140" s="71">
        <f t="shared" si="24"/>
        <v>29</v>
      </c>
      <c r="J140" s="45">
        <f t="shared" si="21"/>
        <v>1.75</v>
      </c>
      <c r="K140" s="45">
        <v>24</v>
      </c>
      <c r="L140" s="72">
        <f t="shared" si="25"/>
        <v>1.5</v>
      </c>
      <c r="M140" s="72">
        <f t="shared" si="26"/>
        <v>-0.39999999999999858</v>
      </c>
      <c r="N140" s="8">
        <f t="shared" si="22"/>
        <v>2.8500000000000014</v>
      </c>
      <c r="O140" s="8">
        <v>3.75</v>
      </c>
      <c r="P140" s="8">
        <v>1.296</v>
      </c>
      <c r="Q140" s="8">
        <f>31*16</f>
        <v>496</v>
      </c>
      <c r="R140" s="40">
        <f t="shared" si="27"/>
        <v>6.8700960000000038</v>
      </c>
    </row>
    <row r="141" spans="5:19" ht="14" x14ac:dyDescent="0.25">
      <c r="E141" s="2" t="s">
        <v>18</v>
      </c>
      <c r="F141" s="71">
        <v>32.299999999999997</v>
      </c>
      <c r="G141" s="71">
        <v>5.8</v>
      </c>
      <c r="H141" s="71">
        <f t="shared" si="23"/>
        <v>2.9</v>
      </c>
      <c r="I141" s="71">
        <f t="shared" si="24"/>
        <v>29.4</v>
      </c>
      <c r="J141" s="45">
        <f t="shared" si="21"/>
        <v>1.75</v>
      </c>
      <c r="K141" s="45">
        <v>24</v>
      </c>
      <c r="L141" s="72">
        <f t="shared" si="25"/>
        <v>1.5</v>
      </c>
      <c r="M141" s="72">
        <f t="shared" si="26"/>
        <v>0</v>
      </c>
      <c r="N141" s="8">
        <f t="shared" si="22"/>
        <v>3.25</v>
      </c>
      <c r="O141" s="8">
        <v>3.75</v>
      </c>
      <c r="P141" s="8">
        <v>1.296</v>
      </c>
      <c r="Q141" s="8">
        <f>30*16</f>
        <v>480</v>
      </c>
      <c r="R141" s="40">
        <f t="shared" si="27"/>
        <v>7.5816000000000008</v>
      </c>
    </row>
    <row r="142" spans="5:19" ht="14" x14ac:dyDescent="0.25">
      <c r="E142" s="2" t="s">
        <v>12</v>
      </c>
      <c r="F142" s="71">
        <v>31.9</v>
      </c>
      <c r="G142" s="71">
        <v>4.2</v>
      </c>
      <c r="H142" s="71">
        <f t="shared" si="23"/>
        <v>2.1</v>
      </c>
      <c r="I142" s="71">
        <f t="shared" si="24"/>
        <v>29.799999999999997</v>
      </c>
      <c r="J142" s="45">
        <f t="shared" si="21"/>
        <v>1.75</v>
      </c>
      <c r="K142" s="45">
        <v>24</v>
      </c>
      <c r="L142" s="72">
        <f t="shared" si="25"/>
        <v>1.5</v>
      </c>
      <c r="M142" s="72">
        <f t="shared" si="26"/>
        <v>0.39999999999999858</v>
      </c>
      <c r="N142" s="8">
        <f t="shared" si="22"/>
        <v>3.6499999999999986</v>
      </c>
      <c r="O142" s="8">
        <v>3.75</v>
      </c>
      <c r="P142" s="8">
        <v>1.296</v>
      </c>
      <c r="Q142" s="8">
        <f>31*16</f>
        <v>496</v>
      </c>
      <c r="R142" s="40">
        <f t="shared" si="27"/>
        <v>8.7985439999999961</v>
      </c>
    </row>
    <row r="143" spans="5:19" ht="14" x14ac:dyDescent="0.25">
      <c r="E143" s="2" t="s">
        <v>13</v>
      </c>
      <c r="F143" s="71">
        <v>30.8</v>
      </c>
      <c r="G143" s="71">
        <v>3.5</v>
      </c>
      <c r="H143" s="71">
        <f t="shared" si="23"/>
        <v>1.75</v>
      </c>
      <c r="I143" s="71">
        <f t="shared" si="24"/>
        <v>29.05</v>
      </c>
      <c r="J143" s="45">
        <f t="shared" si="21"/>
        <v>1.75</v>
      </c>
      <c r="K143" s="45">
        <v>24</v>
      </c>
      <c r="L143" s="72">
        <f t="shared" si="25"/>
        <v>1.5</v>
      </c>
      <c r="M143" s="72">
        <f t="shared" si="26"/>
        <v>-0.34999999999999787</v>
      </c>
      <c r="N143" s="8">
        <f t="shared" si="22"/>
        <v>2.9000000000000021</v>
      </c>
      <c r="O143" s="8">
        <v>3.75</v>
      </c>
      <c r="P143" s="8">
        <v>1.296</v>
      </c>
      <c r="Q143" s="8">
        <f>30*16</f>
        <v>480</v>
      </c>
      <c r="R143" s="40">
        <f t="shared" si="27"/>
        <v>6.765120000000004</v>
      </c>
    </row>
    <row r="144" spans="5:19" ht="14" x14ac:dyDescent="0.25">
      <c r="E144" s="2" t="s">
        <v>24</v>
      </c>
      <c r="F144" s="41">
        <v>30.7</v>
      </c>
      <c r="G144" s="98">
        <v>3.4</v>
      </c>
      <c r="H144" s="71">
        <f t="shared" si="23"/>
        <v>1.7</v>
      </c>
      <c r="I144" s="71">
        <f t="shared" si="24"/>
        <v>29</v>
      </c>
      <c r="J144" s="45">
        <f t="shared" si="21"/>
        <v>1.75</v>
      </c>
      <c r="K144" s="45">
        <v>24</v>
      </c>
      <c r="L144" s="72">
        <f t="shared" si="25"/>
        <v>1.5</v>
      </c>
      <c r="M144" s="72">
        <f t="shared" si="26"/>
        <v>-0.39999999999999858</v>
      </c>
      <c r="N144" s="8">
        <f t="shared" si="22"/>
        <v>2.8500000000000014</v>
      </c>
      <c r="O144" s="8">
        <v>3.75</v>
      </c>
      <c r="P144" s="8">
        <v>1.296</v>
      </c>
      <c r="Q144" s="8">
        <f>31*16</f>
        <v>496</v>
      </c>
      <c r="R144" s="40">
        <f t="shared" si="27"/>
        <v>6.8700960000000038</v>
      </c>
    </row>
    <row r="145" spans="5:19" ht="14" x14ac:dyDescent="0.25">
      <c r="E145" s="2" t="s">
        <v>19</v>
      </c>
      <c r="F145" s="41">
        <v>30.5</v>
      </c>
      <c r="G145" s="98">
        <v>3.3</v>
      </c>
      <c r="H145" s="71">
        <f t="shared" si="23"/>
        <v>1.65</v>
      </c>
      <c r="I145" s="71">
        <f t="shared" si="24"/>
        <v>28.85</v>
      </c>
      <c r="J145" s="45">
        <f t="shared" si="21"/>
        <v>1.75</v>
      </c>
      <c r="K145" s="45">
        <v>24</v>
      </c>
      <c r="L145" s="72">
        <f t="shared" si="25"/>
        <v>1.5</v>
      </c>
      <c r="M145" s="72">
        <f t="shared" si="26"/>
        <v>-0.54999999999999716</v>
      </c>
      <c r="N145" s="8">
        <f t="shared" si="22"/>
        <v>2.7000000000000028</v>
      </c>
      <c r="O145" s="8">
        <v>3.75</v>
      </c>
      <c r="P145" s="8">
        <v>1.296</v>
      </c>
      <c r="Q145" s="8">
        <f>31*16</f>
        <v>496</v>
      </c>
      <c r="R145" s="40">
        <f t="shared" si="27"/>
        <v>6.5085120000000067</v>
      </c>
    </row>
    <row r="146" spans="5:19" ht="14" x14ac:dyDescent="0.25">
      <c r="E146" s="2" t="s">
        <v>20</v>
      </c>
      <c r="F146" s="41">
        <v>30.5</v>
      </c>
      <c r="G146" s="98">
        <v>3.7</v>
      </c>
      <c r="H146" s="71">
        <f t="shared" si="23"/>
        <v>1.85</v>
      </c>
      <c r="I146" s="71">
        <f t="shared" si="24"/>
        <v>28.65</v>
      </c>
      <c r="J146" s="45">
        <f t="shared" si="21"/>
        <v>1.75</v>
      </c>
      <c r="K146" s="45">
        <v>24</v>
      </c>
      <c r="L146" s="72">
        <f t="shared" si="25"/>
        <v>1.5</v>
      </c>
      <c r="M146" s="72">
        <f t="shared" si="26"/>
        <v>-0.75</v>
      </c>
      <c r="N146" s="8">
        <f t="shared" si="22"/>
        <v>2.5</v>
      </c>
      <c r="O146" s="8">
        <v>3.75</v>
      </c>
      <c r="P146" s="8">
        <v>1.296</v>
      </c>
      <c r="Q146" s="8">
        <f>30*16</f>
        <v>480</v>
      </c>
      <c r="R146" s="40">
        <f t="shared" si="27"/>
        <v>5.8319999999999999</v>
      </c>
    </row>
    <row r="147" spans="5:19" ht="14" x14ac:dyDescent="0.25">
      <c r="E147" s="2" t="s">
        <v>21</v>
      </c>
      <c r="F147" s="41">
        <v>30.7</v>
      </c>
      <c r="G147" s="98">
        <v>4.8</v>
      </c>
      <c r="H147" s="71">
        <f t="shared" si="23"/>
        <v>2.4</v>
      </c>
      <c r="I147" s="71">
        <f t="shared" si="24"/>
        <v>28.3</v>
      </c>
      <c r="J147" s="45">
        <f t="shared" si="21"/>
        <v>1.75</v>
      </c>
      <c r="K147" s="45">
        <v>24</v>
      </c>
      <c r="L147" s="72">
        <f t="shared" si="25"/>
        <v>1.5</v>
      </c>
      <c r="M147" s="72">
        <f t="shared" si="26"/>
        <v>-1.0999999999999979</v>
      </c>
      <c r="N147" s="8">
        <f t="shared" si="22"/>
        <v>2.1500000000000021</v>
      </c>
      <c r="O147" s="8">
        <v>3.75</v>
      </c>
      <c r="P147" s="8">
        <v>1.296</v>
      </c>
      <c r="Q147" s="8">
        <f>31*16</f>
        <v>496</v>
      </c>
      <c r="R147" s="40">
        <f t="shared" si="27"/>
        <v>5.1827040000000046</v>
      </c>
    </row>
    <row r="148" spans="5:19" ht="14" x14ac:dyDescent="0.25">
      <c r="E148" s="2" t="s">
        <v>22</v>
      </c>
      <c r="F148" s="41">
        <v>31.1</v>
      </c>
      <c r="G148" s="98">
        <v>5.7</v>
      </c>
      <c r="H148" s="71">
        <f t="shared" si="23"/>
        <v>2.85</v>
      </c>
      <c r="I148" s="71">
        <f t="shared" si="24"/>
        <v>28.25</v>
      </c>
      <c r="J148" s="45">
        <f t="shared" si="21"/>
        <v>1.75</v>
      </c>
      <c r="K148" s="45">
        <v>24</v>
      </c>
      <c r="L148" s="72">
        <f t="shared" si="25"/>
        <v>1.5</v>
      </c>
      <c r="M148" s="72">
        <f t="shared" si="26"/>
        <v>-1.1499999999999986</v>
      </c>
      <c r="N148" s="8">
        <f t="shared" si="22"/>
        <v>2.1000000000000014</v>
      </c>
      <c r="O148" s="8">
        <v>3.75</v>
      </c>
      <c r="P148" s="8">
        <v>1.296</v>
      </c>
      <c r="Q148" s="8">
        <f>30*16</f>
        <v>480</v>
      </c>
      <c r="R148" s="40">
        <f t="shared" si="27"/>
        <v>4.8988800000000028</v>
      </c>
    </row>
    <row r="149" spans="5:19" ht="14" x14ac:dyDescent="0.25">
      <c r="E149" s="2" t="s">
        <v>23</v>
      </c>
      <c r="F149" s="41">
        <v>31.2</v>
      </c>
      <c r="G149" s="98">
        <v>6</v>
      </c>
      <c r="H149" s="71">
        <f t="shared" si="23"/>
        <v>3</v>
      </c>
      <c r="I149" s="71">
        <f t="shared" si="24"/>
        <v>28.2</v>
      </c>
      <c r="J149" s="45">
        <f t="shared" si="21"/>
        <v>1.75</v>
      </c>
      <c r="K149" s="45">
        <v>24</v>
      </c>
      <c r="L149" s="72">
        <f t="shared" si="25"/>
        <v>1.5</v>
      </c>
      <c r="M149" s="72">
        <f t="shared" si="26"/>
        <v>-1.1999999999999993</v>
      </c>
      <c r="N149" s="8">
        <f t="shared" si="22"/>
        <v>2.0500000000000007</v>
      </c>
      <c r="O149" s="8">
        <v>3.75</v>
      </c>
      <c r="P149" s="8">
        <v>1.296</v>
      </c>
      <c r="Q149" s="8">
        <f>31*16</f>
        <v>496</v>
      </c>
      <c r="R149" s="108">
        <f t="shared" si="27"/>
        <v>4.9416480000000016</v>
      </c>
      <c r="S149" s="109"/>
    </row>
    <row r="150" spans="5:19" ht="15" x14ac:dyDescent="0.25">
      <c r="E150" s="417" t="s">
        <v>60</v>
      </c>
      <c r="F150" s="418"/>
      <c r="G150" s="418"/>
      <c r="H150" s="418"/>
      <c r="I150" s="418"/>
      <c r="J150" s="418"/>
      <c r="K150" s="418"/>
      <c r="L150" s="418"/>
      <c r="M150" s="418"/>
      <c r="N150" s="418"/>
      <c r="O150" s="418"/>
      <c r="P150" s="418"/>
      <c r="Q150" s="419"/>
      <c r="R150" s="107">
        <f>SUM(R138:R149)</f>
        <v>74.960640000000041</v>
      </c>
      <c r="S150" s="105"/>
    </row>
    <row r="151" spans="5:19" ht="15" x14ac:dyDescent="0.4">
      <c r="E151" s="413" t="s">
        <v>73</v>
      </c>
      <c r="F151" s="414"/>
      <c r="G151" s="414"/>
      <c r="H151" s="414"/>
      <c r="I151" s="414"/>
      <c r="J151" s="414"/>
      <c r="K151" s="414"/>
      <c r="L151" s="414"/>
      <c r="M151" s="414"/>
      <c r="N151" s="414"/>
      <c r="O151" s="414"/>
      <c r="P151" s="414"/>
      <c r="Q151" s="414"/>
      <c r="R151" s="414"/>
      <c r="S151" s="104"/>
    </row>
    <row r="152" spans="5:19" ht="14" x14ac:dyDescent="0.25">
      <c r="E152" s="2" t="s">
        <v>15</v>
      </c>
      <c r="F152" s="71">
        <v>31.6</v>
      </c>
      <c r="G152" s="71">
        <v>6.8</v>
      </c>
      <c r="H152" s="41">
        <f>G152/2</f>
        <v>3.4</v>
      </c>
      <c r="I152" s="71">
        <f>F152-H152</f>
        <v>28.200000000000003</v>
      </c>
      <c r="J152" s="8">
        <f t="shared" ref="J152:J163" si="28">C$126</f>
        <v>1.75</v>
      </c>
      <c r="K152" s="8">
        <v>25</v>
      </c>
      <c r="L152" s="8">
        <f>25.5-K152</f>
        <v>0.5</v>
      </c>
      <c r="M152" s="8">
        <f t="shared" ref="M152:M163" si="29">I152-29.4</f>
        <v>-1.1999999999999957</v>
      </c>
      <c r="N152" s="8">
        <f t="shared" ref="N152:N163" si="30">J152+L152+M152</f>
        <v>1.0500000000000043</v>
      </c>
      <c r="O152" s="8">
        <v>3.75</v>
      </c>
      <c r="P152" s="8">
        <v>1.296</v>
      </c>
      <c r="Q152" s="8">
        <f>31*16</f>
        <v>496</v>
      </c>
      <c r="R152" s="108">
        <f t="shared" ref="R152:R163" si="31">(N152*O152*P152*Q152)/1000</f>
        <v>2.5310880000000107</v>
      </c>
      <c r="S152" s="109"/>
    </row>
    <row r="153" spans="5:19" ht="14" x14ac:dyDescent="0.25">
      <c r="E153" s="2" t="s">
        <v>16</v>
      </c>
      <c r="F153" s="71">
        <v>32.1</v>
      </c>
      <c r="G153" s="71">
        <v>6.6</v>
      </c>
      <c r="H153" s="41">
        <f t="shared" ref="H153:H163" si="32">G153/2</f>
        <v>3.3</v>
      </c>
      <c r="I153" s="71">
        <f t="shared" ref="I153:I163" si="33">F153-H153</f>
        <v>28.8</v>
      </c>
      <c r="J153" s="8">
        <f t="shared" si="28"/>
        <v>1.75</v>
      </c>
      <c r="K153" s="8">
        <v>25</v>
      </c>
      <c r="L153" s="8">
        <f t="shared" ref="L153:L163" si="34">25.5-K153</f>
        <v>0.5</v>
      </c>
      <c r="M153" s="8">
        <f t="shared" si="29"/>
        <v>-0.59999999999999787</v>
      </c>
      <c r="N153" s="8">
        <f t="shared" si="30"/>
        <v>1.6500000000000021</v>
      </c>
      <c r="O153" s="8">
        <v>3.75</v>
      </c>
      <c r="P153" s="8">
        <v>1.296</v>
      </c>
      <c r="Q153" s="8">
        <f>28*16</f>
        <v>448</v>
      </c>
      <c r="R153" s="108">
        <f t="shared" si="31"/>
        <v>3.5925120000000046</v>
      </c>
      <c r="S153" s="109"/>
    </row>
    <row r="154" spans="5:19" ht="14" x14ac:dyDescent="0.25">
      <c r="E154" s="2" t="s">
        <v>17</v>
      </c>
      <c r="F154" s="71">
        <v>32</v>
      </c>
      <c r="G154" s="71">
        <v>6</v>
      </c>
      <c r="H154" s="41">
        <f t="shared" si="32"/>
        <v>3</v>
      </c>
      <c r="I154" s="71">
        <f t="shared" si="33"/>
        <v>29</v>
      </c>
      <c r="J154" s="8">
        <f t="shared" si="28"/>
        <v>1.75</v>
      </c>
      <c r="K154" s="8">
        <v>25</v>
      </c>
      <c r="L154" s="8">
        <f t="shared" si="34"/>
        <v>0.5</v>
      </c>
      <c r="M154" s="8">
        <f t="shared" si="29"/>
        <v>-0.39999999999999858</v>
      </c>
      <c r="N154" s="8">
        <f t="shared" si="30"/>
        <v>1.8500000000000014</v>
      </c>
      <c r="O154" s="8">
        <v>3.75</v>
      </c>
      <c r="P154" s="8">
        <v>1.296</v>
      </c>
      <c r="Q154" s="8">
        <f>31*16</f>
        <v>496</v>
      </c>
      <c r="R154" s="108">
        <f t="shared" si="31"/>
        <v>4.4595360000000035</v>
      </c>
      <c r="S154" s="109"/>
    </row>
    <row r="155" spans="5:19" ht="14" x14ac:dyDescent="0.25">
      <c r="E155" s="2" t="s">
        <v>18</v>
      </c>
      <c r="F155" s="71">
        <v>32.299999999999997</v>
      </c>
      <c r="G155" s="71">
        <v>5.8</v>
      </c>
      <c r="H155" s="41">
        <f t="shared" si="32"/>
        <v>2.9</v>
      </c>
      <c r="I155" s="71">
        <f t="shared" si="33"/>
        <v>29.4</v>
      </c>
      <c r="J155" s="8">
        <f t="shared" si="28"/>
        <v>1.75</v>
      </c>
      <c r="K155" s="8">
        <v>25</v>
      </c>
      <c r="L155" s="8">
        <f t="shared" si="34"/>
        <v>0.5</v>
      </c>
      <c r="M155" s="8">
        <f t="shared" si="29"/>
        <v>0</v>
      </c>
      <c r="N155" s="8">
        <f t="shared" si="30"/>
        <v>2.25</v>
      </c>
      <c r="O155" s="8">
        <v>3.75</v>
      </c>
      <c r="P155" s="8">
        <v>1.296</v>
      </c>
      <c r="Q155" s="8">
        <f>30*16</f>
        <v>480</v>
      </c>
      <c r="R155" s="108">
        <f t="shared" si="31"/>
        <v>5.2488000000000001</v>
      </c>
      <c r="S155" s="109"/>
    </row>
    <row r="156" spans="5:19" ht="14" x14ac:dyDescent="0.25">
      <c r="E156" s="2" t="s">
        <v>12</v>
      </c>
      <c r="F156" s="71">
        <v>31.9</v>
      </c>
      <c r="G156" s="71">
        <v>4.2</v>
      </c>
      <c r="H156" s="41">
        <f t="shared" si="32"/>
        <v>2.1</v>
      </c>
      <c r="I156" s="71">
        <f t="shared" si="33"/>
        <v>29.799999999999997</v>
      </c>
      <c r="J156" s="8">
        <f t="shared" si="28"/>
        <v>1.75</v>
      </c>
      <c r="K156" s="8">
        <v>25</v>
      </c>
      <c r="L156" s="8">
        <f t="shared" si="34"/>
        <v>0.5</v>
      </c>
      <c r="M156" s="8">
        <f t="shared" si="29"/>
        <v>0.39999999999999858</v>
      </c>
      <c r="N156" s="8">
        <f t="shared" si="30"/>
        <v>2.6499999999999986</v>
      </c>
      <c r="O156" s="8">
        <v>3.75</v>
      </c>
      <c r="P156" s="8">
        <v>1.296</v>
      </c>
      <c r="Q156" s="8">
        <f>31*16</f>
        <v>496</v>
      </c>
      <c r="R156" s="108">
        <f t="shared" si="31"/>
        <v>6.3879839999999968</v>
      </c>
      <c r="S156" s="109"/>
    </row>
    <row r="157" spans="5:19" ht="14" x14ac:dyDescent="0.25">
      <c r="E157" s="2" t="s">
        <v>13</v>
      </c>
      <c r="F157" s="71">
        <v>30.8</v>
      </c>
      <c r="G157" s="71">
        <v>3.5</v>
      </c>
      <c r="H157" s="41">
        <f t="shared" si="32"/>
        <v>1.75</v>
      </c>
      <c r="I157" s="71">
        <f t="shared" si="33"/>
        <v>29.05</v>
      </c>
      <c r="J157" s="8">
        <f t="shared" si="28"/>
        <v>1.75</v>
      </c>
      <c r="K157" s="8">
        <v>25</v>
      </c>
      <c r="L157" s="8">
        <f t="shared" si="34"/>
        <v>0.5</v>
      </c>
      <c r="M157" s="8">
        <f t="shared" si="29"/>
        <v>-0.34999999999999787</v>
      </c>
      <c r="N157" s="8">
        <f t="shared" si="30"/>
        <v>1.9000000000000021</v>
      </c>
      <c r="O157" s="8">
        <v>3.75</v>
      </c>
      <c r="P157" s="8">
        <v>1.296</v>
      </c>
      <c r="Q157" s="8">
        <f>30*16</f>
        <v>480</v>
      </c>
      <c r="R157" s="108">
        <f t="shared" si="31"/>
        <v>4.4323200000000051</v>
      </c>
      <c r="S157" s="109"/>
    </row>
    <row r="158" spans="5:19" ht="14" x14ac:dyDescent="0.25">
      <c r="E158" s="2" t="s">
        <v>24</v>
      </c>
      <c r="F158" s="41">
        <v>30.7</v>
      </c>
      <c r="G158" s="98">
        <v>3.4</v>
      </c>
      <c r="H158" s="41">
        <f t="shared" si="32"/>
        <v>1.7</v>
      </c>
      <c r="I158" s="71">
        <f t="shared" si="33"/>
        <v>29</v>
      </c>
      <c r="J158" s="8">
        <f t="shared" si="28"/>
        <v>1.75</v>
      </c>
      <c r="K158" s="8">
        <v>25</v>
      </c>
      <c r="L158" s="8">
        <f t="shared" si="34"/>
        <v>0.5</v>
      </c>
      <c r="M158" s="8">
        <f t="shared" si="29"/>
        <v>-0.39999999999999858</v>
      </c>
      <c r="N158" s="8">
        <f t="shared" si="30"/>
        <v>1.8500000000000014</v>
      </c>
      <c r="O158" s="8">
        <v>3.75</v>
      </c>
      <c r="P158" s="8">
        <v>1.296</v>
      </c>
      <c r="Q158" s="8">
        <f>31*16</f>
        <v>496</v>
      </c>
      <c r="R158" s="108">
        <f t="shared" si="31"/>
        <v>4.4595360000000035</v>
      </c>
      <c r="S158" s="109"/>
    </row>
    <row r="159" spans="5:19" ht="14" x14ac:dyDescent="0.25">
      <c r="E159" s="2" t="s">
        <v>19</v>
      </c>
      <c r="F159" s="41">
        <v>30.5</v>
      </c>
      <c r="G159" s="98">
        <v>3.3</v>
      </c>
      <c r="H159" s="41">
        <f t="shared" si="32"/>
        <v>1.65</v>
      </c>
      <c r="I159" s="71">
        <f t="shared" si="33"/>
        <v>28.85</v>
      </c>
      <c r="J159" s="8">
        <f t="shared" si="28"/>
        <v>1.75</v>
      </c>
      <c r="K159" s="8">
        <v>25</v>
      </c>
      <c r="L159" s="8">
        <f t="shared" si="34"/>
        <v>0.5</v>
      </c>
      <c r="M159" s="8">
        <f t="shared" si="29"/>
        <v>-0.54999999999999716</v>
      </c>
      <c r="N159" s="8">
        <f t="shared" si="30"/>
        <v>1.7000000000000028</v>
      </c>
      <c r="O159" s="8">
        <v>3.75</v>
      </c>
      <c r="P159" s="8">
        <v>1.296</v>
      </c>
      <c r="Q159" s="8">
        <f>31*16</f>
        <v>496</v>
      </c>
      <c r="R159" s="108">
        <f t="shared" si="31"/>
        <v>4.0979520000000074</v>
      </c>
      <c r="S159" s="109"/>
    </row>
    <row r="160" spans="5:19" ht="14" x14ac:dyDescent="0.25">
      <c r="E160" s="2" t="s">
        <v>20</v>
      </c>
      <c r="F160" s="41">
        <v>30.5</v>
      </c>
      <c r="G160" s="98">
        <v>3.7</v>
      </c>
      <c r="H160" s="41">
        <f t="shared" si="32"/>
        <v>1.85</v>
      </c>
      <c r="I160" s="71">
        <f t="shared" si="33"/>
        <v>28.65</v>
      </c>
      <c r="J160" s="8">
        <f t="shared" si="28"/>
        <v>1.75</v>
      </c>
      <c r="K160" s="8">
        <v>25</v>
      </c>
      <c r="L160" s="8">
        <f t="shared" si="34"/>
        <v>0.5</v>
      </c>
      <c r="M160" s="8">
        <f t="shared" si="29"/>
        <v>-0.75</v>
      </c>
      <c r="N160" s="8">
        <f t="shared" si="30"/>
        <v>1.5</v>
      </c>
      <c r="O160" s="8">
        <v>3.75</v>
      </c>
      <c r="P160" s="8">
        <v>1.296</v>
      </c>
      <c r="Q160" s="8">
        <f>30*16</f>
        <v>480</v>
      </c>
      <c r="R160" s="108">
        <f t="shared" si="31"/>
        <v>3.4991999999999996</v>
      </c>
      <c r="S160" s="109"/>
    </row>
    <row r="161" spans="5:19" ht="14" x14ac:dyDescent="0.25">
      <c r="E161" s="2" t="s">
        <v>21</v>
      </c>
      <c r="F161" s="41">
        <v>30.7</v>
      </c>
      <c r="G161" s="98">
        <v>4.8</v>
      </c>
      <c r="H161" s="41">
        <f t="shared" si="32"/>
        <v>2.4</v>
      </c>
      <c r="I161" s="71">
        <f t="shared" si="33"/>
        <v>28.3</v>
      </c>
      <c r="J161" s="8">
        <f t="shared" si="28"/>
        <v>1.75</v>
      </c>
      <c r="K161" s="8">
        <v>25</v>
      </c>
      <c r="L161" s="8">
        <f t="shared" si="34"/>
        <v>0.5</v>
      </c>
      <c r="M161" s="8">
        <f t="shared" si="29"/>
        <v>-1.0999999999999979</v>
      </c>
      <c r="N161" s="8">
        <f t="shared" si="30"/>
        <v>1.1500000000000021</v>
      </c>
      <c r="O161" s="8">
        <v>3.75</v>
      </c>
      <c r="P161" s="8">
        <v>1.296</v>
      </c>
      <c r="Q161" s="8">
        <f>31*16</f>
        <v>496</v>
      </c>
      <c r="R161" s="108">
        <f t="shared" si="31"/>
        <v>2.7721440000000053</v>
      </c>
      <c r="S161" s="109"/>
    </row>
    <row r="162" spans="5:19" ht="14" x14ac:dyDescent="0.25">
      <c r="E162" s="2" t="s">
        <v>22</v>
      </c>
      <c r="F162" s="41">
        <v>31.1</v>
      </c>
      <c r="G162" s="98">
        <v>5.7</v>
      </c>
      <c r="H162" s="41">
        <f t="shared" si="32"/>
        <v>2.85</v>
      </c>
      <c r="I162" s="71">
        <f t="shared" si="33"/>
        <v>28.25</v>
      </c>
      <c r="J162" s="8">
        <f t="shared" si="28"/>
        <v>1.75</v>
      </c>
      <c r="K162" s="8">
        <v>25</v>
      </c>
      <c r="L162" s="8">
        <f t="shared" si="34"/>
        <v>0.5</v>
      </c>
      <c r="M162" s="8">
        <f t="shared" si="29"/>
        <v>-1.1499999999999986</v>
      </c>
      <c r="N162" s="8">
        <f t="shared" si="30"/>
        <v>1.1000000000000014</v>
      </c>
      <c r="O162" s="8">
        <v>3.75</v>
      </c>
      <c r="P162" s="8">
        <v>1.296</v>
      </c>
      <c r="Q162" s="8">
        <f>30*16</f>
        <v>480</v>
      </c>
      <c r="R162" s="108">
        <f t="shared" si="31"/>
        <v>2.5660800000000035</v>
      </c>
      <c r="S162" s="109"/>
    </row>
    <row r="163" spans="5:19" ht="14" x14ac:dyDescent="0.25">
      <c r="E163" s="2" t="s">
        <v>23</v>
      </c>
      <c r="F163" s="41">
        <v>31.2</v>
      </c>
      <c r="G163" s="98">
        <v>6</v>
      </c>
      <c r="H163" s="41">
        <f t="shared" si="32"/>
        <v>3</v>
      </c>
      <c r="I163" s="71">
        <f t="shared" si="33"/>
        <v>28.2</v>
      </c>
      <c r="J163" s="8">
        <f t="shared" si="28"/>
        <v>1.75</v>
      </c>
      <c r="K163" s="8">
        <v>25</v>
      </c>
      <c r="L163" s="8">
        <f t="shared" si="34"/>
        <v>0.5</v>
      </c>
      <c r="M163" s="8">
        <f t="shared" si="29"/>
        <v>-1.1999999999999993</v>
      </c>
      <c r="N163" s="8">
        <f t="shared" si="30"/>
        <v>1.0500000000000007</v>
      </c>
      <c r="O163" s="8">
        <v>3.75</v>
      </c>
      <c r="P163" s="8">
        <v>1.296</v>
      </c>
      <c r="Q163" s="8">
        <f>31*16</f>
        <v>496</v>
      </c>
      <c r="R163" s="108">
        <f t="shared" si="31"/>
        <v>2.5310880000000013</v>
      </c>
      <c r="S163" s="109"/>
    </row>
    <row r="164" spans="5:19" ht="15" x14ac:dyDescent="0.25">
      <c r="E164" s="417" t="s">
        <v>61</v>
      </c>
      <c r="F164" s="418"/>
      <c r="G164" s="418"/>
      <c r="H164" s="418"/>
      <c r="I164" s="418"/>
      <c r="J164" s="418"/>
      <c r="K164" s="418"/>
      <c r="L164" s="418"/>
      <c r="M164" s="418"/>
      <c r="N164" s="418"/>
      <c r="O164" s="418"/>
      <c r="P164" s="418"/>
      <c r="Q164" s="419"/>
      <c r="R164" s="107">
        <f>SUM(R152:R163)</f>
        <v>46.578240000000051</v>
      </c>
      <c r="S164" s="105"/>
    </row>
    <row r="165" spans="5:19" ht="15" x14ac:dyDescent="0.4">
      <c r="E165" s="413" t="s">
        <v>74</v>
      </c>
      <c r="F165" s="414"/>
      <c r="G165" s="414"/>
      <c r="H165" s="414"/>
      <c r="I165" s="414"/>
      <c r="J165" s="414"/>
      <c r="K165" s="414"/>
      <c r="L165" s="414"/>
      <c r="M165" s="414"/>
      <c r="N165" s="414"/>
      <c r="O165" s="414"/>
      <c r="P165" s="414"/>
      <c r="Q165" s="414"/>
      <c r="R165" s="414"/>
      <c r="S165" s="104"/>
    </row>
    <row r="166" spans="5:19" ht="14" x14ac:dyDescent="0.25">
      <c r="E166" s="2" t="s">
        <v>15</v>
      </c>
      <c r="F166" s="71">
        <v>31.6</v>
      </c>
      <c r="G166" s="71">
        <v>6.8</v>
      </c>
      <c r="H166" s="41">
        <f>G166/2</f>
        <v>3.4</v>
      </c>
      <c r="I166" s="71">
        <f>F166-H166</f>
        <v>28.200000000000003</v>
      </c>
      <c r="J166" s="5">
        <f t="shared" ref="J166:J177" si="35">C$126</f>
        <v>1.75</v>
      </c>
      <c r="K166" s="5">
        <v>26</v>
      </c>
      <c r="L166" s="5">
        <f>25.5-K166</f>
        <v>-0.5</v>
      </c>
      <c r="M166" s="8">
        <f t="shared" ref="M166:M177" si="36">I166-29.4</f>
        <v>-1.1999999999999957</v>
      </c>
      <c r="N166" s="8">
        <f t="shared" ref="N166:N177" si="37">J166+L166+M166</f>
        <v>5.0000000000004263E-2</v>
      </c>
      <c r="O166" s="8">
        <v>3.75</v>
      </c>
      <c r="P166" s="8">
        <v>1.296</v>
      </c>
      <c r="Q166" s="8">
        <f>31*16</f>
        <v>496</v>
      </c>
      <c r="R166" s="108">
        <f t="shared" ref="R166:R177" si="38">(N166*O166*P166*Q166)/1000</f>
        <v>0.12052800000001028</v>
      </c>
      <c r="S166" s="109"/>
    </row>
    <row r="167" spans="5:19" ht="14" x14ac:dyDescent="0.25">
      <c r="E167" s="2" t="s">
        <v>16</v>
      </c>
      <c r="F167" s="71">
        <v>32.1</v>
      </c>
      <c r="G167" s="71">
        <v>6.6</v>
      </c>
      <c r="H167" s="41">
        <f t="shared" ref="H167:H177" si="39">G167/2</f>
        <v>3.3</v>
      </c>
      <c r="I167" s="71">
        <f t="shared" ref="I167:I177" si="40">F167-H167</f>
        <v>28.8</v>
      </c>
      <c r="J167" s="5">
        <f t="shared" si="35"/>
        <v>1.75</v>
      </c>
      <c r="K167" s="5">
        <v>26</v>
      </c>
      <c r="L167" s="5">
        <f t="shared" ref="L167:L177" si="41">25.5-K167</f>
        <v>-0.5</v>
      </c>
      <c r="M167" s="8">
        <f t="shared" si="36"/>
        <v>-0.59999999999999787</v>
      </c>
      <c r="N167" s="8">
        <f t="shared" si="37"/>
        <v>0.65000000000000213</v>
      </c>
      <c r="O167" s="8">
        <v>3.75</v>
      </c>
      <c r="P167" s="8">
        <v>1.296</v>
      </c>
      <c r="Q167" s="8">
        <f>28*16</f>
        <v>448</v>
      </c>
      <c r="R167" s="108">
        <f t="shared" si="38"/>
        <v>1.4152320000000047</v>
      </c>
      <c r="S167" s="109"/>
    </row>
    <row r="168" spans="5:19" ht="14" x14ac:dyDescent="0.25">
      <c r="E168" s="2" t="s">
        <v>17</v>
      </c>
      <c r="F168" s="71">
        <v>32</v>
      </c>
      <c r="G168" s="71">
        <v>6</v>
      </c>
      <c r="H168" s="41">
        <f t="shared" si="39"/>
        <v>3</v>
      </c>
      <c r="I168" s="71">
        <f t="shared" si="40"/>
        <v>29</v>
      </c>
      <c r="J168" s="5">
        <f t="shared" si="35"/>
        <v>1.75</v>
      </c>
      <c r="K168" s="5">
        <v>26</v>
      </c>
      <c r="L168" s="5">
        <f t="shared" si="41"/>
        <v>-0.5</v>
      </c>
      <c r="M168" s="8">
        <f t="shared" si="36"/>
        <v>-0.39999999999999858</v>
      </c>
      <c r="N168" s="8">
        <f t="shared" si="37"/>
        <v>0.85000000000000142</v>
      </c>
      <c r="O168" s="8">
        <v>3.75</v>
      </c>
      <c r="P168" s="8">
        <v>1.296</v>
      </c>
      <c r="Q168" s="8">
        <f>31*16</f>
        <v>496</v>
      </c>
      <c r="R168" s="108">
        <f t="shared" si="38"/>
        <v>2.0489760000000037</v>
      </c>
      <c r="S168" s="109"/>
    </row>
    <row r="169" spans="5:19" ht="14" x14ac:dyDescent="0.25">
      <c r="E169" s="2" t="s">
        <v>18</v>
      </c>
      <c r="F169" s="71">
        <v>32.299999999999997</v>
      </c>
      <c r="G169" s="71">
        <v>5.8</v>
      </c>
      <c r="H169" s="41">
        <f t="shared" si="39"/>
        <v>2.9</v>
      </c>
      <c r="I169" s="71">
        <f t="shared" si="40"/>
        <v>29.4</v>
      </c>
      <c r="J169" s="5">
        <f t="shared" si="35"/>
        <v>1.75</v>
      </c>
      <c r="K169" s="5">
        <v>26</v>
      </c>
      <c r="L169" s="5">
        <f t="shared" si="41"/>
        <v>-0.5</v>
      </c>
      <c r="M169" s="8">
        <f t="shared" si="36"/>
        <v>0</v>
      </c>
      <c r="N169" s="8">
        <f t="shared" si="37"/>
        <v>1.25</v>
      </c>
      <c r="O169" s="8">
        <v>3.75</v>
      </c>
      <c r="P169" s="8">
        <v>1.296</v>
      </c>
      <c r="Q169" s="8">
        <f>30*16</f>
        <v>480</v>
      </c>
      <c r="R169" s="108">
        <f t="shared" si="38"/>
        <v>2.9159999999999999</v>
      </c>
      <c r="S169" s="109"/>
    </row>
    <row r="170" spans="5:19" ht="14" x14ac:dyDescent="0.25">
      <c r="E170" s="2" t="s">
        <v>12</v>
      </c>
      <c r="F170" s="71">
        <v>31.9</v>
      </c>
      <c r="G170" s="71">
        <v>4.2</v>
      </c>
      <c r="H170" s="41">
        <f t="shared" si="39"/>
        <v>2.1</v>
      </c>
      <c r="I170" s="71">
        <f t="shared" si="40"/>
        <v>29.799999999999997</v>
      </c>
      <c r="J170" s="5">
        <f t="shared" si="35"/>
        <v>1.75</v>
      </c>
      <c r="K170" s="5">
        <v>26</v>
      </c>
      <c r="L170" s="5">
        <f t="shared" si="41"/>
        <v>-0.5</v>
      </c>
      <c r="M170" s="8">
        <f t="shared" si="36"/>
        <v>0.39999999999999858</v>
      </c>
      <c r="N170" s="8">
        <f t="shared" si="37"/>
        <v>1.6499999999999986</v>
      </c>
      <c r="O170" s="8">
        <v>3.75</v>
      </c>
      <c r="P170" s="8">
        <v>1.296</v>
      </c>
      <c r="Q170" s="8">
        <f>31*16</f>
        <v>496</v>
      </c>
      <c r="R170" s="108">
        <f t="shared" si="38"/>
        <v>3.9774239999999965</v>
      </c>
      <c r="S170" s="109"/>
    </row>
    <row r="171" spans="5:19" ht="14" x14ac:dyDescent="0.25">
      <c r="E171" s="2" t="s">
        <v>13</v>
      </c>
      <c r="F171" s="71">
        <v>30.8</v>
      </c>
      <c r="G171" s="71">
        <v>3.5</v>
      </c>
      <c r="H171" s="41">
        <f t="shared" si="39"/>
        <v>1.75</v>
      </c>
      <c r="I171" s="71">
        <f t="shared" si="40"/>
        <v>29.05</v>
      </c>
      <c r="J171" s="5">
        <f t="shared" si="35"/>
        <v>1.75</v>
      </c>
      <c r="K171" s="5">
        <v>26</v>
      </c>
      <c r="L171" s="5">
        <f t="shared" si="41"/>
        <v>-0.5</v>
      </c>
      <c r="M171" s="8">
        <f t="shared" si="36"/>
        <v>-0.34999999999999787</v>
      </c>
      <c r="N171" s="8">
        <f t="shared" si="37"/>
        <v>0.90000000000000213</v>
      </c>
      <c r="O171" s="8">
        <v>3.75</v>
      </c>
      <c r="P171" s="8">
        <v>1.296</v>
      </c>
      <c r="Q171" s="8">
        <f>30*16</f>
        <v>480</v>
      </c>
      <c r="R171" s="108">
        <f t="shared" si="38"/>
        <v>2.0995200000000049</v>
      </c>
      <c r="S171" s="109"/>
    </row>
    <row r="172" spans="5:19" ht="14" x14ac:dyDescent="0.25">
      <c r="E172" s="2" t="s">
        <v>24</v>
      </c>
      <c r="F172" s="41">
        <v>30.7</v>
      </c>
      <c r="G172" s="98">
        <v>3.4</v>
      </c>
      <c r="H172" s="41">
        <f t="shared" si="39"/>
        <v>1.7</v>
      </c>
      <c r="I172" s="71">
        <f t="shared" si="40"/>
        <v>29</v>
      </c>
      <c r="J172" s="5">
        <f t="shared" si="35"/>
        <v>1.75</v>
      </c>
      <c r="K172" s="5">
        <v>26</v>
      </c>
      <c r="L172" s="5">
        <f t="shared" si="41"/>
        <v>-0.5</v>
      </c>
      <c r="M172" s="8">
        <f t="shared" si="36"/>
        <v>-0.39999999999999858</v>
      </c>
      <c r="N172" s="8">
        <f t="shared" si="37"/>
        <v>0.85000000000000142</v>
      </c>
      <c r="O172" s="8">
        <v>3.75</v>
      </c>
      <c r="P172" s="8">
        <v>1.296</v>
      </c>
      <c r="Q172" s="8">
        <f>31*16</f>
        <v>496</v>
      </c>
      <c r="R172" s="108">
        <f t="shared" si="38"/>
        <v>2.0489760000000037</v>
      </c>
      <c r="S172" s="109"/>
    </row>
    <row r="173" spans="5:19" ht="14" x14ac:dyDescent="0.25">
      <c r="E173" s="2" t="s">
        <v>19</v>
      </c>
      <c r="F173" s="41">
        <v>30.5</v>
      </c>
      <c r="G173" s="98">
        <v>3.3</v>
      </c>
      <c r="H173" s="41">
        <f t="shared" si="39"/>
        <v>1.65</v>
      </c>
      <c r="I173" s="71">
        <f t="shared" si="40"/>
        <v>28.85</v>
      </c>
      <c r="J173" s="5">
        <f t="shared" si="35"/>
        <v>1.75</v>
      </c>
      <c r="K173" s="5">
        <v>26</v>
      </c>
      <c r="L173" s="5">
        <f t="shared" si="41"/>
        <v>-0.5</v>
      </c>
      <c r="M173" s="8">
        <f t="shared" si="36"/>
        <v>-0.54999999999999716</v>
      </c>
      <c r="N173" s="8">
        <f t="shared" si="37"/>
        <v>0.70000000000000284</v>
      </c>
      <c r="O173" s="8">
        <v>3.75</v>
      </c>
      <c r="P173" s="8">
        <v>1.296</v>
      </c>
      <c r="Q173" s="8">
        <f>31*16</f>
        <v>496</v>
      </c>
      <c r="R173" s="108">
        <f t="shared" si="38"/>
        <v>1.6873920000000069</v>
      </c>
      <c r="S173" s="109"/>
    </row>
    <row r="174" spans="5:19" ht="14" x14ac:dyDescent="0.25">
      <c r="E174" s="2" t="s">
        <v>20</v>
      </c>
      <c r="F174" s="41">
        <v>30.5</v>
      </c>
      <c r="G174" s="98">
        <v>3.7</v>
      </c>
      <c r="H174" s="41">
        <f t="shared" si="39"/>
        <v>1.85</v>
      </c>
      <c r="I174" s="71">
        <f t="shared" si="40"/>
        <v>28.65</v>
      </c>
      <c r="J174" s="5">
        <f t="shared" si="35"/>
        <v>1.75</v>
      </c>
      <c r="K174" s="5">
        <v>26</v>
      </c>
      <c r="L174" s="5">
        <f t="shared" si="41"/>
        <v>-0.5</v>
      </c>
      <c r="M174" s="8">
        <f t="shared" si="36"/>
        <v>-0.75</v>
      </c>
      <c r="N174" s="8">
        <f t="shared" si="37"/>
        <v>0.5</v>
      </c>
      <c r="O174" s="8">
        <v>3.75</v>
      </c>
      <c r="P174" s="8">
        <v>1.296</v>
      </c>
      <c r="Q174" s="8">
        <f>30*16</f>
        <v>480</v>
      </c>
      <c r="R174" s="108">
        <f t="shared" si="38"/>
        <v>1.1664000000000001</v>
      </c>
      <c r="S174" s="109"/>
    </row>
    <row r="175" spans="5:19" ht="14" x14ac:dyDescent="0.25">
      <c r="E175" s="2" t="s">
        <v>21</v>
      </c>
      <c r="F175" s="41">
        <v>30.7</v>
      </c>
      <c r="G175" s="98">
        <v>4.8</v>
      </c>
      <c r="H175" s="41">
        <f t="shared" si="39"/>
        <v>2.4</v>
      </c>
      <c r="I175" s="71">
        <f t="shared" si="40"/>
        <v>28.3</v>
      </c>
      <c r="J175" s="5">
        <f t="shared" si="35"/>
        <v>1.75</v>
      </c>
      <c r="K175" s="5">
        <v>26</v>
      </c>
      <c r="L175" s="5">
        <f t="shared" si="41"/>
        <v>-0.5</v>
      </c>
      <c r="M175" s="8">
        <f t="shared" si="36"/>
        <v>-1.0999999999999979</v>
      </c>
      <c r="N175" s="8">
        <f t="shared" si="37"/>
        <v>0.15000000000000213</v>
      </c>
      <c r="O175" s="8">
        <v>3.75</v>
      </c>
      <c r="P175" s="8">
        <v>1.296</v>
      </c>
      <c r="Q175" s="8">
        <f>31*16</f>
        <v>496</v>
      </c>
      <c r="R175" s="108">
        <f t="shared" si="38"/>
        <v>0.36158400000000518</v>
      </c>
      <c r="S175" s="109"/>
    </row>
    <row r="176" spans="5:19" ht="14" x14ac:dyDescent="0.25">
      <c r="E176" s="2" t="s">
        <v>22</v>
      </c>
      <c r="F176" s="41">
        <v>31.1</v>
      </c>
      <c r="G176" s="98">
        <v>5.7</v>
      </c>
      <c r="H176" s="41">
        <f t="shared" si="39"/>
        <v>2.85</v>
      </c>
      <c r="I176" s="71">
        <f t="shared" si="40"/>
        <v>28.25</v>
      </c>
      <c r="J176" s="5">
        <f t="shared" si="35"/>
        <v>1.75</v>
      </c>
      <c r="K176" s="5">
        <v>26</v>
      </c>
      <c r="L176" s="5">
        <f t="shared" si="41"/>
        <v>-0.5</v>
      </c>
      <c r="M176" s="8">
        <f t="shared" si="36"/>
        <v>-1.1499999999999986</v>
      </c>
      <c r="N176" s="8">
        <f t="shared" si="37"/>
        <v>0.10000000000000142</v>
      </c>
      <c r="O176" s="8">
        <v>3.75</v>
      </c>
      <c r="P176" s="8">
        <v>1.296</v>
      </c>
      <c r="Q176" s="8">
        <f>30*16</f>
        <v>480</v>
      </c>
      <c r="R176" s="108">
        <f t="shared" si="38"/>
        <v>0.23328000000000332</v>
      </c>
      <c r="S176" s="109"/>
    </row>
    <row r="177" spans="5:19" ht="14" x14ac:dyDescent="0.25">
      <c r="E177" s="2" t="s">
        <v>23</v>
      </c>
      <c r="F177" s="41">
        <v>31.2</v>
      </c>
      <c r="G177" s="98">
        <v>6</v>
      </c>
      <c r="H177" s="41">
        <f t="shared" si="39"/>
        <v>3</v>
      </c>
      <c r="I177" s="71">
        <f t="shared" si="40"/>
        <v>28.2</v>
      </c>
      <c r="J177" s="5">
        <f t="shared" si="35"/>
        <v>1.75</v>
      </c>
      <c r="K177" s="5">
        <v>26</v>
      </c>
      <c r="L177" s="5">
        <f t="shared" si="41"/>
        <v>-0.5</v>
      </c>
      <c r="M177" s="8">
        <f t="shared" si="36"/>
        <v>-1.1999999999999993</v>
      </c>
      <c r="N177" s="8">
        <f t="shared" si="37"/>
        <v>5.0000000000000711E-2</v>
      </c>
      <c r="O177" s="8">
        <v>3.75</v>
      </c>
      <c r="P177" s="8">
        <v>1.296</v>
      </c>
      <c r="Q177" s="8">
        <f>31*16</f>
        <v>496</v>
      </c>
      <c r="R177" s="108">
        <f t="shared" si="38"/>
        <v>0.12052800000000172</v>
      </c>
      <c r="S177" s="109"/>
    </row>
    <row r="178" spans="5:19" ht="15" x14ac:dyDescent="0.25">
      <c r="E178" s="417" t="s">
        <v>61</v>
      </c>
      <c r="F178" s="418"/>
      <c r="G178" s="418"/>
      <c r="H178" s="418"/>
      <c r="I178" s="418"/>
      <c r="J178" s="418"/>
      <c r="K178" s="418"/>
      <c r="L178" s="418"/>
      <c r="M178" s="418"/>
      <c r="N178" s="418"/>
      <c r="O178" s="418"/>
      <c r="P178" s="418"/>
      <c r="Q178" s="419"/>
      <c r="R178" s="107">
        <f>SUM(R166:R177)</f>
        <v>18.19584000000004</v>
      </c>
      <c r="S178" s="105"/>
    </row>
    <row r="179" spans="5:19" ht="15" x14ac:dyDescent="0.4">
      <c r="E179" s="413" t="s">
        <v>75</v>
      </c>
      <c r="F179" s="414"/>
      <c r="G179" s="414"/>
      <c r="H179" s="414"/>
      <c r="I179" s="414"/>
      <c r="J179" s="414"/>
      <c r="K179" s="414"/>
      <c r="L179" s="414"/>
      <c r="M179" s="414"/>
      <c r="N179" s="414"/>
      <c r="O179" s="414"/>
      <c r="P179" s="414"/>
      <c r="Q179" s="414"/>
      <c r="R179" s="414"/>
      <c r="S179" s="104"/>
    </row>
    <row r="180" spans="5:19" ht="14" x14ac:dyDescent="0.25">
      <c r="E180" s="2" t="s">
        <v>15</v>
      </c>
      <c r="F180" s="71">
        <v>31.6</v>
      </c>
      <c r="G180" s="71">
        <v>6.8</v>
      </c>
      <c r="H180" s="41">
        <f>G180/2</f>
        <v>3.4</v>
      </c>
      <c r="I180" s="71">
        <f>F180-H180</f>
        <v>28.200000000000003</v>
      </c>
      <c r="J180" s="5">
        <f t="shared" ref="J180:J191" si="42">C$126</f>
        <v>1.75</v>
      </c>
      <c r="K180" s="5">
        <v>27</v>
      </c>
      <c r="L180" s="5">
        <f>25.5-K180</f>
        <v>-1.5</v>
      </c>
      <c r="M180" s="8">
        <f t="shared" ref="M180:M191" si="43">I180-29.4</f>
        <v>-1.1999999999999957</v>
      </c>
      <c r="N180" s="8">
        <f t="shared" ref="N180:N191" si="44">J180+L180+M180</f>
        <v>-0.94999999999999574</v>
      </c>
      <c r="O180" s="8">
        <v>3.75</v>
      </c>
      <c r="P180" s="8">
        <v>1.296</v>
      </c>
      <c r="Q180" s="8">
        <f>31*16</f>
        <v>496</v>
      </c>
      <c r="R180" s="108">
        <f t="shared" ref="R180:R191" si="45">(N180*O180*P180*Q180)/1000</f>
        <v>-2.2900319999999899</v>
      </c>
      <c r="S180" s="109"/>
    </row>
    <row r="181" spans="5:19" ht="14" x14ac:dyDescent="0.25">
      <c r="E181" s="2" t="s">
        <v>16</v>
      </c>
      <c r="F181" s="71">
        <v>32.1</v>
      </c>
      <c r="G181" s="71">
        <v>6.6</v>
      </c>
      <c r="H181" s="41">
        <f t="shared" ref="H181:H191" si="46">G181/2</f>
        <v>3.3</v>
      </c>
      <c r="I181" s="71">
        <f t="shared" ref="I181:I191" si="47">F181-H181</f>
        <v>28.8</v>
      </c>
      <c r="J181" s="5">
        <f t="shared" si="42"/>
        <v>1.75</v>
      </c>
      <c r="K181" s="5">
        <v>27</v>
      </c>
      <c r="L181" s="5">
        <f t="shared" ref="L181:L191" si="48">25.5-K181</f>
        <v>-1.5</v>
      </c>
      <c r="M181" s="8">
        <f t="shared" si="43"/>
        <v>-0.59999999999999787</v>
      </c>
      <c r="N181" s="8">
        <f t="shared" si="44"/>
        <v>-0.34999999999999787</v>
      </c>
      <c r="O181" s="8">
        <v>3.75</v>
      </c>
      <c r="P181" s="8">
        <v>1.296</v>
      </c>
      <c r="Q181" s="8">
        <f>28*16</f>
        <v>448</v>
      </c>
      <c r="R181" s="108">
        <f t="shared" si="45"/>
        <v>-0.7620479999999954</v>
      </c>
      <c r="S181" s="109"/>
    </row>
    <row r="182" spans="5:19" ht="14" x14ac:dyDescent="0.25">
      <c r="E182" s="2" t="s">
        <v>17</v>
      </c>
      <c r="F182" s="71">
        <v>32</v>
      </c>
      <c r="G182" s="71">
        <v>6</v>
      </c>
      <c r="H182" s="41">
        <f t="shared" si="46"/>
        <v>3</v>
      </c>
      <c r="I182" s="71">
        <f t="shared" si="47"/>
        <v>29</v>
      </c>
      <c r="J182" s="5">
        <f t="shared" si="42"/>
        <v>1.75</v>
      </c>
      <c r="K182" s="5">
        <v>27</v>
      </c>
      <c r="L182" s="5">
        <f t="shared" si="48"/>
        <v>-1.5</v>
      </c>
      <c r="M182" s="8">
        <f t="shared" si="43"/>
        <v>-0.39999999999999858</v>
      </c>
      <c r="N182" s="8">
        <f t="shared" si="44"/>
        <v>-0.14999999999999858</v>
      </c>
      <c r="O182" s="8">
        <v>3.75</v>
      </c>
      <c r="P182" s="8">
        <v>1.296</v>
      </c>
      <c r="Q182" s="8">
        <f>31*16</f>
        <v>496</v>
      </c>
      <c r="R182" s="108">
        <f t="shared" si="45"/>
        <v>-0.36158399999999657</v>
      </c>
      <c r="S182" s="109"/>
    </row>
    <row r="183" spans="5:19" ht="14" x14ac:dyDescent="0.25">
      <c r="E183" s="2" t="s">
        <v>18</v>
      </c>
      <c r="F183" s="71">
        <v>32.299999999999997</v>
      </c>
      <c r="G183" s="71">
        <v>5.8</v>
      </c>
      <c r="H183" s="41">
        <f t="shared" si="46"/>
        <v>2.9</v>
      </c>
      <c r="I183" s="71">
        <f t="shared" si="47"/>
        <v>29.4</v>
      </c>
      <c r="J183" s="5">
        <f t="shared" si="42"/>
        <v>1.75</v>
      </c>
      <c r="K183" s="5">
        <v>27</v>
      </c>
      <c r="L183" s="5">
        <f t="shared" si="48"/>
        <v>-1.5</v>
      </c>
      <c r="M183" s="8">
        <f t="shared" si="43"/>
        <v>0</v>
      </c>
      <c r="N183" s="8">
        <f t="shared" si="44"/>
        <v>0.25</v>
      </c>
      <c r="O183" s="8">
        <v>3.75</v>
      </c>
      <c r="P183" s="8">
        <v>1.296</v>
      </c>
      <c r="Q183" s="8">
        <f>30*16</f>
        <v>480</v>
      </c>
      <c r="R183" s="108">
        <f t="shared" si="45"/>
        <v>0.58320000000000005</v>
      </c>
      <c r="S183" s="109"/>
    </row>
    <row r="184" spans="5:19" ht="14" x14ac:dyDescent="0.25">
      <c r="E184" s="2" t="s">
        <v>12</v>
      </c>
      <c r="F184" s="71">
        <v>31.9</v>
      </c>
      <c r="G184" s="71">
        <v>4.2</v>
      </c>
      <c r="H184" s="41">
        <f t="shared" si="46"/>
        <v>2.1</v>
      </c>
      <c r="I184" s="71">
        <f t="shared" si="47"/>
        <v>29.799999999999997</v>
      </c>
      <c r="J184" s="5">
        <f t="shared" si="42"/>
        <v>1.75</v>
      </c>
      <c r="K184" s="5">
        <v>27</v>
      </c>
      <c r="L184" s="5">
        <f t="shared" si="48"/>
        <v>-1.5</v>
      </c>
      <c r="M184" s="8">
        <f t="shared" si="43"/>
        <v>0.39999999999999858</v>
      </c>
      <c r="N184" s="8">
        <f t="shared" si="44"/>
        <v>0.64999999999999858</v>
      </c>
      <c r="O184" s="8">
        <v>3.75</v>
      </c>
      <c r="P184" s="8">
        <v>1.296</v>
      </c>
      <c r="Q184" s="8">
        <f>31*16</f>
        <v>496</v>
      </c>
      <c r="R184" s="108">
        <f t="shared" si="45"/>
        <v>1.5668639999999967</v>
      </c>
      <c r="S184" s="109"/>
    </row>
    <row r="185" spans="5:19" ht="14" x14ac:dyDescent="0.25">
      <c r="E185" s="2" t="s">
        <v>13</v>
      </c>
      <c r="F185" s="71">
        <v>30.8</v>
      </c>
      <c r="G185" s="71">
        <v>3.5</v>
      </c>
      <c r="H185" s="41">
        <f t="shared" si="46"/>
        <v>1.75</v>
      </c>
      <c r="I185" s="71">
        <f t="shared" si="47"/>
        <v>29.05</v>
      </c>
      <c r="J185" s="5">
        <f t="shared" si="42"/>
        <v>1.75</v>
      </c>
      <c r="K185" s="5">
        <v>27</v>
      </c>
      <c r="L185" s="5">
        <f t="shared" si="48"/>
        <v>-1.5</v>
      </c>
      <c r="M185" s="8">
        <f t="shared" si="43"/>
        <v>-0.34999999999999787</v>
      </c>
      <c r="N185" s="8">
        <f t="shared" si="44"/>
        <v>-9.9999999999997868E-2</v>
      </c>
      <c r="O185" s="8">
        <v>3.75</v>
      </c>
      <c r="P185" s="8">
        <v>1.296</v>
      </c>
      <c r="Q185" s="8">
        <f>30*16</f>
        <v>480</v>
      </c>
      <c r="R185" s="108">
        <f t="shared" si="45"/>
        <v>-0.23327999999999502</v>
      </c>
      <c r="S185" s="109"/>
    </row>
    <row r="186" spans="5:19" ht="14" x14ac:dyDescent="0.25">
      <c r="E186" s="2" t="s">
        <v>24</v>
      </c>
      <c r="F186" s="41">
        <v>30.7</v>
      </c>
      <c r="G186" s="98">
        <v>3.4</v>
      </c>
      <c r="H186" s="41">
        <f t="shared" si="46"/>
        <v>1.7</v>
      </c>
      <c r="I186" s="71">
        <f t="shared" si="47"/>
        <v>29</v>
      </c>
      <c r="J186" s="5">
        <f t="shared" si="42"/>
        <v>1.75</v>
      </c>
      <c r="K186" s="5">
        <v>27</v>
      </c>
      <c r="L186" s="5">
        <f t="shared" si="48"/>
        <v>-1.5</v>
      </c>
      <c r="M186" s="8">
        <f t="shared" si="43"/>
        <v>-0.39999999999999858</v>
      </c>
      <c r="N186" s="8">
        <f t="shared" si="44"/>
        <v>-0.14999999999999858</v>
      </c>
      <c r="O186" s="8">
        <v>3.75</v>
      </c>
      <c r="P186" s="8">
        <v>1.296</v>
      </c>
      <c r="Q186" s="8">
        <f>31*16</f>
        <v>496</v>
      </c>
      <c r="R186" s="108">
        <f t="shared" si="45"/>
        <v>-0.36158399999999657</v>
      </c>
      <c r="S186" s="109"/>
    </row>
    <row r="187" spans="5:19" ht="14" x14ac:dyDescent="0.25">
      <c r="E187" s="2" t="s">
        <v>19</v>
      </c>
      <c r="F187" s="41">
        <v>30.5</v>
      </c>
      <c r="G187" s="98">
        <v>3.3</v>
      </c>
      <c r="H187" s="41">
        <f t="shared" si="46"/>
        <v>1.65</v>
      </c>
      <c r="I187" s="71">
        <f t="shared" si="47"/>
        <v>28.85</v>
      </c>
      <c r="J187" s="5">
        <f t="shared" si="42"/>
        <v>1.75</v>
      </c>
      <c r="K187" s="5">
        <v>27</v>
      </c>
      <c r="L187" s="5">
        <f t="shared" si="48"/>
        <v>-1.5</v>
      </c>
      <c r="M187" s="8">
        <f t="shared" si="43"/>
        <v>-0.54999999999999716</v>
      </c>
      <c r="N187" s="8">
        <f t="shared" si="44"/>
        <v>-0.29999999999999716</v>
      </c>
      <c r="O187" s="8">
        <v>3.75</v>
      </c>
      <c r="P187" s="8">
        <v>1.296</v>
      </c>
      <c r="Q187" s="8">
        <f>31*16</f>
        <v>496</v>
      </c>
      <c r="R187" s="108">
        <f t="shared" si="45"/>
        <v>-0.72316799999999315</v>
      </c>
      <c r="S187" s="109"/>
    </row>
    <row r="188" spans="5:19" ht="14" x14ac:dyDescent="0.25">
      <c r="E188" s="2" t="s">
        <v>20</v>
      </c>
      <c r="F188" s="41">
        <v>30.5</v>
      </c>
      <c r="G188" s="98">
        <v>3.7</v>
      </c>
      <c r="H188" s="41">
        <f t="shared" si="46"/>
        <v>1.85</v>
      </c>
      <c r="I188" s="71">
        <f t="shared" si="47"/>
        <v>28.65</v>
      </c>
      <c r="J188" s="5">
        <f t="shared" si="42"/>
        <v>1.75</v>
      </c>
      <c r="K188" s="5">
        <v>27</v>
      </c>
      <c r="L188" s="5">
        <f t="shared" si="48"/>
        <v>-1.5</v>
      </c>
      <c r="M188" s="8">
        <f t="shared" si="43"/>
        <v>-0.75</v>
      </c>
      <c r="N188" s="8">
        <f t="shared" si="44"/>
        <v>-0.5</v>
      </c>
      <c r="O188" s="8">
        <v>3.75</v>
      </c>
      <c r="P188" s="8">
        <v>1.296</v>
      </c>
      <c r="Q188" s="8">
        <f>30*16</f>
        <v>480</v>
      </c>
      <c r="R188" s="108">
        <f t="shared" si="45"/>
        <v>-1.1664000000000001</v>
      </c>
      <c r="S188" s="109"/>
    </row>
    <row r="189" spans="5:19" ht="14" x14ac:dyDescent="0.25">
      <c r="E189" s="2" t="s">
        <v>21</v>
      </c>
      <c r="F189" s="41">
        <v>30.7</v>
      </c>
      <c r="G189" s="98">
        <v>4.8</v>
      </c>
      <c r="H189" s="41">
        <f t="shared" si="46"/>
        <v>2.4</v>
      </c>
      <c r="I189" s="71">
        <f t="shared" si="47"/>
        <v>28.3</v>
      </c>
      <c r="J189" s="5">
        <f t="shared" si="42"/>
        <v>1.75</v>
      </c>
      <c r="K189" s="5">
        <v>27</v>
      </c>
      <c r="L189" s="5">
        <f t="shared" si="48"/>
        <v>-1.5</v>
      </c>
      <c r="M189" s="8">
        <f t="shared" si="43"/>
        <v>-1.0999999999999979</v>
      </c>
      <c r="N189" s="8">
        <f t="shared" si="44"/>
        <v>-0.84999999999999787</v>
      </c>
      <c r="O189" s="8">
        <v>3.75</v>
      </c>
      <c r="P189" s="8">
        <v>1.296</v>
      </c>
      <c r="Q189" s="8">
        <f>31*16</f>
        <v>496</v>
      </c>
      <c r="R189" s="108">
        <f t="shared" si="45"/>
        <v>-2.0489759999999948</v>
      </c>
      <c r="S189" s="109"/>
    </row>
    <row r="190" spans="5:19" ht="14" x14ac:dyDescent="0.25">
      <c r="E190" s="2" t="s">
        <v>22</v>
      </c>
      <c r="F190" s="41">
        <v>31.1</v>
      </c>
      <c r="G190" s="98">
        <v>5.7</v>
      </c>
      <c r="H190" s="41">
        <f t="shared" si="46"/>
        <v>2.85</v>
      </c>
      <c r="I190" s="71">
        <f t="shared" si="47"/>
        <v>28.25</v>
      </c>
      <c r="J190" s="5">
        <f t="shared" si="42"/>
        <v>1.75</v>
      </c>
      <c r="K190" s="5">
        <v>27</v>
      </c>
      <c r="L190" s="5">
        <f t="shared" si="48"/>
        <v>-1.5</v>
      </c>
      <c r="M190" s="8">
        <f t="shared" si="43"/>
        <v>-1.1499999999999986</v>
      </c>
      <c r="N190" s="8">
        <f t="shared" si="44"/>
        <v>-0.89999999999999858</v>
      </c>
      <c r="O190" s="8">
        <v>3.75</v>
      </c>
      <c r="P190" s="8">
        <v>1.296</v>
      </c>
      <c r="Q190" s="8">
        <f>30*16</f>
        <v>480</v>
      </c>
      <c r="R190" s="108">
        <f t="shared" si="45"/>
        <v>-2.0995199999999969</v>
      </c>
      <c r="S190" s="109"/>
    </row>
    <row r="191" spans="5:19" ht="14" x14ac:dyDescent="0.25">
      <c r="E191" s="2" t="s">
        <v>23</v>
      </c>
      <c r="F191" s="41">
        <v>31.2</v>
      </c>
      <c r="G191" s="98">
        <v>6</v>
      </c>
      <c r="H191" s="41">
        <f t="shared" si="46"/>
        <v>3</v>
      </c>
      <c r="I191" s="71">
        <f t="shared" si="47"/>
        <v>28.2</v>
      </c>
      <c r="J191" s="5">
        <f t="shared" si="42"/>
        <v>1.75</v>
      </c>
      <c r="K191" s="5">
        <v>27</v>
      </c>
      <c r="L191" s="5">
        <f t="shared" si="48"/>
        <v>-1.5</v>
      </c>
      <c r="M191" s="8">
        <f t="shared" si="43"/>
        <v>-1.1999999999999993</v>
      </c>
      <c r="N191" s="8">
        <f t="shared" si="44"/>
        <v>-0.94999999999999929</v>
      </c>
      <c r="O191" s="8">
        <v>3.75</v>
      </c>
      <c r="P191" s="8">
        <v>1.296</v>
      </c>
      <c r="Q191" s="8">
        <f>31*16</f>
        <v>496</v>
      </c>
      <c r="R191" s="108">
        <f t="shared" si="45"/>
        <v>-2.2900319999999983</v>
      </c>
      <c r="S191" s="109"/>
    </row>
    <row r="192" spans="5:19" ht="15" x14ac:dyDescent="0.25">
      <c r="E192" s="417" t="s">
        <v>61</v>
      </c>
      <c r="F192" s="418"/>
      <c r="G192" s="418"/>
      <c r="H192" s="418"/>
      <c r="I192" s="418"/>
      <c r="J192" s="418"/>
      <c r="K192" s="418"/>
      <c r="L192" s="418"/>
      <c r="M192" s="418"/>
      <c r="N192" s="418"/>
      <c r="O192" s="418"/>
      <c r="P192" s="418"/>
      <c r="Q192" s="419"/>
      <c r="R192" s="107">
        <f>SUM(R180:R191)</f>
        <v>-10.186559999999959</v>
      </c>
      <c r="S192" s="105"/>
    </row>
    <row r="193" spans="5:19" ht="15" x14ac:dyDescent="0.4">
      <c r="E193" s="413" t="s">
        <v>76</v>
      </c>
      <c r="F193" s="414"/>
      <c r="G193" s="414"/>
      <c r="H193" s="414"/>
      <c r="I193" s="414"/>
      <c r="J193" s="414"/>
      <c r="K193" s="414"/>
      <c r="L193" s="414"/>
      <c r="M193" s="414"/>
      <c r="N193" s="414"/>
      <c r="O193" s="414"/>
      <c r="P193" s="414"/>
      <c r="Q193" s="414"/>
      <c r="R193" s="414"/>
      <c r="S193" s="104"/>
    </row>
    <row r="194" spans="5:19" ht="14" x14ac:dyDescent="0.25">
      <c r="E194" s="2" t="s">
        <v>15</v>
      </c>
      <c r="F194" s="71">
        <v>31.6</v>
      </c>
      <c r="G194" s="71">
        <v>6.8</v>
      </c>
      <c r="H194" s="41">
        <f>G194/2</f>
        <v>3.4</v>
      </c>
      <c r="I194" s="71">
        <f>F194-H194</f>
        <v>28.200000000000003</v>
      </c>
      <c r="J194" s="5">
        <f t="shared" ref="J194:J205" si="49">C$126</f>
        <v>1.75</v>
      </c>
      <c r="K194" s="5">
        <v>28</v>
      </c>
      <c r="L194" s="5">
        <f>25.5-K194</f>
        <v>-2.5</v>
      </c>
      <c r="M194" s="8">
        <f t="shared" ref="M194:M205" si="50">I194-29.4</f>
        <v>-1.1999999999999957</v>
      </c>
      <c r="N194" s="8">
        <f t="shared" ref="N194:N205" si="51">J194+L194+M194</f>
        <v>-1.9499999999999957</v>
      </c>
      <c r="O194" s="8">
        <v>3.75</v>
      </c>
      <c r="P194" s="8">
        <v>1.296</v>
      </c>
      <c r="Q194" s="8">
        <f>31*16</f>
        <v>496</v>
      </c>
      <c r="R194" s="108">
        <f t="shared" ref="R194:R205" si="52">(N194*O194*P194*Q194)/1000</f>
        <v>-4.7005919999999897</v>
      </c>
      <c r="S194" s="109"/>
    </row>
    <row r="195" spans="5:19" ht="14" x14ac:dyDescent="0.25">
      <c r="E195" s="2" t="s">
        <v>16</v>
      </c>
      <c r="F195" s="71">
        <v>32.1</v>
      </c>
      <c r="G195" s="71">
        <v>6.6</v>
      </c>
      <c r="H195" s="41">
        <f t="shared" ref="H195:H205" si="53">G195/2</f>
        <v>3.3</v>
      </c>
      <c r="I195" s="71">
        <f t="shared" ref="I195:I205" si="54">F195-H195</f>
        <v>28.8</v>
      </c>
      <c r="J195" s="5">
        <f t="shared" si="49"/>
        <v>1.75</v>
      </c>
      <c r="K195" s="5">
        <v>28</v>
      </c>
      <c r="L195" s="5">
        <f t="shared" ref="L195:L205" si="55">25.5-K195</f>
        <v>-2.5</v>
      </c>
      <c r="M195" s="8">
        <f t="shared" si="50"/>
        <v>-0.59999999999999787</v>
      </c>
      <c r="N195" s="8">
        <f t="shared" si="51"/>
        <v>-1.3499999999999979</v>
      </c>
      <c r="O195" s="8">
        <v>3.75</v>
      </c>
      <c r="P195" s="8">
        <v>1.296</v>
      </c>
      <c r="Q195" s="8">
        <f>28*16</f>
        <v>448</v>
      </c>
      <c r="R195" s="108">
        <f t="shared" si="52"/>
        <v>-2.9393279999999953</v>
      </c>
      <c r="S195" s="109"/>
    </row>
    <row r="196" spans="5:19" ht="14" x14ac:dyDescent="0.25">
      <c r="E196" s="2" t="s">
        <v>17</v>
      </c>
      <c r="F196" s="71">
        <v>32</v>
      </c>
      <c r="G196" s="71">
        <v>6</v>
      </c>
      <c r="H196" s="41">
        <f t="shared" si="53"/>
        <v>3</v>
      </c>
      <c r="I196" s="71">
        <f t="shared" si="54"/>
        <v>29</v>
      </c>
      <c r="J196" s="5">
        <f t="shared" si="49"/>
        <v>1.75</v>
      </c>
      <c r="K196" s="5">
        <v>28</v>
      </c>
      <c r="L196" s="5">
        <f t="shared" si="55"/>
        <v>-2.5</v>
      </c>
      <c r="M196" s="8">
        <f t="shared" si="50"/>
        <v>-0.39999999999999858</v>
      </c>
      <c r="N196" s="8">
        <f t="shared" si="51"/>
        <v>-1.1499999999999986</v>
      </c>
      <c r="O196" s="8">
        <v>3.75</v>
      </c>
      <c r="P196" s="8">
        <v>1.296</v>
      </c>
      <c r="Q196" s="8">
        <f>31*16</f>
        <v>496</v>
      </c>
      <c r="R196" s="108">
        <f t="shared" si="52"/>
        <v>-2.7721439999999964</v>
      </c>
      <c r="S196" s="109"/>
    </row>
    <row r="197" spans="5:19" ht="14" x14ac:dyDescent="0.25">
      <c r="E197" s="2" t="s">
        <v>18</v>
      </c>
      <c r="F197" s="71">
        <v>32.299999999999997</v>
      </c>
      <c r="G197" s="71">
        <v>5.8</v>
      </c>
      <c r="H197" s="41">
        <f t="shared" si="53"/>
        <v>2.9</v>
      </c>
      <c r="I197" s="71">
        <f t="shared" si="54"/>
        <v>29.4</v>
      </c>
      <c r="J197" s="5">
        <f t="shared" si="49"/>
        <v>1.75</v>
      </c>
      <c r="K197" s="5">
        <v>28</v>
      </c>
      <c r="L197" s="5">
        <f t="shared" si="55"/>
        <v>-2.5</v>
      </c>
      <c r="M197" s="8">
        <f t="shared" si="50"/>
        <v>0</v>
      </c>
      <c r="N197" s="8">
        <f t="shared" si="51"/>
        <v>-0.75</v>
      </c>
      <c r="O197" s="8">
        <v>3.75</v>
      </c>
      <c r="P197" s="8">
        <v>1.296</v>
      </c>
      <c r="Q197" s="8">
        <f>30*16</f>
        <v>480</v>
      </c>
      <c r="R197" s="108">
        <f t="shared" si="52"/>
        <v>-1.7495999999999998</v>
      </c>
      <c r="S197" s="109"/>
    </row>
    <row r="198" spans="5:19" ht="14" x14ac:dyDescent="0.25">
      <c r="E198" s="2" t="s">
        <v>12</v>
      </c>
      <c r="F198" s="71">
        <v>31.9</v>
      </c>
      <c r="G198" s="71">
        <v>4.2</v>
      </c>
      <c r="H198" s="41">
        <f t="shared" si="53"/>
        <v>2.1</v>
      </c>
      <c r="I198" s="71">
        <f t="shared" si="54"/>
        <v>29.799999999999997</v>
      </c>
      <c r="J198" s="5">
        <f t="shared" si="49"/>
        <v>1.75</v>
      </c>
      <c r="K198" s="5">
        <v>28</v>
      </c>
      <c r="L198" s="5">
        <f t="shared" si="55"/>
        <v>-2.5</v>
      </c>
      <c r="M198" s="8">
        <f t="shared" si="50"/>
        <v>0.39999999999999858</v>
      </c>
      <c r="N198" s="8">
        <f t="shared" si="51"/>
        <v>-0.35000000000000142</v>
      </c>
      <c r="O198" s="8">
        <v>3.75</v>
      </c>
      <c r="P198" s="8">
        <v>1.296</v>
      </c>
      <c r="Q198" s="8">
        <f>31*16</f>
        <v>496</v>
      </c>
      <c r="R198" s="108">
        <f t="shared" si="52"/>
        <v>-0.84369600000000344</v>
      </c>
      <c r="S198" s="109"/>
    </row>
    <row r="199" spans="5:19" ht="14" x14ac:dyDescent="0.25">
      <c r="E199" s="2" t="s">
        <v>13</v>
      </c>
      <c r="F199" s="71">
        <v>30.8</v>
      </c>
      <c r="G199" s="71">
        <v>3.5</v>
      </c>
      <c r="H199" s="41">
        <f t="shared" si="53"/>
        <v>1.75</v>
      </c>
      <c r="I199" s="71">
        <f t="shared" si="54"/>
        <v>29.05</v>
      </c>
      <c r="J199" s="5">
        <f t="shared" si="49"/>
        <v>1.75</v>
      </c>
      <c r="K199" s="5">
        <v>28</v>
      </c>
      <c r="L199" s="5">
        <f t="shared" si="55"/>
        <v>-2.5</v>
      </c>
      <c r="M199" s="8">
        <f t="shared" si="50"/>
        <v>-0.34999999999999787</v>
      </c>
      <c r="N199" s="8">
        <f t="shared" si="51"/>
        <v>-1.0999999999999979</v>
      </c>
      <c r="O199" s="8">
        <v>3.75</v>
      </c>
      <c r="P199" s="8">
        <v>1.296</v>
      </c>
      <c r="Q199" s="8">
        <f>30*16</f>
        <v>480</v>
      </c>
      <c r="R199" s="108">
        <f t="shared" si="52"/>
        <v>-2.566079999999995</v>
      </c>
      <c r="S199" s="109"/>
    </row>
    <row r="200" spans="5:19" ht="14" x14ac:dyDescent="0.25">
      <c r="E200" s="2" t="s">
        <v>24</v>
      </c>
      <c r="F200" s="41">
        <v>30.7</v>
      </c>
      <c r="G200" s="98">
        <v>3.4</v>
      </c>
      <c r="H200" s="41">
        <f t="shared" si="53"/>
        <v>1.7</v>
      </c>
      <c r="I200" s="71">
        <f t="shared" si="54"/>
        <v>29</v>
      </c>
      <c r="J200" s="5">
        <f t="shared" si="49"/>
        <v>1.75</v>
      </c>
      <c r="K200" s="5">
        <v>28</v>
      </c>
      <c r="L200" s="5">
        <f t="shared" si="55"/>
        <v>-2.5</v>
      </c>
      <c r="M200" s="8">
        <f t="shared" si="50"/>
        <v>-0.39999999999999858</v>
      </c>
      <c r="N200" s="8">
        <f t="shared" si="51"/>
        <v>-1.1499999999999986</v>
      </c>
      <c r="O200" s="8">
        <v>3.75</v>
      </c>
      <c r="P200" s="8">
        <v>1.296</v>
      </c>
      <c r="Q200" s="8">
        <f>31*16</f>
        <v>496</v>
      </c>
      <c r="R200" s="108">
        <f t="shared" si="52"/>
        <v>-2.7721439999999964</v>
      </c>
      <c r="S200" s="109"/>
    </row>
    <row r="201" spans="5:19" ht="14" x14ac:dyDescent="0.25">
      <c r="E201" s="2" t="s">
        <v>19</v>
      </c>
      <c r="F201" s="41">
        <v>30.5</v>
      </c>
      <c r="G201" s="98">
        <v>3.3</v>
      </c>
      <c r="H201" s="41">
        <f t="shared" si="53"/>
        <v>1.65</v>
      </c>
      <c r="I201" s="71">
        <f t="shared" si="54"/>
        <v>28.85</v>
      </c>
      <c r="J201" s="5">
        <f t="shared" si="49"/>
        <v>1.75</v>
      </c>
      <c r="K201" s="5">
        <v>28</v>
      </c>
      <c r="L201" s="5">
        <f t="shared" si="55"/>
        <v>-2.5</v>
      </c>
      <c r="M201" s="8">
        <f t="shared" si="50"/>
        <v>-0.54999999999999716</v>
      </c>
      <c r="N201" s="8">
        <f t="shared" si="51"/>
        <v>-1.2999999999999972</v>
      </c>
      <c r="O201" s="8">
        <v>3.75</v>
      </c>
      <c r="P201" s="8">
        <v>1.296</v>
      </c>
      <c r="Q201" s="8">
        <f>31*16</f>
        <v>496</v>
      </c>
      <c r="R201" s="108">
        <f t="shared" si="52"/>
        <v>-3.1337279999999934</v>
      </c>
      <c r="S201" s="109"/>
    </row>
    <row r="202" spans="5:19" ht="14" x14ac:dyDescent="0.25">
      <c r="E202" s="2" t="s">
        <v>20</v>
      </c>
      <c r="F202" s="41">
        <v>30.5</v>
      </c>
      <c r="G202" s="98">
        <v>3.7</v>
      </c>
      <c r="H202" s="41">
        <f t="shared" si="53"/>
        <v>1.85</v>
      </c>
      <c r="I202" s="71">
        <f t="shared" si="54"/>
        <v>28.65</v>
      </c>
      <c r="J202" s="5">
        <f t="shared" si="49"/>
        <v>1.75</v>
      </c>
      <c r="K202" s="5">
        <v>28</v>
      </c>
      <c r="L202" s="5">
        <f t="shared" si="55"/>
        <v>-2.5</v>
      </c>
      <c r="M202" s="8">
        <f t="shared" si="50"/>
        <v>-0.75</v>
      </c>
      <c r="N202" s="8">
        <f t="shared" si="51"/>
        <v>-1.5</v>
      </c>
      <c r="O202" s="8">
        <v>3.75</v>
      </c>
      <c r="P202" s="8">
        <v>1.296</v>
      </c>
      <c r="Q202" s="8">
        <f>30*16</f>
        <v>480</v>
      </c>
      <c r="R202" s="108">
        <f t="shared" si="52"/>
        <v>-3.4991999999999996</v>
      </c>
      <c r="S202" s="109"/>
    </row>
    <row r="203" spans="5:19" ht="14" x14ac:dyDescent="0.25">
      <c r="E203" s="2" t="s">
        <v>21</v>
      </c>
      <c r="F203" s="41">
        <v>30.7</v>
      </c>
      <c r="G203" s="98">
        <v>4.8</v>
      </c>
      <c r="H203" s="41">
        <f t="shared" si="53"/>
        <v>2.4</v>
      </c>
      <c r="I203" s="71">
        <f t="shared" si="54"/>
        <v>28.3</v>
      </c>
      <c r="J203" s="5">
        <f t="shared" si="49"/>
        <v>1.75</v>
      </c>
      <c r="K203" s="5">
        <v>28</v>
      </c>
      <c r="L203" s="5">
        <f t="shared" si="55"/>
        <v>-2.5</v>
      </c>
      <c r="M203" s="8">
        <f t="shared" si="50"/>
        <v>-1.0999999999999979</v>
      </c>
      <c r="N203" s="8">
        <f t="shared" si="51"/>
        <v>-1.8499999999999979</v>
      </c>
      <c r="O203" s="8">
        <v>3.75</v>
      </c>
      <c r="P203" s="8">
        <v>1.296</v>
      </c>
      <c r="Q203" s="8">
        <f>31*16</f>
        <v>496</v>
      </c>
      <c r="R203" s="108">
        <f t="shared" si="52"/>
        <v>-4.4595359999999955</v>
      </c>
      <c r="S203" s="109"/>
    </row>
    <row r="204" spans="5:19" ht="14" x14ac:dyDescent="0.25">
      <c r="E204" s="2" t="s">
        <v>22</v>
      </c>
      <c r="F204" s="41">
        <v>31.1</v>
      </c>
      <c r="G204" s="98">
        <v>5.7</v>
      </c>
      <c r="H204" s="41">
        <f t="shared" si="53"/>
        <v>2.85</v>
      </c>
      <c r="I204" s="71">
        <f t="shared" si="54"/>
        <v>28.25</v>
      </c>
      <c r="J204" s="5">
        <f t="shared" si="49"/>
        <v>1.75</v>
      </c>
      <c r="K204" s="5">
        <v>28</v>
      </c>
      <c r="L204" s="5">
        <f t="shared" si="55"/>
        <v>-2.5</v>
      </c>
      <c r="M204" s="8">
        <f t="shared" si="50"/>
        <v>-1.1499999999999986</v>
      </c>
      <c r="N204" s="8">
        <f t="shared" si="51"/>
        <v>-1.8999999999999986</v>
      </c>
      <c r="O204" s="8">
        <v>3.75</v>
      </c>
      <c r="P204" s="8">
        <v>1.296</v>
      </c>
      <c r="Q204" s="8">
        <f>30*16</f>
        <v>480</v>
      </c>
      <c r="R204" s="108">
        <f t="shared" si="52"/>
        <v>-4.4323199999999972</v>
      </c>
      <c r="S204" s="109"/>
    </row>
    <row r="205" spans="5:19" ht="14" x14ac:dyDescent="0.25">
      <c r="E205" s="2" t="s">
        <v>23</v>
      </c>
      <c r="F205" s="41">
        <v>31.2</v>
      </c>
      <c r="G205" s="98">
        <v>6</v>
      </c>
      <c r="H205" s="41">
        <f t="shared" si="53"/>
        <v>3</v>
      </c>
      <c r="I205" s="71">
        <f t="shared" si="54"/>
        <v>28.2</v>
      </c>
      <c r="J205" s="5">
        <f t="shared" si="49"/>
        <v>1.75</v>
      </c>
      <c r="K205" s="5">
        <v>28</v>
      </c>
      <c r="L205" s="5">
        <f t="shared" si="55"/>
        <v>-2.5</v>
      </c>
      <c r="M205" s="8">
        <f t="shared" si="50"/>
        <v>-1.1999999999999993</v>
      </c>
      <c r="N205" s="8">
        <f t="shared" si="51"/>
        <v>-1.9499999999999993</v>
      </c>
      <c r="O205" s="8">
        <v>3.75</v>
      </c>
      <c r="P205" s="8">
        <v>1.296</v>
      </c>
      <c r="Q205" s="8">
        <f>31*16</f>
        <v>496</v>
      </c>
      <c r="R205" s="108">
        <f t="shared" si="52"/>
        <v>-4.7005919999999985</v>
      </c>
      <c r="S205" s="109"/>
    </row>
    <row r="206" spans="5:19" ht="15.5" thickBot="1" x14ac:dyDescent="0.3">
      <c r="E206" s="420" t="s">
        <v>61</v>
      </c>
      <c r="F206" s="421"/>
      <c r="G206" s="421"/>
      <c r="H206" s="421"/>
      <c r="I206" s="421"/>
      <c r="J206" s="421"/>
      <c r="K206" s="421"/>
      <c r="L206" s="421"/>
      <c r="M206" s="421"/>
      <c r="N206" s="421"/>
      <c r="O206" s="421"/>
      <c r="P206" s="421"/>
      <c r="Q206" s="422"/>
      <c r="R206" s="107">
        <f>SUM(R194:R205)</f>
        <v>-38.568959999999961</v>
      </c>
      <c r="S206" s="105"/>
    </row>
    <row r="209" spans="5:11" ht="13.5" thickBot="1" x14ac:dyDescent="0.3"/>
    <row r="210" spans="5:11" x14ac:dyDescent="0.3">
      <c r="E210" s="295" t="s">
        <v>81</v>
      </c>
      <c r="F210" s="296"/>
      <c r="G210" s="296"/>
      <c r="H210" s="296"/>
      <c r="I210" s="296"/>
      <c r="J210" s="296"/>
      <c r="K210" s="297"/>
    </row>
    <row r="211" spans="5:11" ht="15.5" thickBot="1" x14ac:dyDescent="0.3">
      <c r="E211" s="46" t="s">
        <v>78</v>
      </c>
      <c r="F211" s="37" t="s">
        <v>63</v>
      </c>
      <c r="G211" s="37" t="s">
        <v>64</v>
      </c>
      <c r="H211" s="37" t="s">
        <v>79</v>
      </c>
      <c r="I211" s="37" t="s">
        <v>82</v>
      </c>
      <c r="J211" s="37" t="s">
        <v>57</v>
      </c>
      <c r="K211" s="73" t="s">
        <v>80</v>
      </c>
    </row>
    <row r="212" spans="5:11" x14ac:dyDescent="0.25">
      <c r="E212" s="44" t="s">
        <v>15</v>
      </c>
      <c r="F212" s="8">
        <v>0.55000000000000004</v>
      </c>
      <c r="G212" s="8">
        <v>0.51</v>
      </c>
      <c r="H212" s="65">
        <v>100.94</v>
      </c>
      <c r="I212" s="8">
        <v>1.296</v>
      </c>
      <c r="J212" s="8">
        <f>31*16</f>
        <v>496</v>
      </c>
      <c r="K212" s="40">
        <f>(F212*G212*H212*I212*J212)/1000</f>
        <v>18.200480094720003</v>
      </c>
    </row>
    <row r="213" spans="5:11" x14ac:dyDescent="0.25">
      <c r="E213" s="44" t="s">
        <v>16</v>
      </c>
      <c r="F213" s="8">
        <v>0.55000000000000004</v>
      </c>
      <c r="G213" s="8">
        <v>0.51</v>
      </c>
      <c r="H213" s="66">
        <v>107.25</v>
      </c>
      <c r="I213" s="8">
        <v>1.296</v>
      </c>
      <c r="J213" s="8">
        <f>28*16</f>
        <v>448</v>
      </c>
      <c r="K213" s="40">
        <f t="shared" ref="K213:K223" si="56">(F213*G213*H213*I213*J213)/1000</f>
        <v>17.466793344000003</v>
      </c>
    </row>
    <row r="214" spans="5:11" x14ac:dyDescent="0.25">
      <c r="E214" s="44" t="s">
        <v>17</v>
      </c>
      <c r="F214" s="8">
        <v>0.55000000000000004</v>
      </c>
      <c r="G214" s="8">
        <v>0.51</v>
      </c>
      <c r="H214" s="66">
        <v>116.71</v>
      </c>
      <c r="I214" s="8">
        <v>1.296</v>
      </c>
      <c r="J214" s="8">
        <f>31*16</f>
        <v>496</v>
      </c>
      <c r="K214" s="40">
        <f t="shared" si="56"/>
        <v>21.043967028480001</v>
      </c>
    </row>
    <row r="215" spans="5:11" x14ac:dyDescent="0.25">
      <c r="E215" s="44" t="s">
        <v>18</v>
      </c>
      <c r="F215" s="8">
        <v>0.55000000000000004</v>
      </c>
      <c r="G215" s="8">
        <v>0.51</v>
      </c>
      <c r="H215" s="66">
        <v>138.80000000000001</v>
      </c>
      <c r="I215" s="8">
        <v>1.296</v>
      </c>
      <c r="J215" s="8">
        <f>30*16</f>
        <v>480</v>
      </c>
      <c r="K215" s="40">
        <f t="shared" si="56"/>
        <v>24.219689472000002</v>
      </c>
    </row>
    <row r="216" spans="5:11" x14ac:dyDescent="0.25">
      <c r="E216" s="44" t="s">
        <v>12</v>
      </c>
      <c r="F216" s="8">
        <v>0.55000000000000004</v>
      </c>
      <c r="G216" s="8">
        <v>0.51</v>
      </c>
      <c r="H216" s="66">
        <v>233.43</v>
      </c>
      <c r="I216" s="8">
        <v>1.296</v>
      </c>
      <c r="J216" s="8">
        <f>31*16</f>
        <v>496</v>
      </c>
      <c r="K216" s="40">
        <f t="shared" si="56"/>
        <v>42.089737155840005</v>
      </c>
    </row>
    <row r="217" spans="5:11" x14ac:dyDescent="0.25">
      <c r="E217" s="44" t="s">
        <v>13</v>
      </c>
      <c r="F217" s="8">
        <v>0.55000000000000004</v>
      </c>
      <c r="G217" s="8">
        <v>0.51</v>
      </c>
      <c r="H217" s="66">
        <v>283.91000000000003</v>
      </c>
      <c r="I217" s="8">
        <v>1.296</v>
      </c>
      <c r="J217" s="8">
        <f>30*16</f>
        <v>480</v>
      </c>
      <c r="K217" s="40">
        <f t="shared" si="56"/>
        <v>49.540432550400006</v>
      </c>
    </row>
    <row r="218" spans="5:11" x14ac:dyDescent="0.25">
      <c r="E218" s="44" t="s">
        <v>24</v>
      </c>
      <c r="F218" s="8">
        <v>0.55000000000000004</v>
      </c>
      <c r="G218" s="8">
        <v>0.51</v>
      </c>
      <c r="H218" s="436">
        <v>242.9</v>
      </c>
      <c r="I218" s="8">
        <v>1.296</v>
      </c>
      <c r="J218" s="8">
        <f>31*16</f>
        <v>496</v>
      </c>
      <c r="K218" s="40">
        <f t="shared" si="56"/>
        <v>43.797271795200011</v>
      </c>
    </row>
    <row r="219" spans="5:11" x14ac:dyDescent="0.25">
      <c r="E219" s="44" t="s">
        <v>19</v>
      </c>
      <c r="F219" s="8">
        <v>0.55000000000000004</v>
      </c>
      <c r="G219" s="8">
        <v>0.51</v>
      </c>
      <c r="H219" s="436">
        <v>148.26</v>
      </c>
      <c r="I219" s="8">
        <v>1.296</v>
      </c>
      <c r="J219" s="8">
        <f>31*16</f>
        <v>496</v>
      </c>
      <c r="K219" s="40">
        <f t="shared" si="56"/>
        <v>26.732743994880003</v>
      </c>
    </row>
    <row r="220" spans="5:11" x14ac:dyDescent="0.25">
      <c r="E220" s="44" t="s">
        <v>20</v>
      </c>
      <c r="F220" s="8">
        <v>0.55000000000000004</v>
      </c>
      <c r="G220" s="8">
        <v>0.51</v>
      </c>
      <c r="H220" s="436">
        <v>199.87</v>
      </c>
      <c r="I220" s="8">
        <v>1.296</v>
      </c>
      <c r="J220" s="8">
        <f>30*16</f>
        <v>480</v>
      </c>
      <c r="K220" s="40">
        <f t="shared" si="56"/>
        <v>34.876003852800004</v>
      </c>
    </row>
    <row r="221" spans="5:11" x14ac:dyDescent="0.25">
      <c r="E221" s="44" t="s">
        <v>21</v>
      </c>
      <c r="F221" s="8">
        <v>0.55000000000000004</v>
      </c>
      <c r="G221" s="8">
        <v>0.51</v>
      </c>
      <c r="H221" s="436">
        <v>110.41</v>
      </c>
      <c r="I221" s="8">
        <v>1.296</v>
      </c>
      <c r="J221" s="8">
        <f>31*16</f>
        <v>496</v>
      </c>
      <c r="K221" s="40">
        <f t="shared" si="56"/>
        <v>19.908014734079998</v>
      </c>
    </row>
    <row r="222" spans="5:11" x14ac:dyDescent="0.25">
      <c r="E222" s="44" t="s">
        <v>22</v>
      </c>
      <c r="F222" s="8">
        <v>0.55000000000000004</v>
      </c>
      <c r="G222" s="8">
        <v>0.51</v>
      </c>
      <c r="H222" s="66">
        <v>104.1</v>
      </c>
      <c r="I222" s="8">
        <v>1.296</v>
      </c>
      <c r="J222" s="8">
        <f>30*16</f>
        <v>480</v>
      </c>
      <c r="K222" s="40">
        <f t="shared" si="56"/>
        <v>18.164767103999999</v>
      </c>
    </row>
    <row r="223" spans="5:11" ht="13.5" thickBot="1" x14ac:dyDescent="0.3">
      <c r="E223" s="44" t="s">
        <v>23</v>
      </c>
      <c r="F223" s="8">
        <v>0.55000000000000004</v>
      </c>
      <c r="G223" s="8">
        <v>0.51</v>
      </c>
      <c r="H223" s="67">
        <v>97.79</v>
      </c>
      <c r="I223" s="8">
        <v>1.296</v>
      </c>
      <c r="J223" s="8">
        <f>31*16</f>
        <v>496</v>
      </c>
      <c r="K223" s="40">
        <f t="shared" si="56"/>
        <v>17.632503947520004</v>
      </c>
    </row>
    <row r="224" spans="5:11" ht="15.5" thickBot="1" x14ac:dyDescent="0.45">
      <c r="E224" s="310" t="s">
        <v>80</v>
      </c>
      <c r="F224" s="311"/>
      <c r="G224" s="311"/>
      <c r="H224" s="311"/>
      <c r="I224" s="311"/>
      <c r="J224" s="311"/>
      <c r="K224" s="74">
        <f>SUM(K212:K223)</f>
        <v>333.67240507392</v>
      </c>
    </row>
    <row r="227" spans="5:18" ht="13.5" thickBot="1" x14ac:dyDescent="0.3"/>
    <row r="228" spans="5:18" x14ac:dyDescent="0.3">
      <c r="E228" s="295" t="s">
        <v>89</v>
      </c>
      <c r="F228" s="296"/>
      <c r="G228" s="296"/>
      <c r="H228" s="296"/>
      <c r="I228" s="296"/>
      <c r="J228" s="296"/>
      <c r="K228" s="296"/>
      <c r="L228" s="296"/>
      <c r="M228" s="296"/>
      <c r="N228" s="296"/>
      <c r="O228" s="296"/>
      <c r="P228" s="296"/>
      <c r="Q228" s="296"/>
      <c r="R228" s="297"/>
    </row>
    <row r="229" spans="5:18" ht="21" customHeight="1" x14ac:dyDescent="0.25">
      <c r="E229" s="46" t="s">
        <v>0</v>
      </c>
      <c r="F229" s="37" t="s">
        <v>84</v>
      </c>
      <c r="G229" s="37" t="s">
        <v>95</v>
      </c>
      <c r="H229" s="37" t="s">
        <v>96</v>
      </c>
      <c r="I229" s="37" t="s">
        <v>97</v>
      </c>
      <c r="J229" s="37" t="s">
        <v>98</v>
      </c>
      <c r="K229" s="37" t="s">
        <v>99</v>
      </c>
      <c r="L229" s="37" t="s">
        <v>100</v>
      </c>
      <c r="M229" s="37" t="s">
        <v>101</v>
      </c>
      <c r="N229" s="37"/>
      <c r="O229" s="37" t="s">
        <v>85</v>
      </c>
      <c r="P229" s="37" t="s">
        <v>102</v>
      </c>
      <c r="Q229" s="37" t="s">
        <v>86</v>
      </c>
      <c r="R229" s="73" t="s">
        <v>103</v>
      </c>
    </row>
    <row r="230" spans="5:18" ht="15" customHeight="1" x14ac:dyDescent="0.25">
      <c r="E230" s="44" t="s">
        <v>15</v>
      </c>
      <c r="F230" s="8">
        <v>0.6</v>
      </c>
      <c r="G230" s="8">
        <v>38.880000000000003</v>
      </c>
      <c r="H230" s="8">
        <v>1.0049999999999999</v>
      </c>
      <c r="I230" s="8">
        <v>1.2929999999999999</v>
      </c>
      <c r="J230" s="71">
        <v>31.6</v>
      </c>
      <c r="K230" s="8">
        <v>22</v>
      </c>
      <c r="L230" s="8">
        <f>J230-K230</f>
        <v>9.6000000000000014</v>
      </c>
      <c r="M230" s="27">
        <f>F230*G230*H230*I230*L230</f>
        <v>291.01362739199999</v>
      </c>
      <c r="N230" s="27"/>
      <c r="O230" s="8">
        <v>0.27700000000000002</v>
      </c>
      <c r="P230" s="18">
        <f>M230*O230</f>
        <v>80.610774787584006</v>
      </c>
      <c r="Q230" s="8">
        <f>31*16</f>
        <v>496</v>
      </c>
      <c r="R230" s="40">
        <f>(P230*Q230)/1000</f>
        <v>39.982944294641669</v>
      </c>
    </row>
    <row r="231" spans="5:18" ht="15" customHeight="1" x14ac:dyDescent="0.25">
      <c r="E231" s="44" t="s">
        <v>16</v>
      </c>
      <c r="F231" s="8">
        <v>0.6</v>
      </c>
      <c r="G231" s="8">
        <v>38.880000000000003</v>
      </c>
      <c r="H231" s="8">
        <v>1.0049999999999999</v>
      </c>
      <c r="I231" s="8">
        <v>1.2929999999999999</v>
      </c>
      <c r="J231" s="71">
        <v>32.1</v>
      </c>
      <c r="K231" s="8">
        <v>22</v>
      </c>
      <c r="L231" s="8">
        <f t="shared" ref="L231:L241" si="57">J231-K231</f>
        <v>10.100000000000001</v>
      </c>
      <c r="M231" s="27">
        <f t="shared" ref="M231:M241" si="58">F231*G231*H231*I231*L231</f>
        <v>306.17058715199994</v>
      </c>
      <c r="N231" s="27"/>
      <c r="O231" s="8">
        <v>0.27700000000000002</v>
      </c>
      <c r="P231" s="18">
        <f t="shared" ref="P231:P241" si="59">M231*O231</f>
        <v>84.809252641103996</v>
      </c>
      <c r="Q231" s="8">
        <f>28*16</f>
        <v>448</v>
      </c>
      <c r="R231" s="40">
        <f t="shared" ref="R231:R241" si="60">(P231*Q231)/1000</f>
        <v>37.994545183214591</v>
      </c>
    </row>
    <row r="232" spans="5:18" ht="15" customHeight="1" x14ac:dyDescent="0.25">
      <c r="E232" s="44" t="s">
        <v>17</v>
      </c>
      <c r="F232" s="8">
        <v>0.6</v>
      </c>
      <c r="G232" s="8">
        <v>38.880000000000003</v>
      </c>
      <c r="H232" s="8">
        <v>1.0049999999999999</v>
      </c>
      <c r="I232" s="8">
        <v>1.2929999999999999</v>
      </c>
      <c r="J232" s="71">
        <v>32</v>
      </c>
      <c r="K232" s="8">
        <v>22</v>
      </c>
      <c r="L232" s="8">
        <f t="shared" si="57"/>
        <v>10</v>
      </c>
      <c r="M232" s="27">
        <f t="shared" si="58"/>
        <v>303.1391951999999</v>
      </c>
      <c r="N232" s="27"/>
      <c r="O232" s="8">
        <v>0.27700000000000002</v>
      </c>
      <c r="P232" s="18">
        <f t="shared" si="59"/>
        <v>83.969557070399986</v>
      </c>
      <c r="Q232" s="8">
        <f>31*16</f>
        <v>496</v>
      </c>
      <c r="R232" s="40">
        <f t="shared" si="60"/>
        <v>41.648900306918399</v>
      </c>
    </row>
    <row r="233" spans="5:18" ht="15" customHeight="1" x14ac:dyDescent="0.25">
      <c r="E233" s="44" t="s">
        <v>18</v>
      </c>
      <c r="F233" s="8">
        <v>0.6</v>
      </c>
      <c r="G233" s="8">
        <v>38.880000000000003</v>
      </c>
      <c r="H233" s="8">
        <v>1.0049999999999999</v>
      </c>
      <c r="I233" s="8">
        <v>1.2929999999999999</v>
      </c>
      <c r="J233" s="71">
        <v>32.299999999999997</v>
      </c>
      <c r="K233" s="8">
        <v>22</v>
      </c>
      <c r="L233" s="8">
        <f t="shared" si="57"/>
        <v>10.299999999999997</v>
      </c>
      <c r="M233" s="27">
        <f t="shared" si="58"/>
        <v>312.23337105599984</v>
      </c>
      <c r="N233" s="27"/>
      <c r="O233" s="8">
        <v>0.27700000000000002</v>
      </c>
      <c r="P233" s="18">
        <f t="shared" si="59"/>
        <v>86.488643782511957</v>
      </c>
      <c r="Q233" s="8">
        <f>30*16</f>
        <v>480</v>
      </c>
      <c r="R233" s="40">
        <f t="shared" si="60"/>
        <v>41.514549015605745</v>
      </c>
    </row>
    <row r="234" spans="5:18" ht="15" customHeight="1" x14ac:dyDescent="0.25">
      <c r="E234" s="44" t="s">
        <v>12</v>
      </c>
      <c r="F234" s="8">
        <v>0.6</v>
      </c>
      <c r="G234" s="8">
        <v>38.880000000000003</v>
      </c>
      <c r="H234" s="8">
        <v>1.0049999999999999</v>
      </c>
      <c r="I234" s="8">
        <v>1.2929999999999999</v>
      </c>
      <c r="J234" s="71">
        <v>31.9</v>
      </c>
      <c r="K234" s="8">
        <v>22</v>
      </c>
      <c r="L234" s="8">
        <f t="shared" si="57"/>
        <v>9.8999999999999986</v>
      </c>
      <c r="M234" s="27">
        <f t="shared" si="58"/>
        <v>300.10780324799987</v>
      </c>
      <c r="N234" s="27"/>
      <c r="O234" s="8">
        <v>0.27700000000000002</v>
      </c>
      <c r="P234" s="18">
        <f t="shared" si="59"/>
        <v>83.129861499695977</v>
      </c>
      <c r="Q234" s="8">
        <f>31*16</f>
        <v>496</v>
      </c>
      <c r="R234" s="40">
        <f t="shared" si="60"/>
        <v>41.232411303849204</v>
      </c>
    </row>
    <row r="235" spans="5:18" ht="15" customHeight="1" x14ac:dyDescent="0.25">
      <c r="E235" s="44" t="s">
        <v>13</v>
      </c>
      <c r="F235" s="8">
        <v>0.6</v>
      </c>
      <c r="G235" s="8">
        <v>38.880000000000003</v>
      </c>
      <c r="H235" s="8">
        <v>1.0049999999999999</v>
      </c>
      <c r="I235" s="8">
        <v>1.2929999999999999</v>
      </c>
      <c r="J235" s="71">
        <v>30.8</v>
      </c>
      <c r="K235" s="8">
        <v>22</v>
      </c>
      <c r="L235" s="8">
        <f t="shared" si="57"/>
        <v>8.8000000000000007</v>
      </c>
      <c r="M235" s="27">
        <f t="shared" si="58"/>
        <v>266.76249177599993</v>
      </c>
      <c r="N235" s="27"/>
      <c r="O235" s="8">
        <v>0.27700000000000002</v>
      </c>
      <c r="P235" s="18">
        <f t="shared" si="59"/>
        <v>73.893210221951989</v>
      </c>
      <c r="Q235" s="8">
        <f>30*16</f>
        <v>480</v>
      </c>
      <c r="R235" s="40">
        <f t="shared" si="60"/>
        <v>35.468740906536958</v>
      </c>
    </row>
    <row r="236" spans="5:18" ht="15" customHeight="1" x14ac:dyDescent="0.25">
      <c r="E236" s="44" t="s">
        <v>24</v>
      </c>
      <c r="F236" s="8">
        <v>0.6</v>
      </c>
      <c r="G236" s="8">
        <v>38.880000000000003</v>
      </c>
      <c r="H236" s="8">
        <v>1.0049999999999999</v>
      </c>
      <c r="I236" s="8">
        <v>1.2929999999999999</v>
      </c>
      <c r="J236" s="41">
        <v>30.7</v>
      </c>
      <c r="K236" s="8">
        <v>22</v>
      </c>
      <c r="L236" s="8">
        <f t="shared" si="57"/>
        <v>8.6999999999999993</v>
      </c>
      <c r="M236" s="27">
        <f t="shared" si="58"/>
        <v>263.7310998239999</v>
      </c>
      <c r="N236" s="27"/>
      <c r="O236" s="8">
        <v>0.27700000000000002</v>
      </c>
      <c r="P236" s="18">
        <f t="shared" si="59"/>
        <v>73.05351465124798</v>
      </c>
      <c r="Q236" s="8">
        <f>31*16</f>
        <v>496</v>
      </c>
      <c r="R236" s="40">
        <f t="shared" si="60"/>
        <v>36.234543267018999</v>
      </c>
    </row>
    <row r="237" spans="5:18" ht="15" customHeight="1" x14ac:dyDescent="0.25">
      <c r="E237" s="44" t="s">
        <v>19</v>
      </c>
      <c r="F237" s="8">
        <v>0.6</v>
      </c>
      <c r="G237" s="8">
        <v>38.880000000000003</v>
      </c>
      <c r="H237" s="8">
        <v>1.0049999999999999</v>
      </c>
      <c r="I237" s="8">
        <v>1.2929999999999999</v>
      </c>
      <c r="J237" s="41">
        <v>30.5</v>
      </c>
      <c r="K237" s="8">
        <v>22</v>
      </c>
      <c r="L237" s="8">
        <f t="shared" si="57"/>
        <v>8.5</v>
      </c>
      <c r="M237" s="27">
        <f t="shared" si="58"/>
        <v>257.66831591999994</v>
      </c>
      <c r="N237" s="27"/>
      <c r="O237" s="8">
        <v>0.27700000000000002</v>
      </c>
      <c r="P237" s="18">
        <f t="shared" si="59"/>
        <v>71.37412350983999</v>
      </c>
      <c r="Q237" s="8">
        <f>31*16</f>
        <v>496</v>
      </c>
      <c r="R237" s="40">
        <f t="shared" si="60"/>
        <v>35.401565260880631</v>
      </c>
    </row>
    <row r="238" spans="5:18" ht="15" customHeight="1" x14ac:dyDescent="0.25">
      <c r="E238" s="44" t="s">
        <v>20</v>
      </c>
      <c r="F238" s="8">
        <v>0.6</v>
      </c>
      <c r="G238" s="8">
        <v>38.880000000000003</v>
      </c>
      <c r="H238" s="8">
        <v>1.0049999999999999</v>
      </c>
      <c r="I238" s="8">
        <v>1.2929999999999999</v>
      </c>
      <c r="J238" s="41">
        <v>30.5</v>
      </c>
      <c r="K238" s="8">
        <v>22</v>
      </c>
      <c r="L238" s="8">
        <f t="shared" si="57"/>
        <v>8.5</v>
      </c>
      <c r="M238" s="27">
        <f t="shared" si="58"/>
        <v>257.66831591999994</v>
      </c>
      <c r="N238" s="27"/>
      <c r="O238" s="8">
        <v>0.27700000000000002</v>
      </c>
      <c r="P238" s="18">
        <f t="shared" si="59"/>
        <v>71.37412350983999</v>
      </c>
      <c r="Q238" s="8">
        <f>30*16</f>
        <v>480</v>
      </c>
      <c r="R238" s="40">
        <f t="shared" si="60"/>
        <v>34.259579284723195</v>
      </c>
    </row>
    <row r="239" spans="5:18" ht="15" customHeight="1" x14ac:dyDescent="0.25">
      <c r="E239" s="44" t="s">
        <v>21</v>
      </c>
      <c r="F239" s="8">
        <v>0.6</v>
      </c>
      <c r="G239" s="8">
        <v>38.880000000000003</v>
      </c>
      <c r="H239" s="8">
        <v>1.0049999999999999</v>
      </c>
      <c r="I239" s="8">
        <v>1.2929999999999999</v>
      </c>
      <c r="J239" s="41">
        <v>30.7</v>
      </c>
      <c r="K239" s="8">
        <v>22</v>
      </c>
      <c r="L239" s="8">
        <f t="shared" si="57"/>
        <v>8.6999999999999993</v>
      </c>
      <c r="M239" s="27">
        <f t="shared" si="58"/>
        <v>263.7310998239999</v>
      </c>
      <c r="N239" s="27"/>
      <c r="O239" s="8">
        <v>0.27700000000000002</v>
      </c>
      <c r="P239" s="18">
        <f t="shared" si="59"/>
        <v>73.05351465124798</v>
      </c>
      <c r="Q239" s="8">
        <f>31*16</f>
        <v>496</v>
      </c>
      <c r="R239" s="40">
        <f t="shared" si="60"/>
        <v>36.234543267018999</v>
      </c>
    </row>
    <row r="240" spans="5:18" ht="15" customHeight="1" x14ac:dyDescent="0.25">
      <c r="E240" s="44" t="s">
        <v>22</v>
      </c>
      <c r="F240" s="8">
        <v>0.6</v>
      </c>
      <c r="G240" s="8">
        <v>38.880000000000003</v>
      </c>
      <c r="H240" s="8">
        <v>1.0049999999999999</v>
      </c>
      <c r="I240" s="8">
        <v>1.2929999999999999</v>
      </c>
      <c r="J240" s="41">
        <v>31.1</v>
      </c>
      <c r="K240" s="8">
        <v>22</v>
      </c>
      <c r="L240" s="8">
        <f t="shared" si="57"/>
        <v>9.1000000000000014</v>
      </c>
      <c r="M240" s="27">
        <f t="shared" si="58"/>
        <v>275.85666763199998</v>
      </c>
      <c r="N240" s="27"/>
      <c r="O240" s="8">
        <v>0.27700000000000002</v>
      </c>
      <c r="P240" s="18">
        <f t="shared" si="59"/>
        <v>76.412296934064003</v>
      </c>
      <c r="Q240" s="8">
        <f>30*16</f>
        <v>480</v>
      </c>
      <c r="R240" s="40">
        <f t="shared" si="60"/>
        <v>36.677902528350721</v>
      </c>
    </row>
    <row r="241" spans="5:18" ht="15" customHeight="1" x14ac:dyDescent="0.25">
      <c r="E241" s="44" t="s">
        <v>23</v>
      </c>
      <c r="F241" s="8">
        <v>0.6</v>
      </c>
      <c r="G241" s="8">
        <v>38.880000000000003</v>
      </c>
      <c r="H241" s="8">
        <v>1.0049999999999999</v>
      </c>
      <c r="I241" s="8">
        <v>1.2929999999999999</v>
      </c>
      <c r="J241" s="41">
        <v>31.2</v>
      </c>
      <c r="K241" s="8">
        <v>22</v>
      </c>
      <c r="L241" s="8">
        <f t="shared" si="57"/>
        <v>9.1999999999999993</v>
      </c>
      <c r="M241" s="27">
        <f t="shared" si="58"/>
        <v>278.8880595839999</v>
      </c>
      <c r="N241" s="27"/>
      <c r="O241" s="8">
        <v>0.27700000000000002</v>
      </c>
      <c r="P241" s="18">
        <f t="shared" si="59"/>
        <v>77.251992504767983</v>
      </c>
      <c r="Q241" s="8">
        <f>31*16</f>
        <v>496</v>
      </c>
      <c r="R241" s="40">
        <f t="shared" si="60"/>
        <v>38.316988282364917</v>
      </c>
    </row>
    <row r="242" spans="5:18" ht="15" customHeight="1" x14ac:dyDescent="0.4">
      <c r="E242" s="314" t="s">
        <v>133</v>
      </c>
      <c r="F242" s="315"/>
      <c r="G242" s="315"/>
      <c r="H242" s="315"/>
      <c r="I242" s="315"/>
      <c r="J242" s="315"/>
      <c r="K242" s="315"/>
      <c r="L242" s="315"/>
      <c r="M242" s="315"/>
      <c r="N242" s="315"/>
      <c r="O242" s="315"/>
      <c r="P242" s="315"/>
      <c r="Q242" s="315"/>
      <c r="R242" s="84">
        <f>SUM(R230:R241)</f>
        <v>454.96721290112407</v>
      </c>
    </row>
    <row r="243" spans="5:18" ht="14" x14ac:dyDescent="0.25">
      <c r="E243" s="44" t="s">
        <v>15</v>
      </c>
      <c r="F243" s="8">
        <v>0.6</v>
      </c>
      <c r="G243" s="8">
        <v>38.880000000000003</v>
      </c>
      <c r="H243" s="8">
        <v>1.0049999999999999</v>
      </c>
      <c r="I243" s="8">
        <v>1.2929999999999999</v>
      </c>
      <c r="J243" s="71">
        <v>31.6</v>
      </c>
      <c r="K243" s="8">
        <v>23</v>
      </c>
      <c r="L243" s="8">
        <f>J243-K243</f>
        <v>8.6000000000000014</v>
      </c>
      <c r="M243" s="27">
        <f>F243*G243*H243*I243*L243</f>
        <v>260.69970787199998</v>
      </c>
      <c r="N243" s="27"/>
      <c r="O243" s="8">
        <v>0.27700000000000002</v>
      </c>
      <c r="P243" s="18">
        <f>M243*O243</f>
        <v>72.213819080543999</v>
      </c>
      <c r="Q243" s="8">
        <f>31*16</f>
        <v>496</v>
      </c>
      <c r="R243" s="40">
        <f>(P243*Q243)/1000</f>
        <v>35.818054263949826</v>
      </c>
    </row>
    <row r="244" spans="5:18" ht="14" x14ac:dyDescent="0.25">
      <c r="E244" s="44" t="s">
        <v>16</v>
      </c>
      <c r="F244" s="8">
        <v>0.6</v>
      </c>
      <c r="G244" s="8">
        <v>38.880000000000003</v>
      </c>
      <c r="H244" s="8">
        <v>1.0049999999999999</v>
      </c>
      <c r="I244" s="8">
        <v>1.2929999999999999</v>
      </c>
      <c r="J244" s="71">
        <v>32.1</v>
      </c>
      <c r="K244" s="8">
        <v>23</v>
      </c>
      <c r="L244" s="8">
        <f t="shared" ref="L244:L254" si="61">J244-K244</f>
        <v>9.1000000000000014</v>
      </c>
      <c r="M244" s="27">
        <f t="shared" ref="M244:M254" si="62">F244*G244*H244*I244*L244</f>
        <v>275.85666763199998</v>
      </c>
      <c r="N244" s="27"/>
      <c r="O244" s="8">
        <v>0.27700000000000002</v>
      </c>
      <c r="P244" s="18">
        <f t="shared" ref="P244:P254" si="63">M244*O244</f>
        <v>76.412296934064003</v>
      </c>
      <c r="Q244" s="8">
        <f>28*16</f>
        <v>448</v>
      </c>
      <c r="R244" s="40">
        <f t="shared" ref="R244:R254" si="64">(P244*Q244)/1000</f>
        <v>34.232709026460675</v>
      </c>
    </row>
    <row r="245" spans="5:18" ht="14" x14ac:dyDescent="0.25">
      <c r="E245" s="44" t="s">
        <v>17</v>
      </c>
      <c r="F245" s="8">
        <v>0.6</v>
      </c>
      <c r="G245" s="8">
        <v>38.880000000000003</v>
      </c>
      <c r="H245" s="8">
        <v>1.0049999999999999</v>
      </c>
      <c r="I245" s="8">
        <v>1.2929999999999999</v>
      </c>
      <c r="J245" s="71">
        <v>32</v>
      </c>
      <c r="K245" s="8">
        <v>23</v>
      </c>
      <c r="L245" s="8">
        <f t="shared" si="61"/>
        <v>9</v>
      </c>
      <c r="M245" s="27">
        <f t="shared" si="62"/>
        <v>272.82527567999995</v>
      </c>
      <c r="N245" s="27"/>
      <c r="O245" s="8">
        <v>0.27700000000000002</v>
      </c>
      <c r="P245" s="18">
        <f t="shared" si="63"/>
        <v>75.572601363359993</v>
      </c>
      <c r="Q245" s="8">
        <f>31*16</f>
        <v>496</v>
      </c>
      <c r="R245" s="40">
        <f t="shared" si="64"/>
        <v>37.484010276226563</v>
      </c>
    </row>
    <row r="246" spans="5:18" ht="14" x14ac:dyDescent="0.25">
      <c r="E246" s="44" t="s">
        <v>18</v>
      </c>
      <c r="F246" s="8">
        <v>0.6</v>
      </c>
      <c r="G246" s="8">
        <v>38.880000000000003</v>
      </c>
      <c r="H246" s="8">
        <v>1.0049999999999999</v>
      </c>
      <c r="I246" s="8">
        <v>1.2929999999999999</v>
      </c>
      <c r="J246" s="71">
        <v>32.299999999999997</v>
      </c>
      <c r="K246" s="8">
        <v>23</v>
      </c>
      <c r="L246" s="8">
        <f t="shared" si="61"/>
        <v>9.2999999999999972</v>
      </c>
      <c r="M246" s="27">
        <f t="shared" si="62"/>
        <v>281.91945153599983</v>
      </c>
      <c r="N246" s="27"/>
      <c r="O246" s="8">
        <v>0.27700000000000002</v>
      </c>
      <c r="P246" s="18">
        <f t="shared" si="63"/>
        <v>78.091688075471964</v>
      </c>
      <c r="Q246" s="8">
        <f>30*16</f>
        <v>480</v>
      </c>
      <c r="R246" s="40">
        <f t="shared" si="64"/>
        <v>37.484010276226542</v>
      </c>
    </row>
    <row r="247" spans="5:18" ht="14" x14ac:dyDescent="0.25">
      <c r="E247" s="44" t="s">
        <v>12</v>
      </c>
      <c r="F247" s="8">
        <v>0.6</v>
      </c>
      <c r="G247" s="8">
        <v>38.880000000000003</v>
      </c>
      <c r="H247" s="8">
        <v>1.0049999999999999</v>
      </c>
      <c r="I247" s="8">
        <v>1.2929999999999999</v>
      </c>
      <c r="J247" s="71">
        <v>31.9</v>
      </c>
      <c r="K247" s="8">
        <v>23</v>
      </c>
      <c r="L247" s="8">
        <f t="shared" si="61"/>
        <v>8.8999999999999986</v>
      </c>
      <c r="M247" s="27">
        <f t="shared" si="62"/>
        <v>269.79388372799991</v>
      </c>
      <c r="N247" s="27"/>
      <c r="O247" s="8">
        <v>0.27700000000000002</v>
      </c>
      <c r="P247" s="18">
        <f t="shared" si="63"/>
        <v>74.732905792655984</v>
      </c>
      <c r="Q247" s="8">
        <f>31*16</f>
        <v>496</v>
      </c>
      <c r="R247" s="40">
        <f t="shared" si="64"/>
        <v>37.067521273157368</v>
      </c>
    </row>
    <row r="248" spans="5:18" ht="14" x14ac:dyDescent="0.25">
      <c r="E248" s="44" t="s">
        <v>13</v>
      </c>
      <c r="F248" s="8">
        <v>0.6</v>
      </c>
      <c r="G248" s="8">
        <v>38.880000000000003</v>
      </c>
      <c r="H248" s="8">
        <v>1.0049999999999999</v>
      </c>
      <c r="I248" s="8">
        <v>1.2929999999999999</v>
      </c>
      <c r="J248" s="71">
        <v>30.8</v>
      </c>
      <c r="K248" s="8">
        <v>23</v>
      </c>
      <c r="L248" s="8">
        <f t="shared" si="61"/>
        <v>7.8000000000000007</v>
      </c>
      <c r="M248" s="27">
        <f t="shared" si="62"/>
        <v>236.44857225599995</v>
      </c>
      <c r="N248" s="27"/>
      <c r="O248" s="8">
        <v>0.27700000000000002</v>
      </c>
      <c r="P248" s="18">
        <f t="shared" si="63"/>
        <v>65.496254514911996</v>
      </c>
      <c r="Q248" s="8">
        <f>30*16</f>
        <v>480</v>
      </c>
      <c r="R248" s="40">
        <f t="shared" si="64"/>
        <v>31.438202167157758</v>
      </c>
    </row>
    <row r="249" spans="5:18" ht="14" x14ac:dyDescent="0.25">
      <c r="E249" s="44" t="s">
        <v>24</v>
      </c>
      <c r="F249" s="8">
        <v>0.6</v>
      </c>
      <c r="G249" s="8">
        <v>38.880000000000003</v>
      </c>
      <c r="H249" s="8">
        <v>1.0049999999999999</v>
      </c>
      <c r="I249" s="8">
        <v>1.2929999999999999</v>
      </c>
      <c r="J249" s="41">
        <v>30.7</v>
      </c>
      <c r="K249" s="8">
        <v>23</v>
      </c>
      <c r="L249" s="8">
        <f t="shared" si="61"/>
        <v>7.6999999999999993</v>
      </c>
      <c r="M249" s="27">
        <f t="shared" si="62"/>
        <v>233.41718030399991</v>
      </c>
      <c r="N249" s="27"/>
      <c r="O249" s="8">
        <v>0.27700000000000002</v>
      </c>
      <c r="P249" s="18">
        <f t="shared" si="63"/>
        <v>64.656558944207987</v>
      </c>
      <c r="Q249" s="8">
        <f>31*16</f>
        <v>496</v>
      </c>
      <c r="R249" s="40">
        <f t="shared" si="64"/>
        <v>32.069653236327163</v>
      </c>
    </row>
    <row r="250" spans="5:18" ht="14" x14ac:dyDescent="0.25">
      <c r="E250" s="44" t="s">
        <v>19</v>
      </c>
      <c r="F250" s="8">
        <v>0.6</v>
      </c>
      <c r="G250" s="8">
        <v>38.880000000000003</v>
      </c>
      <c r="H250" s="8">
        <v>1.0049999999999999</v>
      </c>
      <c r="I250" s="8">
        <v>1.2929999999999999</v>
      </c>
      <c r="J250" s="41">
        <v>30.5</v>
      </c>
      <c r="K250" s="8">
        <v>23</v>
      </c>
      <c r="L250" s="8">
        <f t="shared" si="61"/>
        <v>7.5</v>
      </c>
      <c r="M250" s="27">
        <f t="shared" si="62"/>
        <v>227.35439639999993</v>
      </c>
      <c r="N250" s="27"/>
      <c r="O250" s="8">
        <v>0.27700000000000002</v>
      </c>
      <c r="P250" s="18">
        <f t="shared" si="63"/>
        <v>62.977167802799983</v>
      </c>
      <c r="Q250" s="8">
        <f>31*16</f>
        <v>496</v>
      </c>
      <c r="R250" s="40">
        <f t="shared" si="64"/>
        <v>31.236675230188791</v>
      </c>
    </row>
    <row r="251" spans="5:18" ht="14" x14ac:dyDescent="0.25">
      <c r="E251" s="44" t="s">
        <v>20</v>
      </c>
      <c r="F251" s="8">
        <v>0.6</v>
      </c>
      <c r="G251" s="8">
        <v>38.880000000000003</v>
      </c>
      <c r="H251" s="8">
        <v>1.0049999999999999</v>
      </c>
      <c r="I251" s="8">
        <v>1.2929999999999999</v>
      </c>
      <c r="J251" s="41">
        <v>30.5</v>
      </c>
      <c r="K251" s="8">
        <v>23</v>
      </c>
      <c r="L251" s="8">
        <f t="shared" si="61"/>
        <v>7.5</v>
      </c>
      <c r="M251" s="27">
        <f t="shared" si="62"/>
        <v>227.35439639999993</v>
      </c>
      <c r="N251" s="27"/>
      <c r="O251" s="8">
        <v>0.27700000000000002</v>
      </c>
      <c r="P251" s="18">
        <f t="shared" si="63"/>
        <v>62.977167802799983</v>
      </c>
      <c r="Q251" s="8">
        <f>30*16</f>
        <v>480</v>
      </c>
      <c r="R251" s="40">
        <f t="shared" si="64"/>
        <v>30.229040545343992</v>
      </c>
    </row>
    <row r="252" spans="5:18" ht="14" x14ac:dyDescent="0.25">
      <c r="E252" s="44" t="s">
        <v>21</v>
      </c>
      <c r="F252" s="8">
        <v>0.6</v>
      </c>
      <c r="G252" s="8">
        <v>38.880000000000003</v>
      </c>
      <c r="H252" s="8">
        <v>1.0049999999999999</v>
      </c>
      <c r="I252" s="8">
        <v>1.2929999999999999</v>
      </c>
      <c r="J252" s="41">
        <v>30.7</v>
      </c>
      <c r="K252" s="8">
        <v>23</v>
      </c>
      <c r="L252" s="8">
        <f t="shared" si="61"/>
        <v>7.6999999999999993</v>
      </c>
      <c r="M252" s="27">
        <f t="shared" si="62"/>
        <v>233.41718030399991</v>
      </c>
      <c r="N252" s="27"/>
      <c r="O252" s="8">
        <v>0.27700000000000002</v>
      </c>
      <c r="P252" s="18">
        <f t="shared" si="63"/>
        <v>64.656558944207987</v>
      </c>
      <c r="Q252" s="8">
        <f>31*16</f>
        <v>496</v>
      </c>
      <c r="R252" s="40">
        <f t="shared" si="64"/>
        <v>32.069653236327163</v>
      </c>
    </row>
    <row r="253" spans="5:18" ht="14" x14ac:dyDescent="0.25">
      <c r="E253" s="44" t="s">
        <v>22</v>
      </c>
      <c r="F253" s="8">
        <v>0.6</v>
      </c>
      <c r="G253" s="8">
        <v>38.880000000000003</v>
      </c>
      <c r="H253" s="8">
        <v>1.0049999999999999</v>
      </c>
      <c r="I253" s="8">
        <v>1.2929999999999999</v>
      </c>
      <c r="J253" s="41">
        <v>31.1</v>
      </c>
      <c r="K253" s="8">
        <v>23</v>
      </c>
      <c r="L253" s="8">
        <f t="shared" si="61"/>
        <v>8.1000000000000014</v>
      </c>
      <c r="M253" s="27">
        <f t="shared" si="62"/>
        <v>245.54274811199997</v>
      </c>
      <c r="N253" s="27"/>
      <c r="O253" s="8">
        <v>0.27700000000000002</v>
      </c>
      <c r="P253" s="18">
        <f t="shared" si="63"/>
        <v>68.015341227023995</v>
      </c>
      <c r="Q253" s="8">
        <f>30*16</f>
        <v>480</v>
      </c>
      <c r="R253" s="40">
        <f t="shared" si="64"/>
        <v>32.647363788971518</v>
      </c>
    </row>
    <row r="254" spans="5:18" ht="14" x14ac:dyDescent="0.25">
      <c r="E254" s="44" t="s">
        <v>23</v>
      </c>
      <c r="F254" s="8">
        <v>0.6</v>
      </c>
      <c r="G254" s="8">
        <v>38.880000000000003</v>
      </c>
      <c r="H254" s="8">
        <v>1.0049999999999999</v>
      </c>
      <c r="I254" s="8">
        <v>1.2929999999999999</v>
      </c>
      <c r="J254" s="41">
        <v>31.2</v>
      </c>
      <c r="K254" s="8">
        <v>23</v>
      </c>
      <c r="L254" s="8">
        <f t="shared" si="61"/>
        <v>8.1999999999999993</v>
      </c>
      <c r="M254" s="27">
        <f t="shared" si="62"/>
        <v>248.57414006399992</v>
      </c>
      <c r="N254" s="27"/>
      <c r="O254" s="8">
        <v>0.27700000000000002</v>
      </c>
      <c r="P254" s="18">
        <f t="shared" si="63"/>
        <v>68.85503679772799</v>
      </c>
      <c r="Q254" s="8">
        <f>31*16</f>
        <v>496</v>
      </c>
      <c r="R254" s="40">
        <f t="shared" si="64"/>
        <v>34.152098251673081</v>
      </c>
    </row>
    <row r="255" spans="5:18" ht="15" x14ac:dyDescent="0.4">
      <c r="E255" s="314" t="s">
        <v>88</v>
      </c>
      <c r="F255" s="315"/>
      <c r="G255" s="315"/>
      <c r="H255" s="315"/>
      <c r="I255" s="315"/>
      <c r="J255" s="315"/>
      <c r="K255" s="315"/>
      <c r="L255" s="315"/>
      <c r="M255" s="315"/>
      <c r="N255" s="315"/>
      <c r="O255" s="315"/>
      <c r="P255" s="315"/>
      <c r="Q255" s="315"/>
      <c r="R255" s="84">
        <f>SUM(R243:R254)</f>
        <v>405.92899157201043</v>
      </c>
    </row>
    <row r="256" spans="5:18" ht="14" x14ac:dyDescent="0.25">
      <c r="E256" s="44" t="s">
        <v>15</v>
      </c>
      <c r="F256" s="8">
        <v>0.6</v>
      </c>
      <c r="G256" s="8">
        <v>38.880000000000003</v>
      </c>
      <c r="H256" s="8">
        <v>1.0049999999999999</v>
      </c>
      <c r="I256" s="8">
        <v>1.2929999999999999</v>
      </c>
      <c r="J256" s="71">
        <v>31.6</v>
      </c>
      <c r="K256" s="8">
        <v>24</v>
      </c>
      <c r="L256" s="8">
        <f>J256-K256</f>
        <v>7.6000000000000014</v>
      </c>
      <c r="M256" s="27">
        <f>F256*G256*H256*I256*L256</f>
        <v>230.38578835199999</v>
      </c>
      <c r="N256" s="27"/>
      <c r="O256" s="8">
        <v>0.27700000000000002</v>
      </c>
      <c r="P256" s="18">
        <f>M256*O256</f>
        <v>63.816863373504006</v>
      </c>
      <c r="Q256" s="8">
        <f>31*16</f>
        <v>496</v>
      </c>
      <c r="R256" s="40">
        <f>(P256*Q256)/1000</f>
        <v>31.653164233257986</v>
      </c>
    </row>
    <row r="257" spans="5:18" ht="14" x14ac:dyDescent="0.25">
      <c r="E257" s="44" t="s">
        <v>16</v>
      </c>
      <c r="F257" s="8">
        <v>0.6</v>
      </c>
      <c r="G257" s="8">
        <v>38.880000000000003</v>
      </c>
      <c r="H257" s="8">
        <v>1.0049999999999999</v>
      </c>
      <c r="I257" s="8">
        <v>1.2929999999999999</v>
      </c>
      <c r="J257" s="71">
        <v>32.1</v>
      </c>
      <c r="K257" s="8">
        <v>24</v>
      </c>
      <c r="L257" s="8">
        <f t="shared" ref="L257:L267" si="65">J257-K257</f>
        <v>8.1000000000000014</v>
      </c>
      <c r="M257" s="27">
        <f t="shared" ref="M257:M267" si="66">F257*G257*H257*I257*L257</f>
        <v>245.54274811199997</v>
      </c>
      <c r="N257" s="27"/>
      <c r="O257" s="8">
        <v>0.27700000000000002</v>
      </c>
      <c r="P257" s="18">
        <f t="shared" ref="P257:P267" si="67">M257*O257</f>
        <v>68.015341227023995</v>
      </c>
      <c r="Q257" s="8">
        <f>28*16</f>
        <v>448</v>
      </c>
      <c r="R257" s="40">
        <f t="shared" ref="R257:R267" si="68">(P257*Q257)/1000</f>
        <v>30.470872869706749</v>
      </c>
    </row>
    <row r="258" spans="5:18" ht="14" x14ac:dyDescent="0.25">
      <c r="E258" s="44" t="s">
        <v>17</v>
      </c>
      <c r="F258" s="8">
        <v>0.6</v>
      </c>
      <c r="G258" s="8">
        <v>38.880000000000003</v>
      </c>
      <c r="H258" s="8">
        <v>1.0049999999999999</v>
      </c>
      <c r="I258" s="8">
        <v>1.2929999999999999</v>
      </c>
      <c r="J258" s="71">
        <v>32</v>
      </c>
      <c r="K258" s="8">
        <v>24</v>
      </c>
      <c r="L258" s="8">
        <f t="shared" si="65"/>
        <v>8</v>
      </c>
      <c r="M258" s="27">
        <f t="shared" si="66"/>
        <v>242.51135615999993</v>
      </c>
      <c r="N258" s="27"/>
      <c r="O258" s="8">
        <v>0.27700000000000002</v>
      </c>
      <c r="P258" s="18">
        <f t="shared" si="67"/>
        <v>67.175645656319986</v>
      </c>
      <c r="Q258" s="8">
        <f>31*16</f>
        <v>496</v>
      </c>
      <c r="R258" s="40">
        <f t="shared" si="68"/>
        <v>33.319120245534712</v>
      </c>
    </row>
    <row r="259" spans="5:18" ht="14" x14ac:dyDescent="0.25">
      <c r="E259" s="44" t="s">
        <v>18</v>
      </c>
      <c r="F259" s="8">
        <v>0.6</v>
      </c>
      <c r="G259" s="8">
        <v>38.880000000000003</v>
      </c>
      <c r="H259" s="8">
        <v>1.0049999999999999</v>
      </c>
      <c r="I259" s="8">
        <v>1.2929999999999999</v>
      </c>
      <c r="J259" s="71">
        <v>32.299999999999997</v>
      </c>
      <c r="K259" s="8">
        <v>24</v>
      </c>
      <c r="L259" s="8">
        <f t="shared" si="65"/>
        <v>8.2999999999999972</v>
      </c>
      <c r="M259" s="27">
        <f t="shared" si="66"/>
        <v>251.60553201599984</v>
      </c>
      <c r="N259" s="27"/>
      <c r="O259" s="8">
        <v>0.27700000000000002</v>
      </c>
      <c r="P259" s="18">
        <f t="shared" si="67"/>
        <v>69.694732368431957</v>
      </c>
      <c r="Q259" s="8">
        <f>30*16</f>
        <v>480</v>
      </c>
      <c r="R259" s="40">
        <f t="shared" si="68"/>
        <v>33.453471536847339</v>
      </c>
    </row>
    <row r="260" spans="5:18" ht="14" x14ac:dyDescent="0.25">
      <c r="E260" s="44" t="s">
        <v>12</v>
      </c>
      <c r="F260" s="8">
        <v>0.6</v>
      </c>
      <c r="G260" s="8">
        <v>38.880000000000003</v>
      </c>
      <c r="H260" s="8">
        <v>1.0049999999999999</v>
      </c>
      <c r="I260" s="8">
        <v>1.2929999999999999</v>
      </c>
      <c r="J260" s="71">
        <v>31.9</v>
      </c>
      <c r="K260" s="8">
        <v>24</v>
      </c>
      <c r="L260" s="8">
        <f t="shared" si="65"/>
        <v>7.8999999999999986</v>
      </c>
      <c r="M260" s="27">
        <f t="shared" si="66"/>
        <v>239.4799642079999</v>
      </c>
      <c r="N260" s="27"/>
      <c r="O260" s="8">
        <v>0.27700000000000002</v>
      </c>
      <c r="P260" s="18">
        <f t="shared" si="67"/>
        <v>66.335950085615977</v>
      </c>
      <c r="Q260" s="8">
        <f>31*16</f>
        <v>496</v>
      </c>
      <c r="R260" s="40">
        <f t="shared" si="68"/>
        <v>32.902631242465525</v>
      </c>
    </row>
    <row r="261" spans="5:18" ht="14" x14ac:dyDescent="0.25">
      <c r="E261" s="44" t="s">
        <v>13</v>
      </c>
      <c r="F261" s="8">
        <v>0.6</v>
      </c>
      <c r="G261" s="8">
        <v>38.880000000000003</v>
      </c>
      <c r="H261" s="8">
        <v>1.0049999999999999</v>
      </c>
      <c r="I261" s="8">
        <v>1.2929999999999999</v>
      </c>
      <c r="J261" s="71">
        <v>30.8</v>
      </c>
      <c r="K261" s="8">
        <v>24</v>
      </c>
      <c r="L261" s="8">
        <f t="shared" si="65"/>
        <v>6.8000000000000007</v>
      </c>
      <c r="M261" s="27">
        <f t="shared" si="66"/>
        <v>206.13465273599996</v>
      </c>
      <c r="N261" s="27"/>
      <c r="O261" s="8">
        <v>0.27700000000000002</v>
      </c>
      <c r="P261" s="18">
        <f t="shared" si="67"/>
        <v>57.099298807871996</v>
      </c>
      <c r="Q261" s="8">
        <f>30*16</f>
        <v>480</v>
      </c>
      <c r="R261" s="40">
        <f t="shared" si="68"/>
        <v>27.407663427778559</v>
      </c>
    </row>
    <row r="262" spans="5:18" ht="14" x14ac:dyDescent="0.25">
      <c r="E262" s="44" t="s">
        <v>24</v>
      </c>
      <c r="F262" s="8">
        <v>0.6</v>
      </c>
      <c r="G262" s="8">
        <v>38.880000000000003</v>
      </c>
      <c r="H262" s="8">
        <v>1.0049999999999999</v>
      </c>
      <c r="I262" s="8">
        <v>1.2929999999999999</v>
      </c>
      <c r="J262" s="41">
        <v>30.7</v>
      </c>
      <c r="K262" s="8">
        <v>24</v>
      </c>
      <c r="L262" s="8">
        <f t="shared" si="65"/>
        <v>6.6999999999999993</v>
      </c>
      <c r="M262" s="27">
        <f t="shared" si="66"/>
        <v>203.10326078399993</v>
      </c>
      <c r="N262" s="27"/>
      <c r="O262" s="8">
        <v>0.27700000000000002</v>
      </c>
      <c r="P262" s="18">
        <f t="shared" si="67"/>
        <v>56.259603237167987</v>
      </c>
      <c r="Q262" s="8">
        <f>31*16</f>
        <v>496</v>
      </c>
      <c r="R262" s="40">
        <f t="shared" si="68"/>
        <v>27.904763205635323</v>
      </c>
    </row>
    <row r="263" spans="5:18" ht="14" x14ac:dyDescent="0.25">
      <c r="E263" s="44" t="s">
        <v>19</v>
      </c>
      <c r="F263" s="8">
        <v>0.6</v>
      </c>
      <c r="G263" s="8">
        <v>38.880000000000003</v>
      </c>
      <c r="H263" s="8">
        <v>1.0049999999999999</v>
      </c>
      <c r="I263" s="8">
        <v>1.2929999999999999</v>
      </c>
      <c r="J263" s="41">
        <v>30.5</v>
      </c>
      <c r="K263" s="8">
        <v>24</v>
      </c>
      <c r="L263" s="8">
        <f t="shared" si="65"/>
        <v>6.5</v>
      </c>
      <c r="M263" s="27">
        <f t="shared" si="66"/>
        <v>197.04047687999994</v>
      </c>
      <c r="N263" s="27"/>
      <c r="O263" s="8">
        <v>0.27700000000000002</v>
      </c>
      <c r="P263" s="18">
        <f t="shared" si="67"/>
        <v>54.58021209575999</v>
      </c>
      <c r="Q263" s="8">
        <f>31*16</f>
        <v>496</v>
      </c>
      <c r="R263" s="40">
        <f t="shared" si="68"/>
        <v>27.071785199496954</v>
      </c>
    </row>
    <row r="264" spans="5:18" ht="14" x14ac:dyDescent="0.25">
      <c r="E264" s="44" t="s">
        <v>20</v>
      </c>
      <c r="F264" s="8">
        <v>0.6</v>
      </c>
      <c r="G264" s="8">
        <v>38.880000000000003</v>
      </c>
      <c r="H264" s="8">
        <v>1.0049999999999999</v>
      </c>
      <c r="I264" s="8">
        <v>1.2929999999999999</v>
      </c>
      <c r="J264" s="41">
        <v>30.5</v>
      </c>
      <c r="K264" s="8">
        <v>24</v>
      </c>
      <c r="L264" s="8">
        <f t="shared" si="65"/>
        <v>6.5</v>
      </c>
      <c r="M264" s="27">
        <f t="shared" si="66"/>
        <v>197.04047687999994</v>
      </c>
      <c r="N264" s="27"/>
      <c r="O264" s="8">
        <v>0.27700000000000002</v>
      </c>
      <c r="P264" s="18">
        <f t="shared" si="67"/>
        <v>54.58021209575999</v>
      </c>
      <c r="Q264" s="8">
        <f>30*16</f>
        <v>480</v>
      </c>
      <c r="R264" s="40">
        <f t="shared" si="68"/>
        <v>26.198501805964796</v>
      </c>
    </row>
    <row r="265" spans="5:18" ht="14" x14ac:dyDescent="0.25">
      <c r="E265" s="44" t="s">
        <v>21</v>
      </c>
      <c r="F265" s="8">
        <v>0.6</v>
      </c>
      <c r="G265" s="8">
        <v>38.880000000000003</v>
      </c>
      <c r="H265" s="8">
        <v>1.0049999999999999</v>
      </c>
      <c r="I265" s="8">
        <v>1.2929999999999999</v>
      </c>
      <c r="J265" s="41">
        <v>30.7</v>
      </c>
      <c r="K265" s="8">
        <v>24</v>
      </c>
      <c r="L265" s="8">
        <f t="shared" si="65"/>
        <v>6.6999999999999993</v>
      </c>
      <c r="M265" s="27">
        <f t="shared" si="66"/>
        <v>203.10326078399993</v>
      </c>
      <c r="N265" s="27"/>
      <c r="O265" s="8">
        <v>0.27700000000000002</v>
      </c>
      <c r="P265" s="18">
        <f t="shared" si="67"/>
        <v>56.259603237167987</v>
      </c>
      <c r="Q265" s="8">
        <f>31*16</f>
        <v>496</v>
      </c>
      <c r="R265" s="40">
        <f t="shared" si="68"/>
        <v>27.904763205635323</v>
      </c>
    </row>
    <row r="266" spans="5:18" ht="14" x14ac:dyDescent="0.25">
      <c r="E266" s="44" t="s">
        <v>22</v>
      </c>
      <c r="F266" s="8">
        <v>0.6</v>
      </c>
      <c r="G266" s="8">
        <v>38.880000000000003</v>
      </c>
      <c r="H266" s="8">
        <v>1.0049999999999999</v>
      </c>
      <c r="I266" s="8">
        <v>1.2929999999999999</v>
      </c>
      <c r="J266" s="41">
        <v>31.1</v>
      </c>
      <c r="K266" s="8">
        <v>24</v>
      </c>
      <c r="L266" s="8">
        <f t="shared" si="65"/>
        <v>7.1000000000000014</v>
      </c>
      <c r="M266" s="27">
        <f t="shared" si="66"/>
        <v>215.22882859199999</v>
      </c>
      <c r="N266" s="27"/>
      <c r="O266" s="8">
        <v>0.27700000000000002</v>
      </c>
      <c r="P266" s="18">
        <f t="shared" si="67"/>
        <v>59.618385519984002</v>
      </c>
      <c r="Q266" s="8">
        <f>30*16</f>
        <v>480</v>
      </c>
      <c r="R266" s="40">
        <f t="shared" si="68"/>
        <v>28.616825049592322</v>
      </c>
    </row>
    <row r="267" spans="5:18" ht="14" x14ac:dyDescent="0.25">
      <c r="E267" s="44" t="s">
        <v>23</v>
      </c>
      <c r="F267" s="8">
        <v>0.6</v>
      </c>
      <c r="G267" s="8">
        <v>38.880000000000003</v>
      </c>
      <c r="H267" s="8">
        <v>1.0049999999999999</v>
      </c>
      <c r="I267" s="8">
        <v>1.2929999999999999</v>
      </c>
      <c r="J267" s="41">
        <v>31.2</v>
      </c>
      <c r="K267" s="8">
        <v>24</v>
      </c>
      <c r="L267" s="8">
        <f t="shared" si="65"/>
        <v>7.1999999999999993</v>
      </c>
      <c r="M267" s="27">
        <f t="shared" si="66"/>
        <v>218.26022054399991</v>
      </c>
      <c r="N267" s="27"/>
      <c r="O267" s="8">
        <v>0.27700000000000002</v>
      </c>
      <c r="P267" s="18">
        <f t="shared" si="67"/>
        <v>60.458081090687976</v>
      </c>
      <c r="Q267" s="8">
        <f>31*16</f>
        <v>496</v>
      </c>
      <c r="R267" s="40">
        <f t="shared" si="68"/>
        <v>29.987208220981238</v>
      </c>
    </row>
    <row r="268" spans="5:18" ht="15" x14ac:dyDescent="0.4">
      <c r="E268" s="314" t="s">
        <v>90</v>
      </c>
      <c r="F268" s="315"/>
      <c r="G268" s="315"/>
      <c r="H268" s="315"/>
      <c r="I268" s="315"/>
      <c r="J268" s="315"/>
      <c r="K268" s="315"/>
      <c r="L268" s="315"/>
      <c r="M268" s="315"/>
      <c r="N268" s="315"/>
      <c r="O268" s="315"/>
      <c r="P268" s="315"/>
      <c r="Q268" s="315"/>
      <c r="R268" s="84">
        <f>SUM(R256:R267)</f>
        <v>356.89077024289685</v>
      </c>
    </row>
    <row r="269" spans="5:18" ht="14" x14ac:dyDescent="0.25">
      <c r="E269" s="44" t="s">
        <v>15</v>
      </c>
      <c r="F269" s="8">
        <v>0.6</v>
      </c>
      <c r="G269" s="8">
        <v>38.880000000000003</v>
      </c>
      <c r="H269" s="8">
        <v>1.0049999999999999</v>
      </c>
      <c r="I269" s="8">
        <v>1.2929999999999999</v>
      </c>
      <c r="J269" s="71">
        <v>31.6</v>
      </c>
      <c r="K269" s="8">
        <v>25</v>
      </c>
      <c r="L269" s="8">
        <f>J269-K269</f>
        <v>6.6000000000000014</v>
      </c>
      <c r="M269" s="27">
        <f>F269*G269*H269*I269*L269</f>
        <v>200.07186883199998</v>
      </c>
      <c r="N269" s="27"/>
      <c r="O269" s="8">
        <v>0.27700000000000002</v>
      </c>
      <c r="P269" s="18">
        <f>M269*O269</f>
        <v>55.419907666463999</v>
      </c>
      <c r="Q269" s="8">
        <f>31*16</f>
        <v>496</v>
      </c>
      <c r="R269" s="40">
        <f>(P269*Q269)/1000</f>
        <v>27.488274202566142</v>
      </c>
    </row>
    <row r="270" spans="5:18" ht="14" x14ac:dyDescent="0.25">
      <c r="E270" s="44" t="s">
        <v>16</v>
      </c>
      <c r="F270" s="8">
        <v>0.6</v>
      </c>
      <c r="G270" s="8">
        <v>38.880000000000003</v>
      </c>
      <c r="H270" s="8">
        <v>1.0049999999999999</v>
      </c>
      <c r="I270" s="8">
        <v>1.2929999999999999</v>
      </c>
      <c r="J270" s="71">
        <v>32.1</v>
      </c>
      <c r="K270" s="8">
        <v>25</v>
      </c>
      <c r="L270" s="8">
        <f t="shared" ref="L270:L280" si="69">J270-K270</f>
        <v>7.1000000000000014</v>
      </c>
      <c r="M270" s="27">
        <f t="shared" ref="M270:M280" si="70">F270*G270*H270*I270*L270</f>
        <v>215.22882859199999</v>
      </c>
      <c r="N270" s="27"/>
      <c r="O270" s="8">
        <v>0.27700000000000002</v>
      </c>
      <c r="P270" s="18">
        <f t="shared" ref="P270:P280" si="71">M270*O270</f>
        <v>59.618385519984002</v>
      </c>
      <c r="Q270" s="8">
        <f>28*16</f>
        <v>448</v>
      </c>
      <c r="R270" s="40">
        <f t="shared" ref="R270:R280" si="72">(P270*Q270)/1000</f>
        <v>26.70903671295283</v>
      </c>
    </row>
    <row r="271" spans="5:18" ht="14" x14ac:dyDescent="0.25">
      <c r="E271" s="44" t="s">
        <v>17</v>
      </c>
      <c r="F271" s="8">
        <v>0.6</v>
      </c>
      <c r="G271" s="8">
        <v>38.880000000000003</v>
      </c>
      <c r="H271" s="8">
        <v>1.0049999999999999</v>
      </c>
      <c r="I271" s="8">
        <v>1.2929999999999999</v>
      </c>
      <c r="J271" s="71">
        <v>32</v>
      </c>
      <c r="K271" s="8">
        <v>25</v>
      </c>
      <c r="L271" s="8">
        <f t="shared" si="69"/>
        <v>7</v>
      </c>
      <c r="M271" s="27">
        <f t="shared" si="70"/>
        <v>212.19743663999995</v>
      </c>
      <c r="N271" s="27"/>
      <c r="O271" s="8">
        <v>0.27700000000000002</v>
      </c>
      <c r="P271" s="18">
        <f t="shared" si="71"/>
        <v>58.778689949279993</v>
      </c>
      <c r="Q271" s="8">
        <f>31*16</f>
        <v>496</v>
      </c>
      <c r="R271" s="40">
        <f t="shared" si="72"/>
        <v>29.154230214842876</v>
      </c>
    </row>
    <row r="272" spans="5:18" ht="14" x14ac:dyDescent="0.25">
      <c r="E272" s="44" t="s">
        <v>18</v>
      </c>
      <c r="F272" s="8">
        <v>0.6</v>
      </c>
      <c r="G272" s="8">
        <v>38.880000000000003</v>
      </c>
      <c r="H272" s="8">
        <v>1.0049999999999999</v>
      </c>
      <c r="I272" s="8">
        <v>1.2929999999999999</v>
      </c>
      <c r="J272" s="71">
        <v>32.299999999999997</v>
      </c>
      <c r="K272" s="8">
        <v>25</v>
      </c>
      <c r="L272" s="8">
        <f t="shared" si="69"/>
        <v>7.2999999999999972</v>
      </c>
      <c r="M272" s="27">
        <f t="shared" si="70"/>
        <v>221.29161249599986</v>
      </c>
      <c r="N272" s="27"/>
      <c r="O272" s="8">
        <v>0.27700000000000002</v>
      </c>
      <c r="P272" s="18">
        <f t="shared" si="71"/>
        <v>61.297776661391964</v>
      </c>
      <c r="Q272" s="8">
        <f>30*16</f>
        <v>480</v>
      </c>
      <c r="R272" s="40">
        <f t="shared" si="72"/>
        <v>29.422932797468142</v>
      </c>
    </row>
    <row r="273" spans="5:18" ht="14" x14ac:dyDescent="0.25">
      <c r="E273" s="44" t="s">
        <v>12</v>
      </c>
      <c r="F273" s="8">
        <v>0.6</v>
      </c>
      <c r="G273" s="8">
        <v>38.880000000000003</v>
      </c>
      <c r="H273" s="8">
        <v>1.0049999999999999</v>
      </c>
      <c r="I273" s="8">
        <v>1.2929999999999999</v>
      </c>
      <c r="J273" s="71">
        <v>31.9</v>
      </c>
      <c r="K273" s="8">
        <v>25</v>
      </c>
      <c r="L273" s="8">
        <f t="shared" si="69"/>
        <v>6.8999999999999986</v>
      </c>
      <c r="M273" s="27">
        <f t="shared" si="70"/>
        <v>209.16604468799991</v>
      </c>
      <c r="N273" s="27"/>
      <c r="O273" s="8">
        <v>0.27700000000000002</v>
      </c>
      <c r="P273" s="18">
        <f t="shared" si="71"/>
        <v>57.938994378575984</v>
      </c>
      <c r="Q273" s="8">
        <f>31*16</f>
        <v>496</v>
      </c>
      <c r="R273" s="40">
        <f t="shared" si="72"/>
        <v>28.737741211773688</v>
      </c>
    </row>
    <row r="274" spans="5:18" ht="14" x14ac:dyDescent="0.25">
      <c r="E274" s="44" t="s">
        <v>13</v>
      </c>
      <c r="F274" s="8">
        <v>0.6</v>
      </c>
      <c r="G274" s="8">
        <v>38.880000000000003</v>
      </c>
      <c r="H274" s="8">
        <v>1.0049999999999999</v>
      </c>
      <c r="I274" s="8">
        <v>1.2929999999999999</v>
      </c>
      <c r="J274" s="71">
        <v>30.8</v>
      </c>
      <c r="K274" s="8">
        <v>25</v>
      </c>
      <c r="L274" s="8">
        <f t="shared" si="69"/>
        <v>5.8000000000000007</v>
      </c>
      <c r="M274" s="27">
        <f t="shared" si="70"/>
        <v>175.82073321599998</v>
      </c>
      <c r="N274" s="27"/>
      <c r="O274" s="8">
        <v>0.27700000000000002</v>
      </c>
      <c r="P274" s="18">
        <f t="shared" si="71"/>
        <v>48.702343100831996</v>
      </c>
      <c r="Q274" s="8">
        <f>30*16</f>
        <v>480</v>
      </c>
      <c r="R274" s="40">
        <f t="shared" si="72"/>
        <v>23.377124688399359</v>
      </c>
    </row>
    <row r="275" spans="5:18" ht="14" x14ac:dyDescent="0.25">
      <c r="E275" s="44" t="s">
        <v>24</v>
      </c>
      <c r="F275" s="8">
        <v>0.6</v>
      </c>
      <c r="G275" s="8">
        <v>38.880000000000003</v>
      </c>
      <c r="H275" s="8">
        <v>1.0049999999999999</v>
      </c>
      <c r="I275" s="8">
        <v>1.2929999999999999</v>
      </c>
      <c r="J275" s="41">
        <v>30.7</v>
      </c>
      <c r="K275" s="8">
        <v>25</v>
      </c>
      <c r="L275" s="8">
        <f t="shared" si="69"/>
        <v>5.6999999999999993</v>
      </c>
      <c r="M275" s="27">
        <f t="shared" si="70"/>
        <v>172.78934126399994</v>
      </c>
      <c r="N275" s="27"/>
      <c r="O275" s="8">
        <v>0.27700000000000002</v>
      </c>
      <c r="P275" s="18">
        <f t="shared" si="71"/>
        <v>47.862647530127987</v>
      </c>
      <c r="Q275" s="8">
        <f>31*16</f>
        <v>496</v>
      </c>
      <c r="R275" s="40">
        <f t="shared" si="72"/>
        <v>23.739873174943479</v>
      </c>
    </row>
    <row r="276" spans="5:18" ht="14" x14ac:dyDescent="0.25">
      <c r="E276" s="44" t="s">
        <v>19</v>
      </c>
      <c r="F276" s="8">
        <v>0.6</v>
      </c>
      <c r="G276" s="8">
        <v>38.880000000000003</v>
      </c>
      <c r="H276" s="8">
        <v>1.0049999999999999</v>
      </c>
      <c r="I276" s="8">
        <v>1.2929999999999999</v>
      </c>
      <c r="J276" s="41">
        <v>30.5</v>
      </c>
      <c r="K276" s="8">
        <v>25</v>
      </c>
      <c r="L276" s="8">
        <f t="shared" si="69"/>
        <v>5.5</v>
      </c>
      <c r="M276" s="27">
        <f t="shared" si="70"/>
        <v>166.72655735999996</v>
      </c>
      <c r="N276" s="27"/>
      <c r="O276" s="8">
        <v>0.27700000000000002</v>
      </c>
      <c r="P276" s="18">
        <f t="shared" si="71"/>
        <v>46.18325638871999</v>
      </c>
      <c r="Q276" s="8">
        <f>31*16</f>
        <v>496</v>
      </c>
      <c r="R276" s="40">
        <f t="shared" si="72"/>
        <v>22.906895168805118</v>
      </c>
    </row>
    <row r="277" spans="5:18" ht="14" x14ac:dyDescent="0.25">
      <c r="E277" s="44" t="s">
        <v>20</v>
      </c>
      <c r="F277" s="8">
        <v>0.6</v>
      </c>
      <c r="G277" s="8">
        <v>38.880000000000003</v>
      </c>
      <c r="H277" s="8">
        <v>1.0049999999999999</v>
      </c>
      <c r="I277" s="8">
        <v>1.2929999999999999</v>
      </c>
      <c r="J277" s="41">
        <v>30.5</v>
      </c>
      <c r="K277" s="8">
        <v>25</v>
      </c>
      <c r="L277" s="8">
        <f t="shared" si="69"/>
        <v>5.5</v>
      </c>
      <c r="M277" s="27">
        <f t="shared" si="70"/>
        <v>166.72655735999996</v>
      </c>
      <c r="N277" s="27"/>
      <c r="O277" s="8">
        <v>0.27700000000000002</v>
      </c>
      <c r="P277" s="18">
        <f t="shared" si="71"/>
        <v>46.18325638871999</v>
      </c>
      <c r="Q277" s="8">
        <f>30*16</f>
        <v>480</v>
      </c>
      <c r="R277" s="40">
        <f t="shared" si="72"/>
        <v>22.167963066585596</v>
      </c>
    </row>
    <row r="278" spans="5:18" ht="14" x14ac:dyDescent="0.25">
      <c r="E278" s="44" t="s">
        <v>21</v>
      </c>
      <c r="F278" s="8">
        <v>0.6</v>
      </c>
      <c r="G278" s="8">
        <v>38.880000000000003</v>
      </c>
      <c r="H278" s="8">
        <v>1.0049999999999999</v>
      </c>
      <c r="I278" s="8">
        <v>1.2929999999999999</v>
      </c>
      <c r="J278" s="41">
        <v>30.7</v>
      </c>
      <c r="K278" s="8">
        <v>25</v>
      </c>
      <c r="L278" s="8">
        <f t="shared" si="69"/>
        <v>5.6999999999999993</v>
      </c>
      <c r="M278" s="27">
        <f t="shared" si="70"/>
        <v>172.78934126399994</v>
      </c>
      <c r="N278" s="27"/>
      <c r="O278" s="8">
        <v>0.27700000000000002</v>
      </c>
      <c r="P278" s="18">
        <f t="shared" si="71"/>
        <v>47.862647530127987</v>
      </c>
      <c r="Q278" s="8">
        <f>31*16</f>
        <v>496</v>
      </c>
      <c r="R278" s="40">
        <f t="shared" si="72"/>
        <v>23.739873174943479</v>
      </c>
    </row>
    <row r="279" spans="5:18" ht="14" x14ac:dyDescent="0.25">
      <c r="E279" s="44" t="s">
        <v>22</v>
      </c>
      <c r="F279" s="8">
        <v>0.6</v>
      </c>
      <c r="G279" s="8">
        <v>38.880000000000003</v>
      </c>
      <c r="H279" s="8">
        <v>1.0049999999999999</v>
      </c>
      <c r="I279" s="8">
        <v>1.2929999999999999</v>
      </c>
      <c r="J279" s="41">
        <v>31.1</v>
      </c>
      <c r="K279" s="8">
        <v>25</v>
      </c>
      <c r="L279" s="8">
        <f t="shared" si="69"/>
        <v>6.1000000000000014</v>
      </c>
      <c r="M279" s="27">
        <f t="shared" si="70"/>
        <v>184.914909072</v>
      </c>
      <c r="N279" s="27"/>
      <c r="O279" s="8">
        <v>0.27700000000000002</v>
      </c>
      <c r="P279" s="18">
        <f t="shared" si="71"/>
        <v>51.221429812944002</v>
      </c>
      <c r="Q279" s="8">
        <f>30*16</f>
        <v>480</v>
      </c>
      <c r="R279" s="40">
        <f t="shared" si="72"/>
        <v>24.586286310213119</v>
      </c>
    </row>
    <row r="280" spans="5:18" ht="14" x14ac:dyDescent="0.25">
      <c r="E280" s="44" t="s">
        <v>23</v>
      </c>
      <c r="F280" s="8">
        <v>0.6</v>
      </c>
      <c r="G280" s="8">
        <v>38.880000000000003</v>
      </c>
      <c r="H280" s="8">
        <v>1.0049999999999999</v>
      </c>
      <c r="I280" s="8">
        <v>1.2929999999999999</v>
      </c>
      <c r="J280" s="41">
        <v>31.2</v>
      </c>
      <c r="K280" s="8">
        <v>25</v>
      </c>
      <c r="L280" s="8">
        <f t="shared" si="69"/>
        <v>6.1999999999999993</v>
      </c>
      <c r="M280" s="27">
        <f t="shared" si="70"/>
        <v>187.94630102399992</v>
      </c>
      <c r="N280" s="27"/>
      <c r="O280" s="8">
        <v>0.27700000000000002</v>
      </c>
      <c r="P280" s="18">
        <f t="shared" si="71"/>
        <v>52.061125383647983</v>
      </c>
      <c r="Q280" s="8">
        <f>31*16</f>
        <v>496</v>
      </c>
      <c r="R280" s="40">
        <f t="shared" si="72"/>
        <v>25.822318190289398</v>
      </c>
    </row>
    <row r="281" spans="5:18" ht="15" x14ac:dyDescent="0.4">
      <c r="E281" s="314" t="s">
        <v>91</v>
      </c>
      <c r="F281" s="315"/>
      <c r="G281" s="315"/>
      <c r="H281" s="315"/>
      <c r="I281" s="315"/>
      <c r="J281" s="315"/>
      <c r="K281" s="315"/>
      <c r="L281" s="315"/>
      <c r="M281" s="315"/>
      <c r="N281" s="315"/>
      <c r="O281" s="315"/>
      <c r="P281" s="315"/>
      <c r="Q281" s="315"/>
      <c r="R281" s="84">
        <f>SUM(R269:R280)</f>
        <v>307.85254891378321</v>
      </c>
    </row>
    <row r="282" spans="5:18" ht="14" x14ac:dyDescent="0.25">
      <c r="E282" s="44" t="s">
        <v>15</v>
      </c>
      <c r="F282" s="8">
        <v>0.6</v>
      </c>
      <c r="G282" s="8">
        <v>38.880000000000003</v>
      </c>
      <c r="H282" s="8">
        <v>1.0049999999999999</v>
      </c>
      <c r="I282" s="8">
        <v>1.2929999999999999</v>
      </c>
      <c r="J282" s="71">
        <v>31.6</v>
      </c>
      <c r="K282" s="8">
        <v>26</v>
      </c>
      <c r="L282" s="8">
        <f>J282-K282</f>
        <v>5.6000000000000014</v>
      </c>
      <c r="M282" s="27">
        <f>F282*G282*H282*I282*L282</f>
        <v>169.75794931199999</v>
      </c>
      <c r="N282" s="27"/>
      <c r="O282" s="8">
        <v>0.27700000000000002</v>
      </c>
      <c r="P282" s="18">
        <f>M282*O282</f>
        <v>47.022951959423999</v>
      </c>
      <c r="Q282" s="8">
        <f>31*16</f>
        <v>496</v>
      </c>
      <c r="R282" s="40">
        <f>(P282*Q282)/1000</f>
        <v>23.323384171874302</v>
      </c>
    </row>
    <row r="283" spans="5:18" ht="14" x14ac:dyDescent="0.25">
      <c r="E283" s="44" t="s">
        <v>16</v>
      </c>
      <c r="F283" s="8">
        <v>0.6</v>
      </c>
      <c r="G283" s="8">
        <v>38.880000000000003</v>
      </c>
      <c r="H283" s="8">
        <v>1.0049999999999999</v>
      </c>
      <c r="I283" s="8">
        <v>1.2929999999999999</v>
      </c>
      <c r="J283" s="71">
        <v>32.1</v>
      </c>
      <c r="K283" s="8">
        <v>26</v>
      </c>
      <c r="L283" s="8">
        <f t="shared" ref="L283:L293" si="73">J283-K283</f>
        <v>6.1000000000000014</v>
      </c>
      <c r="M283" s="27">
        <f t="shared" ref="M283:M293" si="74">F283*G283*H283*I283*L283</f>
        <v>184.914909072</v>
      </c>
      <c r="N283" s="27"/>
      <c r="O283" s="8">
        <v>0.27700000000000002</v>
      </c>
      <c r="P283" s="18">
        <f t="shared" ref="P283:P293" si="75">M283*O283</f>
        <v>51.221429812944002</v>
      </c>
      <c r="Q283" s="8">
        <f>28*16</f>
        <v>448</v>
      </c>
      <c r="R283" s="40">
        <f t="shared" ref="R283:R293" si="76">(P283*Q283)/1000</f>
        <v>22.947200556198915</v>
      </c>
    </row>
    <row r="284" spans="5:18" ht="14" x14ac:dyDescent="0.25">
      <c r="E284" s="44" t="s">
        <v>17</v>
      </c>
      <c r="F284" s="8">
        <v>0.6</v>
      </c>
      <c r="G284" s="8">
        <v>38.880000000000003</v>
      </c>
      <c r="H284" s="8">
        <v>1.0049999999999999</v>
      </c>
      <c r="I284" s="8">
        <v>1.2929999999999999</v>
      </c>
      <c r="J284" s="71">
        <v>32</v>
      </c>
      <c r="K284" s="8">
        <v>26</v>
      </c>
      <c r="L284" s="8">
        <f t="shared" si="73"/>
        <v>6</v>
      </c>
      <c r="M284" s="27">
        <f t="shared" si="74"/>
        <v>181.88351711999996</v>
      </c>
      <c r="N284" s="27"/>
      <c r="O284" s="8">
        <v>0.27700000000000002</v>
      </c>
      <c r="P284" s="18">
        <f t="shared" si="75"/>
        <v>50.381734242239993</v>
      </c>
      <c r="Q284" s="8">
        <f>31*16</f>
        <v>496</v>
      </c>
      <c r="R284" s="40">
        <f t="shared" si="76"/>
        <v>24.989340184151036</v>
      </c>
    </row>
    <row r="285" spans="5:18" ht="14" x14ac:dyDescent="0.25">
      <c r="E285" s="44" t="s">
        <v>18</v>
      </c>
      <c r="F285" s="8">
        <v>0.6</v>
      </c>
      <c r="G285" s="8">
        <v>38.880000000000003</v>
      </c>
      <c r="H285" s="8">
        <v>1.0049999999999999</v>
      </c>
      <c r="I285" s="8">
        <v>1.2929999999999999</v>
      </c>
      <c r="J285" s="71">
        <v>32.299999999999997</v>
      </c>
      <c r="K285" s="8">
        <v>26</v>
      </c>
      <c r="L285" s="8">
        <f t="shared" si="73"/>
        <v>6.2999999999999972</v>
      </c>
      <c r="M285" s="27">
        <f t="shared" si="74"/>
        <v>190.97769297599987</v>
      </c>
      <c r="N285" s="27"/>
      <c r="O285" s="8">
        <v>0.27700000000000002</v>
      </c>
      <c r="P285" s="18">
        <f t="shared" si="75"/>
        <v>52.900820954351971</v>
      </c>
      <c r="Q285" s="8">
        <f>30*16</f>
        <v>480</v>
      </c>
      <c r="R285" s="40">
        <f t="shared" si="76"/>
        <v>25.392394058088946</v>
      </c>
    </row>
    <row r="286" spans="5:18" ht="14" x14ac:dyDescent="0.25">
      <c r="E286" s="44" t="s">
        <v>12</v>
      </c>
      <c r="F286" s="8">
        <v>0.6</v>
      </c>
      <c r="G286" s="8">
        <v>38.880000000000003</v>
      </c>
      <c r="H286" s="8">
        <v>1.0049999999999999</v>
      </c>
      <c r="I286" s="8">
        <v>1.2929999999999999</v>
      </c>
      <c r="J286" s="71">
        <v>31.9</v>
      </c>
      <c r="K286" s="8">
        <v>26</v>
      </c>
      <c r="L286" s="8">
        <f t="shared" si="73"/>
        <v>5.8999999999999986</v>
      </c>
      <c r="M286" s="27">
        <f t="shared" si="74"/>
        <v>178.8521251679999</v>
      </c>
      <c r="N286" s="27"/>
      <c r="O286" s="8">
        <v>0.27700000000000002</v>
      </c>
      <c r="P286" s="18">
        <f t="shared" si="75"/>
        <v>49.542038671535977</v>
      </c>
      <c r="Q286" s="8">
        <f>31*16</f>
        <v>496</v>
      </c>
      <c r="R286" s="40">
        <f t="shared" si="76"/>
        <v>24.572851181081845</v>
      </c>
    </row>
    <row r="287" spans="5:18" ht="14" x14ac:dyDescent="0.25">
      <c r="E287" s="44" t="s">
        <v>13</v>
      </c>
      <c r="F287" s="8">
        <v>0.6</v>
      </c>
      <c r="G287" s="8">
        <v>38.880000000000003</v>
      </c>
      <c r="H287" s="8">
        <v>1.0049999999999999</v>
      </c>
      <c r="I287" s="8">
        <v>1.2929999999999999</v>
      </c>
      <c r="J287" s="71">
        <v>30.8</v>
      </c>
      <c r="K287" s="8">
        <v>26</v>
      </c>
      <c r="L287" s="8">
        <f t="shared" si="73"/>
        <v>4.8000000000000007</v>
      </c>
      <c r="M287" s="27">
        <f t="shared" si="74"/>
        <v>145.50681369599999</v>
      </c>
      <c r="N287" s="27"/>
      <c r="O287" s="8">
        <v>0.27700000000000002</v>
      </c>
      <c r="P287" s="18">
        <f t="shared" si="75"/>
        <v>40.305387393792003</v>
      </c>
      <c r="Q287" s="8">
        <f>30*16</f>
        <v>480</v>
      </c>
      <c r="R287" s="40">
        <f t="shared" si="76"/>
        <v>19.346585949020163</v>
      </c>
    </row>
    <row r="288" spans="5:18" ht="14" x14ac:dyDescent="0.25">
      <c r="E288" s="44" t="s">
        <v>24</v>
      </c>
      <c r="F288" s="8">
        <v>0.6</v>
      </c>
      <c r="G288" s="8">
        <v>38.880000000000003</v>
      </c>
      <c r="H288" s="8">
        <v>1.0049999999999999</v>
      </c>
      <c r="I288" s="8">
        <v>1.2929999999999999</v>
      </c>
      <c r="J288" s="41">
        <v>30.7</v>
      </c>
      <c r="K288" s="8">
        <v>26</v>
      </c>
      <c r="L288" s="8">
        <f t="shared" si="73"/>
        <v>4.6999999999999993</v>
      </c>
      <c r="M288" s="27">
        <f t="shared" si="74"/>
        <v>142.47542174399993</v>
      </c>
      <c r="N288" s="27"/>
      <c r="O288" s="8">
        <v>0.27700000000000002</v>
      </c>
      <c r="P288" s="18">
        <f t="shared" si="75"/>
        <v>39.465691823087987</v>
      </c>
      <c r="Q288" s="8">
        <f>31*16</f>
        <v>496</v>
      </c>
      <c r="R288" s="40">
        <f t="shared" si="76"/>
        <v>19.57498314425164</v>
      </c>
    </row>
    <row r="289" spans="5:18" ht="14" x14ac:dyDescent="0.25">
      <c r="E289" s="44" t="s">
        <v>19</v>
      </c>
      <c r="F289" s="8">
        <v>0.6</v>
      </c>
      <c r="G289" s="8">
        <v>38.880000000000003</v>
      </c>
      <c r="H289" s="8">
        <v>1.0049999999999999</v>
      </c>
      <c r="I289" s="8">
        <v>1.2929999999999999</v>
      </c>
      <c r="J289" s="41">
        <v>30.5</v>
      </c>
      <c r="K289" s="8">
        <v>26</v>
      </c>
      <c r="L289" s="8">
        <f t="shared" si="73"/>
        <v>4.5</v>
      </c>
      <c r="M289" s="27">
        <f t="shared" si="74"/>
        <v>136.41263783999997</v>
      </c>
      <c r="N289" s="27"/>
      <c r="O289" s="8">
        <v>0.27700000000000002</v>
      </c>
      <c r="P289" s="18">
        <f t="shared" si="75"/>
        <v>37.786300681679997</v>
      </c>
      <c r="Q289" s="8">
        <f>31*16</f>
        <v>496</v>
      </c>
      <c r="R289" s="40">
        <f t="shared" si="76"/>
        <v>18.742005138113282</v>
      </c>
    </row>
    <row r="290" spans="5:18" ht="14" x14ac:dyDescent="0.25">
      <c r="E290" s="44" t="s">
        <v>20</v>
      </c>
      <c r="F290" s="8">
        <v>0.6</v>
      </c>
      <c r="G290" s="8">
        <v>38.880000000000003</v>
      </c>
      <c r="H290" s="8">
        <v>1.0049999999999999</v>
      </c>
      <c r="I290" s="8">
        <v>1.2929999999999999</v>
      </c>
      <c r="J290" s="41">
        <v>30.5</v>
      </c>
      <c r="K290" s="8">
        <v>26</v>
      </c>
      <c r="L290" s="8">
        <f t="shared" si="73"/>
        <v>4.5</v>
      </c>
      <c r="M290" s="27">
        <f t="shared" si="74"/>
        <v>136.41263783999997</v>
      </c>
      <c r="N290" s="27"/>
      <c r="O290" s="8">
        <v>0.27700000000000002</v>
      </c>
      <c r="P290" s="18">
        <f t="shared" si="75"/>
        <v>37.786300681679997</v>
      </c>
      <c r="Q290" s="8">
        <f>30*16</f>
        <v>480</v>
      </c>
      <c r="R290" s="40">
        <f t="shared" si="76"/>
        <v>18.137424327206396</v>
      </c>
    </row>
    <row r="291" spans="5:18" ht="14" x14ac:dyDescent="0.25">
      <c r="E291" s="44" t="s">
        <v>21</v>
      </c>
      <c r="F291" s="8">
        <v>0.6</v>
      </c>
      <c r="G291" s="8">
        <v>38.880000000000003</v>
      </c>
      <c r="H291" s="8">
        <v>1.0049999999999999</v>
      </c>
      <c r="I291" s="8">
        <v>1.2929999999999999</v>
      </c>
      <c r="J291" s="41">
        <v>30.7</v>
      </c>
      <c r="K291" s="8">
        <v>26</v>
      </c>
      <c r="L291" s="8">
        <f t="shared" si="73"/>
        <v>4.6999999999999993</v>
      </c>
      <c r="M291" s="27">
        <f t="shared" si="74"/>
        <v>142.47542174399993</v>
      </c>
      <c r="N291" s="27"/>
      <c r="O291" s="8">
        <v>0.27700000000000002</v>
      </c>
      <c r="P291" s="18">
        <f t="shared" si="75"/>
        <v>39.465691823087987</v>
      </c>
      <c r="Q291" s="8">
        <f>31*16</f>
        <v>496</v>
      </c>
      <c r="R291" s="40">
        <f t="shared" si="76"/>
        <v>19.57498314425164</v>
      </c>
    </row>
    <row r="292" spans="5:18" ht="14" x14ac:dyDescent="0.25">
      <c r="E292" s="44" t="s">
        <v>22</v>
      </c>
      <c r="F292" s="8">
        <v>0.6</v>
      </c>
      <c r="G292" s="8">
        <v>38.880000000000003</v>
      </c>
      <c r="H292" s="8">
        <v>1.0049999999999999</v>
      </c>
      <c r="I292" s="8">
        <v>1.2929999999999999</v>
      </c>
      <c r="J292" s="41">
        <v>31.1</v>
      </c>
      <c r="K292" s="8">
        <v>26</v>
      </c>
      <c r="L292" s="8">
        <f t="shared" si="73"/>
        <v>5.1000000000000014</v>
      </c>
      <c r="M292" s="27">
        <f t="shared" si="74"/>
        <v>154.60098955199999</v>
      </c>
      <c r="N292" s="27"/>
      <c r="O292" s="8">
        <v>0.27700000000000002</v>
      </c>
      <c r="P292" s="18">
        <f t="shared" si="75"/>
        <v>42.824474105904002</v>
      </c>
      <c r="Q292" s="8">
        <f>30*16</f>
        <v>480</v>
      </c>
      <c r="R292" s="40">
        <f t="shared" si="76"/>
        <v>20.555747570833923</v>
      </c>
    </row>
    <row r="293" spans="5:18" ht="14" x14ac:dyDescent="0.25">
      <c r="E293" s="44" t="s">
        <v>23</v>
      </c>
      <c r="F293" s="8">
        <v>0.6</v>
      </c>
      <c r="G293" s="8">
        <v>38.880000000000003</v>
      </c>
      <c r="H293" s="8">
        <v>1.0049999999999999</v>
      </c>
      <c r="I293" s="8">
        <v>1.2929999999999999</v>
      </c>
      <c r="J293" s="41">
        <v>31.2</v>
      </c>
      <c r="K293" s="8">
        <v>26</v>
      </c>
      <c r="L293" s="8">
        <f t="shared" si="73"/>
        <v>5.1999999999999993</v>
      </c>
      <c r="M293" s="27">
        <f t="shared" si="74"/>
        <v>157.63238150399994</v>
      </c>
      <c r="N293" s="27"/>
      <c r="O293" s="8">
        <v>0.27700000000000002</v>
      </c>
      <c r="P293" s="18">
        <f t="shared" si="75"/>
        <v>43.664169676607983</v>
      </c>
      <c r="Q293" s="8">
        <f>31*16</f>
        <v>496</v>
      </c>
      <c r="R293" s="40">
        <f t="shared" si="76"/>
        <v>21.657428159597558</v>
      </c>
    </row>
    <row r="294" spans="5:18" ht="15" x14ac:dyDescent="0.4">
      <c r="E294" s="314" t="s">
        <v>92</v>
      </c>
      <c r="F294" s="315"/>
      <c r="G294" s="315"/>
      <c r="H294" s="315"/>
      <c r="I294" s="315"/>
      <c r="J294" s="315"/>
      <c r="K294" s="315"/>
      <c r="L294" s="315"/>
      <c r="M294" s="315"/>
      <c r="N294" s="315"/>
      <c r="O294" s="315"/>
      <c r="P294" s="315"/>
      <c r="Q294" s="315"/>
      <c r="R294" s="84">
        <f>SUM(R282:R293)</f>
        <v>258.81432758466963</v>
      </c>
    </row>
    <row r="295" spans="5:18" ht="14" x14ac:dyDescent="0.25">
      <c r="E295" s="44" t="s">
        <v>15</v>
      </c>
      <c r="F295" s="8">
        <v>0.6</v>
      </c>
      <c r="G295" s="8">
        <v>38.880000000000003</v>
      </c>
      <c r="H295" s="8">
        <v>1.0049999999999999</v>
      </c>
      <c r="I295" s="8">
        <v>1.2929999999999999</v>
      </c>
      <c r="J295" s="71">
        <v>31.6</v>
      </c>
      <c r="K295" s="8">
        <v>27</v>
      </c>
      <c r="L295" s="8">
        <f>J295-K295</f>
        <v>4.6000000000000014</v>
      </c>
      <c r="M295" s="27">
        <f>F295*G295*H295*I295*L295</f>
        <v>139.44402979200001</v>
      </c>
      <c r="N295" s="27"/>
      <c r="O295" s="8">
        <v>0.27700000000000002</v>
      </c>
      <c r="P295" s="18">
        <f>M295*O295</f>
        <v>38.625996252384006</v>
      </c>
      <c r="Q295" s="8">
        <f>31*16</f>
        <v>496</v>
      </c>
      <c r="R295" s="40">
        <f>(P295*Q295)/1000</f>
        <v>19.158494141182466</v>
      </c>
    </row>
    <row r="296" spans="5:18" ht="14" x14ac:dyDescent="0.25">
      <c r="E296" s="44" t="s">
        <v>16</v>
      </c>
      <c r="F296" s="8">
        <v>0.6</v>
      </c>
      <c r="G296" s="8">
        <v>38.880000000000003</v>
      </c>
      <c r="H296" s="8">
        <v>1.0049999999999999</v>
      </c>
      <c r="I296" s="8">
        <v>1.2929999999999999</v>
      </c>
      <c r="J296" s="71">
        <v>32.1</v>
      </c>
      <c r="K296" s="8">
        <v>27</v>
      </c>
      <c r="L296" s="8">
        <f t="shared" ref="L296:L306" si="77">J296-K296</f>
        <v>5.1000000000000014</v>
      </c>
      <c r="M296" s="27">
        <f t="shared" ref="M296:M306" si="78">F296*G296*H296*I296*L296</f>
        <v>154.60098955199999</v>
      </c>
      <c r="N296" s="27"/>
      <c r="O296" s="8">
        <v>0.27700000000000002</v>
      </c>
      <c r="P296" s="18">
        <f t="shared" ref="P296:P306" si="79">M296*O296</f>
        <v>42.824474105904002</v>
      </c>
      <c r="Q296" s="8">
        <f>28*16</f>
        <v>448</v>
      </c>
      <c r="R296" s="40">
        <f t="shared" ref="R296:R306" si="80">(P296*Q296)/1000</f>
        <v>19.185364399444993</v>
      </c>
    </row>
    <row r="297" spans="5:18" ht="14" x14ac:dyDescent="0.25">
      <c r="E297" s="44" t="s">
        <v>17</v>
      </c>
      <c r="F297" s="8">
        <v>0.6</v>
      </c>
      <c r="G297" s="8">
        <v>38.880000000000003</v>
      </c>
      <c r="H297" s="8">
        <v>1.0049999999999999</v>
      </c>
      <c r="I297" s="8">
        <v>1.2929999999999999</v>
      </c>
      <c r="J297" s="71">
        <v>32</v>
      </c>
      <c r="K297" s="8">
        <v>27</v>
      </c>
      <c r="L297" s="8">
        <f t="shared" si="77"/>
        <v>5</v>
      </c>
      <c r="M297" s="27">
        <f t="shared" si="78"/>
        <v>151.56959759999995</v>
      </c>
      <c r="N297" s="27"/>
      <c r="O297" s="8">
        <v>0.27700000000000002</v>
      </c>
      <c r="P297" s="18">
        <f t="shared" si="79"/>
        <v>41.984778535199993</v>
      </c>
      <c r="Q297" s="8">
        <f>31*16</f>
        <v>496</v>
      </c>
      <c r="R297" s="40">
        <f t="shared" si="80"/>
        <v>20.8244501534592</v>
      </c>
    </row>
    <row r="298" spans="5:18" ht="14" x14ac:dyDescent="0.25">
      <c r="E298" s="44" t="s">
        <v>18</v>
      </c>
      <c r="F298" s="8">
        <v>0.6</v>
      </c>
      <c r="G298" s="8">
        <v>38.880000000000003</v>
      </c>
      <c r="H298" s="8">
        <v>1.0049999999999999</v>
      </c>
      <c r="I298" s="8">
        <v>1.2929999999999999</v>
      </c>
      <c r="J298" s="71">
        <v>32.299999999999997</v>
      </c>
      <c r="K298" s="8">
        <v>27</v>
      </c>
      <c r="L298" s="8">
        <f t="shared" si="77"/>
        <v>5.2999999999999972</v>
      </c>
      <c r="M298" s="27">
        <f t="shared" si="78"/>
        <v>160.66377345599986</v>
      </c>
      <c r="N298" s="27"/>
      <c r="O298" s="8">
        <v>0.27700000000000002</v>
      </c>
      <c r="P298" s="18">
        <f t="shared" si="79"/>
        <v>44.503865247311964</v>
      </c>
      <c r="Q298" s="8">
        <f>30*16</f>
        <v>480</v>
      </c>
      <c r="R298" s="40">
        <f t="shared" si="80"/>
        <v>21.361855318709743</v>
      </c>
    </row>
    <row r="299" spans="5:18" ht="14" x14ac:dyDescent="0.25">
      <c r="E299" s="44" t="s">
        <v>12</v>
      </c>
      <c r="F299" s="8">
        <v>0.6</v>
      </c>
      <c r="G299" s="8">
        <v>38.880000000000003</v>
      </c>
      <c r="H299" s="8">
        <v>1.0049999999999999</v>
      </c>
      <c r="I299" s="8">
        <v>1.2929999999999999</v>
      </c>
      <c r="J299" s="71">
        <v>31.9</v>
      </c>
      <c r="K299" s="8">
        <v>27</v>
      </c>
      <c r="L299" s="8">
        <f t="shared" si="77"/>
        <v>4.8999999999999986</v>
      </c>
      <c r="M299" s="27">
        <f t="shared" si="78"/>
        <v>148.53820564799992</v>
      </c>
      <c r="N299" s="27"/>
      <c r="O299" s="8">
        <v>0.27700000000000002</v>
      </c>
      <c r="P299" s="18">
        <f t="shared" si="79"/>
        <v>41.145082964495984</v>
      </c>
      <c r="Q299" s="8">
        <f>31*16</f>
        <v>496</v>
      </c>
      <c r="R299" s="40">
        <f t="shared" si="80"/>
        <v>20.407961150390008</v>
      </c>
    </row>
    <row r="300" spans="5:18" ht="14" x14ac:dyDescent="0.25">
      <c r="E300" s="44" t="s">
        <v>13</v>
      </c>
      <c r="F300" s="8">
        <v>0.6</v>
      </c>
      <c r="G300" s="8">
        <v>38.880000000000003</v>
      </c>
      <c r="H300" s="8">
        <v>1.0049999999999999</v>
      </c>
      <c r="I300" s="8">
        <v>1.2929999999999999</v>
      </c>
      <c r="J300" s="71">
        <v>30.8</v>
      </c>
      <c r="K300" s="8">
        <v>27</v>
      </c>
      <c r="L300" s="8">
        <f t="shared" si="77"/>
        <v>3.8000000000000007</v>
      </c>
      <c r="M300" s="27">
        <f t="shared" si="78"/>
        <v>115.192894176</v>
      </c>
      <c r="N300" s="27"/>
      <c r="O300" s="8">
        <v>0.27700000000000002</v>
      </c>
      <c r="P300" s="18">
        <f t="shared" si="79"/>
        <v>31.908431686752003</v>
      </c>
      <c r="Q300" s="8">
        <f>30*16</f>
        <v>480</v>
      </c>
      <c r="R300" s="40">
        <f t="shared" si="80"/>
        <v>15.316047209640962</v>
      </c>
    </row>
    <row r="301" spans="5:18" ht="14" x14ac:dyDescent="0.25">
      <c r="E301" s="44" t="s">
        <v>24</v>
      </c>
      <c r="F301" s="8">
        <v>0.6</v>
      </c>
      <c r="G301" s="8">
        <v>38.880000000000003</v>
      </c>
      <c r="H301" s="8">
        <v>1.0049999999999999</v>
      </c>
      <c r="I301" s="8">
        <v>1.2929999999999999</v>
      </c>
      <c r="J301" s="41">
        <v>30.7</v>
      </c>
      <c r="K301" s="8">
        <v>27</v>
      </c>
      <c r="L301" s="8">
        <f t="shared" si="77"/>
        <v>3.6999999999999993</v>
      </c>
      <c r="M301" s="27">
        <f t="shared" si="78"/>
        <v>112.16150222399995</v>
      </c>
      <c r="N301" s="27"/>
      <c r="O301" s="8">
        <v>0.27700000000000002</v>
      </c>
      <c r="P301" s="18">
        <f t="shared" si="79"/>
        <v>31.068736116047987</v>
      </c>
      <c r="Q301" s="8">
        <f>31*16</f>
        <v>496</v>
      </c>
      <c r="R301" s="40">
        <f t="shared" si="80"/>
        <v>15.410093113559801</v>
      </c>
    </row>
    <row r="302" spans="5:18" ht="14" x14ac:dyDescent="0.25">
      <c r="E302" s="44" t="s">
        <v>19</v>
      </c>
      <c r="F302" s="8">
        <v>0.6</v>
      </c>
      <c r="G302" s="8">
        <v>38.880000000000003</v>
      </c>
      <c r="H302" s="8">
        <v>1.0049999999999999</v>
      </c>
      <c r="I302" s="8">
        <v>1.2929999999999999</v>
      </c>
      <c r="J302" s="41">
        <v>30.5</v>
      </c>
      <c r="K302" s="8">
        <v>27</v>
      </c>
      <c r="L302" s="8">
        <f t="shared" si="77"/>
        <v>3.5</v>
      </c>
      <c r="M302" s="27">
        <f t="shared" si="78"/>
        <v>106.09871831999997</v>
      </c>
      <c r="N302" s="27"/>
      <c r="O302" s="8">
        <v>0.27700000000000002</v>
      </c>
      <c r="P302" s="18">
        <f t="shared" si="79"/>
        <v>29.389344974639997</v>
      </c>
      <c r="Q302" s="8">
        <f>31*16</f>
        <v>496</v>
      </c>
      <c r="R302" s="40">
        <f t="shared" si="80"/>
        <v>14.577115107421438</v>
      </c>
    </row>
    <row r="303" spans="5:18" ht="14" x14ac:dyDescent="0.25">
      <c r="E303" s="44" t="s">
        <v>20</v>
      </c>
      <c r="F303" s="8">
        <v>0.6</v>
      </c>
      <c r="G303" s="8">
        <v>38.880000000000003</v>
      </c>
      <c r="H303" s="8">
        <v>1.0049999999999999</v>
      </c>
      <c r="I303" s="8">
        <v>1.2929999999999999</v>
      </c>
      <c r="J303" s="41">
        <v>30.5</v>
      </c>
      <c r="K303" s="8">
        <v>27</v>
      </c>
      <c r="L303" s="8">
        <f t="shared" si="77"/>
        <v>3.5</v>
      </c>
      <c r="M303" s="27">
        <f t="shared" si="78"/>
        <v>106.09871831999997</v>
      </c>
      <c r="N303" s="27"/>
      <c r="O303" s="8">
        <v>0.27700000000000002</v>
      </c>
      <c r="P303" s="18">
        <f t="shared" si="79"/>
        <v>29.389344974639997</v>
      </c>
      <c r="Q303" s="8">
        <f>30*16</f>
        <v>480</v>
      </c>
      <c r="R303" s="40">
        <f t="shared" si="80"/>
        <v>14.106885587827199</v>
      </c>
    </row>
    <row r="304" spans="5:18" ht="14" x14ac:dyDescent="0.25">
      <c r="E304" s="44" t="s">
        <v>21</v>
      </c>
      <c r="F304" s="8">
        <v>0.6</v>
      </c>
      <c r="G304" s="8">
        <v>38.880000000000003</v>
      </c>
      <c r="H304" s="8">
        <v>1.0049999999999999</v>
      </c>
      <c r="I304" s="8">
        <v>1.2929999999999999</v>
      </c>
      <c r="J304" s="41">
        <v>30.7</v>
      </c>
      <c r="K304" s="8">
        <v>27</v>
      </c>
      <c r="L304" s="8">
        <f t="shared" si="77"/>
        <v>3.6999999999999993</v>
      </c>
      <c r="M304" s="27">
        <f t="shared" si="78"/>
        <v>112.16150222399995</v>
      </c>
      <c r="N304" s="27"/>
      <c r="O304" s="8">
        <v>0.27700000000000002</v>
      </c>
      <c r="P304" s="18">
        <f t="shared" si="79"/>
        <v>31.068736116047987</v>
      </c>
      <c r="Q304" s="8">
        <f>31*16</f>
        <v>496</v>
      </c>
      <c r="R304" s="40">
        <f t="shared" si="80"/>
        <v>15.410093113559801</v>
      </c>
    </row>
    <row r="305" spans="5:18" ht="14" x14ac:dyDescent="0.25">
      <c r="E305" s="44" t="s">
        <v>22</v>
      </c>
      <c r="F305" s="8">
        <v>0.6</v>
      </c>
      <c r="G305" s="8">
        <v>38.880000000000003</v>
      </c>
      <c r="H305" s="8">
        <v>1.0049999999999999</v>
      </c>
      <c r="I305" s="8">
        <v>1.2929999999999999</v>
      </c>
      <c r="J305" s="41">
        <v>31.1</v>
      </c>
      <c r="K305" s="8">
        <v>27</v>
      </c>
      <c r="L305" s="8">
        <f t="shared" si="77"/>
        <v>4.1000000000000014</v>
      </c>
      <c r="M305" s="27">
        <f t="shared" si="78"/>
        <v>124.287070032</v>
      </c>
      <c r="N305" s="27"/>
      <c r="O305" s="8">
        <v>0.27700000000000002</v>
      </c>
      <c r="P305" s="18">
        <f t="shared" si="79"/>
        <v>34.427518398864002</v>
      </c>
      <c r="Q305" s="8">
        <f>30*16</f>
        <v>480</v>
      </c>
      <c r="R305" s="40">
        <f t="shared" si="80"/>
        <v>16.525208831454723</v>
      </c>
    </row>
    <row r="306" spans="5:18" ht="14" x14ac:dyDescent="0.25">
      <c r="E306" s="44" t="s">
        <v>23</v>
      </c>
      <c r="F306" s="8">
        <v>0.6</v>
      </c>
      <c r="G306" s="8">
        <v>38.880000000000003</v>
      </c>
      <c r="H306" s="8">
        <v>1.0049999999999999</v>
      </c>
      <c r="I306" s="8">
        <v>1.2929999999999999</v>
      </c>
      <c r="J306" s="41">
        <v>31.2</v>
      </c>
      <c r="K306" s="8">
        <v>27</v>
      </c>
      <c r="L306" s="8">
        <f t="shared" si="77"/>
        <v>4.1999999999999993</v>
      </c>
      <c r="M306" s="27">
        <f t="shared" si="78"/>
        <v>127.31846198399994</v>
      </c>
      <c r="N306" s="27"/>
      <c r="O306" s="8">
        <v>0.27700000000000002</v>
      </c>
      <c r="P306" s="18">
        <f t="shared" si="79"/>
        <v>35.267213969567983</v>
      </c>
      <c r="Q306" s="8">
        <f>31*16</f>
        <v>496</v>
      </c>
      <c r="R306" s="40">
        <f t="shared" si="80"/>
        <v>17.492538128905718</v>
      </c>
    </row>
    <row r="307" spans="5:18" ht="15" x14ac:dyDescent="0.4">
      <c r="E307" s="314" t="s">
        <v>93</v>
      </c>
      <c r="F307" s="315"/>
      <c r="G307" s="315"/>
      <c r="H307" s="315"/>
      <c r="I307" s="315"/>
      <c r="J307" s="315"/>
      <c r="K307" s="315"/>
      <c r="L307" s="315"/>
      <c r="M307" s="315"/>
      <c r="N307" s="315"/>
      <c r="O307" s="315"/>
      <c r="P307" s="315"/>
      <c r="Q307" s="315"/>
      <c r="R307" s="84">
        <f>SUM(R295:R306)</f>
        <v>209.77610625555607</v>
      </c>
    </row>
    <row r="308" spans="5:18" ht="14" x14ac:dyDescent="0.25">
      <c r="E308" s="44" t="s">
        <v>15</v>
      </c>
      <c r="F308" s="8">
        <v>0.6</v>
      </c>
      <c r="G308" s="8">
        <v>38.880000000000003</v>
      </c>
      <c r="H308" s="8">
        <v>1.0049999999999999</v>
      </c>
      <c r="I308" s="8">
        <v>1.2929999999999999</v>
      </c>
      <c r="J308" s="71">
        <v>31.6</v>
      </c>
      <c r="K308" s="8">
        <v>28</v>
      </c>
      <c r="L308" s="8">
        <f>J308-K308</f>
        <v>3.6000000000000014</v>
      </c>
      <c r="M308" s="27">
        <f>F308*G308*H308*I308*L308</f>
        <v>109.13011027200001</v>
      </c>
      <c r="N308" s="27"/>
      <c r="O308" s="8">
        <v>0.27700000000000002</v>
      </c>
      <c r="P308" s="18">
        <f>M308*O308</f>
        <v>30.229040545344006</v>
      </c>
      <c r="Q308" s="8">
        <f>31*16</f>
        <v>496</v>
      </c>
      <c r="R308" s="40">
        <f>(P308*Q308)/1000</f>
        <v>14.993604110490628</v>
      </c>
    </row>
    <row r="309" spans="5:18" ht="14" x14ac:dyDescent="0.25">
      <c r="E309" s="44" t="s">
        <v>16</v>
      </c>
      <c r="F309" s="8">
        <v>0.6</v>
      </c>
      <c r="G309" s="8">
        <v>38.880000000000003</v>
      </c>
      <c r="H309" s="8">
        <v>1.0049999999999999</v>
      </c>
      <c r="I309" s="8">
        <v>1.2929999999999999</v>
      </c>
      <c r="J309" s="71">
        <v>32.1</v>
      </c>
      <c r="K309" s="8">
        <v>28</v>
      </c>
      <c r="L309" s="8">
        <f t="shared" ref="L309:L319" si="81">J309-K309</f>
        <v>4.1000000000000014</v>
      </c>
      <c r="M309" s="27">
        <f t="shared" ref="M309:M319" si="82">F309*G309*H309*I309*L309</f>
        <v>124.287070032</v>
      </c>
      <c r="N309" s="27"/>
      <c r="O309" s="8">
        <v>0.27700000000000002</v>
      </c>
      <c r="P309" s="18">
        <f t="shared" ref="P309:P319" si="83">M309*O309</f>
        <v>34.427518398864002</v>
      </c>
      <c r="Q309" s="8">
        <f>28*16</f>
        <v>448</v>
      </c>
      <c r="R309" s="40">
        <f t="shared" ref="R309:R319" si="84">(P309*Q309)/1000</f>
        <v>15.423528242691072</v>
      </c>
    </row>
    <row r="310" spans="5:18" ht="14" x14ac:dyDescent="0.25">
      <c r="E310" s="44" t="s">
        <v>17</v>
      </c>
      <c r="F310" s="8">
        <v>0.6</v>
      </c>
      <c r="G310" s="8">
        <v>38.880000000000003</v>
      </c>
      <c r="H310" s="8">
        <v>1.0049999999999999</v>
      </c>
      <c r="I310" s="8">
        <v>1.2929999999999999</v>
      </c>
      <c r="J310" s="71">
        <v>32</v>
      </c>
      <c r="K310" s="8">
        <v>28</v>
      </c>
      <c r="L310" s="8">
        <f t="shared" si="81"/>
        <v>4</v>
      </c>
      <c r="M310" s="27">
        <f t="shared" si="82"/>
        <v>121.25567807999997</v>
      </c>
      <c r="N310" s="27"/>
      <c r="O310" s="8">
        <v>0.27700000000000002</v>
      </c>
      <c r="P310" s="18">
        <f t="shared" si="83"/>
        <v>33.587822828159993</v>
      </c>
      <c r="Q310" s="8">
        <f>31*16</f>
        <v>496</v>
      </c>
      <c r="R310" s="40">
        <f t="shared" si="84"/>
        <v>16.659560122767356</v>
      </c>
    </row>
    <row r="311" spans="5:18" ht="14" x14ac:dyDescent="0.25">
      <c r="E311" s="44" t="s">
        <v>18</v>
      </c>
      <c r="F311" s="8">
        <v>0.6</v>
      </c>
      <c r="G311" s="8">
        <v>38.880000000000003</v>
      </c>
      <c r="H311" s="8">
        <v>1.0049999999999999</v>
      </c>
      <c r="I311" s="8">
        <v>1.2929999999999999</v>
      </c>
      <c r="J311" s="71">
        <v>32.299999999999997</v>
      </c>
      <c r="K311" s="8">
        <v>28</v>
      </c>
      <c r="L311" s="8">
        <f t="shared" si="81"/>
        <v>4.2999999999999972</v>
      </c>
      <c r="M311" s="27">
        <f t="shared" si="82"/>
        <v>130.34985393599987</v>
      </c>
      <c r="N311" s="27"/>
      <c r="O311" s="8">
        <v>0.27700000000000002</v>
      </c>
      <c r="P311" s="18">
        <f t="shared" si="83"/>
        <v>36.106909540271971</v>
      </c>
      <c r="Q311" s="8">
        <f>30*16</f>
        <v>480</v>
      </c>
      <c r="R311" s="40">
        <f t="shared" si="84"/>
        <v>17.331316579330544</v>
      </c>
    </row>
    <row r="312" spans="5:18" ht="14" x14ac:dyDescent="0.25">
      <c r="E312" s="44" t="s">
        <v>12</v>
      </c>
      <c r="F312" s="8">
        <v>0.6</v>
      </c>
      <c r="G312" s="8">
        <v>38.880000000000003</v>
      </c>
      <c r="H312" s="8">
        <v>1.0049999999999999</v>
      </c>
      <c r="I312" s="8">
        <v>1.2929999999999999</v>
      </c>
      <c r="J312" s="71">
        <v>31.9</v>
      </c>
      <c r="K312" s="8">
        <v>28</v>
      </c>
      <c r="L312" s="8">
        <f t="shared" si="81"/>
        <v>3.8999999999999986</v>
      </c>
      <c r="M312" s="27">
        <f t="shared" si="82"/>
        <v>118.22428612799993</v>
      </c>
      <c r="N312" s="27"/>
      <c r="O312" s="8">
        <v>0.27700000000000002</v>
      </c>
      <c r="P312" s="18">
        <f t="shared" si="83"/>
        <v>32.748127257455984</v>
      </c>
      <c r="Q312" s="8">
        <f>31*16</f>
        <v>496</v>
      </c>
      <c r="R312" s="40">
        <f t="shared" si="84"/>
        <v>16.243071119698168</v>
      </c>
    </row>
    <row r="313" spans="5:18" ht="14" x14ac:dyDescent="0.25">
      <c r="E313" s="44" t="s">
        <v>13</v>
      </c>
      <c r="F313" s="8">
        <v>0.6</v>
      </c>
      <c r="G313" s="8">
        <v>38.880000000000003</v>
      </c>
      <c r="H313" s="8">
        <v>1.0049999999999999</v>
      </c>
      <c r="I313" s="8">
        <v>1.2929999999999999</v>
      </c>
      <c r="J313" s="71">
        <v>30.8</v>
      </c>
      <c r="K313" s="8">
        <v>28</v>
      </c>
      <c r="L313" s="8">
        <f t="shared" si="81"/>
        <v>2.8000000000000007</v>
      </c>
      <c r="M313" s="27">
        <f t="shared" si="82"/>
        <v>84.878974655999997</v>
      </c>
      <c r="N313" s="27"/>
      <c r="O313" s="8">
        <v>0.27700000000000002</v>
      </c>
      <c r="P313" s="18">
        <f t="shared" si="83"/>
        <v>23.511475979711999</v>
      </c>
      <c r="Q313" s="8">
        <f>30*16</f>
        <v>480</v>
      </c>
      <c r="R313" s="40">
        <f t="shared" si="84"/>
        <v>11.28550847026176</v>
      </c>
    </row>
    <row r="314" spans="5:18" ht="14" x14ac:dyDescent="0.25">
      <c r="E314" s="44" t="s">
        <v>24</v>
      </c>
      <c r="F314" s="8">
        <v>0.6</v>
      </c>
      <c r="G314" s="8">
        <v>38.880000000000003</v>
      </c>
      <c r="H314" s="8">
        <v>1.0049999999999999</v>
      </c>
      <c r="I314" s="8">
        <v>1.2929999999999999</v>
      </c>
      <c r="J314" s="41">
        <v>30.7</v>
      </c>
      <c r="K314" s="8">
        <v>28</v>
      </c>
      <c r="L314" s="8">
        <f t="shared" si="81"/>
        <v>2.6999999999999993</v>
      </c>
      <c r="M314" s="27">
        <f t="shared" si="82"/>
        <v>81.847582703999961</v>
      </c>
      <c r="N314" s="27"/>
      <c r="O314" s="8">
        <v>0.27700000000000002</v>
      </c>
      <c r="P314" s="18">
        <f t="shared" si="83"/>
        <v>22.67178040900799</v>
      </c>
      <c r="Q314" s="8">
        <f>31*16</f>
        <v>496</v>
      </c>
      <c r="R314" s="40">
        <f t="shared" si="84"/>
        <v>11.245203082867963</v>
      </c>
    </row>
    <row r="315" spans="5:18" ht="14" x14ac:dyDescent="0.25">
      <c r="E315" s="44" t="s">
        <v>19</v>
      </c>
      <c r="F315" s="8">
        <v>0.6</v>
      </c>
      <c r="G315" s="8">
        <v>38.880000000000003</v>
      </c>
      <c r="H315" s="8">
        <v>1.0049999999999999</v>
      </c>
      <c r="I315" s="8">
        <v>1.2929999999999999</v>
      </c>
      <c r="J315" s="41">
        <v>30.5</v>
      </c>
      <c r="K315" s="8">
        <v>28</v>
      </c>
      <c r="L315" s="8">
        <f t="shared" si="81"/>
        <v>2.5</v>
      </c>
      <c r="M315" s="27">
        <f t="shared" si="82"/>
        <v>75.784798799999976</v>
      </c>
      <c r="N315" s="27"/>
      <c r="O315" s="8">
        <v>0.27700000000000002</v>
      </c>
      <c r="P315" s="18">
        <f t="shared" si="83"/>
        <v>20.992389267599997</v>
      </c>
      <c r="Q315" s="8">
        <f>31*16</f>
        <v>496</v>
      </c>
      <c r="R315" s="40">
        <f t="shared" si="84"/>
        <v>10.4122250767296</v>
      </c>
    </row>
    <row r="316" spans="5:18" ht="14" x14ac:dyDescent="0.25">
      <c r="E316" s="44" t="s">
        <v>20</v>
      </c>
      <c r="F316" s="8">
        <v>0.6</v>
      </c>
      <c r="G316" s="8">
        <v>38.880000000000003</v>
      </c>
      <c r="H316" s="8">
        <v>1.0049999999999999</v>
      </c>
      <c r="I316" s="8">
        <v>1.2929999999999999</v>
      </c>
      <c r="J316" s="41">
        <v>30.5</v>
      </c>
      <c r="K316" s="8">
        <v>28</v>
      </c>
      <c r="L316" s="8">
        <f t="shared" si="81"/>
        <v>2.5</v>
      </c>
      <c r="M316" s="27">
        <f t="shared" si="82"/>
        <v>75.784798799999976</v>
      </c>
      <c r="N316" s="27"/>
      <c r="O316" s="8">
        <v>0.27700000000000002</v>
      </c>
      <c r="P316" s="18">
        <f t="shared" si="83"/>
        <v>20.992389267599997</v>
      </c>
      <c r="Q316" s="8">
        <f>30*16</f>
        <v>480</v>
      </c>
      <c r="R316" s="40">
        <f t="shared" si="84"/>
        <v>10.076346848447999</v>
      </c>
    </row>
    <row r="317" spans="5:18" ht="14" x14ac:dyDescent="0.25">
      <c r="E317" s="44" t="s">
        <v>21</v>
      </c>
      <c r="F317" s="8">
        <v>0.6</v>
      </c>
      <c r="G317" s="8">
        <v>38.880000000000003</v>
      </c>
      <c r="H317" s="8">
        <v>1.0049999999999999</v>
      </c>
      <c r="I317" s="8">
        <v>1.2929999999999999</v>
      </c>
      <c r="J317" s="41">
        <v>30.7</v>
      </c>
      <c r="K317" s="8">
        <v>28</v>
      </c>
      <c r="L317" s="8">
        <f t="shared" si="81"/>
        <v>2.6999999999999993</v>
      </c>
      <c r="M317" s="27">
        <f t="shared" si="82"/>
        <v>81.847582703999961</v>
      </c>
      <c r="N317" s="27"/>
      <c r="O317" s="8">
        <v>0.27700000000000002</v>
      </c>
      <c r="P317" s="18">
        <f t="shared" si="83"/>
        <v>22.67178040900799</v>
      </c>
      <c r="Q317" s="8">
        <f>31*16</f>
        <v>496</v>
      </c>
      <c r="R317" s="40">
        <f t="shared" si="84"/>
        <v>11.245203082867963</v>
      </c>
    </row>
    <row r="318" spans="5:18" ht="14" x14ac:dyDescent="0.25">
      <c r="E318" s="44" t="s">
        <v>22</v>
      </c>
      <c r="F318" s="8">
        <v>0.6</v>
      </c>
      <c r="G318" s="8">
        <v>38.880000000000003</v>
      </c>
      <c r="H318" s="8">
        <v>1.0049999999999999</v>
      </c>
      <c r="I318" s="8">
        <v>1.2929999999999999</v>
      </c>
      <c r="J318" s="41">
        <v>31.1</v>
      </c>
      <c r="K318" s="8">
        <v>28</v>
      </c>
      <c r="L318" s="8">
        <f t="shared" si="81"/>
        <v>3.1000000000000014</v>
      </c>
      <c r="M318" s="27">
        <f t="shared" si="82"/>
        <v>93.973150512000018</v>
      </c>
      <c r="N318" s="27"/>
      <c r="O318" s="8">
        <v>0.27700000000000002</v>
      </c>
      <c r="P318" s="18">
        <f t="shared" si="83"/>
        <v>26.030562691824006</v>
      </c>
      <c r="Q318" s="8">
        <f>30*16</f>
        <v>480</v>
      </c>
      <c r="R318" s="40">
        <f t="shared" si="84"/>
        <v>12.494670092075523</v>
      </c>
    </row>
    <row r="319" spans="5:18" ht="14" x14ac:dyDescent="0.25">
      <c r="E319" s="44" t="s">
        <v>23</v>
      </c>
      <c r="F319" s="8">
        <v>0.6</v>
      </c>
      <c r="G319" s="8">
        <v>38.880000000000003</v>
      </c>
      <c r="H319" s="8">
        <v>1.0049999999999999</v>
      </c>
      <c r="I319" s="8">
        <v>1.2929999999999999</v>
      </c>
      <c r="J319" s="41">
        <v>31.2</v>
      </c>
      <c r="K319" s="8">
        <v>28</v>
      </c>
      <c r="L319" s="8">
        <f t="shared" si="81"/>
        <v>3.1999999999999993</v>
      </c>
      <c r="M319" s="27">
        <f t="shared" si="82"/>
        <v>97.004542463999954</v>
      </c>
      <c r="N319" s="27"/>
      <c r="O319" s="8">
        <v>0.27700000000000002</v>
      </c>
      <c r="P319" s="18">
        <f t="shared" si="83"/>
        <v>26.87025826252799</v>
      </c>
      <c r="Q319" s="8">
        <f>31*16</f>
        <v>496</v>
      </c>
      <c r="R319" s="40">
        <f t="shared" si="84"/>
        <v>13.327648098213883</v>
      </c>
    </row>
    <row r="320" spans="5:18" ht="15.5" thickBot="1" x14ac:dyDescent="0.45">
      <c r="E320" s="312" t="s">
        <v>94</v>
      </c>
      <c r="F320" s="313"/>
      <c r="G320" s="313"/>
      <c r="H320" s="313"/>
      <c r="I320" s="313"/>
      <c r="J320" s="313"/>
      <c r="K320" s="313"/>
      <c r="L320" s="313"/>
      <c r="M320" s="313"/>
      <c r="N320" s="313"/>
      <c r="O320" s="313"/>
      <c r="P320" s="313"/>
      <c r="Q320" s="313"/>
      <c r="R320" s="74">
        <f>SUM(R308:R319)</f>
        <v>160.73788492644246</v>
      </c>
    </row>
    <row r="323" spans="5:18" ht="13.5" thickBot="1" x14ac:dyDescent="0.3">
      <c r="Q323" s="384"/>
      <c r="R323" s="384"/>
    </row>
    <row r="324" spans="5:18" x14ac:dyDescent="0.3">
      <c r="E324" s="295" t="s">
        <v>111</v>
      </c>
      <c r="F324" s="296"/>
      <c r="G324" s="296"/>
      <c r="H324" s="296"/>
      <c r="I324" s="296"/>
      <c r="J324" s="296"/>
      <c r="K324" s="296"/>
      <c r="L324" s="296"/>
      <c r="M324" s="296"/>
      <c r="N324" s="316"/>
      <c r="O324" s="297"/>
      <c r="Q324" s="384"/>
      <c r="R324" s="384"/>
    </row>
    <row r="325" spans="5:18" ht="13" customHeight="1" x14ac:dyDescent="0.25">
      <c r="E325" s="2" t="s">
        <v>0</v>
      </c>
      <c r="F325" s="5" t="s">
        <v>104</v>
      </c>
      <c r="G325" s="5" t="s">
        <v>105</v>
      </c>
      <c r="H325" s="5" t="s">
        <v>64</v>
      </c>
      <c r="I325" s="5" t="s">
        <v>106</v>
      </c>
      <c r="J325" s="5" t="s">
        <v>107</v>
      </c>
      <c r="K325" s="5" t="s">
        <v>108</v>
      </c>
      <c r="L325" s="5" t="s">
        <v>110</v>
      </c>
      <c r="M325" s="5" t="s">
        <v>86</v>
      </c>
      <c r="N325" s="101"/>
      <c r="O325" s="87" t="s">
        <v>109</v>
      </c>
      <c r="Q325" s="384"/>
      <c r="R325" s="384"/>
    </row>
    <row r="326" spans="5:18" x14ac:dyDescent="0.25">
      <c r="E326" s="44" t="s">
        <v>15</v>
      </c>
      <c r="F326" s="5">
        <v>4</v>
      </c>
      <c r="G326" s="5">
        <v>75</v>
      </c>
      <c r="H326" s="5">
        <v>1</v>
      </c>
      <c r="I326" s="5">
        <f>F326*G326*H326</f>
        <v>300</v>
      </c>
      <c r="J326" s="5">
        <v>30</v>
      </c>
      <c r="K326" s="8">
        <f>F326*J326</f>
        <v>120</v>
      </c>
      <c r="L326" s="8">
        <f>I326+K326</f>
        <v>420</v>
      </c>
      <c r="M326" s="8">
        <f>31*16</f>
        <v>496</v>
      </c>
      <c r="N326" s="102"/>
      <c r="O326" s="87">
        <f>(L326*M326)/1000</f>
        <v>208.32</v>
      </c>
    </row>
    <row r="327" spans="5:18" x14ac:dyDescent="0.25">
      <c r="E327" s="44" t="s">
        <v>16</v>
      </c>
      <c r="F327" s="5">
        <v>4</v>
      </c>
      <c r="G327" s="5">
        <v>75</v>
      </c>
      <c r="H327" s="5">
        <v>1</v>
      </c>
      <c r="I327" s="5">
        <f t="shared" ref="I327:I337" si="85">F327*G327*H327</f>
        <v>300</v>
      </c>
      <c r="J327" s="5">
        <v>30</v>
      </c>
      <c r="K327" s="8">
        <f t="shared" ref="K327:K337" si="86">F327*J327</f>
        <v>120</v>
      </c>
      <c r="L327" s="8">
        <f t="shared" ref="L327:L337" si="87">I327+K327</f>
        <v>420</v>
      </c>
      <c r="M327" s="8">
        <f>28*16</f>
        <v>448</v>
      </c>
      <c r="N327" s="102"/>
      <c r="O327" s="87">
        <f t="shared" ref="O327:O337" si="88">(L327*M327)/1000</f>
        <v>188.16</v>
      </c>
    </row>
    <row r="328" spans="5:18" x14ac:dyDescent="0.25">
      <c r="E328" s="44" t="s">
        <v>17</v>
      </c>
      <c r="F328" s="5">
        <v>4</v>
      </c>
      <c r="G328" s="5">
        <v>75</v>
      </c>
      <c r="H328" s="5">
        <v>1</v>
      </c>
      <c r="I328" s="5">
        <f t="shared" si="85"/>
        <v>300</v>
      </c>
      <c r="J328" s="5">
        <v>30</v>
      </c>
      <c r="K328" s="8">
        <f t="shared" si="86"/>
        <v>120</v>
      </c>
      <c r="L328" s="8">
        <f t="shared" si="87"/>
        <v>420</v>
      </c>
      <c r="M328" s="8">
        <f>31*16</f>
        <v>496</v>
      </c>
      <c r="N328" s="102"/>
      <c r="O328" s="87">
        <f t="shared" si="88"/>
        <v>208.32</v>
      </c>
    </row>
    <row r="329" spans="5:18" x14ac:dyDescent="0.25">
      <c r="E329" s="44" t="s">
        <v>18</v>
      </c>
      <c r="F329" s="5">
        <v>4</v>
      </c>
      <c r="G329" s="5">
        <v>75</v>
      </c>
      <c r="H329" s="5">
        <v>1</v>
      </c>
      <c r="I329" s="5">
        <f t="shared" si="85"/>
        <v>300</v>
      </c>
      <c r="J329" s="5">
        <v>30</v>
      </c>
      <c r="K329" s="8">
        <f t="shared" si="86"/>
        <v>120</v>
      </c>
      <c r="L329" s="8">
        <f t="shared" si="87"/>
        <v>420</v>
      </c>
      <c r="M329" s="8">
        <f>30*16</f>
        <v>480</v>
      </c>
      <c r="N329" s="102"/>
      <c r="O329" s="87">
        <f t="shared" si="88"/>
        <v>201.6</v>
      </c>
    </row>
    <row r="330" spans="5:18" x14ac:dyDescent="0.25">
      <c r="E330" s="44" t="s">
        <v>12</v>
      </c>
      <c r="F330" s="5">
        <v>4</v>
      </c>
      <c r="G330" s="5">
        <v>75</v>
      </c>
      <c r="H330" s="5">
        <v>1</v>
      </c>
      <c r="I330" s="5">
        <f t="shared" si="85"/>
        <v>300</v>
      </c>
      <c r="J330" s="5">
        <v>30</v>
      </c>
      <c r="K330" s="8">
        <f t="shared" si="86"/>
        <v>120</v>
      </c>
      <c r="L330" s="8">
        <f t="shared" si="87"/>
        <v>420</v>
      </c>
      <c r="M330" s="8">
        <f>31*16</f>
        <v>496</v>
      </c>
      <c r="N330" s="102"/>
      <c r="O330" s="87">
        <f t="shared" si="88"/>
        <v>208.32</v>
      </c>
    </row>
    <row r="331" spans="5:18" x14ac:dyDescent="0.25">
      <c r="E331" s="44" t="s">
        <v>13</v>
      </c>
      <c r="F331" s="5">
        <v>4</v>
      </c>
      <c r="G331" s="5">
        <v>75</v>
      </c>
      <c r="H331" s="5">
        <v>1</v>
      </c>
      <c r="I331" s="5">
        <f t="shared" si="85"/>
        <v>300</v>
      </c>
      <c r="J331" s="5">
        <v>30</v>
      </c>
      <c r="K331" s="8">
        <f t="shared" si="86"/>
        <v>120</v>
      </c>
      <c r="L331" s="8">
        <f t="shared" si="87"/>
        <v>420</v>
      </c>
      <c r="M331" s="8">
        <f>30*16</f>
        <v>480</v>
      </c>
      <c r="N331" s="102"/>
      <c r="O331" s="87">
        <f t="shared" si="88"/>
        <v>201.6</v>
      </c>
    </row>
    <row r="332" spans="5:18" x14ac:dyDescent="0.25">
      <c r="E332" s="44" t="s">
        <v>24</v>
      </c>
      <c r="F332" s="5">
        <v>4</v>
      </c>
      <c r="G332" s="5">
        <v>75</v>
      </c>
      <c r="H332" s="5">
        <v>1</v>
      </c>
      <c r="I332" s="5">
        <f t="shared" si="85"/>
        <v>300</v>
      </c>
      <c r="J332" s="5">
        <v>30</v>
      </c>
      <c r="K332" s="8">
        <f t="shared" si="86"/>
        <v>120</v>
      </c>
      <c r="L332" s="8">
        <f t="shared" si="87"/>
        <v>420</v>
      </c>
      <c r="M332" s="8">
        <f>31*16</f>
        <v>496</v>
      </c>
      <c r="N332" s="102"/>
      <c r="O332" s="87">
        <f t="shared" si="88"/>
        <v>208.32</v>
      </c>
    </row>
    <row r="333" spans="5:18" x14ac:dyDescent="0.25">
      <c r="E333" s="44" t="s">
        <v>19</v>
      </c>
      <c r="F333" s="5">
        <v>4</v>
      </c>
      <c r="G333" s="5">
        <v>75</v>
      </c>
      <c r="H333" s="5">
        <v>1</v>
      </c>
      <c r="I333" s="5">
        <f t="shared" si="85"/>
        <v>300</v>
      </c>
      <c r="J333" s="5">
        <v>30</v>
      </c>
      <c r="K333" s="8">
        <f t="shared" si="86"/>
        <v>120</v>
      </c>
      <c r="L333" s="8">
        <f t="shared" si="87"/>
        <v>420</v>
      </c>
      <c r="M333" s="8">
        <f>31*16</f>
        <v>496</v>
      </c>
      <c r="N333" s="102"/>
      <c r="O333" s="87">
        <f t="shared" si="88"/>
        <v>208.32</v>
      </c>
    </row>
    <row r="334" spans="5:18" x14ac:dyDescent="0.25">
      <c r="E334" s="44" t="s">
        <v>20</v>
      </c>
      <c r="F334" s="5">
        <v>4</v>
      </c>
      <c r="G334" s="5">
        <v>75</v>
      </c>
      <c r="H334" s="5">
        <v>1</v>
      </c>
      <c r="I334" s="5">
        <f t="shared" si="85"/>
        <v>300</v>
      </c>
      <c r="J334" s="5">
        <v>30</v>
      </c>
      <c r="K334" s="8">
        <f t="shared" si="86"/>
        <v>120</v>
      </c>
      <c r="L334" s="8">
        <f t="shared" si="87"/>
        <v>420</v>
      </c>
      <c r="M334" s="8">
        <f>30*16</f>
        <v>480</v>
      </c>
      <c r="N334" s="102"/>
      <c r="O334" s="87">
        <f t="shared" si="88"/>
        <v>201.6</v>
      </c>
    </row>
    <row r="335" spans="5:18" x14ac:dyDescent="0.25">
      <c r="E335" s="44" t="s">
        <v>21</v>
      </c>
      <c r="F335" s="5">
        <v>4</v>
      </c>
      <c r="G335" s="5">
        <v>75</v>
      </c>
      <c r="H335" s="5">
        <v>1</v>
      </c>
      <c r="I335" s="5">
        <f t="shared" si="85"/>
        <v>300</v>
      </c>
      <c r="J335" s="5">
        <v>30</v>
      </c>
      <c r="K335" s="8">
        <f t="shared" si="86"/>
        <v>120</v>
      </c>
      <c r="L335" s="8">
        <f t="shared" si="87"/>
        <v>420</v>
      </c>
      <c r="M335" s="8">
        <f>31*16</f>
        <v>496</v>
      </c>
      <c r="N335" s="102"/>
      <c r="O335" s="87">
        <f t="shared" si="88"/>
        <v>208.32</v>
      </c>
    </row>
    <row r="336" spans="5:18" x14ac:dyDescent="0.25">
      <c r="E336" s="44" t="s">
        <v>22</v>
      </c>
      <c r="F336" s="5">
        <v>4</v>
      </c>
      <c r="G336" s="5">
        <v>75</v>
      </c>
      <c r="H336" s="5">
        <v>1</v>
      </c>
      <c r="I336" s="5">
        <f t="shared" si="85"/>
        <v>300</v>
      </c>
      <c r="J336" s="5">
        <v>30</v>
      </c>
      <c r="K336" s="8">
        <f t="shared" si="86"/>
        <v>120</v>
      </c>
      <c r="L336" s="8">
        <f t="shared" si="87"/>
        <v>420</v>
      </c>
      <c r="M336" s="8">
        <f>30*16</f>
        <v>480</v>
      </c>
      <c r="N336" s="102"/>
      <c r="O336" s="87">
        <f t="shared" si="88"/>
        <v>201.6</v>
      </c>
    </row>
    <row r="337" spans="5:15" x14ac:dyDescent="0.25">
      <c r="E337" s="44" t="s">
        <v>23</v>
      </c>
      <c r="F337" s="5">
        <v>4</v>
      </c>
      <c r="G337" s="5">
        <v>75</v>
      </c>
      <c r="H337" s="5">
        <v>1</v>
      </c>
      <c r="I337" s="5">
        <f t="shared" si="85"/>
        <v>300</v>
      </c>
      <c r="J337" s="5">
        <v>30</v>
      </c>
      <c r="K337" s="8">
        <f t="shared" si="86"/>
        <v>120</v>
      </c>
      <c r="L337" s="8">
        <f t="shared" si="87"/>
        <v>420</v>
      </c>
      <c r="M337" s="8">
        <f>31*16</f>
        <v>496</v>
      </c>
      <c r="N337" s="102"/>
      <c r="O337" s="87">
        <f t="shared" si="88"/>
        <v>208.32</v>
      </c>
    </row>
    <row r="338" spans="5:15" ht="13.5" thickBot="1" x14ac:dyDescent="0.35">
      <c r="E338" s="312" t="s">
        <v>111</v>
      </c>
      <c r="F338" s="313"/>
      <c r="G338" s="313"/>
      <c r="H338" s="313"/>
      <c r="I338" s="313"/>
      <c r="J338" s="313"/>
      <c r="K338" s="313"/>
      <c r="L338" s="313"/>
      <c r="M338" s="313"/>
      <c r="N338" s="103"/>
      <c r="O338" s="100">
        <f>SUM(O326:O337)</f>
        <v>2452.7999999999997</v>
      </c>
    </row>
    <row r="340" spans="5:15" ht="13.5" thickBot="1" x14ac:dyDescent="0.3"/>
    <row r="341" spans="5:15" x14ac:dyDescent="0.3">
      <c r="E341" s="289" t="s">
        <v>118</v>
      </c>
      <c r="F341" s="290"/>
      <c r="G341" s="290"/>
      <c r="H341" s="290"/>
      <c r="I341" s="290"/>
      <c r="J341" s="290"/>
      <c r="K341" s="291"/>
    </row>
    <row r="342" spans="5:15" ht="15.5" x14ac:dyDescent="0.4">
      <c r="E342" s="49" t="s">
        <v>112</v>
      </c>
      <c r="F342" s="18" t="s">
        <v>113</v>
      </c>
      <c r="G342" s="18" t="s">
        <v>114</v>
      </c>
      <c r="H342" s="18" t="s">
        <v>115</v>
      </c>
      <c r="I342" s="18" t="s">
        <v>64</v>
      </c>
      <c r="J342" s="18" t="s">
        <v>116</v>
      </c>
      <c r="K342" s="86" t="s">
        <v>117</v>
      </c>
    </row>
    <row r="343" spans="5:15" x14ac:dyDescent="0.25">
      <c r="E343" s="49">
        <v>3</v>
      </c>
      <c r="F343" s="18">
        <v>60</v>
      </c>
      <c r="G343" s="18">
        <v>1.24</v>
      </c>
      <c r="H343" s="18">
        <v>0.66</v>
      </c>
      <c r="I343" s="18">
        <v>0.8</v>
      </c>
      <c r="J343" s="18">
        <f>6*365</f>
        <v>2190</v>
      </c>
      <c r="K343" s="35">
        <f>(E343*F343*G343*H343*I343*J343)/1000</f>
        <v>258.09062399999999</v>
      </c>
    </row>
    <row r="344" spans="5:15" ht="13.5" thickBot="1" x14ac:dyDescent="0.35">
      <c r="E344" s="327" t="s">
        <v>118</v>
      </c>
      <c r="F344" s="328"/>
      <c r="G344" s="328"/>
      <c r="H344" s="328"/>
      <c r="I344" s="328"/>
      <c r="J344" s="328"/>
      <c r="K344" s="74">
        <f>K343</f>
        <v>258.09062399999999</v>
      </c>
    </row>
    <row r="346" spans="5:15" ht="13.5" thickBot="1" x14ac:dyDescent="0.3"/>
    <row r="347" spans="5:15" x14ac:dyDescent="0.3">
      <c r="E347" s="295" t="s">
        <v>124</v>
      </c>
      <c r="F347" s="296"/>
      <c r="G347" s="296"/>
      <c r="H347" s="297"/>
    </row>
    <row r="348" spans="5:15" x14ac:dyDescent="0.25">
      <c r="E348" s="44" t="s">
        <v>119</v>
      </c>
      <c r="F348" s="8" t="s">
        <v>120</v>
      </c>
      <c r="G348" s="8" t="s">
        <v>121</v>
      </c>
      <c r="H348" s="87" t="s">
        <v>122</v>
      </c>
    </row>
    <row r="349" spans="5:15" x14ac:dyDescent="0.25">
      <c r="E349" s="44">
        <v>36</v>
      </c>
      <c r="F349" s="8">
        <v>5</v>
      </c>
      <c r="G349" s="8">
        <f>F349*365</f>
        <v>1825</v>
      </c>
      <c r="H349" s="85">
        <f>(E349*G349)/1000</f>
        <v>65.7</v>
      </c>
    </row>
    <row r="350" spans="5:15" ht="13.5" thickBot="1" x14ac:dyDescent="0.35">
      <c r="E350" s="312" t="s">
        <v>123</v>
      </c>
      <c r="F350" s="313"/>
      <c r="G350" s="313"/>
      <c r="H350" s="88">
        <f>H349</f>
        <v>65.7</v>
      </c>
    </row>
    <row r="353" spans="5:12" ht="13.5" thickBot="1" x14ac:dyDescent="0.3"/>
    <row r="354" spans="5:12" x14ac:dyDescent="0.25">
      <c r="E354" s="93" t="s">
        <v>125</v>
      </c>
      <c r="F354" s="90" t="s">
        <v>126</v>
      </c>
      <c r="G354" s="90" t="s">
        <v>127</v>
      </c>
      <c r="H354" s="90" t="s">
        <v>87</v>
      </c>
      <c r="I354" s="90" t="s">
        <v>128</v>
      </c>
      <c r="J354" s="90" t="s">
        <v>129</v>
      </c>
      <c r="K354" s="90" t="s">
        <v>130</v>
      </c>
      <c r="L354" s="91" t="s">
        <v>134</v>
      </c>
    </row>
    <row r="355" spans="5:12" x14ac:dyDescent="0.25">
      <c r="E355" s="94">
        <v>22</v>
      </c>
      <c r="F355" s="27">
        <f>R122</f>
        <v>131.72544000000005</v>
      </c>
      <c r="G355" s="27">
        <f>K$224</f>
        <v>333.67240507392</v>
      </c>
      <c r="H355" s="27">
        <f>R242</f>
        <v>454.96721290112407</v>
      </c>
      <c r="I355" s="8">
        <f>O$338</f>
        <v>2452.7999999999997</v>
      </c>
      <c r="J355" s="27">
        <f>K$344</f>
        <v>258.09062399999999</v>
      </c>
      <c r="K355" s="8">
        <f>H$350</f>
        <v>65.7</v>
      </c>
      <c r="L355" s="51">
        <f>F355+G355+H355+I355+J355+K355</f>
        <v>3696.9556819750437</v>
      </c>
    </row>
    <row r="356" spans="5:12" x14ac:dyDescent="0.25">
      <c r="E356" s="94">
        <v>23</v>
      </c>
      <c r="F356" s="27">
        <f>R136</f>
        <v>103.34304000000004</v>
      </c>
      <c r="G356" s="27">
        <f t="shared" ref="G356:G361" si="89">K$224</f>
        <v>333.67240507392</v>
      </c>
      <c r="H356" s="27">
        <f>R255</f>
        <v>405.92899157201043</v>
      </c>
      <c r="I356" s="8">
        <f t="shared" ref="I356:I361" si="90">O$338</f>
        <v>2452.7999999999997</v>
      </c>
      <c r="J356" s="27">
        <f t="shared" ref="J356:J361" si="91">K$344</f>
        <v>258.09062399999999</v>
      </c>
      <c r="K356" s="8">
        <f t="shared" ref="K356:K361" si="92">H$350</f>
        <v>65.7</v>
      </c>
      <c r="L356" s="51">
        <f t="shared" ref="L356:L361" si="93">F356+G356+H356+I356+J356+K356</f>
        <v>3619.5350606459301</v>
      </c>
    </row>
    <row r="357" spans="5:12" x14ac:dyDescent="0.25">
      <c r="E357" s="94">
        <v>24</v>
      </c>
      <c r="F357" s="27">
        <f>R150</f>
        <v>74.960640000000041</v>
      </c>
      <c r="G357" s="27">
        <f t="shared" si="89"/>
        <v>333.67240507392</v>
      </c>
      <c r="H357" s="27">
        <f>R268</f>
        <v>356.89077024289685</v>
      </c>
      <c r="I357" s="8">
        <f t="shared" si="90"/>
        <v>2452.7999999999997</v>
      </c>
      <c r="J357" s="27">
        <f t="shared" si="91"/>
        <v>258.09062399999999</v>
      </c>
      <c r="K357" s="8">
        <f t="shared" si="92"/>
        <v>65.7</v>
      </c>
      <c r="L357" s="51">
        <f t="shared" si="93"/>
        <v>3542.1144393168165</v>
      </c>
    </row>
    <row r="358" spans="5:12" x14ac:dyDescent="0.25">
      <c r="E358" s="94">
        <v>25</v>
      </c>
      <c r="F358" s="27">
        <f>R164</f>
        <v>46.578240000000051</v>
      </c>
      <c r="G358" s="27">
        <f t="shared" si="89"/>
        <v>333.67240507392</v>
      </c>
      <c r="H358" s="27">
        <f>R281</f>
        <v>307.85254891378321</v>
      </c>
      <c r="I358" s="8">
        <f t="shared" si="90"/>
        <v>2452.7999999999997</v>
      </c>
      <c r="J358" s="27">
        <f t="shared" si="91"/>
        <v>258.09062399999999</v>
      </c>
      <c r="K358" s="8">
        <f t="shared" si="92"/>
        <v>65.7</v>
      </c>
      <c r="L358" s="51">
        <f t="shared" si="93"/>
        <v>3464.6938179877029</v>
      </c>
    </row>
    <row r="359" spans="5:12" x14ac:dyDescent="0.25">
      <c r="E359" s="94">
        <v>26</v>
      </c>
      <c r="F359" s="27">
        <f>R178</f>
        <v>18.19584000000004</v>
      </c>
      <c r="G359" s="27">
        <f t="shared" si="89"/>
        <v>333.67240507392</v>
      </c>
      <c r="H359" s="27">
        <f>R294</f>
        <v>258.81432758466963</v>
      </c>
      <c r="I359" s="8">
        <f t="shared" si="90"/>
        <v>2452.7999999999997</v>
      </c>
      <c r="J359" s="27">
        <f t="shared" si="91"/>
        <v>258.09062399999999</v>
      </c>
      <c r="K359" s="8">
        <f t="shared" si="92"/>
        <v>65.7</v>
      </c>
      <c r="L359" s="51">
        <f>F359+G359+H359+I359+J359+K359</f>
        <v>3387.2731966585893</v>
      </c>
    </row>
    <row r="360" spans="5:12" x14ac:dyDescent="0.25">
      <c r="E360" s="94">
        <v>27</v>
      </c>
      <c r="F360" s="27">
        <f>R192</f>
        <v>-10.186559999999959</v>
      </c>
      <c r="G360" s="27">
        <f t="shared" si="89"/>
        <v>333.67240507392</v>
      </c>
      <c r="H360" s="27">
        <f>R307</f>
        <v>209.77610625555607</v>
      </c>
      <c r="I360" s="8">
        <f t="shared" si="90"/>
        <v>2452.7999999999997</v>
      </c>
      <c r="J360" s="27">
        <f t="shared" si="91"/>
        <v>258.09062399999999</v>
      </c>
      <c r="K360" s="8">
        <f t="shared" si="92"/>
        <v>65.7</v>
      </c>
      <c r="L360" s="51">
        <f t="shared" si="93"/>
        <v>3309.8525753294757</v>
      </c>
    </row>
    <row r="361" spans="5:12" ht="13.5" thickBot="1" x14ac:dyDescent="0.3">
      <c r="E361" s="95">
        <v>28</v>
      </c>
      <c r="F361" s="89">
        <f>R206</f>
        <v>-38.568959999999961</v>
      </c>
      <c r="G361" s="89">
        <f t="shared" si="89"/>
        <v>333.67240507392</v>
      </c>
      <c r="H361" s="89">
        <f>R320</f>
        <v>160.73788492644246</v>
      </c>
      <c r="I361" s="21">
        <f t="shared" si="90"/>
        <v>2452.7999999999997</v>
      </c>
      <c r="J361" s="89">
        <f t="shared" si="91"/>
        <v>258.09062399999999</v>
      </c>
      <c r="K361" s="21">
        <f t="shared" si="92"/>
        <v>65.7</v>
      </c>
      <c r="L361" s="92">
        <f t="shared" si="93"/>
        <v>3232.4319540003621</v>
      </c>
    </row>
    <row r="362" spans="5:12" x14ac:dyDescent="0.25">
      <c r="E362" s="32"/>
      <c r="F362" s="32"/>
      <c r="G362" s="32"/>
      <c r="H362" s="32"/>
      <c r="I362" s="32"/>
      <c r="J362" s="32"/>
      <c r="K362" s="32"/>
    </row>
    <row r="363" spans="5:12" x14ac:dyDescent="0.25">
      <c r="E363" s="32"/>
      <c r="F363" s="32"/>
      <c r="G363" s="32"/>
      <c r="H363" s="32"/>
      <c r="I363" s="32"/>
      <c r="J363" s="32"/>
      <c r="K363" s="32"/>
    </row>
    <row r="364" spans="5:12" x14ac:dyDescent="0.25">
      <c r="E364" s="32"/>
      <c r="F364" s="32"/>
      <c r="G364" s="32"/>
      <c r="H364" s="32"/>
      <c r="I364" s="32"/>
      <c r="J364" s="32"/>
      <c r="K364" s="32"/>
    </row>
    <row r="365" spans="5:12" x14ac:dyDescent="0.25">
      <c r="E365" s="32"/>
      <c r="F365" s="32"/>
      <c r="G365" s="32"/>
      <c r="H365" s="32"/>
      <c r="I365" s="32"/>
      <c r="J365" s="32"/>
      <c r="K365" s="32"/>
    </row>
    <row r="366" spans="5:12" x14ac:dyDescent="0.25">
      <c r="E366" s="32"/>
      <c r="F366" s="32"/>
      <c r="G366" s="32"/>
      <c r="H366" s="32"/>
      <c r="I366" s="32"/>
      <c r="J366" s="32"/>
      <c r="K366" s="32"/>
    </row>
    <row r="367" spans="5:12" x14ac:dyDescent="0.25">
      <c r="E367" s="32"/>
      <c r="F367" s="32"/>
      <c r="G367" s="32"/>
      <c r="H367" s="32"/>
      <c r="I367" s="32"/>
      <c r="J367" s="32"/>
      <c r="K367" s="32"/>
    </row>
    <row r="368" spans="5:12" x14ac:dyDescent="0.25">
      <c r="E368" s="32"/>
      <c r="F368" s="32"/>
      <c r="G368" s="32"/>
      <c r="H368" s="32"/>
      <c r="I368" s="32"/>
      <c r="J368" s="32"/>
      <c r="K368" s="32"/>
    </row>
    <row r="369" spans="5:11" x14ac:dyDescent="0.25">
      <c r="E369" s="32"/>
      <c r="F369" s="32"/>
      <c r="G369" s="32"/>
      <c r="H369" s="32"/>
      <c r="I369" s="32"/>
      <c r="J369" s="32"/>
      <c r="K369" s="32"/>
    </row>
  </sheetData>
  <mergeCells count="47">
    <mergeCell ref="E3:AI3"/>
    <mergeCell ref="B107:C108"/>
    <mergeCell ref="E75:N75"/>
    <mergeCell ref="E89:N89"/>
    <mergeCell ref="E103:N103"/>
    <mergeCell ref="E17:N17"/>
    <mergeCell ref="E31:N31"/>
    <mergeCell ref="E344:J344"/>
    <mergeCell ref="E347:H347"/>
    <mergeCell ref="E350:G350"/>
    <mergeCell ref="E122:Q122"/>
    <mergeCell ref="E107:R107"/>
    <mergeCell ref="E108:R108"/>
    <mergeCell ref="E150:Q150"/>
    <mergeCell ref="E136:Q136"/>
    <mergeCell ref="E164:Q164"/>
    <mergeCell ref="E294:Q294"/>
    <mergeCell ref="E307:Q307"/>
    <mergeCell ref="E320:Q320"/>
    <mergeCell ref="Q323:R325"/>
    <mergeCell ref="E324:O324"/>
    <mergeCell ref="E338:M338"/>
    <mergeCell ref="E224:J224"/>
    <mergeCell ref="E341:K341"/>
    <mergeCell ref="E228:R228"/>
    <mergeCell ref="E242:Q242"/>
    <mergeCell ref="E255:Q255"/>
    <mergeCell ref="E268:Q268"/>
    <mergeCell ref="E281:Q281"/>
    <mergeCell ref="E210:K210"/>
    <mergeCell ref="E178:Q178"/>
    <mergeCell ref="E192:Q192"/>
    <mergeCell ref="E206:Q206"/>
    <mergeCell ref="E193:R193"/>
    <mergeCell ref="E179:R179"/>
    <mergeCell ref="AN4:AP4"/>
    <mergeCell ref="AN45:AP45"/>
    <mergeCell ref="AN76:AP76"/>
    <mergeCell ref="E165:R165"/>
    <mergeCell ref="E151:R151"/>
    <mergeCell ref="E137:R137"/>
    <mergeCell ref="E123:R123"/>
    <mergeCell ref="F45:N45"/>
    <mergeCell ref="E46:AH46"/>
    <mergeCell ref="F60:N60"/>
    <mergeCell ref="E61:AH61"/>
    <mergeCell ref="E104:AH10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523D7-3AD4-4237-849D-20B285ACB0F9}">
  <dimension ref="B2:AQ369"/>
  <sheetViews>
    <sheetView topLeftCell="D1" zoomScale="92" zoomScaleNormal="92" workbookViewId="0">
      <selection activeCell="H218" sqref="H218:H221"/>
    </sheetView>
  </sheetViews>
  <sheetFormatPr defaultRowHeight="13" x14ac:dyDescent="0.25"/>
  <cols>
    <col min="2" max="2" width="15.26953125" customWidth="1"/>
    <col min="3" max="3" width="17.1796875" customWidth="1"/>
    <col min="5" max="5" width="12.81640625" customWidth="1"/>
    <col min="6" max="6" width="11.54296875" customWidth="1"/>
    <col min="7" max="7" width="9" style="1" customWidth="1"/>
    <col min="8" max="8" width="10.1796875" customWidth="1"/>
    <col min="9" max="9" width="17.81640625" customWidth="1"/>
    <col min="10" max="10" width="14.1796875" customWidth="1"/>
    <col min="11" max="11" width="11.453125" customWidth="1"/>
    <col min="12" max="12" width="14.81640625" customWidth="1"/>
    <col min="13" max="14" width="12.1796875" customWidth="1"/>
    <col min="15" max="15" width="15.54296875" style="32" customWidth="1"/>
    <col min="16" max="16" width="17.1796875" style="1" customWidth="1"/>
    <col min="17" max="17" width="28.1796875" style="1" customWidth="1"/>
    <col min="18" max="18" width="18.54296875" customWidth="1"/>
    <col min="19" max="19" width="18.81640625" customWidth="1"/>
    <col min="20" max="20" width="11.54296875" customWidth="1"/>
    <col min="21" max="21" width="9.7265625" customWidth="1"/>
    <col min="24" max="24" width="12" customWidth="1"/>
    <col min="28" max="28" width="11.26953125" customWidth="1"/>
    <col min="29" max="29" width="10.453125" customWidth="1"/>
    <col min="30" max="30" width="17.81640625" customWidth="1"/>
    <col min="31" max="31" width="15" customWidth="1"/>
    <col min="35" max="35" width="11" customWidth="1"/>
    <col min="36" max="36" width="8.7265625" style="32"/>
    <col min="37" max="38" width="8.7265625" style="39"/>
    <col min="41" max="41" width="24.453125" customWidth="1"/>
    <col min="43" max="43" width="13.54296875" customWidth="1"/>
  </cols>
  <sheetData>
    <row r="2" spans="2:43" ht="13.5" thickBot="1" x14ac:dyDescent="0.3"/>
    <row r="3" spans="2:43" x14ac:dyDescent="0.3">
      <c r="E3" s="376" t="s">
        <v>9</v>
      </c>
      <c r="F3" s="377"/>
      <c r="G3" s="377"/>
      <c r="H3" s="377"/>
      <c r="I3" s="377"/>
      <c r="J3" s="377"/>
      <c r="K3" s="377"/>
      <c r="L3" s="377"/>
      <c r="M3" s="377"/>
      <c r="N3" s="377"/>
      <c r="O3" s="377"/>
      <c r="P3" s="377"/>
      <c r="Q3" s="377"/>
      <c r="R3" s="377"/>
      <c r="S3" s="377"/>
      <c r="T3" s="377"/>
      <c r="U3" s="377"/>
      <c r="V3" s="377"/>
      <c r="W3" s="377"/>
      <c r="X3" s="377"/>
      <c r="Y3" s="377"/>
      <c r="Z3" s="377"/>
      <c r="AA3" s="377"/>
      <c r="AB3" s="377"/>
      <c r="AC3" s="377"/>
      <c r="AD3" s="377"/>
      <c r="AE3" s="377"/>
      <c r="AF3" s="377"/>
      <c r="AG3" s="377"/>
      <c r="AH3" s="377"/>
      <c r="AI3" s="378"/>
    </row>
    <row r="4" spans="2:43" ht="15" customHeight="1" thickBot="1" x14ac:dyDescent="0.45">
      <c r="E4" s="2" t="s">
        <v>0</v>
      </c>
      <c r="F4" s="3"/>
      <c r="G4" s="5"/>
      <c r="H4" s="4"/>
      <c r="I4" s="4"/>
      <c r="J4" s="4"/>
      <c r="K4" s="4"/>
      <c r="L4" s="4"/>
      <c r="M4" s="3" t="s">
        <v>138</v>
      </c>
      <c r="N4" s="3" t="s">
        <v>137</v>
      </c>
      <c r="O4" s="8" t="s">
        <v>2</v>
      </c>
      <c r="P4" s="4" t="s">
        <v>10</v>
      </c>
      <c r="Q4" s="4" t="s">
        <v>11</v>
      </c>
      <c r="R4" s="4"/>
      <c r="S4" s="4"/>
      <c r="T4" s="4" t="s">
        <v>3</v>
      </c>
      <c r="U4" s="4"/>
      <c r="V4" s="4"/>
      <c r="W4" s="4"/>
      <c r="X4" s="4" t="s">
        <v>3</v>
      </c>
      <c r="Y4" s="4"/>
      <c r="Z4" s="4"/>
      <c r="AA4" s="4"/>
      <c r="AB4" s="4" t="s">
        <v>3</v>
      </c>
      <c r="AC4" s="4"/>
      <c r="AD4" s="4" t="s">
        <v>4</v>
      </c>
      <c r="AE4" s="4" t="s">
        <v>5</v>
      </c>
      <c r="AF4" s="4" t="s">
        <v>6</v>
      </c>
      <c r="AG4" s="4"/>
      <c r="AH4" s="4" t="s">
        <v>7</v>
      </c>
      <c r="AI4" s="6" t="s">
        <v>8</v>
      </c>
    </row>
    <row r="5" spans="2:43" ht="15" customHeight="1" x14ac:dyDescent="0.3">
      <c r="B5" s="53"/>
      <c r="C5" s="54"/>
      <c r="E5" s="2" t="s">
        <v>15</v>
      </c>
      <c r="F5" s="7">
        <v>22</v>
      </c>
      <c r="G5" s="54">
        <v>30.961679760000006</v>
      </c>
      <c r="H5" s="5">
        <v>420</v>
      </c>
      <c r="I5" s="5">
        <v>118.8</v>
      </c>
      <c r="J5" s="5">
        <v>36</v>
      </c>
      <c r="K5" s="8">
        <v>191.96</v>
      </c>
      <c r="L5" s="8">
        <v>8.4700000000000006</v>
      </c>
      <c r="M5" s="9">
        <f>(F5-((G5+H5+I5+J5)/(K5+L5)))</f>
        <v>18.977689568627451</v>
      </c>
      <c r="N5" s="9">
        <v>19</v>
      </c>
      <c r="O5" s="5">
        <v>56.8</v>
      </c>
      <c r="P5" s="4"/>
      <c r="Q5" s="4"/>
      <c r="R5" s="4"/>
      <c r="S5" s="4"/>
      <c r="T5" s="4"/>
      <c r="U5" s="4"/>
      <c r="V5" s="4"/>
      <c r="W5" s="4"/>
      <c r="X5" s="4"/>
      <c r="Y5" s="4"/>
      <c r="Z5" s="4"/>
      <c r="AA5" s="4"/>
      <c r="AB5" s="4"/>
      <c r="AC5" s="4"/>
      <c r="AD5" s="4"/>
      <c r="AE5" s="4"/>
      <c r="AF5" s="4"/>
      <c r="AG5" s="4"/>
      <c r="AH5" s="4"/>
      <c r="AI5" s="6"/>
      <c r="AO5" s="295" t="s">
        <v>202</v>
      </c>
      <c r="AP5" s="296"/>
      <c r="AQ5" s="297"/>
    </row>
    <row r="6" spans="2:43" ht="15" customHeight="1" x14ac:dyDescent="0.25">
      <c r="B6" s="53"/>
      <c r="C6" s="54"/>
      <c r="E6" s="2" t="s">
        <v>16</v>
      </c>
      <c r="F6" s="7">
        <v>22</v>
      </c>
      <c r="G6" s="54">
        <v>34.400654639999999</v>
      </c>
      <c r="H6" s="5">
        <v>420</v>
      </c>
      <c r="I6" s="5">
        <v>118.8</v>
      </c>
      <c r="J6" s="5">
        <v>36</v>
      </c>
      <c r="K6" s="8">
        <v>191.96</v>
      </c>
      <c r="L6" s="8">
        <v>8.4700000000000006</v>
      </c>
      <c r="M6" s="9">
        <f t="shared" ref="M6:M16" si="0">(F6-((G6+H6+I6+J6)/(K6+L6)))</f>
        <v>18.960531583894628</v>
      </c>
      <c r="N6" s="9">
        <v>19</v>
      </c>
      <c r="O6" s="5">
        <v>125</v>
      </c>
      <c r="P6" s="4"/>
      <c r="Q6" s="4"/>
      <c r="R6" s="4"/>
      <c r="S6" s="4"/>
      <c r="T6" s="4"/>
      <c r="U6" s="4"/>
      <c r="V6" s="4"/>
      <c r="W6" s="4"/>
      <c r="X6" s="4"/>
      <c r="Y6" s="4"/>
      <c r="Z6" s="4"/>
      <c r="AA6" s="4"/>
      <c r="AB6" s="4"/>
      <c r="AC6" s="4"/>
      <c r="AD6" s="4"/>
      <c r="AE6" s="4"/>
      <c r="AF6" s="4"/>
      <c r="AG6" s="4"/>
      <c r="AH6" s="4"/>
      <c r="AI6" s="6"/>
      <c r="AO6" s="76" t="s">
        <v>195</v>
      </c>
      <c r="AP6" s="27" t="s">
        <v>196</v>
      </c>
      <c r="AQ6" s="86" t="s">
        <v>201</v>
      </c>
    </row>
    <row r="7" spans="2:43" ht="15" customHeight="1" x14ac:dyDescent="0.25">
      <c r="B7" s="53"/>
      <c r="C7" s="54"/>
      <c r="E7" s="2" t="s">
        <v>17</v>
      </c>
      <c r="F7" s="7">
        <v>22</v>
      </c>
      <c r="G7" s="54">
        <v>38.988378000000012</v>
      </c>
      <c r="H7" s="5">
        <v>420</v>
      </c>
      <c r="I7" s="5">
        <v>118.8</v>
      </c>
      <c r="J7" s="5">
        <v>36</v>
      </c>
      <c r="K7" s="8">
        <v>191.96</v>
      </c>
      <c r="L7" s="8">
        <v>8.4700000000000006</v>
      </c>
      <c r="M7" s="9">
        <f t="shared" si="0"/>
        <v>18.937642179314473</v>
      </c>
      <c r="N7" s="9">
        <v>19</v>
      </c>
      <c r="O7" s="5">
        <v>265.8</v>
      </c>
      <c r="P7" s="4"/>
      <c r="Q7" s="4"/>
      <c r="R7" s="4"/>
      <c r="S7" s="4"/>
      <c r="T7" s="4"/>
      <c r="U7" s="4"/>
      <c r="V7" s="4"/>
      <c r="W7" s="4"/>
      <c r="X7" s="4"/>
      <c r="Y7" s="4"/>
      <c r="Z7" s="4"/>
      <c r="AA7" s="4"/>
      <c r="AB7" s="4"/>
      <c r="AC7" s="4"/>
      <c r="AD7" s="4"/>
      <c r="AE7" s="4"/>
      <c r="AF7" s="4"/>
      <c r="AG7" s="4"/>
      <c r="AH7" s="4"/>
      <c r="AI7" s="6"/>
      <c r="AO7" s="76">
        <v>22</v>
      </c>
      <c r="AP7" s="27">
        <v>16</v>
      </c>
      <c r="AQ7" s="145">
        <f>AP7/AP10</f>
        <v>0.34782608695652173</v>
      </c>
    </row>
    <row r="8" spans="2:43" ht="15" customHeight="1" x14ac:dyDescent="0.25">
      <c r="B8" s="53"/>
      <c r="C8" s="54"/>
      <c r="E8" s="2" t="s">
        <v>18</v>
      </c>
      <c r="F8" s="7">
        <v>22</v>
      </c>
      <c r="G8" s="54">
        <v>42.427352880000001</v>
      </c>
      <c r="H8" s="5">
        <v>420</v>
      </c>
      <c r="I8" s="5">
        <v>118.8</v>
      </c>
      <c r="J8" s="5">
        <v>36</v>
      </c>
      <c r="K8" s="8">
        <v>191.96</v>
      </c>
      <c r="L8" s="8">
        <v>8.4700000000000006</v>
      </c>
      <c r="M8" s="9">
        <f t="shared" si="0"/>
        <v>18.92048419458165</v>
      </c>
      <c r="N8" s="9">
        <v>19</v>
      </c>
      <c r="O8" s="5">
        <v>293</v>
      </c>
      <c r="P8" s="4"/>
      <c r="Q8" s="4"/>
      <c r="R8" s="4"/>
      <c r="S8" s="4"/>
      <c r="T8" s="4"/>
      <c r="U8" s="4"/>
      <c r="V8" s="4"/>
      <c r="W8" s="4"/>
      <c r="X8" s="4"/>
      <c r="Y8" s="4"/>
      <c r="Z8" s="4"/>
      <c r="AA8" s="4"/>
      <c r="AB8" s="4"/>
      <c r="AC8" s="4"/>
      <c r="AD8" s="4"/>
      <c r="AE8" s="4"/>
      <c r="AF8" s="4"/>
      <c r="AG8" s="4"/>
      <c r="AH8" s="4"/>
      <c r="AI8" s="6"/>
      <c r="AO8" s="76">
        <v>23</v>
      </c>
      <c r="AP8" s="27">
        <v>10</v>
      </c>
      <c r="AQ8" s="145">
        <f>AP8/AP10</f>
        <v>0.21739130434782608</v>
      </c>
    </row>
    <row r="9" spans="2:43" ht="15" customHeight="1" x14ac:dyDescent="0.25">
      <c r="B9" s="53"/>
      <c r="C9" s="54"/>
      <c r="E9" s="2" t="s">
        <v>12</v>
      </c>
      <c r="F9" s="7">
        <v>22</v>
      </c>
      <c r="G9" s="54">
        <v>49.308937919999998</v>
      </c>
      <c r="H9" s="5">
        <v>420</v>
      </c>
      <c r="I9" s="5">
        <v>118.8</v>
      </c>
      <c r="J9" s="5">
        <v>36</v>
      </c>
      <c r="K9" s="8">
        <v>191.96</v>
      </c>
      <c r="L9" s="8">
        <v>8.4700000000000006</v>
      </c>
      <c r="M9" s="9">
        <f t="shared" si="0"/>
        <v>18.886150087711421</v>
      </c>
      <c r="N9" s="9">
        <v>19</v>
      </c>
      <c r="O9" s="5">
        <v>338</v>
      </c>
      <c r="P9" s="4"/>
      <c r="Q9" s="4"/>
      <c r="R9" s="4"/>
      <c r="S9" s="4"/>
      <c r="T9" s="4"/>
      <c r="U9" s="4"/>
      <c r="V9" s="4"/>
      <c r="W9" s="4"/>
      <c r="X9" s="4"/>
      <c r="Y9" s="4"/>
      <c r="Z9" s="4"/>
      <c r="AA9" s="4"/>
      <c r="AB9" s="4"/>
      <c r="AC9" s="4"/>
      <c r="AD9" s="4"/>
      <c r="AE9" s="4"/>
      <c r="AF9" s="4"/>
      <c r="AG9" s="4"/>
      <c r="AH9" s="4"/>
      <c r="AI9" s="6"/>
      <c r="AO9" s="76">
        <v>24</v>
      </c>
      <c r="AP9" s="27">
        <v>20</v>
      </c>
      <c r="AQ9" s="145">
        <f>AP9/AP10</f>
        <v>0.43478260869565216</v>
      </c>
    </row>
    <row r="10" spans="2:43" ht="15" customHeight="1" thickBot="1" x14ac:dyDescent="0.3">
      <c r="B10" s="53"/>
      <c r="C10" s="54"/>
      <c r="E10" s="2" t="s">
        <v>13</v>
      </c>
      <c r="F10" s="7">
        <v>22</v>
      </c>
      <c r="G10" s="54">
        <v>63.072108000000007</v>
      </c>
      <c r="H10" s="5">
        <v>420</v>
      </c>
      <c r="I10" s="5">
        <v>118.8</v>
      </c>
      <c r="J10" s="5">
        <v>36</v>
      </c>
      <c r="K10" s="8">
        <v>191.96</v>
      </c>
      <c r="L10" s="8">
        <v>8.4700000000000006</v>
      </c>
      <c r="M10" s="9">
        <f t="shared" si="0"/>
        <v>18.817481873970962</v>
      </c>
      <c r="N10" s="9">
        <v>19</v>
      </c>
      <c r="O10" s="5">
        <v>322.89999999999998</v>
      </c>
      <c r="P10" s="4"/>
      <c r="Q10" s="4"/>
      <c r="R10" s="4"/>
      <c r="S10" s="4"/>
      <c r="T10" s="4"/>
      <c r="U10" s="4"/>
      <c r="V10" s="4"/>
      <c r="W10" s="4"/>
      <c r="X10" s="4"/>
      <c r="Y10" s="4"/>
      <c r="Z10" s="4"/>
      <c r="AA10" s="4"/>
      <c r="AB10" s="4"/>
      <c r="AC10" s="4"/>
      <c r="AD10" s="4"/>
      <c r="AE10" s="4"/>
      <c r="AF10" s="4"/>
      <c r="AG10" s="4"/>
      <c r="AH10" s="4"/>
      <c r="AI10" s="6"/>
      <c r="AO10" s="142"/>
      <c r="AP10" s="89">
        <f>AP7+AP8+AP9</f>
        <v>46</v>
      </c>
      <c r="AQ10" s="140"/>
    </row>
    <row r="11" spans="2:43" x14ac:dyDescent="0.25">
      <c r="B11" s="53"/>
      <c r="C11" s="54"/>
      <c r="E11" s="2" t="s">
        <v>1</v>
      </c>
      <c r="F11" s="7">
        <v>22</v>
      </c>
      <c r="G11" s="54">
        <v>51.602799600000004</v>
      </c>
      <c r="H11" s="5">
        <v>420</v>
      </c>
      <c r="I11" s="5">
        <v>118.8</v>
      </c>
      <c r="J11" s="5">
        <v>36</v>
      </c>
      <c r="K11" s="8">
        <v>191.96</v>
      </c>
      <c r="L11" s="8">
        <v>8.4700000000000006</v>
      </c>
      <c r="M11" s="9">
        <f t="shared" si="0"/>
        <v>18.874705385421343</v>
      </c>
      <c r="N11" s="9">
        <v>19</v>
      </c>
      <c r="O11" s="5">
        <v>330.7</v>
      </c>
      <c r="P11" s="8"/>
      <c r="Q11" s="8"/>
      <c r="R11" s="4"/>
      <c r="S11" s="4"/>
      <c r="T11" s="4"/>
      <c r="U11" s="4"/>
      <c r="V11" s="4"/>
      <c r="W11" s="4"/>
      <c r="X11" s="4"/>
      <c r="Y11" s="4"/>
      <c r="Z11" s="4"/>
      <c r="AA11" s="4"/>
      <c r="AB11" s="4"/>
      <c r="AC11" s="4"/>
      <c r="AD11" s="4"/>
      <c r="AE11" s="4"/>
      <c r="AF11" s="4"/>
      <c r="AG11" s="4"/>
      <c r="AH11" s="4"/>
      <c r="AI11" s="6"/>
    </row>
    <row r="12" spans="2:43" x14ac:dyDescent="0.25">
      <c r="B12" s="53"/>
      <c r="C12" s="54"/>
      <c r="E12" s="2" t="s">
        <v>19</v>
      </c>
      <c r="F12" s="7">
        <v>22</v>
      </c>
      <c r="G12" s="54">
        <v>43.57610136000001</v>
      </c>
      <c r="H12" s="5">
        <v>420</v>
      </c>
      <c r="I12" s="5">
        <v>118.8</v>
      </c>
      <c r="J12" s="5">
        <v>36</v>
      </c>
      <c r="K12" s="8">
        <v>191.96</v>
      </c>
      <c r="L12" s="8">
        <v>8.4700000000000006</v>
      </c>
      <c r="M12" s="9">
        <f t="shared" si="0"/>
        <v>18.914752774734321</v>
      </c>
      <c r="N12" s="9">
        <v>19</v>
      </c>
      <c r="O12" s="5">
        <v>295.2</v>
      </c>
      <c r="P12" s="8"/>
      <c r="Q12" s="8"/>
      <c r="R12" s="4"/>
      <c r="S12" s="4"/>
      <c r="T12" s="4"/>
      <c r="U12" s="4"/>
      <c r="V12" s="4"/>
      <c r="W12" s="4"/>
      <c r="X12" s="4"/>
      <c r="Y12" s="4"/>
      <c r="Z12" s="4"/>
      <c r="AA12" s="4"/>
      <c r="AB12" s="4"/>
      <c r="AC12" s="4"/>
      <c r="AD12" s="4"/>
      <c r="AE12" s="4"/>
      <c r="AF12" s="4"/>
      <c r="AG12" s="4"/>
      <c r="AH12" s="4"/>
      <c r="AI12" s="6"/>
    </row>
    <row r="13" spans="2:43" x14ac:dyDescent="0.25">
      <c r="B13" s="53"/>
      <c r="C13" s="54"/>
      <c r="E13" s="2" t="s">
        <v>20</v>
      </c>
      <c r="F13" s="7">
        <v>22</v>
      </c>
      <c r="G13" s="54">
        <v>40.137126480000006</v>
      </c>
      <c r="H13" s="5">
        <v>420</v>
      </c>
      <c r="I13" s="5">
        <v>118.8</v>
      </c>
      <c r="J13" s="5">
        <v>36</v>
      </c>
      <c r="K13" s="8">
        <v>191.96</v>
      </c>
      <c r="L13" s="8">
        <v>8.4700000000000006</v>
      </c>
      <c r="M13" s="9">
        <f t="shared" si="0"/>
        <v>18.931910759467147</v>
      </c>
      <c r="N13" s="9">
        <v>19</v>
      </c>
      <c r="O13" s="5">
        <v>316.2</v>
      </c>
      <c r="P13" s="8"/>
      <c r="Q13" s="8"/>
      <c r="R13" s="4"/>
      <c r="S13" s="4"/>
      <c r="T13" s="4"/>
      <c r="U13" s="4"/>
      <c r="V13" s="4"/>
      <c r="W13" s="4"/>
      <c r="X13" s="4"/>
      <c r="Y13" s="4"/>
      <c r="Z13" s="4"/>
      <c r="AA13" s="4"/>
      <c r="AB13" s="4"/>
      <c r="AC13" s="4"/>
      <c r="AD13" s="4"/>
      <c r="AE13" s="4"/>
      <c r="AF13" s="4"/>
      <c r="AG13" s="4"/>
      <c r="AH13" s="4"/>
      <c r="AI13" s="6"/>
    </row>
    <row r="14" spans="2:43" x14ac:dyDescent="0.25">
      <c r="B14" s="53"/>
      <c r="C14" s="54"/>
      <c r="E14" s="2" t="s">
        <v>21</v>
      </c>
      <c r="F14" s="7">
        <v>22</v>
      </c>
      <c r="G14" s="54">
        <v>35.549403120000008</v>
      </c>
      <c r="H14" s="5">
        <v>420</v>
      </c>
      <c r="I14" s="5">
        <v>118.8</v>
      </c>
      <c r="J14" s="5">
        <v>36</v>
      </c>
      <c r="K14" s="8">
        <v>191.96</v>
      </c>
      <c r="L14" s="8">
        <v>8.4700000000000006</v>
      </c>
      <c r="M14" s="9">
        <f t="shared" si="0"/>
        <v>18.954800164047299</v>
      </c>
      <c r="N14" s="9">
        <v>19</v>
      </c>
      <c r="O14" s="5">
        <v>282.5</v>
      </c>
      <c r="P14" s="8"/>
      <c r="Q14" s="8"/>
      <c r="R14" s="4"/>
      <c r="S14" s="4"/>
      <c r="T14" s="4"/>
      <c r="U14" s="4"/>
      <c r="V14" s="4"/>
      <c r="W14" s="4"/>
      <c r="X14" s="4"/>
      <c r="Y14" s="4"/>
      <c r="Z14" s="4"/>
      <c r="AA14" s="4"/>
      <c r="AB14" s="4"/>
      <c r="AC14" s="4"/>
      <c r="AD14" s="4"/>
      <c r="AE14" s="4"/>
      <c r="AF14" s="4"/>
      <c r="AG14" s="4"/>
      <c r="AH14" s="4"/>
      <c r="AI14" s="6"/>
    </row>
    <row r="15" spans="2:43" x14ac:dyDescent="0.25">
      <c r="B15" s="53"/>
      <c r="C15" s="54"/>
      <c r="E15" s="2" t="s">
        <v>22</v>
      </c>
      <c r="F15" s="7">
        <v>22</v>
      </c>
      <c r="G15" s="54">
        <v>30.961679760000006</v>
      </c>
      <c r="H15" s="5">
        <v>420</v>
      </c>
      <c r="I15" s="5">
        <v>118.8</v>
      </c>
      <c r="J15" s="5">
        <v>36</v>
      </c>
      <c r="K15" s="8">
        <v>191.96</v>
      </c>
      <c r="L15" s="8">
        <v>8.4700000000000006</v>
      </c>
      <c r="M15" s="9">
        <f t="shared" si="0"/>
        <v>18.977689568627451</v>
      </c>
      <c r="N15" s="9">
        <v>19</v>
      </c>
      <c r="O15" s="5">
        <v>190.5</v>
      </c>
      <c r="P15" s="8"/>
      <c r="Q15" s="8"/>
      <c r="R15" s="4"/>
      <c r="S15" s="4"/>
      <c r="T15" s="4"/>
      <c r="U15" s="4"/>
      <c r="V15" s="4"/>
      <c r="W15" s="4"/>
      <c r="X15" s="4"/>
      <c r="Y15" s="4"/>
      <c r="Z15" s="4"/>
      <c r="AA15" s="4"/>
      <c r="AB15" s="4"/>
      <c r="AC15" s="4"/>
      <c r="AD15" s="4"/>
      <c r="AE15" s="4"/>
      <c r="AF15" s="4"/>
      <c r="AG15" s="4"/>
      <c r="AH15" s="4"/>
      <c r="AI15" s="6"/>
      <c r="AO15" s="82"/>
      <c r="AP15" s="82"/>
      <c r="AQ15" s="54"/>
    </row>
    <row r="16" spans="2:43" x14ac:dyDescent="0.25">
      <c r="B16" s="53"/>
      <c r="C16" s="54"/>
      <c r="E16" s="2" t="s">
        <v>23</v>
      </c>
      <c r="F16" s="7">
        <v>22</v>
      </c>
      <c r="G16" s="54">
        <v>29.812931280000008</v>
      </c>
      <c r="H16" s="5">
        <v>420</v>
      </c>
      <c r="I16" s="5">
        <v>118.8</v>
      </c>
      <c r="J16" s="5">
        <v>36</v>
      </c>
      <c r="K16" s="8">
        <v>191.96</v>
      </c>
      <c r="L16" s="8">
        <v>8.4700000000000006</v>
      </c>
      <c r="M16" s="9">
        <f t="shared" si="0"/>
        <v>18.98342098847478</v>
      </c>
      <c r="N16" s="9">
        <v>19</v>
      </c>
      <c r="O16" s="5">
        <v>74</v>
      </c>
      <c r="P16" s="8"/>
      <c r="Q16" s="8"/>
      <c r="R16" s="4"/>
      <c r="S16" s="4"/>
      <c r="T16" s="4"/>
      <c r="U16" s="4"/>
      <c r="V16" s="4"/>
      <c r="W16" s="4"/>
      <c r="X16" s="4"/>
      <c r="Y16" s="4"/>
      <c r="Z16" s="4"/>
      <c r="AA16" s="4"/>
      <c r="AB16" s="4"/>
      <c r="AC16" s="4"/>
      <c r="AD16" s="4"/>
      <c r="AE16" s="4"/>
      <c r="AF16" s="4"/>
      <c r="AG16" s="4"/>
      <c r="AH16" s="4"/>
      <c r="AI16" s="6"/>
      <c r="AO16" s="82"/>
      <c r="AP16" s="82"/>
      <c r="AQ16" s="54"/>
    </row>
    <row r="17" spans="5:43" ht="14.15" customHeight="1" x14ac:dyDescent="0.3">
      <c r="E17" s="423" t="s">
        <v>3</v>
      </c>
      <c r="F17" s="424"/>
      <c r="G17" s="424"/>
      <c r="H17" s="424"/>
      <c r="I17" s="424"/>
      <c r="J17" s="424"/>
      <c r="K17" s="424"/>
      <c r="L17" s="424"/>
      <c r="M17" s="424"/>
      <c r="N17" s="425"/>
      <c r="O17" s="11">
        <f>SUM(O5:O16)</f>
        <v>2890.6</v>
      </c>
      <c r="P17" s="28">
        <f>16/24</f>
        <v>0.66666666666666663</v>
      </c>
      <c r="Q17" s="34">
        <f>24/1000</f>
        <v>2.4E-2</v>
      </c>
      <c r="R17" s="8">
        <v>3.59</v>
      </c>
      <c r="S17" s="8">
        <v>12.96</v>
      </c>
      <c r="T17" s="5">
        <f>O17</f>
        <v>2890.6</v>
      </c>
      <c r="U17" s="15">
        <f>P17*Q17*R17*S17*T17</f>
        <v>2151.8273894399999</v>
      </c>
      <c r="V17" s="5">
        <v>3.94</v>
      </c>
      <c r="W17" s="5">
        <v>12.96</v>
      </c>
      <c r="X17" s="5">
        <f>O17</f>
        <v>2890.6</v>
      </c>
      <c r="Y17" s="16">
        <f>(P17*Q17*V17*W17*X17)</f>
        <v>2361.6155750399998</v>
      </c>
      <c r="Z17" s="8">
        <v>2.13</v>
      </c>
      <c r="AA17" s="8">
        <v>41.904000000000003</v>
      </c>
      <c r="AB17" s="8">
        <f>O17</f>
        <v>2890.6</v>
      </c>
      <c r="AC17" s="17">
        <f>(P17*Q17*Z17*AA17*AB17)</f>
        <v>4128.0320977920001</v>
      </c>
      <c r="AD17" s="96">
        <f>L355</f>
        <v>3693.2854287239747</v>
      </c>
      <c r="AE17" s="18">
        <f>U17+Y17+AC17+AD17</f>
        <v>12334.760490995975</v>
      </c>
      <c r="AF17" s="4">
        <f>AE17*0.1</f>
        <v>1233.4760490995977</v>
      </c>
      <c r="AG17" s="19">
        <f>AE17+AF17</f>
        <v>13568.236540095573</v>
      </c>
      <c r="AH17" s="8">
        <v>3.1</v>
      </c>
      <c r="AI17" s="20">
        <f>ROUND((AG17/AH17),0)</f>
        <v>4377</v>
      </c>
      <c r="AJ17" s="39">
        <v>22</v>
      </c>
      <c r="AO17" s="82"/>
      <c r="AP17" s="82"/>
      <c r="AQ17" s="54"/>
    </row>
    <row r="18" spans="5:43" ht="15.5" x14ac:dyDescent="0.4">
      <c r="E18" s="2" t="s">
        <v>0</v>
      </c>
      <c r="F18" s="3"/>
      <c r="G18" s="5"/>
      <c r="H18" s="4"/>
      <c r="I18" s="4"/>
      <c r="J18" s="4"/>
      <c r="K18" s="4"/>
      <c r="L18" s="4"/>
      <c r="M18" s="3" t="s">
        <v>138</v>
      </c>
      <c r="N18" s="3" t="s">
        <v>137</v>
      </c>
      <c r="O18" s="8" t="s">
        <v>2</v>
      </c>
      <c r="P18" s="5"/>
      <c r="Q18" s="5"/>
      <c r="R18" s="4"/>
      <c r="S18" s="4"/>
      <c r="T18" s="4"/>
      <c r="U18" s="4"/>
      <c r="V18" s="4"/>
      <c r="W18" s="4"/>
      <c r="X18" s="4"/>
      <c r="Y18" s="4"/>
      <c r="Z18" s="4"/>
      <c r="AA18" s="4"/>
      <c r="AB18" s="4"/>
      <c r="AC18" s="4"/>
      <c r="AD18" s="4"/>
      <c r="AE18" s="4"/>
      <c r="AF18" s="4"/>
      <c r="AG18" s="4"/>
      <c r="AH18" s="4"/>
      <c r="AI18" s="6"/>
      <c r="AO18" s="53"/>
      <c r="AP18" s="54"/>
      <c r="AQ18" s="54"/>
    </row>
    <row r="19" spans="5:43" x14ac:dyDescent="0.25">
      <c r="E19" s="2" t="s">
        <v>15</v>
      </c>
      <c r="F19" s="7">
        <v>23</v>
      </c>
      <c r="G19" s="54">
        <v>30.961679760000006</v>
      </c>
      <c r="H19" s="5">
        <v>420</v>
      </c>
      <c r="I19" s="5">
        <v>118.8</v>
      </c>
      <c r="J19" s="5">
        <v>36</v>
      </c>
      <c r="K19" s="8">
        <v>191.96</v>
      </c>
      <c r="L19" s="8">
        <v>8.4700000000000006</v>
      </c>
      <c r="M19" s="9">
        <f>(F19-((G19+H19+I19+J19)/(K19+L19)))</f>
        <v>19.977689568627451</v>
      </c>
      <c r="N19" s="9">
        <v>20</v>
      </c>
      <c r="O19" s="5">
        <v>42.6</v>
      </c>
      <c r="P19" s="5"/>
      <c r="Q19" s="5"/>
      <c r="R19" s="4"/>
      <c r="S19" s="4"/>
      <c r="T19" s="4"/>
      <c r="U19" s="4"/>
      <c r="V19" s="4"/>
      <c r="W19" s="4"/>
      <c r="X19" s="4"/>
      <c r="Y19" s="4"/>
      <c r="Z19" s="4"/>
      <c r="AA19" s="4"/>
      <c r="AB19" s="4"/>
      <c r="AC19" s="4"/>
      <c r="AD19" s="4"/>
      <c r="AE19" s="4"/>
      <c r="AF19" s="4"/>
      <c r="AG19" s="4"/>
      <c r="AH19" s="4"/>
      <c r="AI19" s="6"/>
    </row>
    <row r="20" spans="5:43" x14ac:dyDescent="0.25">
      <c r="E20" s="2" t="s">
        <v>16</v>
      </c>
      <c r="F20" s="7">
        <v>23</v>
      </c>
      <c r="G20" s="54">
        <v>34.400654639999999</v>
      </c>
      <c r="H20" s="5">
        <v>420</v>
      </c>
      <c r="I20" s="5">
        <v>118.8</v>
      </c>
      <c r="J20" s="5">
        <v>36</v>
      </c>
      <c r="K20" s="8">
        <v>191.96</v>
      </c>
      <c r="L20" s="8">
        <v>8.4700000000000006</v>
      </c>
      <c r="M20" s="9">
        <f t="shared" ref="M20:M30" si="1">(F20-((G20+H20+I20+J20)/(K20+L20)))</f>
        <v>19.960531583894628</v>
      </c>
      <c r="N20" s="9">
        <v>20</v>
      </c>
      <c r="O20" s="5">
        <v>101.4</v>
      </c>
      <c r="P20" s="5"/>
      <c r="Q20" s="5"/>
      <c r="R20" s="4"/>
      <c r="S20" s="4"/>
      <c r="T20" s="4"/>
      <c r="U20" s="4"/>
      <c r="V20" s="4"/>
      <c r="W20" s="4"/>
      <c r="X20" s="4"/>
      <c r="Y20" s="4"/>
      <c r="Z20" s="4"/>
      <c r="AA20" s="4"/>
      <c r="AB20" s="4"/>
      <c r="AC20" s="4"/>
      <c r="AD20" s="4"/>
      <c r="AE20" s="4"/>
      <c r="AF20" s="4"/>
      <c r="AG20" s="4"/>
      <c r="AH20" s="4"/>
      <c r="AI20" s="6"/>
    </row>
    <row r="21" spans="5:43" x14ac:dyDescent="0.25">
      <c r="E21" s="2" t="s">
        <v>17</v>
      </c>
      <c r="F21" s="7">
        <v>23</v>
      </c>
      <c r="G21" s="54">
        <v>38.988378000000012</v>
      </c>
      <c r="H21" s="5">
        <v>420</v>
      </c>
      <c r="I21" s="5">
        <v>118.8</v>
      </c>
      <c r="J21" s="5">
        <v>36</v>
      </c>
      <c r="K21" s="8">
        <v>191.96</v>
      </c>
      <c r="L21" s="8">
        <v>8.4700000000000006</v>
      </c>
      <c r="M21" s="9">
        <f t="shared" si="1"/>
        <v>19.937642179314473</v>
      </c>
      <c r="N21" s="9">
        <v>20</v>
      </c>
      <c r="O21" s="5">
        <v>234.9</v>
      </c>
      <c r="P21" s="5"/>
      <c r="Q21" s="5"/>
      <c r="R21" s="4"/>
      <c r="S21" s="4"/>
      <c r="T21" s="4"/>
      <c r="U21" s="4"/>
      <c r="V21" s="4"/>
      <c r="W21" s="4"/>
      <c r="X21" s="4"/>
      <c r="Y21" s="4"/>
      <c r="Z21" s="4"/>
      <c r="AA21" s="4"/>
      <c r="AB21" s="4"/>
      <c r="AC21" s="4"/>
      <c r="AD21" s="4"/>
      <c r="AE21" s="4"/>
      <c r="AF21" s="4"/>
      <c r="AG21" s="4"/>
      <c r="AH21" s="4"/>
      <c r="AI21" s="6"/>
    </row>
    <row r="22" spans="5:43" x14ac:dyDescent="0.25">
      <c r="E22" s="2" t="s">
        <v>18</v>
      </c>
      <c r="F22" s="7">
        <v>23</v>
      </c>
      <c r="G22" s="54">
        <v>42.427352880000001</v>
      </c>
      <c r="H22" s="5">
        <v>420</v>
      </c>
      <c r="I22" s="5">
        <v>118.8</v>
      </c>
      <c r="J22" s="5">
        <v>36</v>
      </c>
      <c r="K22" s="8">
        <v>191.96</v>
      </c>
      <c r="L22" s="8">
        <v>8.4700000000000006</v>
      </c>
      <c r="M22" s="9">
        <f t="shared" si="1"/>
        <v>19.92048419458165</v>
      </c>
      <c r="N22" s="9">
        <v>20</v>
      </c>
      <c r="O22" s="5">
        <v>263</v>
      </c>
      <c r="P22" s="5"/>
      <c r="Q22" s="5"/>
      <c r="R22" s="4"/>
      <c r="S22" s="4"/>
      <c r="T22" s="4"/>
      <c r="U22" s="4"/>
      <c r="V22" s="4"/>
      <c r="W22" s="4"/>
      <c r="X22" s="4"/>
      <c r="Y22" s="4"/>
      <c r="Z22" s="4"/>
      <c r="AA22" s="4"/>
      <c r="AB22" s="4"/>
      <c r="AC22" s="4"/>
      <c r="AD22" s="4"/>
      <c r="AE22" s="4"/>
      <c r="AF22" s="4"/>
      <c r="AG22" s="4"/>
      <c r="AH22" s="4"/>
      <c r="AI22" s="6"/>
    </row>
    <row r="23" spans="5:43" x14ac:dyDescent="0.25">
      <c r="E23" s="2" t="s">
        <v>12</v>
      </c>
      <c r="F23" s="7">
        <v>23</v>
      </c>
      <c r="G23" s="54">
        <v>49.308937919999998</v>
      </c>
      <c r="H23" s="5">
        <v>420</v>
      </c>
      <c r="I23" s="5">
        <v>118.8</v>
      </c>
      <c r="J23" s="5">
        <v>36</v>
      </c>
      <c r="K23" s="8">
        <v>191.96</v>
      </c>
      <c r="L23" s="8">
        <v>8.4700000000000006</v>
      </c>
      <c r="M23" s="9">
        <f t="shared" si="1"/>
        <v>19.886150087711421</v>
      </c>
      <c r="N23" s="9">
        <v>20</v>
      </c>
      <c r="O23" s="5">
        <v>307</v>
      </c>
      <c r="P23" s="5"/>
      <c r="Q23" s="5"/>
      <c r="R23" s="4"/>
      <c r="S23" s="4"/>
      <c r="T23" s="4"/>
      <c r="U23" s="4"/>
      <c r="V23" s="4"/>
      <c r="W23" s="4"/>
      <c r="X23" s="4"/>
      <c r="Y23" s="4"/>
      <c r="Z23" s="4"/>
      <c r="AA23" s="4"/>
      <c r="AB23" s="4"/>
      <c r="AC23" s="4"/>
      <c r="AD23" s="4"/>
      <c r="AE23" s="4"/>
      <c r="AF23" s="4"/>
      <c r="AG23" s="4"/>
      <c r="AH23" s="4"/>
      <c r="AI23" s="6"/>
    </row>
    <row r="24" spans="5:43" x14ac:dyDescent="0.25">
      <c r="E24" s="2" t="s">
        <v>13</v>
      </c>
      <c r="F24" s="7">
        <v>23</v>
      </c>
      <c r="G24" s="54">
        <v>63.072108000000007</v>
      </c>
      <c r="H24" s="5">
        <v>420</v>
      </c>
      <c r="I24" s="5">
        <v>118.8</v>
      </c>
      <c r="J24" s="5">
        <v>36</v>
      </c>
      <c r="K24" s="8">
        <v>191.96</v>
      </c>
      <c r="L24" s="8">
        <v>8.4700000000000006</v>
      </c>
      <c r="M24" s="9">
        <f t="shared" si="1"/>
        <v>19.817481873970962</v>
      </c>
      <c r="N24" s="9">
        <v>20</v>
      </c>
      <c r="O24" s="5">
        <v>292.89999999999998</v>
      </c>
      <c r="P24" s="5"/>
      <c r="Q24" s="5"/>
      <c r="R24" s="4"/>
      <c r="S24" s="4"/>
      <c r="T24" s="4"/>
      <c r="U24" s="4"/>
      <c r="V24" s="4"/>
      <c r="W24" s="4"/>
      <c r="X24" s="4"/>
      <c r="Y24" s="4"/>
      <c r="Z24" s="4"/>
      <c r="AA24" s="4"/>
      <c r="AB24" s="4"/>
      <c r="AC24" s="4"/>
      <c r="AD24" s="4"/>
      <c r="AE24" s="4"/>
      <c r="AF24" s="4"/>
      <c r="AG24" s="4"/>
      <c r="AH24" s="4"/>
      <c r="AI24" s="6"/>
    </row>
    <row r="25" spans="5:43" x14ac:dyDescent="0.25">
      <c r="E25" s="2" t="s">
        <v>1</v>
      </c>
      <c r="F25" s="7">
        <v>23</v>
      </c>
      <c r="G25" s="54">
        <v>51.602799600000004</v>
      </c>
      <c r="H25" s="5">
        <v>420</v>
      </c>
      <c r="I25" s="5">
        <v>118.8</v>
      </c>
      <c r="J25" s="5">
        <v>36</v>
      </c>
      <c r="K25" s="8">
        <v>191.96</v>
      </c>
      <c r="L25" s="8">
        <v>8.4700000000000006</v>
      </c>
      <c r="M25" s="9">
        <f t="shared" si="1"/>
        <v>19.874705385421343</v>
      </c>
      <c r="N25" s="9">
        <v>20</v>
      </c>
      <c r="O25" s="5">
        <v>299.7</v>
      </c>
      <c r="P25" s="29"/>
      <c r="Q25" s="29"/>
      <c r="R25" s="4"/>
      <c r="S25" s="4"/>
      <c r="T25" s="4"/>
      <c r="U25" s="4"/>
      <c r="V25" s="4"/>
      <c r="W25" s="4"/>
      <c r="X25" s="4"/>
      <c r="Y25" s="4"/>
      <c r="Z25" s="4"/>
      <c r="AA25" s="4"/>
      <c r="AB25" s="4"/>
      <c r="AC25" s="4"/>
      <c r="AD25" s="4"/>
      <c r="AE25" s="4"/>
      <c r="AF25" s="4"/>
      <c r="AG25" s="4"/>
      <c r="AH25" s="4"/>
      <c r="AI25" s="6"/>
    </row>
    <row r="26" spans="5:43" x14ac:dyDescent="0.25">
      <c r="E26" s="2" t="s">
        <v>19</v>
      </c>
      <c r="F26" s="7">
        <v>23</v>
      </c>
      <c r="G26" s="54">
        <v>43.57610136000001</v>
      </c>
      <c r="H26" s="5">
        <v>420</v>
      </c>
      <c r="I26" s="5">
        <v>118.8</v>
      </c>
      <c r="J26" s="5">
        <v>36</v>
      </c>
      <c r="K26" s="8">
        <v>191.96</v>
      </c>
      <c r="L26" s="8">
        <v>8.4700000000000006</v>
      </c>
      <c r="M26" s="9">
        <f t="shared" si="1"/>
        <v>19.914752774734321</v>
      </c>
      <c r="N26" s="9">
        <v>20</v>
      </c>
      <c r="O26" s="5">
        <v>264.2</v>
      </c>
      <c r="P26" s="29"/>
      <c r="Q26" s="29"/>
      <c r="R26" s="4"/>
      <c r="S26" s="4"/>
      <c r="T26" s="4"/>
      <c r="U26" s="4"/>
      <c r="V26" s="4"/>
      <c r="W26" s="4"/>
      <c r="X26" s="4"/>
      <c r="Y26" s="4"/>
      <c r="Z26" s="4"/>
      <c r="AA26" s="4"/>
      <c r="AB26" s="4"/>
      <c r="AC26" s="4"/>
      <c r="AD26" s="4"/>
      <c r="AE26" s="4"/>
      <c r="AF26" s="4"/>
      <c r="AG26" s="4"/>
      <c r="AH26" s="4"/>
      <c r="AI26" s="6"/>
    </row>
    <row r="27" spans="5:43" x14ac:dyDescent="0.25">
      <c r="E27" s="2" t="s">
        <v>20</v>
      </c>
      <c r="F27" s="7">
        <v>23</v>
      </c>
      <c r="G27" s="54">
        <v>40.137126480000006</v>
      </c>
      <c r="H27" s="5">
        <v>420</v>
      </c>
      <c r="I27" s="5">
        <v>118.8</v>
      </c>
      <c r="J27" s="5">
        <v>36</v>
      </c>
      <c r="K27" s="8">
        <v>191.96</v>
      </c>
      <c r="L27" s="8">
        <v>8.4700000000000006</v>
      </c>
      <c r="M27" s="9">
        <f t="shared" si="1"/>
        <v>19.931910759467147</v>
      </c>
      <c r="N27" s="9">
        <v>20</v>
      </c>
      <c r="O27" s="5">
        <v>286.2</v>
      </c>
      <c r="P27" s="29"/>
      <c r="Q27" s="29"/>
      <c r="R27" s="4"/>
      <c r="S27" s="4"/>
      <c r="T27" s="4"/>
      <c r="U27" s="4"/>
      <c r="V27" s="4"/>
      <c r="W27" s="4"/>
      <c r="X27" s="4"/>
      <c r="Y27" s="4"/>
      <c r="Z27" s="4"/>
      <c r="AA27" s="4"/>
      <c r="AB27" s="4"/>
      <c r="AC27" s="4"/>
      <c r="AD27" s="4"/>
      <c r="AE27" s="4"/>
      <c r="AF27" s="4"/>
      <c r="AG27" s="4"/>
      <c r="AH27" s="4"/>
      <c r="AI27" s="6"/>
    </row>
    <row r="28" spans="5:43" x14ac:dyDescent="0.25">
      <c r="E28" s="2" t="s">
        <v>21</v>
      </c>
      <c r="F28" s="7">
        <v>23</v>
      </c>
      <c r="G28" s="54">
        <v>35.549403120000008</v>
      </c>
      <c r="H28" s="5">
        <v>420</v>
      </c>
      <c r="I28" s="5">
        <v>118.8</v>
      </c>
      <c r="J28" s="5">
        <v>36</v>
      </c>
      <c r="K28" s="8">
        <v>191.96</v>
      </c>
      <c r="L28" s="8">
        <v>8.4700000000000006</v>
      </c>
      <c r="M28" s="9">
        <f t="shared" si="1"/>
        <v>19.954800164047299</v>
      </c>
      <c r="N28" s="9">
        <v>20</v>
      </c>
      <c r="O28" s="5">
        <v>251.5</v>
      </c>
      <c r="P28" s="29"/>
      <c r="Q28" s="29"/>
      <c r="R28" s="4"/>
      <c r="S28" s="4"/>
      <c r="T28" s="4"/>
      <c r="U28" s="4"/>
      <c r="V28" s="4"/>
      <c r="W28" s="4"/>
      <c r="X28" s="4"/>
      <c r="Y28" s="4"/>
      <c r="Z28" s="4"/>
      <c r="AA28" s="4"/>
      <c r="AB28" s="4"/>
      <c r="AC28" s="4"/>
      <c r="AD28" s="4"/>
      <c r="AE28" s="4"/>
      <c r="AF28" s="4"/>
      <c r="AG28" s="4"/>
      <c r="AH28" s="4"/>
      <c r="AI28" s="6"/>
    </row>
    <row r="29" spans="5:43" x14ac:dyDescent="0.25">
      <c r="E29" s="2" t="s">
        <v>22</v>
      </c>
      <c r="F29" s="7">
        <v>23</v>
      </c>
      <c r="G29" s="54">
        <v>30.961679760000006</v>
      </c>
      <c r="H29" s="5">
        <v>420</v>
      </c>
      <c r="I29" s="5">
        <v>118.8</v>
      </c>
      <c r="J29" s="5">
        <v>36</v>
      </c>
      <c r="K29" s="8">
        <v>191.96</v>
      </c>
      <c r="L29" s="8">
        <v>8.4700000000000006</v>
      </c>
      <c r="M29" s="9">
        <f t="shared" si="1"/>
        <v>19.977689568627451</v>
      </c>
      <c r="N29" s="9">
        <v>20</v>
      </c>
      <c r="O29" s="5">
        <v>161.30000000000001</v>
      </c>
      <c r="P29" s="29"/>
      <c r="Q29" s="29"/>
      <c r="R29" s="4"/>
      <c r="S29" s="4"/>
      <c r="T29" s="4"/>
      <c r="U29" s="4"/>
      <c r="V29" s="4"/>
      <c r="W29" s="4"/>
      <c r="X29" s="4"/>
      <c r="Y29" s="4"/>
      <c r="Z29" s="4"/>
      <c r="AA29" s="4"/>
      <c r="AB29" s="4"/>
      <c r="AC29" s="4"/>
      <c r="AD29" s="4"/>
      <c r="AE29" s="4"/>
      <c r="AF29" s="4"/>
      <c r="AG29" s="4"/>
      <c r="AH29" s="4"/>
      <c r="AI29" s="6"/>
    </row>
    <row r="30" spans="5:43" x14ac:dyDescent="0.25">
      <c r="E30" s="2" t="s">
        <v>23</v>
      </c>
      <c r="F30" s="7">
        <v>23</v>
      </c>
      <c r="G30" s="54">
        <v>29.812931280000008</v>
      </c>
      <c r="H30" s="5">
        <v>420</v>
      </c>
      <c r="I30" s="5">
        <v>118.8</v>
      </c>
      <c r="J30" s="5">
        <v>36</v>
      </c>
      <c r="K30" s="8">
        <v>191.96</v>
      </c>
      <c r="L30" s="8">
        <v>8.4700000000000006</v>
      </c>
      <c r="M30" s="9">
        <f t="shared" si="1"/>
        <v>19.98342098847478</v>
      </c>
      <c r="N30" s="9">
        <v>20</v>
      </c>
      <c r="O30" s="5">
        <v>56.8</v>
      </c>
      <c r="P30" s="29"/>
      <c r="Q30" s="29"/>
      <c r="R30" s="4"/>
      <c r="S30" s="4"/>
      <c r="T30" s="4"/>
      <c r="U30" s="4"/>
      <c r="V30" s="4"/>
      <c r="W30" s="4"/>
      <c r="X30" s="4"/>
      <c r="Y30" s="4"/>
      <c r="Z30" s="4"/>
      <c r="AA30" s="4"/>
      <c r="AB30" s="4"/>
      <c r="AC30" s="4"/>
      <c r="AD30" s="4"/>
      <c r="AE30" s="4"/>
      <c r="AF30" s="4"/>
      <c r="AG30" s="4"/>
      <c r="AH30" s="4"/>
      <c r="AI30" s="6"/>
    </row>
    <row r="31" spans="5:43" x14ac:dyDescent="0.3">
      <c r="E31" s="423" t="s">
        <v>3</v>
      </c>
      <c r="F31" s="424"/>
      <c r="G31" s="424"/>
      <c r="H31" s="424"/>
      <c r="I31" s="424"/>
      <c r="J31" s="424"/>
      <c r="K31" s="424"/>
      <c r="L31" s="424"/>
      <c r="M31" s="424"/>
      <c r="N31" s="425"/>
      <c r="O31" s="11">
        <f>SUM(O19:O30)</f>
        <v>2561.5000000000005</v>
      </c>
      <c r="P31" s="28">
        <f>16/24</f>
        <v>0.66666666666666663</v>
      </c>
      <c r="Q31" s="28">
        <f>24/1000</f>
        <v>2.4E-2</v>
      </c>
      <c r="R31" s="8">
        <v>3.59</v>
      </c>
      <c r="S31" s="8">
        <v>12.96</v>
      </c>
      <c r="T31" s="5">
        <f>O31</f>
        <v>2561.5000000000005</v>
      </c>
      <c r="U31" s="15">
        <f>P31*Q31*R31*S31*T31</f>
        <v>1906.8379776000004</v>
      </c>
      <c r="V31" s="5">
        <v>3.94</v>
      </c>
      <c r="W31" s="5">
        <v>12.96</v>
      </c>
      <c r="X31" s="5">
        <f>O31</f>
        <v>2561.5000000000005</v>
      </c>
      <c r="Y31" s="16">
        <f>(P31*Q31*V31*W31*X31)</f>
        <v>2092.7414016000002</v>
      </c>
      <c r="Z31" s="8">
        <v>2.13</v>
      </c>
      <c r="AA31" s="8">
        <v>41.904000000000003</v>
      </c>
      <c r="AB31" s="8">
        <f>O31</f>
        <v>2561.5000000000005</v>
      </c>
      <c r="AC31" s="17">
        <f>(P31*Q31*Z31*AA31*AB31)</f>
        <v>3658.0482316800008</v>
      </c>
      <c r="AD31" s="96">
        <f>L356</f>
        <v>3615.8648073948611</v>
      </c>
      <c r="AE31" s="18">
        <f>U31+Y31+AC31+AD31</f>
        <v>11273.492418274862</v>
      </c>
      <c r="AF31" s="4">
        <f>AE31*0.1</f>
        <v>1127.3492418274861</v>
      </c>
      <c r="AG31" s="19">
        <f>AE31+AF31</f>
        <v>12400.841660102347</v>
      </c>
      <c r="AH31" s="8">
        <v>3.1</v>
      </c>
      <c r="AI31" s="20">
        <f>ROUND((AG31/AH31),0)</f>
        <v>4000</v>
      </c>
      <c r="AJ31" s="39">
        <v>23</v>
      </c>
    </row>
    <row r="32" spans="5:43" ht="15.5" x14ac:dyDescent="0.4">
      <c r="E32" s="2" t="s">
        <v>0</v>
      </c>
      <c r="F32" s="3"/>
      <c r="G32" s="5"/>
      <c r="H32" s="4"/>
      <c r="I32" s="4"/>
      <c r="J32" s="4"/>
      <c r="K32" s="4"/>
      <c r="L32" s="4"/>
      <c r="M32" s="3" t="s">
        <v>138</v>
      </c>
      <c r="N32" s="3" t="s">
        <v>137</v>
      </c>
      <c r="O32" s="8" t="s">
        <v>2</v>
      </c>
      <c r="P32" s="5"/>
      <c r="Q32" s="5"/>
      <c r="R32" s="4"/>
      <c r="S32" s="4"/>
      <c r="T32" s="4"/>
      <c r="U32" s="4"/>
      <c r="V32" s="4"/>
      <c r="W32" s="4"/>
      <c r="X32" s="4"/>
      <c r="Y32" s="4"/>
      <c r="Z32" s="4"/>
      <c r="AA32" s="4"/>
      <c r="AB32" s="4"/>
      <c r="AC32" s="4"/>
      <c r="AD32" s="4"/>
      <c r="AE32" s="4"/>
      <c r="AF32" s="4"/>
      <c r="AG32" s="4"/>
      <c r="AH32" s="4"/>
      <c r="AI32" s="6"/>
    </row>
    <row r="33" spans="5:43" x14ac:dyDescent="0.25">
      <c r="E33" s="2" t="s">
        <v>15</v>
      </c>
      <c r="F33" s="33">
        <v>24</v>
      </c>
      <c r="G33" s="54">
        <v>30.961679760000006</v>
      </c>
      <c r="H33" s="5">
        <v>420</v>
      </c>
      <c r="I33" s="5">
        <v>118.8</v>
      </c>
      <c r="J33" s="5">
        <v>36</v>
      </c>
      <c r="K33" s="8">
        <v>191.96</v>
      </c>
      <c r="L33" s="8">
        <v>8.4700000000000006</v>
      </c>
      <c r="M33" s="9">
        <f>(F33-((G33+H33+I33+J33)/(K33+L33)))</f>
        <v>20.977689568627451</v>
      </c>
      <c r="N33" s="9">
        <v>21</v>
      </c>
      <c r="O33" s="5">
        <v>30.3</v>
      </c>
      <c r="P33" s="5"/>
      <c r="Q33" s="5"/>
      <c r="R33" s="4"/>
      <c r="S33" s="4"/>
      <c r="T33" s="4"/>
      <c r="U33" s="4"/>
      <c r="V33" s="4"/>
      <c r="W33" s="4"/>
      <c r="X33" s="4"/>
      <c r="Y33" s="4"/>
      <c r="Z33" s="4"/>
      <c r="AA33" s="4"/>
      <c r="AB33" s="4"/>
      <c r="AC33" s="4"/>
      <c r="AD33" s="4"/>
      <c r="AE33" s="4"/>
      <c r="AF33" s="4"/>
      <c r="AG33" s="4"/>
      <c r="AH33" s="4"/>
      <c r="AI33" s="6"/>
    </row>
    <row r="34" spans="5:43" x14ac:dyDescent="0.25">
      <c r="E34" s="2" t="s">
        <v>16</v>
      </c>
      <c r="F34" s="33">
        <v>24</v>
      </c>
      <c r="G34" s="54">
        <v>34.400654639999999</v>
      </c>
      <c r="H34" s="5">
        <v>420</v>
      </c>
      <c r="I34" s="5">
        <v>118.8</v>
      </c>
      <c r="J34" s="5">
        <v>36</v>
      </c>
      <c r="K34" s="8">
        <v>191.96</v>
      </c>
      <c r="L34" s="8">
        <v>8.4700000000000006</v>
      </c>
      <c r="M34" s="9">
        <f t="shared" ref="M34:M44" si="2">(F34-((G34+H34+I34+J34)/(K34+L34)))</f>
        <v>20.960531583894628</v>
      </c>
      <c r="N34" s="9">
        <v>21</v>
      </c>
      <c r="O34" s="5">
        <v>80.099999999999994</v>
      </c>
      <c r="P34" s="5"/>
      <c r="Q34" s="5"/>
      <c r="R34" s="4"/>
      <c r="S34" s="4"/>
      <c r="T34" s="4"/>
      <c r="U34" s="4"/>
      <c r="V34" s="4"/>
      <c r="W34" s="4"/>
      <c r="X34" s="4"/>
      <c r="Y34" s="4"/>
      <c r="Z34" s="4"/>
      <c r="AA34" s="4"/>
      <c r="AB34" s="4"/>
      <c r="AC34" s="4"/>
      <c r="AD34" s="4"/>
      <c r="AE34" s="4"/>
      <c r="AF34" s="4"/>
      <c r="AG34" s="4"/>
      <c r="AH34" s="4"/>
      <c r="AI34" s="6"/>
    </row>
    <row r="35" spans="5:43" x14ac:dyDescent="0.25">
      <c r="E35" s="2" t="s">
        <v>17</v>
      </c>
      <c r="F35" s="33">
        <v>24</v>
      </c>
      <c r="G35" s="54">
        <v>38.988378000000012</v>
      </c>
      <c r="H35" s="5">
        <v>420</v>
      </c>
      <c r="I35" s="5">
        <v>118.8</v>
      </c>
      <c r="J35" s="5">
        <v>36</v>
      </c>
      <c r="K35" s="8">
        <v>191.96</v>
      </c>
      <c r="L35" s="8">
        <v>8.4700000000000006</v>
      </c>
      <c r="M35" s="9">
        <f t="shared" si="2"/>
        <v>20.937642179314473</v>
      </c>
      <c r="N35" s="9">
        <v>21</v>
      </c>
      <c r="O35" s="5">
        <v>204.6</v>
      </c>
      <c r="P35" s="5"/>
      <c r="Q35" s="5"/>
      <c r="R35" s="4"/>
      <c r="S35" s="4"/>
      <c r="T35" s="4"/>
      <c r="U35" s="4"/>
      <c r="V35" s="4"/>
      <c r="W35" s="4"/>
      <c r="X35" s="4"/>
      <c r="Y35" s="4"/>
      <c r="Z35" s="4"/>
      <c r="AA35" s="4"/>
      <c r="AB35" s="4"/>
      <c r="AC35" s="4"/>
      <c r="AD35" s="4"/>
      <c r="AE35" s="4"/>
      <c r="AF35" s="4"/>
      <c r="AG35" s="4"/>
      <c r="AH35" s="4"/>
      <c r="AI35" s="6"/>
    </row>
    <row r="36" spans="5:43" x14ac:dyDescent="0.25">
      <c r="E36" s="2" t="s">
        <v>18</v>
      </c>
      <c r="F36" s="33">
        <v>24</v>
      </c>
      <c r="G36" s="54">
        <v>42.427352880000001</v>
      </c>
      <c r="H36" s="5">
        <v>420</v>
      </c>
      <c r="I36" s="5">
        <v>118.8</v>
      </c>
      <c r="J36" s="5">
        <v>36</v>
      </c>
      <c r="K36" s="8">
        <v>191.96</v>
      </c>
      <c r="L36" s="8">
        <v>8.4700000000000006</v>
      </c>
      <c r="M36" s="9">
        <f t="shared" si="2"/>
        <v>20.92048419458165</v>
      </c>
      <c r="N36" s="9">
        <v>21</v>
      </c>
      <c r="O36" s="5">
        <v>233</v>
      </c>
      <c r="P36" s="5"/>
      <c r="Q36" s="5"/>
      <c r="R36" s="4"/>
      <c r="S36" s="4"/>
      <c r="T36" s="4"/>
      <c r="U36" s="4"/>
      <c r="V36" s="4"/>
      <c r="W36" s="4"/>
      <c r="X36" s="4"/>
      <c r="Y36" s="4"/>
      <c r="Z36" s="4"/>
      <c r="AA36" s="4"/>
      <c r="AB36" s="4"/>
      <c r="AC36" s="4"/>
      <c r="AD36" s="4"/>
      <c r="AE36" s="4"/>
      <c r="AF36" s="4"/>
      <c r="AG36" s="4"/>
      <c r="AH36" s="4"/>
      <c r="AI36" s="6"/>
    </row>
    <row r="37" spans="5:43" x14ac:dyDescent="0.25">
      <c r="E37" s="2" t="s">
        <v>12</v>
      </c>
      <c r="F37" s="33">
        <v>24</v>
      </c>
      <c r="G37" s="54">
        <v>49.308937919999998</v>
      </c>
      <c r="H37" s="5">
        <v>420</v>
      </c>
      <c r="I37" s="5">
        <v>118.8</v>
      </c>
      <c r="J37" s="5">
        <v>36</v>
      </c>
      <c r="K37" s="8">
        <v>191.96</v>
      </c>
      <c r="L37" s="8">
        <v>8.4700000000000006</v>
      </c>
      <c r="M37" s="9">
        <f t="shared" si="2"/>
        <v>20.886150087711421</v>
      </c>
      <c r="N37" s="9">
        <v>21</v>
      </c>
      <c r="O37" s="5">
        <v>276</v>
      </c>
      <c r="P37" s="5"/>
      <c r="Q37" s="5"/>
      <c r="R37" s="4"/>
      <c r="S37" s="4"/>
      <c r="T37" s="4"/>
      <c r="U37" s="4"/>
      <c r="V37" s="4"/>
      <c r="W37" s="4"/>
      <c r="X37" s="4"/>
      <c r="Y37" s="4"/>
      <c r="Z37" s="4"/>
      <c r="AA37" s="4"/>
      <c r="AB37" s="4"/>
      <c r="AC37" s="4"/>
      <c r="AD37" s="4"/>
      <c r="AE37" s="4"/>
      <c r="AF37" s="4"/>
      <c r="AG37" s="4"/>
      <c r="AH37" s="4"/>
      <c r="AI37" s="6"/>
    </row>
    <row r="38" spans="5:43" x14ac:dyDescent="0.25">
      <c r="E38" s="2" t="s">
        <v>13</v>
      </c>
      <c r="F38" s="33">
        <v>24</v>
      </c>
      <c r="G38" s="54">
        <v>63.072108000000007</v>
      </c>
      <c r="H38" s="5">
        <v>420</v>
      </c>
      <c r="I38" s="5">
        <v>118.8</v>
      </c>
      <c r="J38" s="5">
        <v>36</v>
      </c>
      <c r="K38" s="8">
        <v>191.96</v>
      </c>
      <c r="L38" s="8">
        <v>8.4700000000000006</v>
      </c>
      <c r="M38" s="9">
        <f t="shared" si="2"/>
        <v>20.817481873970962</v>
      </c>
      <c r="N38" s="9">
        <v>21</v>
      </c>
      <c r="O38" s="5">
        <v>262.89999999999998</v>
      </c>
      <c r="P38" s="5"/>
      <c r="Q38" s="5"/>
      <c r="R38" s="4"/>
      <c r="S38" s="4"/>
      <c r="T38" s="4"/>
      <c r="U38" s="4"/>
      <c r="V38" s="4"/>
      <c r="W38" s="4"/>
      <c r="X38" s="4"/>
      <c r="Y38" s="4"/>
      <c r="Z38" s="4"/>
      <c r="AA38" s="4"/>
      <c r="AB38" s="4"/>
      <c r="AC38" s="4"/>
      <c r="AD38" s="4"/>
      <c r="AE38" s="4"/>
      <c r="AF38" s="4"/>
      <c r="AG38" s="4"/>
      <c r="AH38" s="4"/>
      <c r="AI38" s="6"/>
    </row>
    <row r="39" spans="5:43" x14ac:dyDescent="0.25">
      <c r="E39" s="2" t="s">
        <v>24</v>
      </c>
      <c r="F39" s="33">
        <v>24</v>
      </c>
      <c r="G39" s="54">
        <v>51.602799600000004</v>
      </c>
      <c r="H39" s="5">
        <v>420</v>
      </c>
      <c r="I39" s="5">
        <v>118.8</v>
      </c>
      <c r="J39" s="5">
        <v>36</v>
      </c>
      <c r="K39" s="8">
        <v>191.96</v>
      </c>
      <c r="L39" s="8">
        <v>8.4700000000000006</v>
      </c>
      <c r="M39" s="9">
        <f t="shared" si="2"/>
        <v>20.874705385421343</v>
      </c>
      <c r="N39" s="9">
        <v>21</v>
      </c>
      <c r="O39" s="5">
        <v>268.7</v>
      </c>
      <c r="P39" s="5"/>
      <c r="Q39" s="5"/>
      <c r="R39" s="4"/>
      <c r="S39" s="4"/>
      <c r="T39" s="4"/>
      <c r="U39" s="4"/>
      <c r="V39" s="4"/>
      <c r="W39" s="4"/>
      <c r="X39" s="4"/>
      <c r="Y39" s="4"/>
      <c r="Z39" s="4"/>
      <c r="AA39" s="4"/>
      <c r="AB39" s="4"/>
      <c r="AC39" s="4"/>
      <c r="AD39" s="4"/>
      <c r="AE39" s="4"/>
      <c r="AF39" s="4"/>
      <c r="AG39" s="4"/>
      <c r="AH39" s="4"/>
      <c r="AI39" s="6"/>
    </row>
    <row r="40" spans="5:43" x14ac:dyDescent="0.25">
      <c r="E40" s="2" t="s">
        <v>19</v>
      </c>
      <c r="F40" s="33">
        <v>24</v>
      </c>
      <c r="G40" s="54">
        <v>43.57610136000001</v>
      </c>
      <c r="H40" s="5">
        <v>420</v>
      </c>
      <c r="I40" s="5">
        <v>118.8</v>
      </c>
      <c r="J40" s="5">
        <v>36</v>
      </c>
      <c r="K40" s="8">
        <v>191.96</v>
      </c>
      <c r="L40" s="8">
        <v>8.4700000000000006</v>
      </c>
      <c r="M40" s="9">
        <f t="shared" si="2"/>
        <v>20.914752774734321</v>
      </c>
      <c r="N40" s="9">
        <v>21</v>
      </c>
      <c r="O40" s="5">
        <v>233.2</v>
      </c>
      <c r="P40" s="5"/>
      <c r="Q40" s="5"/>
      <c r="R40" s="4"/>
      <c r="S40" s="4"/>
      <c r="T40" s="4"/>
      <c r="U40" s="4"/>
      <c r="V40" s="4"/>
      <c r="W40" s="4"/>
      <c r="X40" s="4"/>
      <c r="Y40" s="4"/>
      <c r="Z40" s="4"/>
      <c r="AA40" s="4"/>
      <c r="AB40" s="4"/>
      <c r="AC40" s="4"/>
      <c r="AD40" s="4"/>
      <c r="AE40" s="4"/>
      <c r="AF40" s="4"/>
      <c r="AG40" s="4"/>
      <c r="AH40" s="4"/>
      <c r="AI40" s="6"/>
    </row>
    <row r="41" spans="5:43" x14ac:dyDescent="0.25">
      <c r="E41" s="2" t="s">
        <v>20</v>
      </c>
      <c r="F41" s="33">
        <v>24</v>
      </c>
      <c r="G41" s="54">
        <v>40.137126480000006</v>
      </c>
      <c r="H41" s="5">
        <v>420</v>
      </c>
      <c r="I41" s="5">
        <v>118.8</v>
      </c>
      <c r="J41" s="5">
        <v>36</v>
      </c>
      <c r="K41" s="8">
        <v>191.96</v>
      </c>
      <c r="L41" s="8">
        <v>8.4700000000000006</v>
      </c>
      <c r="M41" s="9">
        <f t="shared" si="2"/>
        <v>20.931910759467147</v>
      </c>
      <c r="N41" s="9">
        <v>21</v>
      </c>
      <c r="O41" s="5">
        <v>256.2</v>
      </c>
      <c r="P41" s="5"/>
      <c r="Q41" s="5"/>
      <c r="R41" s="4"/>
      <c r="S41" s="4"/>
      <c r="T41" s="4"/>
      <c r="U41" s="4"/>
      <c r="V41" s="4"/>
      <c r="W41" s="4"/>
      <c r="X41" s="4"/>
      <c r="Y41" s="4"/>
      <c r="Z41" s="4"/>
      <c r="AA41" s="4"/>
      <c r="AB41" s="4"/>
      <c r="AC41" s="4"/>
      <c r="AD41" s="4"/>
      <c r="AE41" s="4"/>
      <c r="AF41" s="4"/>
      <c r="AG41" s="4"/>
      <c r="AH41" s="4"/>
      <c r="AI41" s="6"/>
    </row>
    <row r="42" spans="5:43" x14ac:dyDescent="0.25">
      <c r="E42" s="2" t="s">
        <v>21</v>
      </c>
      <c r="F42" s="33">
        <v>24</v>
      </c>
      <c r="G42" s="54">
        <v>35.549403120000008</v>
      </c>
      <c r="H42" s="5">
        <v>420</v>
      </c>
      <c r="I42" s="5">
        <v>118.8</v>
      </c>
      <c r="J42" s="5">
        <v>36</v>
      </c>
      <c r="K42" s="8">
        <v>191.96</v>
      </c>
      <c r="L42" s="8">
        <v>8.4700000000000006</v>
      </c>
      <c r="M42" s="9">
        <f t="shared" si="2"/>
        <v>20.954800164047299</v>
      </c>
      <c r="N42" s="9">
        <v>21</v>
      </c>
      <c r="O42" s="5">
        <v>220.5</v>
      </c>
      <c r="P42" s="5"/>
      <c r="Q42" s="5"/>
      <c r="R42" s="4"/>
      <c r="S42" s="4"/>
      <c r="T42" s="4"/>
      <c r="U42" s="4"/>
      <c r="V42" s="4"/>
      <c r="W42" s="4"/>
      <c r="X42" s="4"/>
      <c r="Y42" s="4"/>
      <c r="Z42" s="4"/>
      <c r="AA42" s="4"/>
      <c r="AB42" s="4"/>
      <c r="AC42" s="4"/>
      <c r="AD42" s="4"/>
      <c r="AE42" s="4"/>
      <c r="AF42" s="4"/>
      <c r="AG42" s="4"/>
      <c r="AH42" s="4"/>
      <c r="AI42" s="6"/>
    </row>
    <row r="43" spans="5:43" x14ac:dyDescent="0.25">
      <c r="E43" s="2" t="s">
        <v>22</v>
      </c>
      <c r="F43" s="33">
        <v>24</v>
      </c>
      <c r="G43" s="54">
        <v>30.961679760000006</v>
      </c>
      <c r="H43" s="5">
        <v>420</v>
      </c>
      <c r="I43" s="5">
        <v>118.8</v>
      </c>
      <c r="J43" s="5">
        <v>36</v>
      </c>
      <c r="K43" s="8">
        <v>191.96</v>
      </c>
      <c r="L43" s="8">
        <v>8.4700000000000006</v>
      </c>
      <c r="M43" s="9">
        <f t="shared" si="2"/>
        <v>20.977689568627451</v>
      </c>
      <c r="N43" s="9">
        <v>21</v>
      </c>
      <c r="O43" s="5">
        <v>133.80000000000001</v>
      </c>
      <c r="P43" s="5"/>
      <c r="Q43" s="5"/>
      <c r="R43" s="4"/>
      <c r="S43" s="4"/>
      <c r="T43" s="4"/>
      <c r="U43" s="4"/>
      <c r="V43" s="4"/>
      <c r="W43" s="4"/>
      <c r="X43" s="4"/>
      <c r="Y43" s="4"/>
      <c r="Z43" s="4"/>
      <c r="AA43" s="4"/>
      <c r="AB43" s="4"/>
      <c r="AC43" s="4"/>
      <c r="AD43" s="4"/>
      <c r="AE43" s="4"/>
      <c r="AF43" s="4"/>
      <c r="AG43" s="4"/>
      <c r="AH43" s="4"/>
      <c r="AI43" s="6"/>
    </row>
    <row r="44" spans="5:43" x14ac:dyDescent="0.25">
      <c r="E44" s="2" t="s">
        <v>23</v>
      </c>
      <c r="F44" s="33">
        <v>24</v>
      </c>
      <c r="G44" s="54">
        <v>29.812931280000008</v>
      </c>
      <c r="H44" s="5">
        <v>420</v>
      </c>
      <c r="I44" s="5">
        <v>118.8</v>
      </c>
      <c r="J44" s="5">
        <v>36</v>
      </c>
      <c r="K44" s="8">
        <v>191.96</v>
      </c>
      <c r="L44" s="8">
        <v>8.4700000000000006</v>
      </c>
      <c r="M44" s="9">
        <f t="shared" si="2"/>
        <v>20.98342098847478</v>
      </c>
      <c r="N44" s="9">
        <v>21</v>
      </c>
      <c r="O44" s="5">
        <v>42.3</v>
      </c>
      <c r="P44" s="5"/>
      <c r="Q44" s="5"/>
      <c r="R44" s="4"/>
      <c r="S44" s="4"/>
      <c r="T44" s="4"/>
      <c r="U44" s="4"/>
      <c r="V44" s="4"/>
      <c r="W44" s="4"/>
      <c r="X44" s="4"/>
      <c r="Y44" s="4"/>
      <c r="Z44" s="4"/>
      <c r="AA44" s="4"/>
      <c r="AB44" s="4"/>
      <c r="AC44" s="4"/>
      <c r="AD44" s="4"/>
      <c r="AE44" s="4"/>
      <c r="AF44" s="4"/>
      <c r="AG44" s="4"/>
      <c r="AH44" s="4"/>
      <c r="AI44" s="6"/>
    </row>
    <row r="45" spans="5:43" x14ac:dyDescent="0.3">
      <c r="E45" s="168" t="s">
        <v>3</v>
      </c>
      <c r="F45" s="398"/>
      <c r="G45" s="398"/>
      <c r="H45" s="398"/>
      <c r="I45" s="398"/>
      <c r="J45" s="398"/>
      <c r="K45" s="398"/>
      <c r="L45" s="398"/>
      <c r="M45" s="398"/>
      <c r="N45" s="399"/>
      <c r="O45" s="11">
        <f>SUM(O33:O44)</f>
        <v>2241.6000000000004</v>
      </c>
      <c r="P45" s="28">
        <f>16/24</f>
        <v>0.66666666666666663</v>
      </c>
      <c r="Q45" s="28">
        <f>24/1000</f>
        <v>2.4E-2</v>
      </c>
      <c r="R45" s="8">
        <v>3.59</v>
      </c>
      <c r="S45" s="8">
        <v>12.96</v>
      </c>
      <c r="T45" s="5">
        <f>O45</f>
        <v>2241.6000000000004</v>
      </c>
      <c r="U45" s="15">
        <f>P45*Q45*R45*S45*T45</f>
        <v>1668.6972518400003</v>
      </c>
      <c r="V45" s="5">
        <v>3.94</v>
      </c>
      <c r="W45" s="5">
        <v>12.96</v>
      </c>
      <c r="X45" s="5">
        <f>O45</f>
        <v>2241.6000000000004</v>
      </c>
      <c r="Y45" s="16">
        <f>(P45*Q45*V45*W45*X45)</f>
        <v>1831.3836134400003</v>
      </c>
      <c r="Z45" s="8">
        <v>2.13</v>
      </c>
      <c r="AA45" s="8">
        <v>41.904000000000003</v>
      </c>
      <c r="AB45" s="8">
        <f>O45</f>
        <v>2241.6000000000004</v>
      </c>
      <c r="AC45" s="17">
        <f>(P45*Q45*Z45*AA45*AB45)</f>
        <v>3201.2027781120005</v>
      </c>
      <c r="AD45" s="96">
        <f>L357</f>
        <v>3538.4441860657475</v>
      </c>
      <c r="AE45" s="18">
        <f>U45+Y45+AC45+AD45</f>
        <v>10239.727829457748</v>
      </c>
      <c r="AF45" s="4">
        <f>AE45*0.1</f>
        <v>1023.9727829457748</v>
      </c>
      <c r="AG45" s="19">
        <f>AE45+AF45</f>
        <v>11263.700612403523</v>
      </c>
      <c r="AH45" s="8">
        <v>3.1</v>
      </c>
      <c r="AI45" s="20">
        <f>ROUND((AG45/AH45),0)</f>
        <v>3633</v>
      </c>
      <c r="AJ45" s="39">
        <v>24</v>
      </c>
      <c r="AK45" s="122"/>
      <c r="AL45" s="122"/>
    </row>
    <row r="46" spans="5:43" ht="13.5" thickBot="1" x14ac:dyDescent="0.35">
      <c r="E46" s="385" t="s">
        <v>222</v>
      </c>
      <c r="F46" s="386"/>
      <c r="G46" s="386"/>
      <c r="H46" s="386"/>
      <c r="I46" s="386"/>
      <c r="J46" s="386"/>
      <c r="K46" s="386"/>
      <c r="L46" s="386"/>
      <c r="M46" s="386"/>
      <c r="N46" s="386"/>
      <c r="O46" s="386"/>
      <c r="P46" s="386"/>
      <c r="Q46" s="386"/>
      <c r="R46" s="386"/>
      <c r="S46" s="386"/>
      <c r="T46" s="386"/>
      <c r="U46" s="386"/>
      <c r="V46" s="386"/>
      <c r="W46" s="386"/>
      <c r="X46" s="386"/>
      <c r="Y46" s="386"/>
      <c r="Z46" s="386"/>
      <c r="AA46" s="386"/>
      <c r="AB46" s="386"/>
      <c r="AC46" s="386"/>
      <c r="AD46" s="386"/>
      <c r="AE46" s="386"/>
      <c r="AF46" s="386"/>
      <c r="AG46" s="386"/>
      <c r="AH46" s="387"/>
      <c r="AI46" s="150">
        <f>(AI17*AQ7+AI31*AQ8+AI45*AQ9)</f>
        <v>3971.565217391304</v>
      </c>
      <c r="AJ46" s="39"/>
      <c r="AK46" s="122"/>
      <c r="AL46" s="122"/>
    </row>
    <row r="47" spans="5:43" ht="15.5" x14ac:dyDescent="0.4">
      <c r="E47" s="2" t="s">
        <v>0</v>
      </c>
      <c r="F47" s="4"/>
      <c r="G47" s="5"/>
      <c r="H47" s="4"/>
      <c r="I47" s="4"/>
      <c r="J47" s="4"/>
      <c r="K47" s="4"/>
      <c r="L47" s="4"/>
      <c r="M47" s="3" t="s">
        <v>138</v>
      </c>
      <c r="N47" s="3" t="s">
        <v>137</v>
      </c>
      <c r="O47" s="8" t="s">
        <v>2</v>
      </c>
      <c r="P47" s="5"/>
      <c r="Q47" s="5"/>
      <c r="R47" s="4"/>
      <c r="S47" s="4"/>
      <c r="T47" s="4"/>
      <c r="U47" s="4"/>
      <c r="V47" s="4"/>
      <c r="W47" s="4"/>
      <c r="X47" s="4"/>
      <c r="Y47" s="4"/>
      <c r="Z47" s="4"/>
      <c r="AA47" s="4"/>
      <c r="AB47" s="4"/>
      <c r="AC47" s="4"/>
      <c r="AD47" s="4"/>
      <c r="AE47" s="4"/>
      <c r="AF47" s="4"/>
      <c r="AG47" s="4"/>
      <c r="AH47" s="4"/>
      <c r="AI47" s="6"/>
      <c r="AO47" s="295" t="s">
        <v>203</v>
      </c>
      <c r="AP47" s="296"/>
      <c r="AQ47" s="297"/>
    </row>
    <row r="48" spans="5:43" x14ac:dyDescent="0.3">
      <c r="E48" s="2" t="s">
        <v>15</v>
      </c>
      <c r="F48" s="7">
        <v>25</v>
      </c>
      <c r="G48" s="54">
        <v>30.961679760000006</v>
      </c>
      <c r="H48" s="5">
        <v>420</v>
      </c>
      <c r="I48" s="5">
        <v>118.8</v>
      </c>
      <c r="J48" s="5">
        <v>36</v>
      </c>
      <c r="K48" s="8">
        <v>191.96</v>
      </c>
      <c r="L48" s="8">
        <v>8.4700000000000006</v>
      </c>
      <c r="M48" s="9">
        <f>(F48-((G48+H48+I48+J48)/(K48+L48)))</f>
        <v>21.977689568627451</v>
      </c>
      <c r="N48" s="9">
        <v>22</v>
      </c>
      <c r="O48" s="5">
        <v>21.2</v>
      </c>
      <c r="P48" s="5"/>
      <c r="Q48" s="5"/>
      <c r="R48" s="4"/>
      <c r="S48" s="4"/>
      <c r="T48" s="4"/>
      <c r="U48" s="4"/>
      <c r="V48" s="4"/>
      <c r="W48" s="4"/>
      <c r="X48" s="4"/>
      <c r="Y48" s="4"/>
      <c r="Z48" s="4"/>
      <c r="AA48" s="4"/>
      <c r="AB48" s="4"/>
      <c r="AC48" s="4"/>
      <c r="AD48" s="4"/>
      <c r="AE48" s="4"/>
      <c r="AF48" s="4"/>
      <c r="AG48" s="4"/>
      <c r="AH48" s="4"/>
      <c r="AI48" s="6"/>
      <c r="AN48" s="141"/>
      <c r="AO48" s="76" t="s">
        <v>195</v>
      </c>
      <c r="AP48" s="27" t="s">
        <v>196</v>
      </c>
      <c r="AQ48" s="86" t="s">
        <v>201</v>
      </c>
    </row>
    <row r="49" spans="5:43" x14ac:dyDescent="0.25">
      <c r="E49" s="2" t="s">
        <v>16</v>
      </c>
      <c r="F49" s="7">
        <v>25</v>
      </c>
      <c r="G49" s="54">
        <v>34.400654639999999</v>
      </c>
      <c r="H49" s="5">
        <v>420</v>
      </c>
      <c r="I49" s="5">
        <v>118.8</v>
      </c>
      <c r="J49" s="5">
        <v>36</v>
      </c>
      <c r="K49" s="8">
        <v>191.96</v>
      </c>
      <c r="L49" s="8">
        <v>8.4700000000000006</v>
      </c>
      <c r="M49" s="9">
        <f t="shared" ref="M49:M59" si="3">(F49-((G49+H49+I49+J49)/(K49+L49)))</f>
        <v>21.960531583894628</v>
      </c>
      <c r="N49" s="9">
        <v>22</v>
      </c>
      <c r="O49" s="5">
        <v>61.5</v>
      </c>
      <c r="P49" s="5"/>
      <c r="Q49" s="5"/>
      <c r="R49" s="4"/>
      <c r="S49" s="4"/>
      <c r="T49" s="4"/>
      <c r="U49" s="4"/>
      <c r="V49" s="4"/>
      <c r="W49" s="4"/>
      <c r="X49" s="4"/>
      <c r="Y49" s="4"/>
      <c r="Z49" s="4"/>
      <c r="AA49" s="4"/>
      <c r="AB49" s="4"/>
      <c r="AC49" s="4"/>
      <c r="AD49" s="4"/>
      <c r="AE49" s="4"/>
      <c r="AF49" s="4"/>
      <c r="AG49" s="4"/>
      <c r="AH49" s="4"/>
      <c r="AI49" s="6"/>
      <c r="AO49" s="76">
        <v>25</v>
      </c>
      <c r="AP49" s="27">
        <v>12</v>
      </c>
      <c r="AQ49" s="35">
        <v>100</v>
      </c>
    </row>
    <row r="50" spans="5:43" x14ac:dyDescent="0.25">
      <c r="E50" s="2" t="s">
        <v>17</v>
      </c>
      <c r="F50" s="7">
        <v>25</v>
      </c>
      <c r="G50" s="54">
        <v>38.988378000000012</v>
      </c>
      <c r="H50" s="5">
        <v>420</v>
      </c>
      <c r="I50" s="5">
        <v>118.8</v>
      </c>
      <c r="J50" s="5">
        <v>36</v>
      </c>
      <c r="K50" s="8">
        <v>191.96</v>
      </c>
      <c r="L50" s="8">
        <v>8.4700000000000006</v>
      </c>
      <c r="M50" s="9">
        <f t="shared" si="3"/>
        <v>21.937642179314473</v>
      </c>
      <c r="N50" s="9">
        <v>22</v>
      </c>
      <c r="O50" s="5">
        <v>174.6</v>
      </c>
      <c r="P50" s="5"/>
      <c r="Q50" s="5"/>
      <c r="R50" s="4"/>
      <c r="S50" s="4"/>
      <c r="T50" s="4"/>
      <c r="U50" s="4"/>
      <c r="V50" s="4"/>
      <c r="W50" s="4"/>
      <c r="X50" s="4"/>
      <c r="Y50" s="4"/>
      <c r="Z50" s="4"/>
      <c r="AA50" s="4"/>
      <c r="AB50" s="4"/>
      <c r="AC50" s="4"/>
      <c r="AD50" s="4"/>
      <c r="AE50" s="4"/>
      <c r="AF50" s="4"/>
      <c r="AG50" s="4"/>
      <c r="AH50" s="4"/>
      <c r="AI50" s="6"/>
    </row>
    <row r="51" spans="5:43" x14ac:dyDescent="0.25">
      <c r="E51" s="2" t="s">
        <v>18</v>
      </c>
      <c r="F51" s="7">
        <v>25</v>
      </c>
      <c r="G51" s="54">
        <v>42.427352880000001</v>
      </c>
      <c r="H51" s="5">
        <v>420</v>
      </c>
      <c r="I51" s="5">
        <v>118.8</v>
      </c>
      <c r="J51" s="5">
        <v>36</v>
      </c>
      <c r="K51" s="8">
        <v>191.96</v>
      </c>
      <c r="L51" s="8">
        <v>8.4700000000000006</v>
      </c>
      <c r="M51" s="9">
        <f t="shared" si="3"/>
        <v>21.92048419458165</v>
      </c>
      <c r="N51" s="9">
        <v>22</v>
      </c>
      <c r="O51" s="5">
        <v>203</v>
      </c>
      <c r="P51" s="5"/>
      <c r="Q51" s="5"/>
      <c r="R51" s="4"/>
      <c r="S51" s="4"/>
      <c r="T51" s="4"/>
      <c r="U51" s="4"/>
      <c r="V51" s="4"/>
      <c r="W51" s="4"/>
      <c r="X51" s="4"/>
      <c r="Y51" s="4"/>
      <c r="Z51" s="4"/>
      <c r="AA51" s="4"/>
      <c r="AB51" s="4"/>
      <c r="AC51" s="4"/>
      <c r="AD51" s="4"/>
      <c r="AE51" s="4"/>
      <c r="AF51" s="4"/>
      <c r="AG51" s="4"/>
      <c r="AH51" s="4"/>
      <c r="AI51" s="6"/>
      <c r="AO51" s="82"/>
      <c r="AP51" s="82"/>
      <c r="AQ51" s="54"/>
    </row>
    <row r="52" spans="5:43" x14ac:dyDescent="0.25">
      <c r="E52" s="2" t="s">
        <v>12</v>
      </c>
      <c r="F52" s="7">
        <v>25</v>
      </c>
      <c r="G52" s="54">
        <v>49.308937919999998</v>
      </c>
      <c r="H52" s="5">
        <v>420</v>
      </c>
      <c r="I52" s="5">
        <v>118.8</v>
      </c>
      <c r="J52" s="5">
        <v>36</v>
      </c>
      <c r="K52" s="8">
        <v>191.96</v>
      </c>
      <c r="L52" s="8">
        <v>8.4700000000000006</v>
      </c>
      <c r="M52" s="9">
        <f t="shared" si="3"/>
        <v>21.886150087711421</v>
      </c>
      <c r="N52" s="9">
        <v>22</v>
      </c>
      <c r="O52" s="5">
        <v>245</v>
      </c>
      <c r="P52" s="5"/>
      <c r="Q52" s="5"/>
      <c r="R52" s="4"/>
      <c r="S52" s="4"/>
      <c r="T52" s="4"/>
      <c r="U52" s="4"/>
      <c r="V52" s="4"/>
      <c r="W52" s="4"/>
      <c r="X52" s="4"/>
      <c r="Y52" s="4"/>
      <c r="Z52" s="4"/>
      <c r="AA52" s="4"/>
      <c r="AB52" s="4"/>
      <c r="AC52" s="4"/>
      <c r="AD52" s="4"/>
      <c r="AE52" s="4"/>
      <c r="AF52" s="4"/>
      <c r="AG52" s="4"/>
      <c r="AH52" s="4"/>
      <c r="AI52" s="6"/>
      <c r="AO52" s="82"/>
      <c r="AP52" s="82"/>
      <c r="AQ52" s="54"/>
    </row>
    <row r="53" spans="5:43" x14ac:dyDescent="0.25">
      <c r="E53" s="2" t="s">
        <v>13</v>
      </c>
      <c r="F53" s="7">
        <v>25</v>
      </c>
      <c r="G53" s="54">
        <v>63.072108000000007</v>
      </c>
      <c r="H53" s="5">
        <v>420</v>
      </c>
      <c r="I53" s="5">
        <v>118.8</v>
      </c>
      <c r="J53" s="5">
        <v>36</v>
      </c>
      <c r="K53" s="8">
        <v>191.96</v>
      </c>
      <c r="L53" s="8">
        <v>8.4700000000000006</v>
      </c>
      <c r="M53" s="9">
        <f t="shared" si="3"/>
        <v>21.817481873970962</v>
      </c>
      <c r="N53" s="9">
        <v>22</v>
      </c>
      <c r="O53" s="5">
        <v>232.9</v>
      </c>
      <c r="P53" s="5"/>
      <c r="Q53" s="5"/>
      <c r="R53" s="4"/>
      <c r="S53" s="4"/>
      <c r="T53" s="4"/>
      <c r="U53" s="4"/>
      <c r="V53" s="4"/>
      <c r="W53" s="4"/>
      <c r="X53" s="4"/>
      <c r="Y53" s="4"/>
      <c r="Z53" s="4"/>
      <c r="AA53" s="4"/>
      <c r="AB53" s="4"/>
      <c r="AC53" s="4"/>
      <c r="AD53" s="4"/>
      <c r="AE53" s="4"/>
      <c r="AF53" s="4"/>
      <c r="AG53" s="4"/>
      <c r="AH53" s="4"/>
      <c r="AI53" s="6"/>
      <c r="AO53" s="82"/>
      <c r="AP53" s="82"/>
      <c r="AQ53" s="54"/>
    </row>
    <row r="54" spans="5:43" x14ac:dyDescent="0.25">
      <c r="E54" s="2" t="s">
        <v>24</v>
      </c>
      <c r="F54" s="7">
        <v>25</v>
      </c>
      <c r="G54" s="54">
        <v>51.602799600000004</v>
      </c>
      <c r="H54" s="5">
        <v>420</v>
      </c>
      <c r="I54" s="5">
        <v>118.8</v>
      </c>
      <c r="J54" s="5">
        <v>36</v>
      </c>
      <c r="K54" s="8">
        <v>191.96</v>
      </c>
      <c r="L54" s="8">
        <v>8.4700000000000006</v>
      </c>
      <c r="M54" s="9">
        <f t="shared" si="3"/>
        <v>21.874705385421343</v>
      </c>
      <c r="N54" s="9">
        <v>22</v>
      </c>
      <c r="O54" s="5">
        <v>237.7</v>
      </c>
      <c r="P54" s="5"/>
      <c r="Q54" s="5"/>
      <c r="R54" s="4"/>
      <c r="S54" s="4"/>
      <c r="T54" s="4"/>
      <c r="U54" s="4"/>
      <c r="V54" s="4"/>
      <c r="W54" s="4"/>
      <c r="X54" s="4"/>
      <c r="Y54" s="4"/>
      <c r="Z54" s="4"/>
      <c r="AA54" s="4"/>
      <c r="AB54" s="4"/>
      <c r="AC54" s="4"/>
      <c r="AD54" s="4"/>
      <c r="AE54" s="4"/>
      <c r="AF54" s="4"/>
      <c r="AG54" s="4"/>
      <c r="AH54" s="4"/>
      <c r="AI54" s="6"/>
      <c r="AO54" s="82"/>
      <c r="AP54" s="82"/>
      <c r="AQ54" s="54"/>
    </row>
    <row r="55" spans="5:43" x14ac:dyDescent="0.25">
      <c r="E55" s="2" t="s">
        <v>19</v>
      </c>
      <c r="F55" s="7">
        <v>25</v>
      </c>
      <c r="G55" s="54">
        <v>43.57610136000001</v>
      </c>
      <c r="H55" s="5">
        <v>420</v>
      </c>
      <c r="I55" s="5">
        <v>118.8</v>
      </c>
      <c r="J55" s="5">
        <v>36</v>
      </c>
      <c r="K55" s="8">
        <v>191.96</v>
      </c>
      <c r="L55" s="8">
        <v>8.4700000000000006</v>
      </c>
      <c r="M55" s="9">
        <f t="shared" si="3"/>
        <v>21.914752774734321</v>
      </c>
      <c r="N55" s="9">
        <v>22</v>
      </c>
      <c r="O55" s="5">
        <v>202.2</v>
      </c>
      <c r="P55" s="5"/>
      <c r="Q55" s="5"/>
      <c r="R55" s="4"/>
      <c r="S55" s="4"/>
      <c r="T55" s="4"/>
      <c r="U55" s="4"/>
      <c r="V55" s="4"/>
      <c r="W55" s="4"/>
      <c r="X55" s="4"/>
      <c r="Y55" s="4"/>
      <c r="Z55" s="4"/>
      <c r="AA55" s="4"/>
      <c r="AB55" s="4"/>
      <c r="AC55" s="4"/>
      <c r="AD55" s="4"/>
      <c r="AE55" s="4"/>
      <c r="AF55" s="4"/>
      <c r="AG55" s="4"/>
      <c r="AH55" s="4"/>
      <c r="AI55" s="6"/>
    </row>
    <row r="56" spans="5:43" x14ac:dyDescent="0.25">
      <c r="E56" s="2" t="s">
        <v>20</v>
      </c>
      <c r="F56" s="7">
        <v>25</v>
      </c>
      <c r="G56" s="54">
        <v>40.137126480000006</v>
      </c>
      <c r="H56" s="5">
        <v>420</v>
      </c>
      <c r="I56" s="5">
        <v>118.8</v>
      </c>
      <c r="J56" s="5">
        <v>36</v>
      </c>
      <c r="K56" s="8">
        <v>191.96</v>
      </c>
      <c r="L56" s="8">
        <v>8.4700000000000006</v>
      </c>
      <c r="M56" s="9">
        <f t="shared" si="3"/>
        <v>21.931910759467147</v>
      </c>
      <c r="N56" s="9">
        <v>22</v>
      </c>
      <c r="O56" s="5">
        <v>226.2</v>
      </c>
      <c r="P56" s="5"/>
      <c r="Q56" s="5"/>
      <c r="R56" s="4"/>
      <c r="S56" s="4"/>
      <c r="T56" s="4"/>
      <c r="U56" s="4"/>
      <c r="V56" s="4"/>
      <c r="W56" s="4"/>
      <c r="X56" s="4"/>
      <c r="Y56" s="4"/>
      <c r="Z56" s="4"/>
      <c r="AA56" s="4"/>
      <c r="AB56" s="4"/>
      <c r="AC56" s="4"/>
      <c r="AD56" s="4"/>
      <c r="AE56" s="4"/>
      <c r="AF56" s="4"/>
      <c r="AG56" s="4"/>
      <c r="AH56" s="4"/>
      <c r="AI56" s="6"/>
    </row>
    <row r="57" spans="5:43" x14ac:dyDescent="0.25">
      <c r="E57" s="2" t="s">
        <v>21</v>
      </c>
      <c r="F57" s="7">
        <v>25</v>
      </c>
      <c r="G57" s="54">
        <v>35.549403120000008</v>
      </c>
      <c r="H57" s="5">
        <v>420</v>
      </c>
      <c r="I57" s="5">
        <v>118.8</v>
      </c>
      <c r="J57" s="5">
        <v>36</v>
      </c>
      <c r="K57" s="8">
        <v>191.96</v>
      </c>
      <c r="L57" s="8">
        <v>8.4700000000000006</v>
      </c>
      <c r="M57" s="9">
        <f t="shared" si="3"/>
        <v>21.954800164047299</v>
      </c>
      <c r="N57" s="9">
        <v>22</v>
      </c>
      <c r="O57" s="5">
        <v>189.5</v>
      </c>
      <c r="P57" s="5"/>
      <c r="Q57" s="5"/>
      <c r="R57" s="4"/>
      <c r="S57" s="4"/>
      <c r="T57" s="4"/>
      <c r="U57" s="4"/>
      <c r="V57" s="4"/>
      <c r="W57" s="4"/>
      <c r="X57" s="4"/>
      <c r="Y57" s="4"/>
      <c r="Z57" s="4"/>
      <c r="AA57" s="4"/>
      <c r="AB57" s="4"/>
      <c r="AC57" s="4"/>
      <c r="AD57" s="4"/>
      <c r="AE57" s="4"/>
      <c r="AF57" s="4"/>
      <c r="AG57" s="4"/>
      <c r="AH57" s="4"/>
      <c r="AI57" s="6"/>
    </row>
    <row r="58" spans="5:43" x14ac:dyDescent="0.25">
      <c r="E58" s="2" t="s">
        <v>22</v>
      </c>
      <c r="F58" s="7">
        <v>25</v>
      </c>
      <c r="G58" s="54">
        <v>30.961679760000006</v>
      </c>
      <c r="H58" s="5">
        <v>420</v>
      </c>
      <c r="I58" s="5">
        <v>118.8</v>
      </c>
      <c r="J58" s="5">
        <v>36</v>
      </c>
      <c r="K58" s="8">
        <v>191.96</v>
      </c>
      <c r="L58" s="8">
        <v>8.4700000000000006</v>
      </c>
      <c r="M58" s="9">
        <f t="shared" si="3"/>
        <v>21.977689568627451</v>
      </c>
      <c r="N58" s="9">
        <v>22</v>
      </c>
      <c r="O58" s="5">
        <v>108.4</v>
      </c>
      <c r="P58" s="5"/>
      <c r="Q58" s="5"/>
      <c r="R58" s="4"/>
      <c r="S58" s="4"/>
      <c r="T58" s="4"/>
      <c r="U58" s="4"/>
      <c r="V58" s="4"/>
      <c r="W58" s="4"/>
      <c r="X58" s="4"/>
      <c r="Y58" s="4"/>
      <c r="Z58" s="4"/>
      <c r="AA58" s="4"/>
      <c r="AB58" s="4"/>
      <c r="AC58" s="4"/>
      <c r="AD58" s="4"/>
      <c r="AE58" s="4"/>
      <c r="AF58" s="4"/>
      <c r="AG58" s="4"/>
      <c r="AH58" s="4"/>
      <c r="AI58" s="6"/>
      <c r="AO58" s="82"/>
      <c r="AP58" s="82"/>
      <c r="AQ58" s="54"/>
    </row>
    <row r="59" spans="5:43" x14ac:dyDescent="0.25">
      <c r="E59" s="2" t="s">
        <v>23</v>
      </c>
      <c r="F59" s="7">
        <v>25</v>
      </c>
      <c r="G59" s="54">
        <v>29.812931280000008</v>
      </c>
      <c r="H59" s="5">
        <v>420</v>
      </c>
      <c r="I59" s="5">
        <v>118.8</v>
      </c>
      <c r="J59" s="5">
        <v>36</v>
      </c>
      <c r="K59" s="8">
        <v>191.96</v>
      </c>
      <c r="L59" s="8">
        <v>8.4700000000000006</v>
      </c>
      <c r="M59" s="9">
        <f t="shared" si="3"/>
        <v>21.98342098847478</v>
      </c>
      <c r="N59" s="9">
        <v>22</v>
      </c>
      <c r="O59" s="5">
        <v>30</v>
      </c>
      <c r="P59" s="5"/>
      <c r="Q59" s="5"/>
      <c r="R59" s="4"/>
      <c r="S59" s="4"/>
      <c r="T59" s="4"/>
      <c r="U59" s="4"/>
      <c r="V59" s="4"/>
      <c r="W59" s="4"/>
      <c r="X59" s="4"/>
      <c r="Y59" s="4"/>
      <c r="Z59" s="4"/>
      <c r="AA59" s="4"/>
      <c r="AB59" s="4"/>
      <c r="AC59" s="4"/>
      <c r="AD59" s="4"/>
      <c r="AE59" s="4"/>
      <c r="AF59" s="4"/>
      <c r="AG59" s="4"/>
      <c r="AH59" s="4"/>
      <c r="AI59" s="6"/>
      <c r="AO59" s="82"/>
      <c r="AP59" s="82"/>
      <c r="AQ59" s="54"/>
    </row>
    <row r="60" spans="5:43" x14ac:dyDescent="0.3">
      <c r="E60" s="168" t="s">
        <v>3</v>
      </c>
      <c r="F60" s="398"/>
      <c r="G60" s="398"/>
      <c r="H60" s="398"/>
      <c r="I60" s="398"/>
      <c r="J60" s="398"/>
      <c r="K60" s="398"/>
      <c r="L60" s="398"/>
      <c r="M60" s="398"/>
      <c r="N60" s="399"/>
      <c r="O60" s="11">
        <f>SUM(O48:O59)</f>
        <v>1932.2</v>
      </c>
      <c r="P60" s="28">
        <f>16/24</f>
        <v>0.66666666666666663</v>
      </c>
      <c r="Q60" s="28">
        <f>24/1000</f>
        <v>2.4E-2</v>
      </c>
      <c r="R60" s="8">
        <v>3.59</v>
      </c>
      <c r="S60" s="8">
        <v>12.96</v>
      </c>
      <c r="T60" s="5">
        <f>O60</f>
        <v>1932.2</v>
      </c>
      <c r="U60" s="15">
        <f>P60*Q60*R60*S60*T60</f>
        <v>1438.37296128</v>
      </c>
      <c r="V60" s="5">
        <v>3.94</v>
      </c>
      <c r="W60" s="5">
        <v>12.96</v>
      </c>
      <c r="X60" s="5">
        <f>O60</f>
        <v>1932.2</v>
      </c>
      <c r="Y60" s="16">
        <f>(P60*Q60*V60*W60*X60)</f>
        <v>1578.6043084800001</v>
      </c>
      <c r="Z60" s="8">
        <v>2.13</v>
      </c>
      <c r="AA60" s="8">
        <v>41.904000000000003</v>
      </c>
      <c r="AB60" s="8">
        <f>O60</f>
        <v>1932.2</v>
      </c>
      <c r="AC60" s="17">
        <f>(P60*Q60*Z60*AA60*AB60)</f>
        <v>2759.3522519040002</v>
      </c>
      <c r="AD60" s="96">
        <f>L358</f>
        <v>3461.0235647366339</v>
      </c>
      <c r="AE60" s="18">
        <f>U60+Y60+AC60+AD60</f>
        <v>9237.3530864006334</v>
      </c>
      <c r="AF60" s="4">
        <f>AE60*0.1</f>
        <v>923.73530864006341</v>
      </c>
      <c r="AG60" s="19">
        <f>AE60+AF60</f>
        <v>10161.088395040697</v>
      </c>
      <c r="AH60" s="8">
        <v>3.1</v>
      </c>
      <c r="AI60" s="20">
        <f>ROUND((AG60/AH60),0)</f>
        <v>3278</v>
      </c>
      <c r="AO60" s="53"/>
      <c r="AP60" s="54"/>
      <c r="AQ60" s="54"/>
    </row>
    <row r="61" spans="5:43" x14ac:dyDescent="0.3">
      <c r="E61" s="385" t="s">
        <v>221</v>
      </c>
      <c r="F61" s="386"/>
      <c r="G61" s="386"/>
      <c r="H61" s="386"/>
      <c r="I61" s="386"/>
      <c r="J61" s="386"/>
      <c r="K61" s="386"/>
      <c r="L61" s="386"/>
      <c r="M61" s="386"/>
      <c r="N61" s="386"/>
      <c r="O61" s="386"/>
      <c r="P61" s="386"/>
      <c r="Q61" s="386"/>
      <c r="R61" s="386"/>
      <c r="S61" s="386"/>
      <c r="T61" s="386"/>
      <c r="U61" s="386"/>
      <c r="V61" s="386"/>
      <c r="W61" s="386"/>
      <c r="X61" s="386"/>
      <c r="Y61" s="386"/>
      <c r="Z61" s="386"/>
      <c r="AA61" s="386"/>
      <c r="AB61" s="386"/>
      <c r="AC61" s="386"/>
      <c r="AD61" s="386"/>
      <c r="AE61" s="386"/>
      <c r="AF61" s="386"/>
      <c r="AG61" s="386"/>
      <c r="AH61" s="387"/>
      <c r="AI61" s="150">
        <f>AI60</f>
        <v>3278</v>
      </c>
      <c r="AJ61" s="39">
        <v>25</v>
      </c>
      <c r="AO61" s="53"/>
      <c r="AP61" s="54"/>
      <c r="AQ61" s="54"/>
    </row>
    <row r="62" spans="5:43" ht="15.5" x14ac:dyDescent="0.4">
      <c r="E62" s="2" t="s">
        <v>0</v>
      </c>
      <c r="F62" s="3"/>
      <c r="G62" s="5"/>
      <c r="H62" s="4"/>
      <c r="I62" s="4"/>
      <c r="J62" s="4"/>
      <c r="K62" s="4"/>
      <c r="L62" s="4"/>
      <c r="M62" s="3" t="s">
        <v>138</v>
      </c>
      <c r="N62" s="3" t="s">
        <v>137</v>
      </c>
      <c r="O62" s="8" t="s">
        <v>2</v>
      </c>
      <c r="P62" s="5"/>
      <c r="Q62" s="5"/>
      <c r="R62" s="4"/>
      <c r="S62" s="4"/>
      <c r="T62" s="4"/>
      <c r="U62" s="4"/>
      <c r="V62" s="4"/>
      <c r="W62" s="4"/>
      <c r="X62" s="4"/>
      <c r="Y62" s="4"/>
      <c r="Z62" s="4"/>
      <c r="AA62" s="4"/>
      <c r="AB62" s="4"/>
      <c r="AC62" s="4"/>
      <c r="AD62" s="4"/>
      <c r="AE62" s="4"/>
      <c r="AF62" s="4"/>
      <c r="AG62" s="4"/>
      <c r="AH62" s="4"/>
      <c r="AI62" s="6"/>
    </row>
    <row r="63" spans="5:43" x14ac:dyDescent="0.25">
      <c r="E63" s="2" t="s">
        <v>15</v>
      </c>
      <c r="F63" s="7">
        <v>26</v>
      </c>
      <c r="G63" s="54">
        <v>30.961679760000006</v>
      </c>
      <c r="H63" s="5">
        <v>420</v>
      </c>
      <c r="I63" s="5">
        <v>118.8</v>
      </c>
      <c r="J63" s="5">
        <v>36</v>
      </c>
      <c r="K63" s="8">
        <v>191.96</v>
      </c>
      <c r="L63" s="8">
        <v>8.4700000000000006</v>
      </c>
      <c r="M63" s="9">
        <f>(F63-((G63+H63+I63+J63)/(K63+L63)))</f>
        <v>22.977689568627451</v>
      </c>
      <c r="N63" s="9">
        <v>23</v>
      </c>
      <c r="O63" s="5">
        <v>13.5</v>
      </c>
      <c r="P63" s="5"/>
      <c r="Q63" s="5"/>
      <c r="R63" s="4"/>
      <c r="S63" s="4"/>
      <c r="T63" s="4"/>
      <c r="U63" s="4"/>
      <c r="V63" s="4"/>
      <c r="W63" s="4"/>
      <c r="X63" s="4"/>
      <c r="Y63" s="4"/>
      <c r="Z63" s="4"/>
      <c r="AA63" s="4"/>
      <c r="AB63" s="4"/>
      <c r="AC63" s="4"/>
      <c r="AD63" s="4"/>
      <c r="AE63" s="4"/>
      <c r="AF63" s="4"/>
      <c r="AG63" s="4"/>
      <c r="AH63" s="4"/>
      <c r="AI63" s="6"/>
    </row>
    <row r="64" spans="5:43" x14ac:dyDescent="0.25">
      <c r="E64" s="2" t="s">
        <v>16</v>
      </c>
      <c r="F64" s="7">
        <v>26</v>
      </c>
      <c r="G64" s="54">
        <v>34.400654639999999</v>
      </c>
      <c r="H64" s="5">
        <v>420</v>
      </c>
      <c r="I64" s="5">
        <v>118.8</v>
      </c>
      <c r="J64" s="5">
        <v>36</v>
      </c>
      <c r="K64" s="8">
        <v>191.96</v>
      </c>
      <c r="L64" s="8">
        <v>8.4700000000000006</v>
      </c>
      <c r="M64" s="9">
        <f t="shared" ref="M64:M74" si="4">(F64-((G64+H64+I64+J64)/(K64+L64)))</f>
        <v>22.960531583894628</v>
      </c>
      <c r="N64" s="9">
        <v>23</v>
      </c>
      <c r="O64" s="5">
        <v>46.4</v>
      </c>
      <c r="P64" s="5"/>
      <c r="Q64" s="5"/>
      <c r="R64" s="4"/>
      <c r="S64" s="4"/>
      <c r="T64" s="4"/>
      <c r="U64" s="4"/>
      <c r="V64" s="4"/>
      <c r="W64" s="4"/>
      <c r="X64" s="4"/>
      <c r="Y64" s="4"/>
      <c r="Z64" s="4"/>
      <c r="AA64" s="4"/>
      <c r="AB64" s="4"/>
      <c r="AC64" s="4"/>
      <c r="AD64" s="4"/>
      <c r="AE64" s="4"/>
      <c r="AF64" s="4"/>
      <c r="AG64" s="4"/>
      <c r="AH64" s="4"/>
      <c r="AI64" s="6"/>
    </row>
    <row r="65" spans="5:43" x14ac:dyDescent="0.25">
      <c r="E65" s="2" t="s">
        <v>17</v>
      </c>
      <c r="F65" s="7">
        <v>26</v>
      </c>
      <c r="G65" s="54">
        <v>38.988378000000012</v>
      </c>
      <c r="H65" s="5">
        <v>420</v>
      </c>
      <c r="I65" s="5">
        <v>118.8</v>
      </c>
      <c r="J65" s="5">
        <v>36</v>
      </c>
      <c r="K65" s="8">
        <v>191.96</v>
      </c>
      <c r="L65" s="8">
        <v>8.4700000000000006</v>
      </c>
      <c r="M65" s="9">
        <f t="shared" si="4"/>
        <v>22.937642179314473</v>
      </c>
      <c r="N65" s="9">
        <v>23</v>
      </c>
      <c r="O65" s="5">
        <v>146.1</v>
      </c>
      <c r="P65" s="5"/>
      <c r="Q65" s="5"/>
      <c r="R65" s="4"/>
      <c r="S65" s="4"/>
      <c r="T65" s="4"/>
      <c r="U65" s="4"/>
      <c r="V65" s="4"/>
      <c r="W65" s="4"/>
      <c r="X65" s="4"/>
      <c r="Y65" s="4"/>
      <c r="Z65" s="4"/>
      <c r="AA65" s="4"/>
      <c r="AB65" s="4"/>
      <c r="AC65" s="4"/>
      <c r="AD65" s="4"/>
      <c r="AE65" s="4"/>
      <c r="AF65" s="4"/>
      <c r="AG65" s="4"/>
      <c r="AH65" s="4"/>
      <c r="AI65" s="6"/>
    </row>
    <row r="66" spans="5:43" x14ac:dyDescent="0.25">
      <c r="E66" s="2" t="s">
        <v>18</v>
      </c>
      <c r="F66" s="7">
        <v>26</v>
      </c>
      <c r="G66" s="54">
        <v>42.427352880000001</v>
      </c>
      <c r="H66" s="5">
        <v>420</v>
      </c>
      <c r="I66" s="5">
        <v>118.8</v>
      </c>
      <c r="J66" s="5">
        <v>36</v>
      </c>
      <c r="K66" s="8">
        <v>191.96</v>
      </c>
      <c r="L66" s="8">
        <v>8.4700000000000006</v>
      </c>
      <c r="M66" s="9">
        <f t="shared" si="4"/>
        <v>22.92048419458165</v>
      </c>
      <c r="N66" s="9">
        <v>23</v>
      </c>
      <c r="O66" s="5">
        <v>173.4</v>
      </c>
      <c r="P66" s="5"/>
      <c r="Q66" s="5"/>
      <c r="R66" s="4"/>
      <c r="S66" s="4"/>
      <c r="T66" s="4"/>
      <c r="U66" s="4"/>
      <c r="V66" s="4"/>
      <c r="W66" s="4"/>
      <c r="X66" s="4"/>
      <c r="Y66" s="4"/>
      <c r="Z66" s="4"/>
      <c r="AA66" s="4"/>
      <c r="AB66" s="4"/>
      <c r="AC66" s="4"/>
      <c r="AD66" s="4"/>
      <c r="AE66" s="4"/>
      <c r="AF66" s="4"/>
      <c r="AG66" s="4"/>
      <c r="AH66" s="4"/>
      <c r="AI66" s="6"/>
    </row>
    <row r="67" spans="5:43" x14ac:dyDescent="0.25">
      <c r="E67" s="2" t="s">
        <v>12</v>
      </c>
      <c r="F67" s="7">
        <v>26</v>
      </c>
      <c r="G67" s="54">
        <v>49.308937919999998</v>
      </c>
      <c r="H67" s="5">
        <v>420</v>
      </c>
      <c r="I67" s="5">
        <v>118.8</v>
      </c>
      <c r="J67" s="5">
        <v>36</v>
      </c>
      <c r="K67" s="8">
        <v>191.96</v>
      </c>
      <c r="L67" s="8">
        <v>8.4700000000000006</v>
      </c>
      <c r="M67" s="9">
        <f t="shared" si="4"/>
        <v>22.886150087711421</v>
      </c>
      <c r="N67" s="9">
        <v>23</v>
      </c>
      <c r="O67" s="5">
        <v>214.1</v>
      </c>
      <c r="P67" s="5"/>
      <c r="Q67" s="5"/>
      <c r="R67" s="4"/>
      <c r="S67" s="4"/>
      <c r="T67" s="4"/>
      <c r="U67" s="4"/>
      <c r="V67" s="4"/>
      <c r="W67" s="4"/>
      <c r="X67" s="4"/>
      <c r="Y67" s="4"/>
      <c r="Z67" s="4"/>
      <c r="AA67" s="4"/>
      <c r="AB67" s="4"/>
      <c r="AC67" s="4"/>
      <c r="AD67" s="4"/>
      <c r="AE67" s="4"/>
      <c r="AF67" s="4"/>
      <c r="AG67" s="4"/>
      <c r="AH67" s="4"/>
      <c r="AI67" s="6"/>
    </row>
    <row r="68" spans="5:43" x14ac:dyDescent="0.25">
      <c r="E68" s="2" t="s">
        <v>13</v>
      </c>
      <c r="F68" s="7">
        <v>26</v>
      </c>
      <c r="G68" s="54">
        <v>63.072108000000007</v>
      </c>
      <c r="H68" s="5">
        <v>420</v>
      </c>
      <c r="I68" s="5">
        <v>118.8</v>
      </c>
      <c r="J68" s="5">
        <v>36</v>
      </c>
      <c r="K68" s="8">
        <v>191.96</v>
      </c>
      <c r="L68" s="8">
        <v>8.4700000000000006</v>
      </c>
      <c r="M68" s="9">
        <f t="shared" si="4"/>
        <v>22.817481873970962</v>
      </c>
      <c r="N68" s="9">
        <v>23</v>
      </c>
      <c r="O68" s="5">
        <v>202.9</v>
      </c>
      <c r="P68" s="5"/>
      <c r="Q68" s="5"/>
      <c r="R68" s="4"/>
      <c r="S68" s="4"/>
      <c r="T68" s="4"/>
      <c r="U68" s="4"/>
      <c r="V68" s="4"/>
      <c r="W68" s="4"/>
      <c r="X68" s="4"/>
      <c r="Y68" s="4"/>
      <c r="Z68" s="4"/>
      <c r="AA68" s="4"/>
      <c r="AB68" s="4"/>
      <c r="AC68" s="4"/>
      <c r="AD68" s="4"/>
      <c r="AE68" s="4"/>
      <c r="AF68" s="4"/>
      <c r="AG68" s="4"/>
      <c r="AH68" s="4"/>
      <c r="AI68" s="6"/>
    </row>
    <row r="69" spans="5:43" x14ac:dyDescent="0.25">
      <c r="E69" s="2" t="s">
        <v>1</v>
      </c>
      <c r="F69" s="7">
        <v>26</v>
      </c>
      <c r="G69" s="54">
        <v>51.602799600000004</v>
      </c>
      <c r="H69" s="5">
        <v>420</v>
      </c>
      <c r="I69" s="5">
        <v>118.8</v>
      </c>
      <c r="J69" s="5">
        <v>36</v>
      </c>
      <c r="K69" s="8">
        <v>191.96</v>
      </c>
      <c r="L69" s="8">
        <v>8.4700000000000006</v>
      </c>
      <c r="M69" s="9">
        <f t="shared" si="4"/>
        <v>22.874705385421343</v>
      </c>
      <c r="N69" s="9">
        <v>23</v>
      </c>
      <c r="O69" s="5">
        <v>206.7</v>
      </c>
      <c r="P69" s="27"/>
      <c r="Q69" s="27"/>
      <c r="R69" s="4"/>
      <c r="S69" s="4"/>
      <c r="T69" s="4"/>
      <c r="U69" s="4"/>
      <c r="V69" s="4"/>
      <c r="W69" s="4"/>
      <c r="X69" s="4"/>
      <c r="Y69" s="4"/>
      <c r="Z69" s="4"/>
      <c r="AA69" s="4"/>
      <c r="AB69" s="4"/>
      <c r="AC69" s="4"/>
      <c r="AD69" s="4"/>
      <c r="AE69" s="4"/>
      <c r="AF69" s="4"/>
      <c r="AG69" s="4"/>
      <c r="AH69" s="4"/>
      <c r="AI69" s="6"/>
    </row>
    <row r="70" spans="5:43" x14ac:dyDescent="0.25">
      <c r="E70" s="2" t="s">
        <v>19</v>
      </c>
      <c r="F70" s="7">
        <v>26</v>
      </c>
      <c r="G70" s="54">
        <v>43.57610136000001</v>
      </c>
      <c r="H70" s="5">
        <v>420</v>
      </c>
      <c r="I70" s="5">
        <v>118.8</v>
      </c>
      <c r="J70" s="5">
        <v>36</v>
      </c>
      <c r="K70" s="8">
        <v>191.96</v>
      </c>
      <c r="L70" s="8">
        <v>8.4700000000000006</v>
      </c>
      <c r="M70" s="9">
        <f t="shared" si="4"/>
        <v>22.914752774734321</v>
      </c>
      <c r="N70" s="9">
        <v>23</v>
      </c>
      <c r="O70" s="5">
        <v>171.2</v>
      </c>
      <c r="P70" s="27"/>
      <c r="Q70" s="27"/>
      <c r="R70" s="4"/>
      <c r="S70" s="4"/>
      <c r="T70" s="4"/>
      <c r="U70" s="4"/>
      <c r="V70" s="4"/>
      <c r="W70" s="4"/>
      <c r="X70" s="4"/>
      <c r="Y70" s="4"/>
      <c r="Z70" s="4"/>
      <c r="AA70" s="4"/>
      <c r="AB70" s="4"/>
      <c r="AC70" s="4"/>
      <c r="AD70" s="4"/>
      <c r="AE70" s="4"/>
      <c r="AF70" s="4"/>
      <c r="AG70" s="4"/>
      <c r="AH70" s="4"/>
      <c r="AI70" s="6"/>
    </row>
    <row r="71" spans="5:43" x14ac:dyDescent="0.25">
      <c r="E71" s="2" t="s">
        <v>20</v>
      </c>
      <c r="F71" s="7">
        <v>26</v>
      </c>
      <c r="G71" s="54">
        <v>40.137126480000006</v>
      </c>
      <c r="H71" s="5">
        <v>420</v>
      </c>
      <c r="I71" s="5">
        <v>118.8</v>
      </c>
      <c r="J71" s="5">
        <v>36</v>
      </c>
      <c r="K71" s="8">
        <v>191.96</v>
      </c>
      <c r="L71" s="8">
        <v>8.4700000000000006</v>
      </c>
      <c r="M71" s="9">
        <f t="shared" si="4"/>
        <v>22.931910759467147</v>
      </c>
      <c r="N71" s="9">
        <v>23</v>
      </c>
      <c r="O71" s="5">
        <v>196.2</v>
      </c>
      <c r="P71" s="27"/>
      <c r="Q71" s="27"/>
      <c r="R71" s="4"/>
      <c r="S71" s="4"/>
      <c r="T71" s="4"/>
      <c r="U71" s="4"/>
      <c r="V71" s="4"/>
      <c r="W71" s="4"/>
      <c r="X71" s="4"/>
      <c r="Y71" s="4"/>
      <c r="Z71" s="4"/>
      <c r="AA71" s="4"/>
      <c r="AB71" s="4"/>
      <c r="AC71" s="4"/>
      <c r="AD71" s="4"/>
      <c r="AE71" s="4"/>
      <c r="AF71" s="4"/>
      <c r="AG71" s="4"/>
      <c r="AH71" s="4"/>
      <c r="AI71" s="6"/>
    </row>
    <row r="72" spans="5:43" x14ac:dyDescent="0.25">
      <c r="E72" s="2" t="s">
        <v>21</v>
      </c>
      <c r="F72" s="7">
        <v>26</v>
      </c>
      <c r="G72" s="54">
        <v>35.549403120000008</v>
      </c>
      <c r="H72" s="5">
        <v>420</v>
      </c>
      <c r="I72" s="5">
        <v>118.8</v>
      </c>
      <c r="J72" s="5">
        <v>36</v>
      </c>
      <c r="K72" s="8">
        <v>191.96</v>
      </c>
      <c r="L72" s="8">
        <v>8.4700000000000006</v>
      </c>
      <c r="M72" s="9">
        <f t="shared" si="4"/>
        <v>22.954800164047299</v>
      </c>
      <c r="N72" s="9">
        <v>23</v>
      </c>
      <c r="O72" s="5">
        <v>158.5</v>
      </c>
      <c r="P72" s="27"/>
      <c r="Q72" s="27"/>
      <c r="R72" s="4"/>
      <c r="S72" s="4"/>
      <c r="T72" s="4"/>
      <c r="U72" s="4"/>
      <c r="V72" s="4"/>
      <c r="W72" s="4"/>
      <c r="X72" s="4"/>
      <c r="Y72" s="4"/>
      <c r="Z72" s="4"/>
      <c r="AA72" s="4"/>
      <c r="AB72" s="4"/>
      <c r="AC72" s="4"/>
      <c r="AD72" s="4"/>
      <c r="AE72" s="4"/>
      <c r="AF72" s="4"/>
      <c r="AG72" s="4"/>
      <c r="AH72" s="4"/>
      <c r="AI72" s="6"/>
    </row>
    <row r="73" spans="5:43" x14ac:dyDescent="0.25">
      <c r="E73" s="2" t="s">
        <v>22</v>
      </c>
      <c r="F73" s="7">
        <v>26</v>
      </c>
      <c r="G73" s="54">
        <v>30.961679760000006</v>
      </c>
      <c r="H73" s="5">
        <v>420</v>
      </c>
      <c r="I73" s="5">
        <v>118.8</v>
      </c>
      <c r="J73" s="5">
        <v>36</v>
      </c>
      <c r="K73" s="8">
        <v>191.96</v>
      </c>
      <c r="L73" s="8">
        <v>8.4700000000000006</v>
      </c>
      <c r="M73" s="9">
        <f t="shared" si="4"/>
        <v>22.977689568627451</v>
      </c>
      <c r="N73" s="9">
        <v>23</v>
      </c>
      <c r="O73" s="5">
        <v>85.3</v>
      </c>
      <c r="P73" s="27"/>
      <c r="Q73" s="27"/>
      <c r="R73" s="4"/>
      <c r="S73" s="4"/>
      <c r="T73" s="4"/>
      <c r="U73" s="4"/>
      <c r="V73" s="4"/>
      <c r="W73" s="4"/>
      <c r="X73" s="4"/>
      <c r="Y73" s="4"/>
      <c r="Z73" s="4"/>
      <c r="AA73" s="4"/>
      <c r="AB73" s="4"/>
      <c r="AC73" s="4"/>
      <c r="AD73" s="4"/>
      <c r="AE73" s="4"/>
      <c r="AF73" s="4"/>
      <c r="AG73" s="4"/>
      <c r="AH73" s="4"/>
      <c r="AI73" s="6"/>
    </row>
    <row r="74" spans="5:43" x14ac:dyDescent="0.25">
      <c r="E74" s="2" t="s">
        <v>23</v>
      </c>
      <c r="F74" s="7">
        <v>26</v>
      </c>
      <c r="G74" s="54">
        <v>29.812931280000008</v>
      </c>
      <c r="H74" s="5">
        <v>420</v>
      </c>
      <c r="I74" s="5">
        <v>118.8</v>
      </c>
      <c r="J74" s="5">
        <v>36</v>
      </c>
      <c r="K74" s="8">
        <v>191.96</v>
      </c>
      <c r="L74" s="8">
        <v>8.4700000000000006</v>
      </c>
      <c r="M74" s="9">
        <f t="shared" si="4"/>
        <v>22.98342098847478</v>
      </c>
      <c r="N74" s="9">
        <v>23</v>
      </c>
      <c r="O74" s="5">
        <v>20.3</v>
      </c>
      <c r="P74" s="27"/>
      <c r="Q74" s="27"/>
      <c r="R74" s="4"/>
      <c r="S74" s="4"/>
      <c r="T74" s="4"/>
      <c r="U74" s="4"/>
      <c r="V74" s="4"/>
      <c r="W74" s="4"/>
      <c r="X74" s="4"/>
      <c r="Y74" s="4"/>
      <c r="Z74" s="4"/>
      <c r="AA74" s="4"/>
      <c r="AB74" s="4"/>
      <c r="AC74" s="4"/>
      <c r="AD74" s="4"/>
      <c r="AE74" s="4"/>
      <c r="AF74" s="4"/>
      <c r="AG74" s="4"/>
      <c r="AH74" s="4"/>
      <c r="AI74" s="6"/>
    </row>
    <row r="75" spans="5:43" x14ac:dyDescent="0.3">
      <c r="E75" s="423" t="s">
        <v>3</v>
      </c>
      <c r="F75" s="424"/>
      <c r="G75" s="424"/>
      <c r="H75" s="424"/>
      <c r="I75" s="424"/>
      <c r="J75" s="424"/>
      <c r="K75" s="424"/>
      <c r="L75" s="424"/>
      <c r="M75" s="424"/>
      <c r="N75" s="425"/>
      <c r="O75" s="11">
        <f>SUM(O63:O74)</f>
        <v>1634.6</v>
      </c>
      <c r="P75" s="28">
        <f>16/24</f>
        <v>0.66666666666666663</v>
      </c>
      <c r="Q75" s="28">
        <f>24/1000</f>
        <v>2.4E-2</v>
      </c>
      <c r="R75" s="8">
        <v>3.59</v>
      </c>
      <c r="S75" s="8">
        <v>12.96</v>
      </c>
      <c r="T75" s="5">
        <f>O75</f>
        <v>1634.6</v>
      </c>
      <c r="U75" s="15">
        <f>P75*Q75*R75*S75*T75</f>
        <v>1216.8328550399999</v>
      </c>
      <c r="V75" s="5">
        <v>3.94</v>
      </c>
      <c r="W75" s="5">
        <v>12.96</v>
      </c>
      <c r="X75" s="5">
        <f>O75</f>
        <v>1634.6</v>
      </c>
      <c r="Y75" s="16">
        <f>(P75*Q75*V75*W75*X75)</f>
        <v>1335.4655846399999</v>
      </c>
      <c r="Z75" s="8">
        <v>2.13</v>
      </c>
      <c r="AA75" s="8">
        <v>41.904000000000003</v>
      </c>
      <c r="AB75" s="8">
        <f>O75</f>
        <v>1634.6</v>
      </c>
      <c r="AC75" s="17">
        <f>(P75*Q75*Z75*AA75*AB75)</f>
        <v>2334.3531678720001</v>
      </c>
      <c r="AD75" s="96">
        <f>L359</f>
        <v>3383.6029434075203</v>
      </c>
      <c r="AE75" s="18">
        <f>U75+Y75+AC75+AD75</f>
        <v>8270.2545509595202</v>
      </c>
      <c r="AF75" s="4">
        <f>AE75*0.1</f>
        <v>827.02545509595211</v>
      </c>
      <c r="AG75" s="19">
        <f>AE75+AF75</f>
        <v>9097.2800060554728</v>
      </c>
      <c r="AH75" s="8">
        <v>3.1</v>
      </c>
      <c r="AI75" s="20">
        <f>ROUND((AG75/AH75),0)</f>
        <v>2935</v>
      </c>
      <c r="AJ75" s="39">
        <v>26</v>
      </c>
      <c r="AK75" s="122"/>
      <c r="AL75" s="122"/>
    </row>
    <row r="76" spans="5:43" ht="16" thickBot="1" x14ac:dyDescent="0.45">
      <c r="E76" s="2" t="s">
        <v>0</v>
      </c>
      <c r="F76" s="3"/>
      <c r="G76" s="5"/>
      <c r="H76" s="4"/>
      <c r="I76" s="4"/>
      <c r="J76" s="4"/>
      <c r="K76" s="4"/>
      <c r="L76" s="4"/>
      <c r="M76" s="3" t="s">
        <v>138</v>
      </c>
      <c r="N76" s="3" t="s">
        <v>137</v>
      </c>
      <c r="O76" s="8" t="s">
        <v>2</v>
      </c>
      <c r="P76" s="5"/>
      <c r="Q76" s="5"/>
      <c r="R76" s="4"/>
      <c r="S76" s="4"/>
      <c r="T76" s="4"/>
      <c r="U76" s="4"/>
      <c r="V76" s="4"/>
      <c r="W76" s="4"/>
      <c r="X76" s="4"/>
      <c r="Y76" s="4"/>
      <c r="Z76" s="4"/>
      <c r="AA76" s="4"/>
      <c r="AB76" s="4"/>
      <c r="AC76" s="4"/>
      <c r="AD76" s="4"/>
      <c r="AE76" s="4"/>
      <c r="AF76" s="4"/>
      <c r="AG76" s="4"/>
      <c r="AH76" s="4"/>
      <c r="AI76" s="6"/>
    </row>
    <row r="77" spans="5:43" x14ac:dyDescent="0.3">
      <c r="E77" s="2" t="s">
        <v>15</v>
      </c>
      <c r="F77" s="7">
        <v>27</v>
      </c>
      <c r="G77" s="54">
        <v>30.961679760000006</v>
      </c>
      <c r="H77" s="5">
        <v>420</v>
      </c>
      <c r="I77" s="5">
        <v>118.8</v>
      </c>
      <c r="J77" s="5">
        <v>36</v>
      </c>
      <c r="K77" s="8">
        <v>191.96</v>
      </c>
      <c r="L77" s="8">
        <v>8.4700000000000006</v>
      </c>
      <c r="M77" s="9">
        <f>(F77-((G77+H77+I77+J77)/(K77+L77)))</f>
        <v>23.977689568627451</v>
      </c>
      <c r="N77" s="9">
        <v>24</v>
      </c>
      <c r="O77" s="5">
        <v>7.9</v>
      </c>
      <c r="P77" s="5"/>
      <c r="Q77" s="5"/>
      <c r="R77" s="4"/>
      <c r="S77" s="4"/>
      <c r="T77" s="4"/>
      <c r="U77" s="4"/>
      <c r="V77" s="4"/>
      <c r="W77" s="4"/>
      <c r="X77" s="4"/>
      <c r="Y77" s="4"/>
      <c r="Z77" s="4"/>
      <c r="AA77" s="4"/>
      <c r="AB77" s="4"/>
      <c r="AC77" s="4"/>
      <c r="AD77" s="4"/>
      <c r="AE77" s="4"/>
      <c r="AF77" s="4"/>
      <c r="AG77" s="4"/>
      <c r="AH77" s="4"/>
      <c r="AI77" s="6"/>
      <c r="AN77" s="141"/>
      <c r="AO77" s="295" t="s">
        <v>204</v>
      </c>
      <c r="AP77" s="296"/>
      <c r="AQ77" s="297"/>
    </row>
    <row r="78" spans="5:43" x14ac:dyDescent="0.25">
      <c r="E78" s="2" t="s">
        <v>16</v>
      </c>
      <c r="F78" s="7">
        <v>27</v>
      </c>
      <c r="G78" s="54">
        <v>34.400654639999999</v>
      </c>
      <c r="H78" s="5">
        <v>420</v>
      </c>
      <c r="I78" s="5">
        <v>118.8</v>
      </c>
      <c r="J78" s="5">
        <v>36</v>
      </c>
      <c r="K78" s="8">
        <v>191.96</v>
      </c>
      <c r="L78" s="8">
        <v>8.4700000000000006</v>
      </c>
      <c r="M78" s="9">
        <f t="shared" ref="M78:M88" si="5">(F78-((G78+H78+I78+J78)/(K78+L78)))</f>
        <v>23.960531583894628</v>
      </c>
      <c r="N78" s="9">
        <v>24</v>
      </c>
      <c r="O78" s="5">
        <v>33.299999999999997</v>
      </c>
      <c r="P78" s="5"/>
      <c r="Q78" s="5"/>
      <c r="R78" s="4"/>
      <c r="S78" s="4"/>
      <c r="T78" s="4"/>
      <c r="U78" s="4"/>
      <c r="V78" s="4"/>
      <c r="W78" s="4"/>
      <c r="X78" s="4"/>
      <c r="Y78" s="4"/>
      <c r="Z78" s="4"/>
      <c r="AA78" s="4"/>
      <c r="AB78" s="4"/>
      <c r="AC78" s="4"/>
      <c r="AD78" s="4"/>
      <c r="AE78" s="4"/>
      <c r="AF78" s="4"/>
      <c r="AG78" s="4"/>
      <c r="AH78" s="4"/>
      <c r="AI78" s="6"/>
      <c r="AO78" s="76" t="s">
        <v>195</v>
      </c>
      <c r="AP78" s="27" t="s">
        <v>196</v>
      </c>
      <c r="AQ78" s="86" t="s">
        <v>201</v>
      </c>
    </row>
    <row r="79" spans="5:43" x14ac:dyDescent="0.25">
      <c r="E79" s="2" t="s">
        <v>17</v>
      </c>
      <c r="F79" s="7">
        <v>27</v>
      </c>
      <c r="G79" s="54">
        <v>38.988378000000012</v>
      </c>
      <c r="H79" s="5">
        <v>420</v>
      </c>
      <c r="I79" s="5">
        <v>118.8</v>
      </c>
      <c r="J79" s="5">
        <v>36</v>
      </c>
      <c r="K79" s="8">
        <v>191.96</v>
      </c>
      <c r="L79" s="8">
        <v>8.4700000000000006</v>
      </c>
      <c r="M79" s="9">
        <f t="shared" si="5"/>
        <v>23.937642179314473</v>
      </c>
      <c r="N79" s="9">
        <v>24</v>
      </c>
      <c r="O79" s="5">
        <v>119.6</v>
      </c>
      <c r="P79" s="5"/>
      <c r="Q79" s="5"/>
      <c r="R79" s="4"/>
      <c r="S79" s="4"/>
      <c r="T79" s="4"/>
      <c r="U79" s="4"/>
      <c r="V79" s="4"/>
      <c r="W79" s="4"/>
      <c r="X79" s="4"/>
      <c r="Y79" s="4"/>
      <c r="Z79" s="4"/>
      <c r="AA79" s="4"/>
      <c r="AB79" s="4"/>
      <c r="AC79" s="4"/>
      <c r="AD79" s="4"/>
      <c r="AE79" s="4"/>
      <c r="AF79" s="4"/>
      <c r="AG79" s="4"/>
      <c r="AH79" s="4"/>
      <c r="AI79" s="6"/>
      <c r="AO79" s="76">
        <v>26</v>
      </c>
      <c r="AP79" s="27">
        <v>10</v>
      </c>
      <c r="AQ79" s="35">
        <f>AP79/AP82</f>
        <v>0.5</v>
      </c>
    </row>
    <row r="80" spans="5:43" x14ac:dyDescent="0.25">
      <c r="E80" s="2" t="s">
        <v>18</v>
      </c>
      <c r="F80" s="7">
        <v>27</v>
      </c>
      <c r="G80" s="54">
        <v>42.427352880000001</v>
      </c>
      <c r="H80" s="5">
        <v>420</v>
      </c>
      <c r="I80" s="5">
        <v>118.8</v>
      </c>
      <c r="J80" s="5">
        <v>36</v>
      </c>
      <c r="K80" s="8">
        <v>191.96</v>
      </c>
      <c r="L80" s="8">
        <v>8.4700000000000006</v>
      </c>
      <c r="M80" s="9">
        <f t="shared" si="5"/>
        <v>23.92048419458165</v>
      </c>
      <c r="N80" s="9">
        <v>24</v>
      </c>
      <c r="O80" s="5">
        <v>144.69999999999999</v>
      </c>
      <c r="P80" s="5"/>
      <c r="Q80" s="5"/>
      <c r="R80" s="4"/>
      <c r="S80" s="4"/>
      <c r="T80" s="4"/>
      <c r="U80" s="4"/>
      <c r="V80" s="4"/>
      <c r="W80" s="4"/>
      <c r="X80" s="4"/>
      <c r="Y80" s="4"/>
      <c r="Z80" s="4"/>
      <c r="AA80" s="4"/>
      <c r="AB80" s="4"/>
      <c r="AC80" s="4"/>
      <c r="AD80" s="4"/>
      <c r="AE80" s="4"/>
      <c r="AF80" s="4"/>
      <c r="AG80" s="4"/>
      <c r="AH80" s="4"/>
      <c r="AI80" s="6"/>
      <c r="AO80" s="76">
        <v>27</v>
      </c>
      <c r="AP80" s="27">
        <v>8</v>
      </c>
      <c r="AQ80" s="35">
        <f>AP80/AP82</f>
        <v>0.4</v>
      </c>
    </row>
    <row r="81" spans="5:43" x14ac:dyDescent="0.25">
      <c r="E81" s="2" t="s">
        <v>12</v>
      </c>
      <c r="F81" s="7">
        <v>27</v>
      </c>
      <c r="G81" s="54">
        <v>49.308937919999998</v>
      </c>
      <c r="H81" s="5">
        <v>420</v>
      </c>
      <c r="I81" s="5">
        <v>118.8</v>
      </c>
      <c r="J81" s="5">
        <v>36</v>
      </c>
      <c r="K81" s="8">
        <v>191.96</v>
      </c>
      <c r="L81" s="8">
        <v>8.4700000000000006</v>
      </c>
      <c r="M81" s="9">
        <f t="shared" si="5"/>
        <v>23.886150087711421</v>
      </c>
      <c r="N81" s="9">
        <v>24</v>
      </c>
      <c r="O81" s="5">
        <v>184</v>
      </c>
      <c r="P81" s="5"/>
      <c r="Q81" s="5"/>
      <c r="R81" s="4"/>
      <c r="S81" s="4"/>
      <c r="T81" s="4"/>
      <c r="U81" s="4"/>
      <c r="V81" s="4"/>
      <c r="W81" s="4"/>
      <c r="X81" s="4"/>
      <c r="Y81" s="4"/>
      <c r="Z81" s="4"/>
      <c r="AA81" s="4"/>
      <c r="AB81" s="4"/>
      <c r="AC81" s="4"/>
      <c r="AD81" s="4"/>
      <c r="AE81" s="4"/>
      <c r="AF81" s="4"/>
      <c r="AG81" s="4"/>
      <c r="AH81" s="4"/>
      <c r="AI81" s="6"/>
      <c r="AO81" s="76">
        <v>28</v>
      </c>
      <c r="AP81" s="27">
        <v>2</v>
      </c>
      <c r="AQ81" s="35">
        <f>AP81/AP82</f>
        <v>0.1</v>
      </c>
    </row>
    <row r="82" spans="5:43" ht="13.5" thickBot="1" x14ac:dyDescent="0.3">
      <c r="E82" s="2" t="s">
        <v>13</v>
      </c>
      <c r="F82" s="7">
        <v>27</v>
      </c>
      <c r="G82" s="54">
        <v>63.072108000000007</v>
      </c>
      <c r="H82" s="5">
        <v>420</v>
      </c>
      <c r="I82" s="5">
        <v>118.8</v>
      </c>
      <c r="J82" s="5">
        <v>36</v>
      </c>
      <c r="K82" s="8">
        <v>191.96</v>
      </c>
      <c r="L82" s="8">
        <v>8.4700000000000006</v>
      </c>
      <c r="M82" s="9">
        <f t="shared" si="5"/>
        <v>23.817481873970962</v>
      </c>
      <c r="N82" s="9">
        <v>24</v>
      </c>
      <c r="O82" s="5">
        <v>172.9</v>
      </c>
      <c r="P82" s="5"/>
      <c r="Q82" s="5"/>
      <c r="R82" s="4"/>
      <c r="S82" s="4"/>
      <c r="T82" s="4"/>
      <c r="U82" s="4"/>
      <c r="V82" s="4"/>
      <c r="W82" s="4"/>
      <c r="X82" s="4"/>
      <c r="Y82" s="4"/>
      <c r="Z82" s="4"/>
      <c r="AA82" s="4"/>
      <c r="AB82" s="4"/>
      <c r="AC82" s="4"/>
      <c r="AD82" s="4"/>
      <c r="AE82" s="4"/>
      <c r="AF82" s="4"/>
      <c r="AG82" s="4"/>
      <c r="AH82" s="4"/>
      <c r="AI82" s="6"/>
      <c r="AO82" s="142"/>
      <c r="AP82" s="89">
        <f>AP79+AP80+AP81</f>
        <v>20</v>
      </c>
      <c r="AQ82" s="140"/>
    </row>
    <row r="83" spans="5:43" x14ac:dyDescent="0.25">
      <c r="E83" s="2" t="s">
        <v>24</v>
      </c>
      <c r="F83" s="7">
        <v>27</v>
      </c>
      <c r="G83" s="54">
        <v>51.602799600000004</v>
      </c>
      <c r="H83" s="5">
        <v>420</v>
      </c>
      <c r="I83" s="5">
        <v>118.8</v>
      </c>
      <c r="J83" s="5">
        <v>36</v>
      </c>
      <c r="K83" s="8">
        <v>191.96</v>
      </c>
      <c r="L83" s="8">
        <v>8.4700000000000006</v>
      </c>
      <c r="M83" s="9">
        <f t="shared" si="5"/>
        <v>23.874705385421343</v>
      </c>
      <c r="N83" s="9">
        <v>24</v>
      </c>
      <c r="O83" s="5">
        <v>175.7</v>
      </c>
      <c r="P83" s="27"/>
      <c r="Q83" s="27"/>
      <c r="R83" s="4"/>
      <c r="S83" s="4"/>
      <c r="T83" s="4"/>
      <c r="U83" s="4"/>
      <c r="V83" s="4"/>
      <c r="W83" s="4"/>
      <c r="X83" s="4"/>
      <c r="Y83" s="4"/>
      <c r="Z83" s="4"/>
      <c r="AA83" s="4"/>
      <c r="AB83" s="4"/>
      <c r="AC83" s="4"/>
      <c r="AD83" s="4"/>
      <c r="AE83" s="4"/>
      <c r="AF83" s="4"/>
      <c r="AG83" s="4"/>
      <c r="AH83" s="4"/>
      <c r="AI83" s="6"/>
      <c r="AO83" s="143"/>
      <c r="AP83" s="143"/>
      <c r="AQ83" s="144"/>
    </row>
    <row r="84" spans="5:43" x14ac:dyDescent="0.25">
      <c r="E84" s="2" t="s">
        <v>19</v>
      </c>
      <c r="F84" s="7">
        <v>27</v>
      </c>
      <c r="G84" s="54">
        <v>43.57610136000001</v>
      </c>
      <c r="H84" s="5">
        <v>420</v>
      </c>
      <c r="I84" s="5">
        <v>118.8</v>
      </c>
      <c r="J84" s="5">
        <v>36</v>
      </c>
      <c r="K84" s="8">
        <v>191.96</v>
      </c>
      <c r="L84" s="8">
        <v>8.4700000000000006</v>
      </c>
      <c r="M84" s="9">
        <f t="shared" si="5"/>
        <v>23.914752774734321</v>
      </c>
      <c r="N84" s="9">
        <v>24</v>
      </c>
      <c r="O84" s="5">
        <v>140.19999999999999</v>
      </c>
      <c r="P84" s="27"/>
      <c r="Q84" s="27"/>
      <c r="R84" s="4"/>
      <c r="S84" s="4"/>
      <c r="T84" s="4"/>
      <c r="U84" s="4"/>
      <c r="V84" s="4"/>
      <c r="W84" s="4"/>
      <c r="X84" s="4"/>
      <c r="Y84" s="4"/>
      <c r="Z84" s="4"/>
      <c r="AA84" s="4"/>
      <c r="AB84" s="4"/>
      <c r="AC84" s="4"/>
      <c r="AD84" s="4"/>
      <c r="AE84" s="4"/>
      <c r="AF84" s="4"/>
      <c r="AG84" s="4"/>
      <c r="AH84" s="4"/>
      <c r="AI84" s="6"/>
      <c r="AO84" s="82"/>
      <c r="AP84" s="82"/>
      <c r="AQ84" s="54"/>
    </row>
    <row r="85" spans="5:43" x14ac:dyDescent="0.25">
      <c r="E85" s="2" t="s">
        <v>20</v>
      </c>
      <c r="F85" s="7">
        <v>27</v>
      </c>
      <c r="G85" s="54">
        <v>40.137126480000006</v>
      </c>
      <c r="H85" s="5">
        <v>420</v>
      </c>
      <c r="I85" s="5">
        <v>118.8</v>
      </c>
      <c r="J85" s="5">
        <v>36</v>
      </c>
      <c r="K85" s="8">
        <v>191.96</v>
      </c>
      <c r="L85" s="8">
        <v>8.4700000000000006</v>
      </c>
      <c r="M85" s="9">
        <f t="shared" si="5"/>
        <v>23.931910759467147</v>
      </c>
      <c r="N85" s="9">
        <v>24</v>
      </c>
      <c r="O85" s="5">
        <v>166.2</v>
      </c>
      <c r="P85" s="27"/>
      <c r="Q85" s="27"/>
      <c r="R85" s="4"/>
      <c r="S85" s="4"/>
      <c r="T85" s="4"/>
      <c r="U85" s="4"/>
      <c r="V85" s="4"/>
      <c r="W85" s="4"/>
      <c r="X85" s="4"/>
      <c r="Y85" s="4"/>
      <c r="Z85" s="4"/>
      <c r="AA85" s="4"/>
      <c r="AB85" s="4"/>
      <c r="AC85" s="4"/>
      <c r="AD85" s="4"/>
      <c r="AE85" s="4"/>
      <c r="AF85" s="4"/>
      <c r="AG85" s="4"/>
      <c r="AH85" s="4"/>
      <c r="AI85" s="6"/>
      <c r="AO85" s="82"/>
      <c r="AP85" s="82"/>
      <c r="AQ85" s="54"/>
    </row>
    <row r="86" spans="5:43" x14ac:dyDescent="0.25">
      <c r="E86" s="2" t="s">
        <v>21</v>
      </c>
      <c r="F86" s="7">
        <v>27</v>
      </c>
      <c r="G86" s="54">
        <v>35.549403120000008</v>
      </c>
      <c r="H86" s="5">
        <v>420</v>
      </c>
      <c r="I86" s="5">
        <v>118.8</v>
      </c>
      <c r="J86" s="5">
        <v>36</v>
      </c>
      <c r="K86" s="8">
        <v>191.96</v>
      </c>
      <c r="L86" s="8">
        <v>8.4700000000000006</v>
      </c>
      <c r="M86" s="9">
        <f t="shared" si="5"/>
        <v>23.954800164047299</v>
      </c>
      <c r="N86" s="9">
        <v>24</v>
      </c>
      <c r="O86" s="5">
        <v>127.7</v>
      </c>
      <c r="P86" s="27"/>
      <c r="Q86" s="27"/>
      <c r="R86" s="4"/>
      <c r="S86" s="4"/>
      <c r="T86" s="4"/>
      <c r="U86" s="4"/>
      <c r="V86" s="4"/>
      <c r="W86" s="4"/>
      <c r="X86" s="4"/>
      <c r="Y86" s="4"/>
      <c r="Z86" s="4"/>
      <c r="AA86" s="4"/>
      <c r="AB86" s="4"/>
      <c r="AC86" s="4"/>
      <c r="AD86" s="4"/>
      <c r="AE86" s="4"/>
      <c r="AF86" s="4"/>
      <c r="AG86" s="4"/>
      <c r="AH86" s="4"/>
      <c r="AI86" s="6"/>
      <c r="AO86" s="82"/>
      <c r="AP86" s="82"/>
      <c r="AQ86" s="54"/>
    </row>
    <row r="87" spans="5:43" x14ac:dyDescent="0.25">
      <c r="E87" s="2" t="s">
        <v>22</v>
      </c>
      <c r="F87" s="7">
        <v>27</v>
      </c>
      <c r="G87" s="54">
        <v>30.961679760000006</v>
      </c>
      <c r="H87" s="5">
        <v>420</v>
      </c>
      <c r="I87" s="5">
        <v>118.8</v>
      </c>
      <c r="J87" s="5">
        <v>36</v>
      </c>
      <c r="K87" s="8">
        <v>191.96</v>
      </c>
      <c r="L87" s="8">
        <v>8.4700000000000006</v>
      </c>
      <c r="M87" s="9">
        <f t="shared" si="5"/>
        <v>23.977689568627451</v>
      </c>
      <c r="N87" s="9">
        <v>24</v>
      </c>
      <c r="O87" s="5">
        <v>65</v>
      </c>
      <c r="P87" s="27"/>
      <c r="Q87" s="27"/>
      <c r="R87" s="4"/>
      <c r="S87" s="4"/>
      <c r="T87" s="4"/>
      <c r="U87" s="4"/>
      <c r="V87" s="4"/>
      <c r="W87" s="4"/>
      <c r="X87" s="4"/>
      <c r="Y87" s="4"/>
      <c r="Z87" s="4"/>
      <c r="AA87" s="4"/>
      <c r="AB87" s="4"/>
      <c r="AC87" s="4"/>
      <c r="AD87" s="4"/>
      <c r="AE87" s="4"/>
      <c r="AF87" s="4"/>
      <c r="AG87" s="4"/>
      <c r="AH87" s="4"/>
      <c r="AI87" s="6"/>
    </row>
    <row r="88" spans="5:43" x14ac:dyDescent="0.25">
      <c r="E88" s="2" t="s">
        <v>23</v>
      </c>
      <c r="F88" s="7">
        <v>27</v>
      </c>
      <c r="G88" s="54">
        <v>29.812931280000008</v>
      </c>
      <c r="H88" s="5">
        <v>420</v>
      </c>
      <c r="I88" s="5">
        <v>118.8</v>
      </c>
      <c r="J88" s="5">
        <v>36</v>
      </c>
      <c r="K88" s="8">
        <v>191.96</v>
      </c>
      <c r="L88" s="8">
        <v>8.4700000000000006</v>
      </c>
      <c r="M88" s="9">
        <f t="shared" si="5"/>
        <v>23.98342098847478</v>
      </c>
      <c r="N88" s="9">
        <v>24</v>
      </c>
      <c r="O88" s="5">
        <v>12.3</v>
      </c>
      <c r="P88" s="27"/>
      <c r="Q88" s="27"/>
      <c r="R88" s="4"/>
      <c r="S88" s="4"/>
      <c r="T88" s="4"/>
      <c r="U88" s="4"/>
      <c r="V88" s="4"/>
      <c r="W88" s="4"/>
      <c r="X88" s="4"/>
      <c r="Y88" s="4"/>
      <c r="Z88" s="4"/>
      <c r="AA88" s="4"/>
      <c r="AB88" s="4"/>
      <c r="AC88" s="4"/>
      <c r="AD88" s="4"/>
      <c r="AE88" s="4"/>
      <c r="AF88" s="4"/>
      <c r="AG88" s="4"/>
      <c r="AH88" s="4"/>
      <c r="AI88" s="6"/>
    </row>
    <row r="89" spans="5:43" x14ac:dyDescent="0.3">
      <c r="E89" s="423" t="s">
        <v>3</v>
      </c>
      <c r="F89" s="424"/>
      <c r="G89" s="424"/>
      <c r="H89" s="424"/>
      <c r="I89" s="424"/>
      <c r="J89" s="424"/>
      <c r="K89" s="424"/>
      <c r="L89" s="424"/>
      <c r="M89" s="424"/>
      <c r="N89" s="425"/>
      <c r="O89" s="14">
        <f>SUM(O77:O88)</f>
        <v>1349.5</v>
      </c>
      <c r="P89" s="28">
        <f>16/24</f>
        <v>0.66666666666666663</v>
      </c>
      <c r="Q89" s="28">
        <f>24/1000</f>
        <v>2.4E-2</v>
      </c>
      <c r="R89" s="8">
        <v>3.59</v>
      </c>
      <c r="S89" s="8">
        <v>12.96</v>
      </c>
      <c r="T89" s="5">
        <f>O89</f>
        <v>1349.5</v>
      </c>
      <c r="U89" s="15">
        <f>P89*Q89*R89*S89*T89</f>
        <v>1004.5980288000001</v>
      </c>
      <c r="V89" s="5">
        <v>3.94</v>
      </c>
      <c r="W89" s="5">
        <v>12.96</v>
      </c>
      <c r="X89" s="5">
        <f>O89</f>
        <v>1349.5</v>
      </c>
      <c r="Y89" s="16">
        <f>(P89*Q89*V89*W89*X89)</f>
        <v>1102.5393408</v>
      </c>
      <c r="Z89" s="8">
        <v>2.13</v>
      </c>
      <c r="AA89" s="8">
        <v>41.904000000000003</v>
      </c>
      <c r="AB89" s="8">
        <f>O89</f>
        <v>1349.5</v>
      </c>
      <c r="AC89" s="17">
        <f>(P89*Q89*Z89*AA89*AB89)</f>
        <v>1927.20518784</v>
      </c>
      <c r="AD89" s="96">
        <f>L360</f>
        <v>3306.1823220784067</v>
      </c>
      <c r="AE89" s="18">
        <f>U89+Y89+AC89+AD89</f>
        <v>7340.524879518407</v>
      </c>
      <c r="AF89" s="4">
        <f>AE89*0.1</f>
        <v>734.0524879518407</v>
      </c>
      <c r="AG89" s="19">
        <f>AE89+AF89</f>
        <v>8074.5773674702477</v>
      </c>
      <c r="AH89" s="8">
        <v>3.1</v>
      </c>
      <c r="AI89" s="20">
        <f>ROUND((AG89/AH89),0)</f>
        <v>2605</v>
      </c>
      <c r="AJ89" s="39">
        <v>27</v>
      </c>
    </row>
    <row r="90" spans="5:43" ht="15.5" x14ac:dyDescent="0.4">
      <c r="E90" s="2" t="s">
        <v>0</v>
      </c>
      <c r="F90" s="3"/>
      <c r="G90" s="5"/>
      <c r="H90" s="4"/>
      <c r="I90" s="4"/>
      <c r="J90" s="4"/>
      <c r="K90" s="4"/>
      <c r="L90" s="4"/>
      <c r="M90" s="3" t="s">
        <v>138</v>
      </c>
      <c r="N90" s="3" t="s">
        <v>137</v>
      </c>
      <c r="O90" s="8" t="s">
        <v>2</v>
      </c>
      <c r="P90" s="5"/>
      <c r="Q90" s="5"/>
      <c r="R90" s="4"/>
      <c r="S90" s="4"/>
      <c r="T90" s="4"/>
      <c r="U90" s="4"/>
      <c r="V90" s="4"/>
      <c r="W90" s="4"/>
      <c r="X90" s="4"/>
      <c r="Y90" s="4"/>
      <c r="Z90" s="4"/>
      <c r="AA90" s="4"/>
      <c r="AB90" s="4"/>
      <c r="AC90" s="4"/>
      <c r="AD90" s="4"/>
      <c r="AE90" s="4"/>
      <c r="AF90" s="4"/>
      <c r="AG90" s="4"/>
      <c r="AH90" s="4"/>
      <c r="AI90" s="6"/>
      <c r="AO90" s="53"/>
      <c r="AP90" s="54"/>
      <c r="AQ90" s="54"/>
    </row>
    <row r="91" spans="5:43" x14ac:dyDescent="0.25">
      <c r="E91" s="2" t="s">
        <v>15</v>
      </c>
      <c r="F91" s="7">
        <v>28</v>
      </c>
      <c r="G91" s="54">
        <v>30.961679760000006</v>
      </c>
      <c r="H91" s="5">
        <v>420</v>
      </c>
      <c r="I91" s="5">
        <v>118.8</v>
      </c>
      <c r="J91" s="5">
        <v>36</v>
      </c>
      <c r="K91" s="8">
        <v>191.96</v>
      </c>
      <c r="L91" s="8">
        <v>8.4700000000000006</v>
      </c>
      <c r="M91" s="9">
        <f>(F91-((G91+H91+I91+J91)/(K91+L91)))</f>
        <v>24.977689568627451</v>
      </c>
      <c r="N91" s="9">
        <v>25</v>
      </c>
      <c r="O91" s="5">
        <v>3.7</v>
      </c>
      <c r="P91" s="5"/>
      <c r="Q91" s="5"/>
      <c r="R91" s="4"/>
      <c r="S91" s="4"/>
      <c r="T91" s="4"/>
      <c r="U91" s="4"/>
      <c r="V91" s="4"/>
      <c r="W91" s="4"/>
      <c r="X91" s="4"/>
      <c r="Y91" s="4"/>
      <c r="Z91" s="4"/>
      <c r="AA91" s="4"/>
      <c r="AB91" s="4"/>
      <c r="AC91" s="4"/>
      <c r="AD91" s="4"/>
      <c r="AE91" s="4"/>
      <c r="AF91" s="4"/>
      <c r="AG91" s="4"/>
      <c r="AH91" s="4"/>
      <c r="AI91" s="6"/>
    </row>
    <row r="92" spans="5:43" x14ac:dyDescent="0.25">
      <c r="E92" s="2" t="s">
        <v>16</v>
      </c>
      <c r="F92" s="7">
        <v>28</v>
      </c>
      <c r="G92" s="54">
        <v>34.400654639999999</v>
      </c>
      <c r="H92" s="5">
        <v>420</v>
      </c>
      <c r="I92" s="5">
        <v>118.8</v>
      </c>
      <c r="J92" s="5">
        <v>36</v>
      </c>
      <c r="K92" s="8">
        <v>191.96</v>
      </c>
      <c r="L92" s="8">
        <v>8.4700000000000006</v>
      </c>
      <c r="M92" s="9">
        <f t="shared" ref="M92:M102" si="6">(F92-((G92+H92+I92+J92)/(K92+L92)))</f>
        <v>24.960531583894628</v>
      </c>
      <c r="N92" s="9">
        <v>25</v>
      </c>
      <c r="O92" s="5">
        <v>22.5</v>
      </c>
      <c r="P92" s="5"/>
      <c r="Q92" s="5"/>
      <c r="R92" s="4"/>
      <c r="S92" s="4"/>
      <c r="T92" s="4"/>
      <c r="U92" s="4"/>
      <c r="V92" s="4"/>
      <c r="W92" s="4"/>
      <c r="X92" s="4"/>
      <c r="Y92" s="4"/>
      <c r="Z92" s="4"/>
      <c r="AA92" s="4"/>
      <c r="AB92" s="4"/>
      <c r="AC92" s="4"/>
      <c r="AD92" s="4"/>
      <c r="AE92" s="4"/>
      <c r="AF92" s="4"/>
      <c r="AG92" s="4"/>
      <c r="AH92" s="4"/>
      <c r="AI92" s="6"/>
    </row>
    <row r="93" spans="5:43" x14ac:dyDescent="0.25">
      <c r="E93" s="2" t="s">
        <v>17</v>
      </c>
      <c r="F93" s="7">
        <v>28</v>
      </c>
      <c r="G93" s="54">
        <v>38.988378000000012</v>
      </c>
      <c r="H93" s="5">
        <v>420</v>
      </c>
      <c r="I93" s="5">
        <v>118.8</v>
      </c>
      <c r="J93" s="5">
        <v>36</v>
      </c>
      <c r="K93" s="8">
        <v>191.96</v>
      </c>
      <c r="L93" s="8">
        <v>8.4700000000000006</v>
      </c>
      <c r="M93" s="9">
        <f t="shared" si="6"/>
        <v>24.937642179314473</v>
      </c>
      <c r="N93" s="9">
        <v>25</v>
      </c>
      <c r="O93" s="5">
        <v>95.2</v>
      </c>
      <c r="P93" s="5"/>
      <c r="Q93" s="5"/>
      <c r="R93" s="4"/>
      <c r="S93" s="4"/>
      <c r="T93" s="4"/>
      <c r="U93" s="4"/>
      <c r="V93" s="4"/>
      <c r="W93" s="4"/>
      <c r="X93" s="4"/>
      <c r="Y93" s="4"/>
      <c r="Z93" s="4"/>
      <c r="AA93" s="4"/>
      <c r="AB93" s="4"/>
      <c r="AC93" s="4"/>
      <c r="AD93" s="4"/>
      <c r="AE93" s="4"/>
      <c r="AF93" s="4"/>
      <c r="AG93" s="4"/>
      <c r="AH93" s="4"/>
      <c r="AI93" s="6"/>
    </row>
    <row r="94" spans="5:43" x14ac:dyDescent="0.25">
      <c r="E94" s="2" t="s">
        <v>18</v>
      </c>
      <c r="F94" s="7">
        <v>28</v>
      </c>
      <c r="G94" s="54">
        <v>42.427352880000001</v>
      </c>
      <c r="H94" s="5">
        <v>420</v>
      </c>
      <c r="I94" s="5">
        <v>118.8</v>
      </c>
      <c r="J94" s="5">
        <v>36</v>
      </c>
      <c r="K94" s="8">
        <v>191.96</v>
      </c>
      <c r="L94" s="8">
        <v>8.4700000000000006</v>
      </c>
      <c r="M94" s="9">
        <f t="shared" si="6"/>
        <v>24.92048419458165</v>
      </c>
      <c r="N94" s="9">
        <v>25</v>
      </c>
      <c r="O94" s="5">
        <v>117.6</v>
      </c>
      <c r="P94" s="5"/>
      <c r="Q94" s="5"/>
      <c r="R94" s="4"/>
      <c r="S94" s="4"/>
      <c r="T94" s="4"/>
      <c r="U94" s="4"/>
      <c r="V94" s="4"/>
      <c r="W94" s="4"/>
      <c r="X94" s="4"/>
      <c r="Y94" s="4"/>
      <c r="Z94" s="4"/>
      <c r="AA94" s="4"/>
      <c r="AB94" s="4"/>
      <c r="AC94" s="4"/>
      <c r="AD94" s="4"/>
      <c r="AE94" s="4"/>
      <c r="AF94" s="4"/>
      <c r="AG94" s="4"/>
      <c r="AH94" s="4"/>
      <c r="AI94" s="6"/>
    </row>
    <row r="95" spans="5:43" x14ac:dyDescent="0.25">
      <c r="E95" s="2" t="s">
        <v>12</v>
      </c>
      <c r="F95" s="7">
        <v>28</v>
      </c>
      <c r="G95" s="54">
        <v>49.308937919999998</v>
      </c>
      <c r="H95" s="5">
        <v>420</v>
      </c>
      <c r="I95" s="5">
        <v>118.8</v>
      </c>
      <c r="J95" s="5">
        <v>36</v>
      </c>
      <c r="K95" s="8">
        <v>191.96</v>
      </c>
      <c r="L95" s="8">
        <v>8.4700000000000006</v>
      </c>
      <c r="M95" s="9">
        <f t="shared" si="6"/>
        <v>24.886150087711421</v>
      </c>
      <c r="N95" s="9">
        <v>25</v>
      </c>
      <c r="O95" s="5">
        <v>154.4</v>
      </c>
      <c r="P95" s="5"/>
      <c r="Q95" s="5"/>
      <c r="R95" s="4"/>
      <c r="S95" s="4"/>
      <c r="T95" s="4"/>
      <c r="U95" s="4"/>
      <c r="V95" s="4"/>
      <c r="W95" s="4"/>
      <c r="X95" s="4"/>
      <c r="Y95" s="4"/>
      <c r="Z95" s="4"/>
      <c r="AA95" s="4"/>
      <c r="AB95" s="4"/>
      <c r="AC95" s="4"/>
      <c r="AD95" s="4"/>
      <c r="AE95" s="4"/>
      <c r="AF95" s="4"/>
      <c r="AG95" s="4"/>
      <c r="AH95" s="4"/>
      <c r="AI95" s="6"/>
    </row>
    <row r="96" spans="5:43" x14ac:dyDescent="0.25">
      <c r="E96" s="2" t="s">
        <v>13</v>
      </c>
      <c r="F96" s="7">
        <v>28</v>
      </c>
      <c r="G96" s="54">
        <v>63.072108000000007</v>
      </c>
      <c r="H96" s="5">
        <v>420</v>
      </c>
      <c r="I96" s="5">
        <v>118.8</v>
      </c>
      <c r="J96" s="5">
        <v>36</v>
      </c>
      <c r="K96" s="8">
        <v>191.96</v>
      </c>
      <c r="L96" s="8">
        <v>8.4700000000000006</v>
      </c>
      <c r="M96" s="9">
        <f t="shared" si="6"/>
        <v>24.817481873970962</v>
      </c>
      <c r="N96" s="9">
        <v>25</v>
      </c>
      <c r="O96" s="5">
        <v>142.9</v>
      </c>
      <c r="P96" s="5"/>
      <c r="Q96" s="5"/>
      <c r="R96" s="4"/>
      <c r="S96" s="4"/>
      <c r="T96" s="4"/>
      <c r="U96" s="4"/>
      <c r="V96" s="4"/>
      <c r="W96" s="4"/>
      <c r="X96" s="4"/>
      <c r="Y96" s="4"/>
      <c r="Z96" s="4"/>
      <c r="AA96" s="4"/>
      <c r="AB96" s="4"/>
      <c r="AC96" s="4"/>
      <c r="AD96" s="4"/>
      <c r="AE96" s="4"/>
      <c r="AF96" s="4"/>
      <c r="AG96" s="4"/>
      <c r="AH96" s="4"/>
      <c r="AI96" s="6"/>
    </row>
    <row r="97" spans="2:40" x14ac:dyDescent="0.25">
      <c r="E97" s="2" t="s">
        <v>24</v>
      </c>
      <c r="F97" s="7">
        <v>28</v>
      </c>
      <c r="G97" s="54">
        <v>51.602799600000004</v>
      </c>
      <c r="H97" s="5">
        <v>420</v>
      </c>
      <c r="I97" s="5">
        <v>118.8</v>
      </c>
      <c r="J97" s="5">
        <v>36</v>
      </c>
      <c r="K97" s="8">
        <v>191.96</v>
      </c>
      <c r="L97" s="8">
        <v>8.4700000000000006</v>
      </c>
      <c r="M97" s="9">
        <f t="shared" si="6"/>
        <v>24.874705385421343</v>
      </c>
      <c r="N97" s="9">
        <v>25</v>
      </c>
      <c r="O97" s="5">
        <v>144.69999999999999</v>
      </c>
      <c r="P97" s="18"/>
      <c r="Q97" s="18"/>
      <c r="R97" s="4"/>
      <c r="S97" s="4"/>
      <c r="T97" s="4"/>
      <c r="U97" s="4"/>
      <c r="V97" s="4"/>
      <c r="W97" s="4"/>
      <c r="X97" s="4"/>
      <c r="Y97" s="4"/>
      <c r="Z97" s="4"/>
      <c r="AA97" s="4"/>
      <c r="AB97" s="4"/>
      <c r="AC97" s="4"/>
      <c r="AD97" s="4"/>
      <c r="AE97" s="4"/>
      <c r="AF97" s="4"/>
      <c r="AG97" s="4"/>
      <c r="AH97" s="4"/>
      <c r="AI97" s="6"/>
    </row>
    <row r="98" spans="2:40" x14ac:dyDescent="0.25">
      <c r="E98" s="2" t="s">
        <v>19</v>
      </c>
      <c r="F98" s="7">
        <v>28</v>
      </c>
      <c r="G98" s="54">
        <v>43.57610136000001</v>
      </c>
      <c r="H98" s="5">
        <v>420</v>
      </c>
      <c r="I98" s="5">
        <v>118.8</v>
      </c>
      <c r="J98" s="5">
        <v>36</v>
      </c>
      <c r="K98" s="8">
        <v>191.96</v>
      </c>
      <c r="L98" s="8">
        <v>8.4700000000000006</v>
      </c>
      <c r="M98" s="9">
        <f t="shared" si="6"/>
        <v>24.914752774734321</v>
      </c>
      <c r="N98" s="9">
        <v>25</v>
      </c>
      <c r="O98" s="5">
        <v>109.2</v>
      </c>
      <c r="P98" s="18"/>
      <c r="Q98" s="18"/>
      <c r="R98" s="4"/>
      <c r="S98" s="4"/>
      <c r="T98" s="4"/>
      <c r="U98" s="4"/>
      <c r="V98" s="4"/>
      <c r="W98" s="4"/>
      <c r="X98" s="4"/>
      <c r="Y98" s="4"/>
      <c r="Z98" s="4"/>
      <c r="AA98" s="4"/>
      <c r="AB98" s="4"/>
      <c r="AC98" s="4"/>
      <c r="AD98" s="4"/>
      <c r="AE98" s="4"/>
      <c r="AF98" s="4"/>
      <c r="AG98" s="4"/>
      <c r="AH98" s="4"/>
      <c r="AI98" s="6"/>
    </row>
    <row r="99" spans="2:40" x14ac:dyDescent="0.25">
      <c r="E99" s="2" t="s">
        <v>20</v>
      </c>
      <c r="F99" s="7">
        <v>28</v>
      </c>
      <c r="G99" s="54">
        <v>40.137126480000006</v>
      </c>
      <c r="H99" s="5">
        <v>420</v>
      </c>
      <c r="I99" s="5">
        <v>118.8</v>
      </c>
      <c r="J99" s="5">
        <v>36</v>
      </c>
      <c r="K99" s="8">
        <v>191.96</v>
      </c>
      <c r="L99" s="8">
        <v>8.4700000000000006</v>
      </c>
      <c r="M99" s="9">
        <f t="shared" si="6"/>
        <v>24.931910759467147</v>
      </c>
      <c r="N99" s="9">
        <v>25</v>
      </c>
      <c r="O99" s="5">
        <v>136.30000000000001</v>
      </c>
      <c r="P99" s="18"/>
      <c r="Q99" s="18"/>
      <c r="R99" s="4"/>
      <c r="S99" s="4"/>
      <c r="T99" s="4"/>
      <c r="U99" s="4"/>
      <c r="V99" s="4"/>
      <c r="W99" s="4"/>
      <c r="X99" s="4"/>
      <c r="Y99" s="4"/>
      <c r="Z99" s="4"/>
      <c r="AA99" s="4"/>
      <c r="AB99" s="4"/>
      <c r="AC99" s="4"/>
      <c r="AD99" s="4"/>
      <c r="AE99" s="4"/>
      <c r="AF99" s="4"/>
      <c r="AG99" s="4"/>
      <c r="AH99" s="4"/>
      <c r="AI99" s="6"/>
    </row>
    <row r="100" spans="2:40" x14ac:dyDescent="0.25">
      <c r="E100" s="2" t="s">
        <v>21</v>
      </c>
      <c r="F100" s="7">
        <v>28</v>
      </c>
      <c r="G100" s="54">
        <v>35.549403120000008</v>
      </c>
      <c r="H100" s="5">
        <v>420</v>
      </c>
      <c r="I100" s="5">
        <v>118.8</v>
      </c>
      <c r="J100" s="5">
        <v>36</v>
      </c>
      <c r="K100" s="8">
        <v>191.96</v>
      </c>
      <c r="L100" s="8">
        <v>8.4700000000000006</v>
      </c>
      <c r="M100" s="9">
        <f t="shared" si="6"/>
        <v>24.954800164047299</v>
      </c>
      <c r="N100" s="9">
        <v>25</v>
      </c>
      <c r="O100" s="5">
        <v>97.3</v>
      </c>
      <c r="P100" s="18"/>
      <c r="Q100" s="18"/>
      <c r="R100" s="4"/>
      <c r="S100" s="4"/>
      <c r="T100" s="4"/>
      <c r="U100" s="4"/>
      <c r="V100" s="4"/>
      <c r="W100" s="4"/>
      <c r="X100" s="4"/>
      <c r="Y100" s="4"/>
      <c r="Z100" s="4"/>
      <c r="AA100" s="4"/>
      <c r="AB100" s="4"/>
      <c r="AC100" s="4"/>
      <c r="AD100" s="4"/>
      <c r="AE100" s="4"/>
      <c r="AF100" s="4"/>
      <c r="AG100" s="4"/>
      <c r="AH100" s="4"/>
      <c r="AI100" s="6"/>
    </row>
    <row r="101" spans="2:40" x14ac:dyDescent="0.25">
      <c r="E101" s="2" t="s">
        <v>22</v>
      </c>
      <c r="F101" s="7">
        <v>28</v>
      </c>
      <c r="G101" s="54">
        <v>30.961679760000006</v>
      </c>
      <c r="H101" s="5">
        <v>420</v>
      </c>
      <c r="I101" s="5">
        <v>118.8</v>
      </c>
      <c r="J101" s="5">
        <v>36</v>
      </c>
      <c r="K101" s="8">
        <v>191.96</v>
      </c>
      <c r="L101" s="8">
        <v>8.4700000000000006</v>
      </c>
      <c r="M101" s="9">
        <f t="shared" si="6"/>
        <v>24.977689568627451</v>
      </c>
      <c r="N101" s="9">
        <v>25</v>
      </c>
      <c r="O101" s="5">
        <v>47.2</v>
      </c>
      <c r="P101" s="18"/>
      <c r="Q101" s="18"/>
      <c r="R101" s="30"/>
      <c r="S101" s="30"/>
      <c r="T101" s="30"/>
      <c r="U101" s="4"/>
      <c r="V101" s="30"/>
      <c r="W101" s="30"/>
      <c r="X101" s="30"/>
      <c r="Y101" s="4"/>
      <c r="Z101" s="30"/>
      <c r="AA101" s="30"/>
      <c r="AB101" s="30"/>
      <c r="AC101" s="4"/>
      <c r="AD101" s="30"/>
      <c r="AE101" s="30"/>
      <c r="AF101" s="30"/>
      <c r="AG101" s="30"/>
      <c r="AH101" s="30"/>
      <c r="AI101" s="31"/>
    </row>
    <row r="102" spans="2:40" x14ac:dyDescent="0.25">
      <c r="E102" s="2" t="s">
        <v>23</v>
      </c>
      <c r="F102" s="7">
        <v>28</v>
      </c>
      <c r="G102" s="54">
        <v>29.812931280000008</v>
      </c>
      <c r="H102" s="5">
        <v>420</v>
      </c>
      <c r="I102" s="5">
        <v>118.8</v>
      </c>
      <c r="J102" s="5">
        <v>36</v>
      </c>
      <c r="K102" s="8">
        <v>191.96</v>
      </c>
      <c r="L102" s="8">
        <v>8.4700000000000006</v>
      </c>
      <c r="M102" s="9">
        <f t="shared" si="6"/>
        <v>24.98342098847478</v>
      </c>
      <c r="N102" s="9">
        <v>25</v>
      </c>
      <c r="O102" s="5">
        <v>6.6</v>
      </c>
      <c r="P102" s="18"/>
      <c r="Q102" s="18"/>
      <c r="R102" s="30"/>
      <c r="S102" s="30"/>
      <c r="T102" s="30"/>
      <c r="U102" s="4"/>
      <c r="V102" s="30"/>
      <c r="W102" s="30"/>
      <c r="X102" s="30"/>
      <c r="Y102" s="4"/>
      <c r="Z102" s="30"/>
      <c r="AA102" s="30"/>
      <c r="AB102" s="30"/>
      <c r="AC102" s="4"/>
      <c r="AD102" s="30"/>
      <c r="AE102" s="30"/>
      <c r="AF102" s="30"/>
      <c r="AG102" s="30"/>
      <c r="AH102" s="30"/>
      <c r="AI102" s="31"/>
    </row>
    <row r="103" spans="2:40" ht="13.5" thickBot="1" x14ac:dyDescent="0.35">
      <c r="E103" s="426" t="s">
        <v>3</v>
      </c>
      <c r="F103" s="427"/>
      <c r="G103" s="427"/>
      <c r="H103" s="427"/>
      <c r="I103" s="427"/>
      <c r="J103" s="427"/>
      <c r="K103" s="427"/>
      <c r="L103" s="427"/>
      <c r="M103" s="427"/>
      <c r="N103" s="428"/>
      <c r="O103" s="169">
        <f>SUM(O91:O102)</f>
        <v>1077.5999999999999</v>
      </c>
      <c r="P103" s="153">
        <f>16/24</f>
        <v>0.66666666666666663</v>
      </c>
      <c r="Q103" s="153">
        <f>24/1000</f>
        <v>2.4E-2</v>
      </c>
      <c r="R103" s="154">
        <v>3.59</v>
      </c>
      <c r="S103" s="154">
        <v>12.96</v>
      </c>
      <c r="T103" s="155">
        <f>O103</f>
        <v>1077.5999999999999</v>
      </c>
      <c r="U103" s="156">
        <f>P103*Q103*R103*S103*T103</f>
        <v>802.18957823999995</v>
      </c>
      <c r="V103" s="155">
        <v>3.94</v>
      </c>
      <c r="W103" s="155">
        <v>12.96</v>
      </c>
      <c r="X103" s="155">
        <f>O103</f>
        <v>1077.5999999999999</v>
      </c>
      <c r="Y103" s="157">
        <f>(P103*Q103*V103*W103*X103)</f>
        <v>880.39747583999997</v>
      </c>
      <c r="Z103" s="154">
        <v>2.13</v>
      </c>
      <c r="AA103" s="154">
        <v>41.904000000000003</v>
      </c>
      <c r="AB103" s="154">
        <f>O103</f>
        <v>1077.5999999999999</v>
      </c>
      <c r="AC103" s="158">
        <f>(P103*Q103*Z103*AA103*AB103)</f>
        <v>1538.907973632</v>
      </c>
      <c r="AD103" s="159">
        <f>L361</f>
        <v>3228.7617007492931</v>
      </c>
      <c r="AE103" s="160">
        <f>U103+Y103+AC103+AD103</f>
        <v>6450.2567284612924</v>
      </c>
      <c r="AF103" s="30">
        <f>AE103*0.1</f>
        <v>645.02567284612928</v>
      </c>
      <c r="AG103" s="161">
        <f>AE103+AF103</f>
        <v>7095.2824013074214</v>
      </c>
      <c r="AH103" s="154">
        <v>3.1</v>
      </c>
      <c r="AI103" s="166">
        <f>ROUND((AG103/AH103),0)</f>
        <v>2289</v>
      </c>
      <c r="AJ103" s="39">
        <v>28</v>
      </c>
      <c r="AK103" s="122"/>
      <c r="AL103" s="122"/>
    </row>
    <row r="104" spans="2:40" ht="13.5" thickBot="1" x14ac:dyDescent="0.35">
      <c r="E104" s="415" t="s">
        <v>217</v>
      </c>
      <c r="F104" s="416"/>
      <c r="G104" s="416"/>
      <c r="H104" s="416"/>
      <c r="I104" s="416"/>
      <c r="J104" s="416"/>
      <c r="K104" s="416"/>
      <c r="L104" s="416"/>
      <c r="M104" s="416"/>
      <c r="N104" s="416"/>
      <c r="O104" s="416"/>
      <c r="P104" s="416"/>
      <c r="Q104" s="416"/>
      <c r="R104" s="416"/>
      <c r="S104" s="416"/>
      <c r="T104" s="416"/>
      <c r="U104" s="416"/>
      <c r="V104" s="416"/>
      <c r="W104" s="416"/>
      <c r="X104" s="416"/>
      <c r="Y104" s="416"/>
      <c r="Z104" s="416"/>
      <c r="AA104" s="416"/>
      <c r="AB104" s="416"/>
      <c r="AC104" s="416"/>
      <c r="AD104" s="416"/>
      <c r="AE104" s="416"/>
      <c r="AF104" s="416"/>
      <c r="AG104" s="416"/>
      <c r="AH104" s="416"/>
      <c r="AI104" s="170">
        <f>ROUND((AI75*AQ79+AI89*AQ80+AI103*AQ81),0)</f>
        <v>2738</v>
      </c>
    </row>
    <row r="105" spans="2:40" x14ac:dyDescent="0.3">
      <c r="AN105" s="123"/>
    </row>
    <row r="106" spans="2:40" ht="13.5" thickBot="1" x14ac:dyDescent="0.3"/>
    <row r="107" spans="2:40" ht="15" x14ac:dyDescent="0.4">
      <c r="B107" s="409" t="s">
        <v>83</v>
      </c>
      <c r="C107" s="410"/>
      <c r="E107" s="308" t="s">
        <v>59</v>
      </c>
      <c r="F107" s="309"/>
      <c r="G107" s="309"/>
      <c r="H107" s="309"/>
      <c r="I107" s="309"/>
      <c r="J107" s="309"/>
      <c r="K107" s="309"/>
      <c r="L107" s="309"/>
      <c r="M107" s="309"/>
      <c r="N107" s="309"/>
      <c r="O107" s="309"/>
      <c r="P107" s="309"/>
      <c r="Q107" s="309"/>
      <c r="R107" s="309"/>
      <c r="S107" s="104"/>
    </row>
    <row r="108" spans="2:40" ht="15" x14ac:dyDescent="0.4">
      <c r="B108" s="411"/>
      <c r="C108" s="412"/>
      <c r="E108" s="413" t="s">
        <v>132</v>
      </c>
      <c r="F108" s="414"/>
      <c r="G108" s="414"/>
      <c r="H108" s="414"/>
      <c r="I108" s="414"/>
      <c r="J108" s="414"/>
      <c r="K108" s="414"/>
      <c r="L108" s="414"/>
      <c r="M108" s="414"/>
      <c r="N108" s="414"/>
      <c r="O108" s="414"/>
      <c r="P108" s="414"/>
      <c r="Q108" s="414"/>
      <c r="R108" s="414"/>
      <c r="S108" s="104"/>
    </row>
    <row r="109" spans="2:40" ht="21.65" customHeight="1" x14ac:dyDescent="0.25">
      <c r="B109" s="76" t="s">
        <v>57</v>
      </c>
      <c r="C109" s="77" t="s">
        <v>34</v>
      </c>
      <c r="E109" s="43" t="s">
        <v>0</v>
      </c>
      <c r="F109" s="42" t="s">
        <v>37</v>
      </c>
      <c r="G109" s="42" t="s">
        <v>36</v>
      </c>
      <c r="H109" s="42" t="s">
        <v>35</v>
      </c>
      <c r="I109" s="42" t="s">
        <v>47</v>
      </c>
      <c r="J109" s="47" t="s">
        <v>56</v>
      </c>
      <c r="K109" s="47" t="s">
        <v>50</v>
      </c>
      <c r="L109" s="47" t="s">
        <v>51</v>
      </c>
      <c r="M109" s="47" t="s">
        <v>48</v>
      </c>
      <c r="N109" s="47" t="s">
        <v>52</v>
      </c>
      <c r="O109" s="37" t="s">
        <v>53</v>
      </c>
      <c r="P109" s="37" t="s">
        <v>54</v>
      </c>
      <c r="Q109" s="37" t="s">
        <v>49</v>
      </c>
      <c r="R109" s="48" t="s">
        <v>55</v>
      </c>
    </row>
    <row r="110" spans="2:40" ht="15.65" customHeight="1" x14ac:dyDescent="0.25">
      <c r="B110" s="76" t="s">
        <v>65</v>
      </c>
      <c r="C110" s="77">
        <v>1</v>
      </c>
      <c r="E110" s="2" t="s">
        <v>15</v>
      </c>
      <c r="F110" s="71">
        <v>26.9</v>
      </c>
      <c r="G110" s="71">
        <v>10.199999999999999</v>
      </c>
      <c r="H110" s="71">
        <f>G110/2</f>
        <v>5.0999999999999996</v>
      </c>
      <c r="I110" s="71">
        <f>F110-H110</f>
        <v>21.799999999999997</v>
      </c>
      <c r="J110" s="59">
        <f t="shared" ref="J110:J121" si="7">C$126</f>
        <v>1.75</v>
      </c>
      <c r="K110" s="45">
        <v>22</v>
      </c>
      <c r="L110" s="45">
        <f>25.5-K110</f>
        <v>3.5</v>
      </c>
      <c r="M110" s="45">
        <f>I110-29.4</f>
        <v>-7.6000000000000014</v>
      </c>
      <c r="N110" s="8">
        <f t="shared" ref="N110:N121" si="8">J110+L110+M110</f>
        <v>-2.3500000000000014</v>
      </c>
      <c r="O110" s="8">
        <v>3.75</v>
      </c>
      <c r="P110" s="8">
        <v>1.296</v>
      </c>
      <c r="Q110" s="8">
        <f>31*16</f>
        <v>496</v>
      </c>
      <c r="R110" s="40">
        <f>(N110*O110*P110*Q110)/1000</f>
        <v>-5.6648160000000036</v>
      </c>
    </row>
    <row r="111" spans="2:40" ht="15" customHeight="1" x14ac:dyDescent="0.25">
      <c r="B111" s="76" t="s">
        <v>66</v>
      </c>
      <c r="C111" s="77">
        <v>1</v>
      </c>
      <c r="E111" s="2" t="s">
        <v>16</v>
      </c>
      <c r="F111" s="71">
        <v>31</v>
      </c>
      <c r="G111" s="71">
        <v>10.6</v>
      </c>
      <c r="H111" s="71">
        <f t="shared" ref="H111:H121" si="9">G111/2</f>
        <v>5.3</v>
      </c>
      <c r="I111" s="71">
        <f t="shared" ref="I111:I121" si="10">F111-H111</f>
        <v>25.7</v>
      </c>
      <c r="J111" s="45">
        <f t="shared" si="7"/>
        <v>1.75</v>
      </c>
      <c r="K111" s="45">
        <v>22</v>
      </c>
      <c r="L111" s="45">
        <f t="shared" ref="L111:L121" si="11">25.5-K111</f>
        <v>3.5</v>
      </c>
      <c r="M111" s="45">
        <f t="shared" ref="M111:M121" si="12">I111-29.4</f>
        <v>-3.6999999999999993</v>
      </c>
      <c r="N111" s="8">
        <f t="shared" si="8"/>
        <v>1.5500000000000007</v>
      </c>
      <c r="O111" s="8">
        <v>3.75</v>
      </c>
      <c r="P111" s="8">
        <v>1.296</v>
      </c>
      <c r="Q111" s="8">
        <f>28*16</f>
        <v>448</v>
      </c>
      <c r="R111" s="40">
        <f t="shared" ref="R111:R121" si="13">(N111*O111*P111*Q111)/1000</f>
        <v>3.3747840000000018</v>
      </c>
    </row>
    <row r="112" spans="2:40" ht="16" customHeight="1" x14ac:dyDescent="0.25">
      <c r="B112" s="76" t="s">
        <v>67</v>
      </c>
      <c r="C112" s="77">
        <v>0</v>
      </c>
      <c r="E112" s="2" t="s">
        <v>17</v>
      </c>
      <c r="F112" s="71">
        <v>34.6</v>
      </c>
      <c r="G112" s="71">
        <v>10.199999999999999</v>
      </c>
      <c r="H112" s="71">
        <f t="shared" si="9"/>
        <v>5.0999999999999996</v>
      </c>
      <c r="I112" s="71">
        <f t="shared" si="10"/>
        <v>29.5</v>
      </c>
      <c r="J112" s="45">
        <f t="shared" si="7"/>
        <v>1.75</v>
      </c>
      <c r="K112" s="45">
        <v>22</v>
      </c>
      <c r="L112" s="45">
        <f t="shared" si="11"/>
        <v>3.5</v>
      </c>
      <c r="M112" s="45">
        <f t="shared" si="12"/>
        <v>0.10000000000000142</v>
      </c>
      <c r="N112" s="8">
        <f t="shared" si="8"/>
        <v>5.3500000000000014</v>
      </c>
      <c r="O112" s="8">
        <v>3.75</v>
      </c>
      <c r="P112" s="8">
        <v>1.296</v>
      </c>
      <c r="Q112" s="8">
        <f>31*16</f>
        <v>496</v>
      </c>
      <c r="R112" s="40">
        <f t="shared" si="13"/>
        <v>12.896496000000004</v>
      </c>
    </row>
    <row r="113" spans="2:19" ht="16" customHeight="1" x14ac:dyDescent="0.25">
      <c r="B113" s="76" t="s">
        <v>68</v>
      </c>
      <c r="C113" s="77">
        <v>-1</v>
      </c>
      <c r="E113" s="2" t="s">
        <v>18</v>
      </c>
      <c r="F113" s="71">
        <v>36.799999999999997</v>
      </c>
      <c r="G113" s="71">
        <v>9</v>
      </c>
      <c r="H113" s="71">
        <f t="shared" si="9"/>
        <v>4.5</v>
      </c>
      <c r="I113" s="71">
        <f t="shared" si="10"/>
        <v>32.299999999999997</v>
      </c>
      <c r="J113" s="45">
        <f t="shared" si="7"/>
        <v>1.75</v>
      </c>
      <c r="K113" s="45">
        <v>22</v>
      </c>
      <c r="L113" s="45">
        <f t="shared" si="11"/>
        <v>3.5</v>
      </c>
      <c r="M113" s="45">
        <f t="shared" si="12"/>
        <v>2.8999999999999986</v>
      </c>
      <c r="N113" s="8">
        <f t="shared" si="8"/>
        <v>8.1499999999999986</v>
      </c>
      <c r="O113" s="8">
        <v>3.75</v>
      </c>
      <c r="P113" s="8">
        <v>1.296</v>
      </c>
      <c r="Q113" s="8">
        <f>30*16</f>
        <v>480</v>
      </c>
      <c r="R113" s="40">
        <f t="shared" si="13"/>
        <v>19.012319999999995</v>
      </c>
    </row>
    <row r="114" spans="2:19" ht="16" customHeight="1" x14ac:dyDescent="0.25">
      <c r="B114" s="76" t="s">
        <v>69</v>
      </c>
      <c r="C114" s="77">
        <v>-1</v>
      </c>
      <c r="E114" s="2" t="s">
        <v>12</v>
      </c>
      <c r="F114" s="71">
        <v>35.9</v>
      </c>
      <c r="G114" s="71">
        <v>7.7</v>
      </c>
      <c r="H114" s="71">
        <f t="shared" si="9"/>
        <v>3.85</v>
      </c>
      <c r="I114" s="71">
        <f t="shared" si="10"/>
        <v>32.049999999999997</v>
      </c>
      <c r="J114" s="45">
        <f t="shared" si="7"/>
        <v>1.75</v>
      </c>
      <c r="K114" s="45">
        <v>22</v>
      </c>
      <c r="L114" s="45">
        <f t="shared" si="11"/>
        <v>3.5</v>
      </c>
      <c r="M114" s="45">
        <f t="shared" si="12"/>
        <v>2.6499999999999986</v>
      </c>
      <c r="N114" s="8">
        <f t="shared" si="8"/>
        <v>7.8999999999999986</v>
      </c>
      <c r="O114" s="8">
        <v>3.75</v>
      </c>
      <c r="P114" s="8">
        <v>1.296</v>
      </c>
      <c r="Q114" s="8">
        <f>31*16</f>
        <v>496</v>
      </c>
      <c r="R114" s="40">
        <f t="shared" si="13"/>
        <v>19.043423999999995</v>
      </c>
    </row>
    <row r="115" spans="2:19" ht="15" customHeight="1" x14ac:dyDescent="0.25">
      <c r="B115" s="76" t="s">
        <v>70</v>
      </c>
      <c r="C115" s="77">
        <v>-1</v>
      </c>
      <c r="E115" s="2" t="s">
        <v>13</v>
      </c>
      <c r="F115" s="71">
        <v>35.1</v>
      </c>
      <c r="G115" s="71">
        <v>5.7</v>
      </c>
      <c r="H115" s="71">
        <f t="shared" si="9"/>
        <v>2.85</v>
      </c>
      <c r="I115" s="71">
        <f t="shared" si="10"/>
        <v>32.25</v>
      </c>
      <c r="J115" s="45">
        <f t="shared" si="7"/>
        <v>1.75</v>
      </c>
      <c r="K115" s="45">
        <v>22</v>
      </c>
      <c r="L115" s="45">
        <f t="shared" si="11"/>
        <v>3.5</v>
      </c>
      <c r="M115" s="45">
        <f t="shared" si="12"/>
        <v>2.8500000000000014</v>
      </c>
      <c r="N115" s="8">
        <f t="shared" si="8"/>
        <v>8.1000000000000014</v>
      </c>
      <c r="O115" s="8">
        <v>3.75</v>
      </c>
      <c r="P115" s="8">
        <v>1.296</v>
      </c>
      <c r="Q115" s="8">
        <f>30*16</f>
        <v>480</v>
      </c>
      <c r="R115" s="40">
        <f t="shared" si="13"/>
        <v>18.895680000000006</v>
      </c>
    </row>
    <row r="116" spans="2:19" ht="15.65" customHeight="1" x14ac:dyDescent="0.25">
      <c r="B116" s="78" t="s">
        <v>38</v>
      </c>
      <c r="C116" s="79">
        <v>-1</v>
      </c>
      <c r="E116" s="2" t="s">
        <v>24</v>
      </c>
      <c r="F116" s="41">
        <v>34</v>
      </c>
      <c r="G116" s="98">
        <v>4.8</v>
      </c>
      <c r="H116" s="71">
        <f t="shared" si="9"/>
        <v>2.4</v>
      </c>
      <c r="I116" s="71">
        <f t="shared" si="10"/>
        <v>31.6</v>
      </c>
      <c r="J116" s="45">
        <f t="shared" si="7"/>
        <v>1.75</v>
      </c>
      <c r="K116" s="45">
        <v>22</v>
      </c>
      <c r="L116" s="45">
        <f t="shared" si="11"/>
        <v>3.5</v>
      </c>
      <c r="M116" s="45">
        <f t="shared" si="12"/>
        <v>2.2000000000000028</v>
      </c>
      <c r="N116" s="8">
        <f t="shared" si="8"/>
        <v>7.4500000000000028</v>
      </c>
      <c r="O116" s="8">
        <v>3.75</v>
      </c>
      <c r="P116" s="8">
        <v>1.296</v>
      </c>
      <c r="Q116" s="8">
        <f>31*16</f>
        <v>496</v>
      </c>
      <c r="R116" s="40">
        <f t="shared" si="13"/>
        <v>17.958672000000007</v>
      </c>
    </row>
    <row r="117" spans="2:19" ht="15.65" customHeight="1" x14ac:dyDescent="0.25">
      <c r="B117" s="78" t="s">
        <v>39</v>
      </c>
      <c r="C117" s="79">
        <v>-1</v>
      </c>
      <c r="E117" s="2" t="s">
        <v>19</v>
      </c>
      <c r="F117" s="41">
        <v>33.9</v>
      </c>
      <c r="G117" s="98">
        <v>4.9000000000000004</v>
      </c>
      <c r="H117" s="71">
        <f t="shared" si="9"/>
        <v>2.4500000000000002</v>
      </c>
      <c r="I117" s="71">
        <f t="shared" si="10"/>
        <v>31.45</v>
      </c>
      <c r="J117" s="45">
        <f t="shared" si="7"/>
        <v>1.75</v>
      </c>
      <c r="K117" s="45">
        <v>22</v>
      </c>
      <c r="L117" s="45">
        <f t="shared" si="11"/>
        <v>3.5</v>
      </c>
      <c r="M117" s="45">
        <f t="shared" si="12"/>
        <v>2.0500000000000007</v>
      </c>
      <c r="N117" s="8">
        <f t="shared" si="8"/>
        <v>7.3000000000000007</v>
      </c>
      <c r="O117" s="8">
        <v>3.75</v>
      </c>
      <c r="P117" s="8">
        <v>1.296</v>
      </c>
      <c r="Q117" s="8">
        <f>31*16</f>
        <v>496</v>
      </c>
      <c r="R117" s="40">
        <f t="shared" si="13"/>
        <v>17.597088000000003</v>
      </c>
    </row>
    <row r="118" spans="2:19" ht="15" customHeight="1" x14ac:dyDescent="0.25">
      <c r="B118" s="78" t="s">
        <v>40</v>
      </c>
      <c r="C118" s="79">
        <v>0</v>
      </c>
      <c r="E118" s="2" t="s">
        <v>20</v>
      </c>
      <c r="F118" s="41">
        <v>34.1</v>
      </c>
      <c r="G118" s="98">
        <v>5.3</v>
      </c>
      <c r="H118" s="71">
        <f t="shared" si="9"/>
        <v>2.65</v>
      </c>
      <c r="I118" s="71">
        <f t="shared" si="10"/>
        <v>31.450000000000003</v>
      </c>
      <c r="J118" s="45">
        <f t="shared" si="7"/>
        <v>1.75</v>
      </c>
      <c r="K118" s="45">
        <v>22</v>
      </c>
      <c r="L118" s="45">
        <f t="shared" si="11"/>
        <v>3.5</v>
      </c>
      <c r="M118" s="45">
        <f t="shared" si="12"/>
        <v>2.0500000000000043</v>
      </c>
      <c r="N118" s="8">
        <f t="shared" si="8"/>
        <v>7.3000000000000043</v>
      </c>
      <c r="O118" s="8">
        <v>3.75</v>
      </c>
      <c r="P118" s="8">
        <v>1.296</v>
      </c>
      <c r="Q118" s="8">
        <f>30*16</f>
        <v>480</v>
      </c>
      <c r="R118" s="40">
        <f t="shared" si="13"/>
        <v>17.029440000000008</v>
      </c>
    </row>
    <row r="119" spans="2:19" ht="16.5" customHeight="1" x14ac:dyDescent="0.25">
      <c r="B119" s="78" t="s">
        <v>41</v>
      </c>
      <c r="C119" s="79">
        <v>7</v>
      </c>
      <c r="E119" s="2" t="s">
        <v>21</v>
      </c>
      <c r="F119" s="41">
        <v>33.799999999999997</v>
      </c>
      <c r="G119" s="98">
        <v>6.4</v>
      </c>
      <c r="H119" s="71">
        <f t="shared" si="9"/>
        <v>3.2</v>
      </c>
      <c r="I119" s="71">
        <f t="shared" si="10"/>
        <v>30.599999999999998</v>
      </c>
      <c r="J119" s="45">
        <f t="shared" si="7"/>
        <v>1.75</v>
      </c>
      <c r="K119" s="45">
        <v>22</v>
      </c>
      <c r="L119" s="45">
        <f t="shared" si="11"/>
        <v>3.5</v>
      </c>
      <c r="M119" s="45">
        <f t="shared" si="12"/>
        <v>1.1999999999999993</v>
      </c>
      <c r="N119" s="8">
        <f t="shared" si="8"/>
        <v>6.4499999999999993</v>
      </c>
      <c r="O119" s="8">
        <v>3.75</v>
      </c>
      <c r="P119" s="8">
        <v>1.296</v>
      </c>
      <c r="Q119" s="8">
        <f>31*16</f>
        <v>496</v>
      </c>
      <c r="R119" s="40">
        <f t="shared" si="13"/>
        <v>15.548112</v>
      </c>
    </row>
    <row r="120" spans="2:19" ht="14.5" customHeight="1" x14ac:dyDescent="0.25">
      <c r="B120" s="78" t="s">
        <v>42</v>
      </c>
      <c r="C120" s="79">
        <v>7</v>
      </c>
      <c r="E120" s="2" t="s">
        <v>22</v>
      </c>
      <c r="F120" s="41">
        <v>31.2</v>
      </c>
      <c r="G120" s="98">
        <v>8.1</v>
      </c>
      <c r="H120" s="71">
        <f t="shared" si="9"/>
        <v>4.05</v>
      </c>
      <c r="I120" s="71">
        <f t="shared" si="10"/>
        <v>27.15</v>
      </c>
      <c r="J120" s="45">
        <f t="shared" si="7"/>
        <v>1.75</v>
      </c>
      <c r="K120" s="45">
        <v>22</v>
      </c>
      <c r="L120" s="45">
        <f t="shared" si="11"/>
        <v>3.5</v>
      </c>
      <c r="M120" s="45">
        <f t="shared" si="12"/>
        <v>-2.25</v>
      </c>
      <c r="N120" s="8">
        <f t="shared" si="8"/>
        <v>3</v>
      </c>
      <c r="O120" s="8">
        <v>3.75</v>
      </c>
      <c r="P120" s="8">
        <v>1.296</v>
      </c>
      <c r="Q120" s="8">
        <f>30*16</f>
        <v>480</v>
      </c>
      <c r="R120" s="40">
        <f t="shared" si="13"/>
        <v>6.9983999999999993</v>
      </c>
    </row>
    <row r="121" spans="2:19" ht="14.5" customHeight="1" x14ac:dyDescent="0.25">
      <c r="B121" s="78" t="s">
        <v>43</v>
      </c>
      <c r="C121" s="79">
        <v>6</v>
      </c>
      <c r="E121" s="2" t="s">
        <v>23</v>
      </c>
      <c r="F121" s="41">
        <v>28</v>
      </c>
      <c r="G121" s="98">
        <v>9</v>
      </c>
      <c r="H121" s="71">
        <f t="shared" si="9"/>
        <v>4.5</v>
      </c>
      <c r="I121" s="71">
        <f t="shared" si="10"/>
        <v>23.5</v>
      </c>
      <c r="J121" s="45">
        <f t="shared" si="7"/>
        <v>1.75</v>
      </c>
      <c r="K121" s="45">
        <v>22</v>
      </c>
      <c r="L121" s="45">
        <f t="shared" si="11"/>
        <v>3.5</v>
      </c>
      <c r="M121" s="45">
        <f t="shared" si="12"/>
        <v>-5.8999999999999986</v>
      </c>
      <c r="N121" s="8">
        <f t="shared" si="8"/>
        <v>-0.64999999999999858</v>
      </c>
      <c r="O121" s="8">
        <v>3.75</v>
      </c>
      <c r="P121" s="8">
        <v>1.296</v>
      </c>
      <c r="Q121" s="8">
        <f>31*16</f>
        <v>496</v>
      </c>
      <c r="R121" s="40">
        <f t="shared" si="13"/>
        <v>-1.5668639999999967</v>
      </c>
    </row>
    <row r="122" spans="2:19" ht="14.5" customHeight="1" x14ac:dyDescent="0.25">
      <c r="B122" s="78" t="s">
        <v>44</v>
      </c>
      <c r="C122" s="79">
        <v>4</v>
      </c>
      <c r="E122" s="417" t="s">
        <v>58</v>
      </c>
      <c r="F122" s="418"/>
      <c r="G122" s="418"/>
      <c r="H122" s="418"/>
      <c r="I122" s="418"/>
      <c r="J122" s="418"/>
      <c r="K122" s="418"/>
      <c r="L122" s="418"/>
      <c r="M122" s="418"/>
      <c r="N122" s="418"/>
      <c r="O122" s="418"/>
      <c r="P122" s="418"/>
      <c r="Q122" s="419"/>
      <c r="R122" s="69">
        <f>SUM(R110:R121)</f>
        <v>141.122736</v>
      </c>
      <c r="S122" s="105"/>
    </row>
    <row r="123" spans="2:19" ht="14.5" customHeight="1" x14ac:dyDescent="0.25">
      <c r="B123" s="78" t="s">
        <v>45</v>
      </c>
      <c r="C123" s="79">
        <v>3</v>
      </c>
      <c r="E123" s="394" t="s">
        <v>131</v>
      </c>
      <c r="F123" s="395"/>
      <c r="G123" s="395"/>
      <c r="H123" s="395"/>
      <c r="I123" s="395"/>
      <c r="J123" s="395"/>
      <c r="K123" s="395"/>
      <c r="L123" s="395"/>
      <c r="M123" s="395"/>
      <c r="N123" s="395"/>
      <c r="O123" s="395"/>
      <c r="P123" s="395"/>
      <c r="Q123" s="395"/>
      <c r="R123" s="396"/>
      <c r="S123" s="106"/>
    </row>
    <row r="124" spans="2:19" ht="14" x14ac:dyDescent="0.25">
      <c r="B124" s="78" t="s">
        <v>46</v>
      </c>
      <c r="C124" s="79">
        <v>2</v>
      </c>
      <c r="E124" s="2" t="s">
        <v>15</v>
      </c>
      <c r="F124" s="71">
        <v>26.9</v>
      </c>
      <c r="G124" s="71">
        <v>10.199999999999999</v>
      </c>
      <c r="H124" s="71">
        <f>G124/2</f>
        <v>5.0999999999999996</v>
      </c>
      <c r="I124" s="71">
        <f>F124-H124</f>
        <v>21.799999999999997</v>
      </c>
      <c r="J124" s="59">
        <f t="shared" ref="J124:J135" si="14">C$126</f>
        <v>1.75</v>
      </c>
      <c r="K124" s="45">
        <v>23</v>
      </c>
      <c r="L124" s="45">
        <f>25.5-K124</f>
        <v>2.5</v>
      </c>
      <c r="M124" s="45">
        <f>I124-29.4</f>
        <v>-7.6000000000000014</v>
      </c>
      <c r="N124" s="8">
        <f t="shared" ref="N124:N135" si="15">J124+L124+M124</f>
        <v>-3.3500000000000014</v>
      </c>
      <c r="O124" s="8">
        <v>3.75</v>
      </c>
      <c r="P124" s="8">
        <v>1.296</v>
      </c>
      <c r="Q124" s="8">
        <f>31*16</f>
        <v>496</v>
      </c>
      <c r="R124" s="40">
        <f>(N124*O124*P124*Q124)/1000</f>
        <v>-8.0753760000000021</v>
      </c>
    </row>
    <row r="125" spans="2:19" ht="14" x14ac:dyDescent="0.25">
      <c r="B125" s="78" t="s">
        <v>71</v>
      </c>
      <c r="C125" s="79">
        <v>2</v>
      </c>
      <c r="E125" s="2" t="s">
        <v>16</v>
      </c>
      <c r="F125" s="71">
        <v>31</v>
      </c>
      <c r="G125" s="71">
        <v>10.6</v>
      </c>
      <c r="H125" s="71">
        <f t="shared" ref="H125:H135" si="16">G125/2</f>
        <v>5.3</v>
      </c>
      <c r="I125" s="71">
        <f t="shared" ref="I125:I135" si="17">F125-H125</f>
        <v>25.7</v>
      </c>
      <c r="J125" s="45">
        <f t="shared" si="14"/>
        <v>1.75</v>
      </c>
      <c r="K125" s="45">
        <v>23</v>
      </c>
      <c r="L125" s="45">
        <f t="shared" ref="L125:L135" si="18">25.5-K125</f>
        <v>2.5</v>
      </c>
      <c r="M125" s="45">
        <f t="shared" ref="M125:M135" si="19">I125-29.4</f>
        <v>-3.6999999999999993</v>
      </c>
      <c r="N125" s="8">
        <f t="shared" si="15"/>
        <v>0.55000000000000071</v>
      </c>
      <c r="O125" s="8">
        <v>3.75</v>
      </c>
      <c r="P125" s="8">
        <v>1.296</v>
      </c>
      <c r="Q125" s="8">
        <f>28*16</f>
        <v>448</v>
      </c>
      <c r="R125" s="40">
        <f t="shared" ref="R125:R135" si="20">(N125*O125*P125*Q125)/1000</f>
        <v>1.1975040000000017</v>
      </c>
    </row>
    <row r="126" spans="2:19" ht="16" thickBot="1" x14ac:dyDescent="0.3">
      <c r="B126" s="80" t="s">
        <v>77</v>
      </c>
      <c r="C126" s="81">
        <f>AVERAGE(C110:C125)</f>
        <v>1.75</v>
      </c>
      <c r="E126" s="2" t="s">
        <v>17</v>
      </c>
      <c r="F126" s="71">
        <v>34.6</v>
      </c>
      <c r="G126" s="71">
        <v>10.199999999999999</v>
      </c>
      <c r="H126" s="71">
        <f t="shared" si="16"/>
        <v>5.0999999999999996</v>
      </c>
      <c r="I126" s="71">
        <f t="shared" si="17"/>
        <v>29.5</v>
      </c>
      <c r="J126" s="45">
        <f t="shared" si="14"/>
        <v>1.75</v>
      </c>
      <c r="K126" s="45">
        <v>23</v>
      </c>
      <c r="L126" s="45">
        <f t="shared" si="18"/>
        <v>2.5</v>
      </c>
      <c r="M126" s="45">
        <f t="shared" si="19"/>
        <v>0.10000000000000142</v>
      </c>
      <c r="N126" s="8">
        <f t="shared" si="15"/>
        <v>4.3500000000000014</v>
      </c>
      <c r="O126" s="8">
        <v>3.75</v>
      </c>
      <c r="P126" s="8">
        <v>1.296</v>
      </c>
      <c r="Q126" s="8">
        <f>31*16</f>
        <v>496</v>
      </c>
      <c r="R126" s="40">
        <f t="shared" si="20"/>
        <v>10.485936000000006</v>
      </c>
    </row>
    <row r="127" spans="2:19" ht="14" x14ac:dyDescent="0.25">
      <c r="E127" s="2" t="s">
        <v>18</v>
      </c>
      <c r="F127" s="71">
        <v>36.799999999999997</v>
      </c>
      <c r="G127" s="71">
        <v>9</v>
      </c>
      <c r="H127" s="71">
        <f t="shared" si="16"/>
        <v>4.5</v>
      </c>
      <c r="I127" s="71">
        <f t="shared" si="17"/>
        <v>32.299999999999997</v>
      </c>
      <c r="J127" s="45">
        <f t="shared" si="14"/>
        <v>1.75</v>
      </c>
      <c r="K127" s="45">
        <v>23</v>
      </c>
      <c r="L127" s="45">
        <f t="shared" si="18"/>
        <v>2.5</v>
      </c>
      <c r="M127" s="45">
        <f t="shared" si="19"/>
        <v>2.8999999999999986</v>
      </c>
      <c r="N127" s="8">
        <f t="shared" si="15"/>
        <v>7.1499999999999986</v>
      </c>
      <c r="O127" s="8">
        <v>3.75</v>
      </c>
      <c r="P127" s="8">
        <v>1.296</v>
      </c>
      <c r="Q127" s="8">
        <f>30*16</f>
        <v>480</v>
      </c>
      <c r="R127" s="40">
        <f t="shared" si="20"/>
        <v>16.679519999999997</v>
      </c>
    </row>
    <row r="128" spans="2:19" ht="14" x14ac:dyDescent="0.25">
      <c r="E128" s="2" t="s">
        <v>12</v>
      </c>
      <c r="F128" s="71">
        <v>35.9</v>
      </c>
      <c r="G128" s="71">
        <v>7.7</v>
      </c>
      <c r="H128" s="71">
        <f t="shared" si="16"/>
        <v>3.85</v>
      </c>
      <c r="I128" s="71">
        <f t="shared" si="17"/>
        <v>32.049999999999997</v>
      </c>
      <c r="J128" s="45">
        <f t="shared" si="14"/>
        <v>1.75</v>
      </c>
      <c r="K128" s="45">
        <v>23</v>
      </c>
      <c r="L128" s="45">
        <f t="shared" si="18"/>
        <v>2.5</v>
      </c>
      <c r="M128" s="45">
        <f t="shared" si="19"/>
        <v>2.6499999999999986</v>
      </c>
      <c r="N128" s="8">
        <f t="shared" si="15"/>
        <v>6.8999999999999986</v>
      </c>
      <c r="O128" s="8">
        <v>3.75</v>
      </c>
      <c r="P128" s="8">
        <v>1.296</v>
      </c>
      <c r="Q128" s="8">
        <f>31*16</f>
        <v>496</v>
      </c>
      <c r="R128" s="40">
        <f t="shared" si="20"/>
        <v>16.632863999999994</v>
      </c>
    </row>
    <row r="129" spans="5:19" ht="14" x14ac:dyDescent="0.25">
      <c r="E129" s="2" t="s">
        <v>13</v>
      </c>
      <c r="F129" s="71">
        <v>35.1</v>
      </c>
      <c r="G129" s="71">
        <v>5.7</v>
      </c>
      <c r="H129" s="71">
        <f t="shared" si="16"/>
        <v>2.85</v>
      </c>
      <c r="I129" s="71">
        <f t="shared" si="17"/>
        <v>32.25</v>
      </c>
      <c r="J129" s="45">
        <f t="shared" si="14"/>
        <v>1.75</v>
      </c>
      <c r="K129" s="45">
        <v>23</v>
      </c>
      <c r="L129" s="45">
        <f t="shared" si="18"/>
        <v>2.5</v>
      </c>
      <c r="M129" s="45">
        <f t="shared" si="19"/>
        <v>2.8500000000000014</v>
      </c>
      <c r="N129" s="8">
        <f t="shared" si="15"/>
        <v>7.1000000000000014</v>
      </c>
      <c r="O129" s="8">
        <v>3.75</v>
      </c>
      <c r="P129" s="8">
        <v>1.296</v>
      </c>
      <c r="Q129" s="8">
        <f>30*16</f>
        <v>480</v>
      </c>
      <c r="R129" s="40">
        <f t="shared" si="20"/>
        <v>16.562880000000003</v>
      </c>
    </row>
    <row r="130" spans="5:19" ht="14" x14ac:dyDescent="0.25">
      <c r="E130" s="2" t="s">
        <v>24</v>
      </c>
      <c r="F130" s="41">
        <v>34</v>
      </c>
      <c r="G130" s="98">
        <v>4.8</v>
      </c>
      <c r="H130" s="71">
        <f t="shared" si="16"/>
        <v>2.4</v>
      </c>
      <c r="I130" s="71">
        <f t="shared" si="17"/>
        <v>31.6</v>
      </c>
      <c r="J130" s="45">
        <f t="shared" si="14"/>
        <v>1.75</v>
      </c>
      <c r="K130" s="45">
        <v>23</v>
      </c>
      <c r="L130" s="45">
        <f t="shared" si="18"/>
        <v>2.5</v>
      </c>
      <c r="M130" s="45">
        <f t="shared" si="19"/>
        <v>2.2000000000000028</v>
      </c>
      <c r="N130" s="8">
        <f t="shared" si="15"/>
        <v>6.4500000000000028</v>
      </c>
      <c r="O130" s="8">
        <v>3.75</v>
      </c>
      <c r="P130" s="8">
        <v>1.296</v>
      </c>
      <c r="Q130" s="8">
        <f>31*16</f>
        <v>496</v>
      </c>
      <c r="R130" s="40">
        <f t="shared" si="20"/>
        <v>15.548112000000009</v>
      </c>
    </row>
    <row r="131" spans="5:19" ht="14" x14ac:dyDescent="0.25">
      <c r="E131" s="2" t="s">
        <v>19</v>
      </c>
      <c r="F131" s="41">
        <v>33.9</v>
      </c>
      <c r="G131" s="98">
        <v>4.9000000000000004</v>
      </c>
      <c r="H131" s="71">
        <f t="shared" si="16"/>
        <v>2.4500000000000002</v>
      </c>
      <c r="I131" s="71">
        <f t="shared" si="17"/>
        <v>31.45</v>
      </c>
      <c r="J131" s="45">
        <f t="shared" si="14"/>
        <v>1.75</v>
      </c>
      <c r="K131" s="45">
        <v>23</v>
      </c>
      <c r="L131" s="45">
        <f t="shared" si="18"/>
        <v>2.5</v>
      </c>
      <c r="M131" s="45">
        <f t="shared" si="19"/>
        <v>2.0500000000000007</v>
      </c>
      <c r="N131" s="8">
        <f t="shared" si="15"/>
        <v>6.3000000000000007</v>
      </c>
      <c r="O131" s="8">
        <v>3.75</v>
      </c>
      <c r="P131" s="8">
        <v>1.296</v>
      </c>
      <c r="Q131" s="8">
        <f>31*16</f>
        <v>496</v>
      </c>
      <c r="R131" s="40">
        <f t="shared" si="20"/>
        <v>15.186528000000003</v>
      </c>
    </row>
    <row r="132" spans="5:19" ht="14" x14ac:dyDescent="0.25">
      <c r="E132" s="2" t="s">
        <v>20</v>
      </c>
      <c r="F132" s="41">
        <v>34.1</v>
      </c>
      <c r="G132" s="98">
        <v>5.3</v>
      </c>
      <c r="H132" s="71">
        <f t="shared" si="16"/>
        <v>2.65</v>
      </c>
      <c r="I132" s="71">
        <f t="shared" si="17"/>
        <v>31.450000000000003</v>
      </c>
      <c r="J132" s="45">
        <f t="shared" si="14"/>
        <v>1.75</v>
      </c>
      <c r="K132" s="45">
        <v>23</v>
      </c>
      <c r="L132" s="45">
        <f t="shared" si="18"/>
        <v>2.5</v>
      </c>
      <c r="M132" s="45">
        <f t="shared" si="19"/>
        <v>2.0500000000000043</v>
      </c>
      <c r="N132" s="8">
        <f t="shared" si="15"/>
        <v>6.3000000000000043</v>
      </c>
      <c r="O132" s="8">
        <v>3.75</v>
      </c>
      <c r="P132" s="8">
        <v>1.296</v>
      </c>
      <c r="Q132" s="8">
        <f>30*16</f>
        <v>480</v>
      </c>
      <c r="R132" s="40">
        <f t="shared" si="20"/>
        <v>14.696640000000011</v>
      </c>
    </row>
    <row r="133" spans="5:19" ht="14" x14ac:dyDescent="0.25">
      <c r="E133" s="2" t="s">
        <v>21</v>
      </c>
      <c r="F133" s="41">
        <v>33.799999999999997</v>
      </c>
      <c r="G133" s="98">
        <v>6.4</v>
      </c>
      <c r="H133" s="71">
        <f t="shared" si="16"/>
        <v>3.2</v>
      </c>
      <c r="I133" s="71">
        <f t="shared" si="17"/>
        <v>30.599999999999998</v>
      </c>
      <c r="J133" s="45">
        <f t="shared" si="14"/>
        <v>1.75</v>
      </c>
      <c r="K133" s="45">
        <v>23</v>
      </c>
      <c r="L133" s="45">
        <f t="shared" si="18"/>
        <v>2.5</v>
      </c>
      <c r="M133" s="45">
        <f t="shared" si="19"/>
        <v>1.1999999999999993</v>
      </c>
      <c r="N133" s="8">
        <f t="shared" si="15"/>
        <v>5.4499999999999993</v>
      </c>
      <c r="O133" s="8">
        <v>3.75</v>
      </c>
      <c r="P133" s="8">
        <v>1.296</v>
      </c>
      <c r="Q133" s="8">
        <f>31*16</f>
        <v>496</v>
      </c>
      <c r="R133" s="40">
        <f t="shared" si="20"/>
        <v>13.137551999999998</v>
      </c>
    </row>
    <row r="134" spans="5:19" ht="14" x14ac:dyDescent="0.25">
      <c r="E134" s="2" t="s">
        <v>22</v>
      </c>
      <c r="F134" s="41">
        <v>31.2</v>
      </c>
      <c r="G134" s="98">
        <v>8.1</v>
      </c>
      <c r="H134" s="71">
        <f t="shared" si="16"/>
        <v>4.05</v>
      </c>
      <c r="I134" s="71">
        <f t="shared" si="17"/>
        <v>27.15</v>
      </c>
      <c r="J134" s="45">
        <f t="shared" si="14"/>
        <v>1.75</v>
      </c>
      <c r="K134" s="45">
        <v>23</v>
      </c>
      <c r="L134" s="45">
        <f t="shared" si="18"/>
        <v>2.5</v>
      </c>
      <c r="M134" s="45">
        <f t="shared" si="19"/>
        <v>-2.25</v>
      </c>
      <c r="N134" s="8">
        <f t="shared" si="15"/>
        <v>2</v>
      </c>
      <c r="O134" s="8">
        <v>3.75</v>
      </c>
      <c r="P134" s="8">
        <v>1.296</v>
      </c>
      <c r="Q134" s="8">
        <f>30*16</f>
        <v>480</v>
      </c>
      <c r="R134" s="40">
        <f t="shared" si="20"/>
        <v>4.6656000000000004</v>
      </c>
    </row>
    <row r="135" spans="5:19" ht="14" x14ac:dyDescent="0.25">
      <c r="E135" s="2" t="s">
        <v>23</v>
      </c>
      <c r="F135" s="41">
        <v>28</v>
      </c>
      <c r="G135" s="98">
        <v>9</v>
      </c>
      <c r="H135" s="71">
        <f t="shared" si="16"/>
        <v>4.5</v>
      </c>
      <c r="I135" s="71">
        <f t="shared" si="17"/>
        <v>23.5</v>
      </c>
      <c r="J135" s="45">
        <f t="shared" si="14"/>
        <v>1.75</v>
      </c>
      <c r="K135" s="45">
        <v>23</v>
      </c>
      <c r="L135" s="45">
        <f t="shared" si="18"/>
        <v>2.5</v>
      </c>
      <c r="M135" s="45">
        <f t="shared" si="19"/>
        <v>-5.8999999999999986</v>
      </c>
      <c r="N135" s="8">
        <f t="shared" si="15"/>
        <v>-1.6499999999999986</v>
      </c>
      <c r="O135" s="8">
        <v>3.75</v>
      </c>
      <c r="P135" s="8">
        <v>1.296</v>
      </c>
      <c r="Q135" s="8">
        <f>31*16</f>
        <v>496</v>
      </c>
      <c r="R135" s="40">
        <f t="shared" si="20"/>
        <v>-3.9774239999999965</v>
      </c>
    </row>
    <row r="136" spans="5:19" ht="15" x14ac:dyDescent="0.25">
      <c r="E136" s="417" t="s">
        <v>58</v>
      </c>
      <c r="F136" s="418"/>
      <c r="G136" s="418"/>
      <c r="H136" s="418"/>
      <c r="I136" s="418"/>
      <c r="J136" s="418"/>
      <c r="K136" s="418"/>
      <c r="L136" s="418"/>
      <c r="M136" s="418"/>
      <c r="N136" s="418"/>
      <c r="O136" s="418"/>
      <c r="P136" s="418"/>
      <c r="Q136" s="418"/>
      <c r="R136" s="107">
        <f>SUM(R124:R135)</f>
        <v>112.74033600000003</v>
      </c>
      <c r="S136" s="105"/>
    </row>
    <row r="137" spans="5:19" ht="15" x14ac:dyDescent="0.4">
      <c r="E137" s="413" t="s">
        <v>72</v>
      </c>
      <c r="F137" s="414"/>
      <c r="G137" s="414"/>
      <c r="H137" s="414"/>
      <c r="I137" s="414"/>
      <c r="J137" s="414"/>
      <c r="K137" s="414"/>
      <c r="L137" s="414"/>
      <c r="M137" s="414"/>
      <c r="N137" s="414"/>
      <c r="O137" s="414"/>
      <c r="P137" s="414"/>
      <c r="Q137" s="414"/>
      <c r="R137" s="414"/>
      <c r="S137" s="104"/>
    </row>
    <row r="138" spans="5:19" ht="14" x14ac:dyDescent="0.25">
      <c r="E138" s="2" t="s">
        <v>15</v>
      </c>
      <c r="F138" s="71">
        <v>26.9</v>
      </c>
      <c r="G138" s="71">
        <v>10.199999999999999</v>
      </c>
      <c r="H138" s="71">
        <f>G138/2</f>
        <v>5.0999999999999996</v>
      </c>
      <c r="I138" s="71">
        <f>F138-H138</f>
        <v>21.799999999999997</v>
      </c>
      <c r="J138" s="45">
        <f t="shared" ref="J138:J149" si="21">C$126</f>
        <v>1.75</v>
      </c>
      <c r="K138" s="45">
        <v>24</v>
      </c>
      <c r="L138" s="72">
        <f>25.5-K138</f>
        <v>1.5</v>
      </c>
      <c r="M138" s="72">
        <f>I138-29.4</f>
        <v>-7.6000000000000014</v>
      </c>
      <c r="N138" s="8">
        <f t="shared" ref="N138:N149" si="22">J138+L138+M138</f>
        <v>-4.3500000000000014</v>
      </c>
      <c r="O138" s="8">
        <v>3.75</v>
      </c>
      <c r="P138" s="8">
        <v>1.296</v>
      </c>
      <c r="Q138" s="8">
        <f>31*16</f>
        <v>496</v>
      </c>
      <c r="R138" s="40">
        <f>(N138*O138*P138*Q138)/1000</f>
        <v>-10.485936000000006</v>
      </c>
    </row>
    <row r="139" spans="5:19" ht="14" x14ac:dyDescent="0.25">
      <c r="E139" s="2" t="s">
        <v>16</v>
      </c>
      <c r="F139" s="71">
        <v>31</v>
      </c>
      <c r="G139" s="71">
        <v>10.6</v>
      </c>
      <c r="H139" s="71">
        <f t="shared" ref="H139:H149" si="23">G139/2</f>
        <v>5.3</v>
      </c>
      <c r="I139" s="71">
        <f t="shared" ref="I139:I149" si="24">F139-H139</f>
        <v>25.7</v>
      </c>
      <c r="J139" s="45">
        <f t="shared" si="21"/>
        <v>1.75</v>
      </c>
      <c r="K139" s="45">
        <v>24</v>
      </c>
      <c r="L139" s="72">
        <f t="shared" ref="L139:L149" si="25">25.5-K139</f>
        <v>1.5</v>
      </c>
      <c r="M139" s="72">
        <f t="shared" ref="M139:M149" si="26">I139-29.4</f>
        <v>-3.6999999999999993</v>
      </c>
      <c r="N139" s="8">
        <f t="shared" si="22"/>
        <v>-0.44999999999999929</v>
      </c>
      <c r="O139" s="8">
        <v>3.75</v>
      </c>
      <c r="P139" s="8">
        <v>1.296</v>
      </c>
      <c r="Q139" s="8">
        <f>28*16</f>
        <v>448</v>
      </c>
      <c r="R139" s="40">
        <f t="shared" ref="R139:R149" si="27">(N139*O139*P139*Q139)/1000</f>
        <v>-0.97977599999999843</v>
      </c>
    </row>
    <row r="140" spans="5:19" ht="14" x14ac:dyDescent="0.25">
      <c r="E140" s="2" t="s">
        <v>17</v>
      </c>
      <c r="F140" s="71">
        <v>34.6</v>
      </c>
      <c r="G140" s="71">
        <v>10.199999999999999</v>
      </c>
      <c r="H140" s="71">
        <f t="shared" si="23"/>
        <v>5.0999999999999996</v>
      </c>
      <c r="I140" s="71">
        <f t="shared" si="24"/>
        <v>29.5</v>
      </c>
      <c r="J140" s="45">
        <f t="shared" si="21"/>
        <v>1.75</v>
      </c>
      <c r="K140" s="45">
        <v>24</v>
      </c>
      <c r="L140" s="72">
        <f t="shared" si="25"/>
        <v>1.5</v>
      </c>
      <c r="M140" s="72">
        <f t="shared" si="26"/>
        <v>0.10000000000000142</v>
      </c>
      <c r="N140" s="8">
        <f t="shared" si="22"/>
        <v>3.3500000000000014</v>
      </c>
      <c r="O140" s="8">
        <v>3.75</v>
      </c>
      <c r="P140" s="8">
        <v>1.296</v>
      </c>
      <c r="Q140" s="8">
        <f>31*16</f>
        <v>496</v>
      </c>
      <c r="R140" s="40">
        <f t="shared" si="27"/>
        <v>8.0753760000000021</v>
      </c>
    </row>
    <row r="141" spans="5:19" ht="14" x14ac:dyDescent="0.25">
      <c r="E141" s="2" t="s">
        <v>18</v>
      </c>
      <c r="F141" s="71">
        <v>36.799999999999997</v>
      </c>
      <c r="G141" s="71">
        <v>9</v>
      </c>
      <c r="H141" s="71">
        <f t="shared" si="23"/>
        <v>4.5</v>
      </c>
      <c r="I141" s="71">
        <f t="shared" si="24"/>
        <v>32.299999999999997</v>
      </c>
      <c r="J141" s="45">
        <f t="shared" si="21"/>
        <v>1.75</v>
      </c>
      <c r="K141" s="45">
        <v>24</v>
      </c>
      <c r="L141" s="72">
        <f t="shared" si="25"/>
        <v>1.5</v>
      </c>
      <c r="M141" s="72">
        <f t="shared" si="26"/>
        <v>2.8999999999999986</v>
      </c>
      <c r="N141" s="8">
        <f t="shared" si="22"/>
        <v>6.1499999999999986</v>
      </c>
      <c r="O141" s="8">
        <v>3.75</v>
      </c>
      <c r="P141" s="8">
        <v>1.296</v>
      </c>
      <c r="Q141" s="8">
        <f>30*16</f>
        <v>480</v>
      </c>
      <c r="R141" s="40">
        <f t="shared" si="27"/>
        <v>14.346719999999996</v>
      </c>
    </row>
    <row r="142" spans="5:19" ht="14" x14ac:dyDescent="0.25">
      <c r="E142" s="2" t="s">
        <v>12</v>
      </c>
      <c r="F142" s="71">
        <v>35.9</v>
      </c>
      <c r="G142" s="71">
        <v>7.7</v>
      </c>
      <c r="H142" s="71">
        <f t="shared" si="23"/>
        <v>3.85</v>
      </c>
      <c r="I142" s="71">
        <f t="shared" si="24"/>
        <v>32.049999999999997</v>
      </c>
      <c r="J142" s="45">
        <f t="shared" si="21"/>
        <v>1.75</v>
      </c>
      <c r="K142" s="45">
        <v>24</v>
      </c>
      <c r="L142" s="72">
        <f t="shared" si="25"/>
        <v>1.5</v>
      </c>
      <c r="M142" s="72">
        <f t="shared" si="26"/>
        <v>2.6499999999999986</v>
      </c>
      <c r="N142" s="8">
        <f t="shared" si="22"/>
        <v>5.8999999999999986</v>
      </c>
      <c r="O142" s="8">
        <v>3.75</v>
      </c>
      <c r="P142" s="8">
        <v>1.296</v>
      </c>
      <c r="Q142" s="8">
        <f>31*16</f>
        <v>496</v>
      </c>
      <c r="R142" s="40">
        <f t="shared" si="27"/>
        <v>14.222303999999996</v>
      </c>
    </row>
    <row r="143" spans="5:19" ht="14" x14ac:dyDescent="0.25">
      <c r="E143" s="2" t="s">
        <v>13</v>
      </c>
      <c r="F143" s="71">
        <v>35.1</v>
      </c>
      <c r="G143" s="71">
        <v>5.7</v>
      </c>
      <c r="H143" s="71">
        <f t="shared" si="23"/>
        <v>2.85</v>
      </c>
      <c r="I143" s="71">
        <f t="shared" si="24"/>
        <v>32.25</v>
      </c>
      <c r="J143" s="45">
        <f t="shared" si="21"/>
        <v>1.75</v>
      </c>
      <c r="K143" s="45">
        <v>24</v>
      </c>
      <c r="L143" s="72">
        <f t="shared" si="25"/>
        <v>1.5</v>
      </c>
      <c r="M143" s="72">
        <f t="shared" si="26"/>
        <v>2.8500000000000014</v>
      </c>
      <c r="N143" s="8">
        <f t="shared" si="22"/>
        <v>6.1000000000000014</v>
      </c>
      <c r="O143" s="8">
        <v>3.75</v>
      </c>
      <c r="P143" s="8">
        <v>1.296</v>
      </c>
      <c r="Q143" s="8">
        <f>30*16</f>
        <v>480</v>
      </c>
      <c r="R143" s="40">
        <f t="shared" si="27"/>
        <v>14.230080000000005</v>
      </c>
    </row>
    <row r="144" spans="5:19" ht="14" x14ac:dyDescent="0.25">
      <c r="E144" s="2" t="s">
        <v>24</v>
      </c>
      <c r="F144" s="41">
        <v>34</v>
      </c>
      <c r="G144" s="98">
        <v>4.8</v>
      </c>
      <c r="H144" s="71">
        <f t="shared" si="23"/>
        <v>2.4</v>
      </c>
      <c r="I144" s="71">
        <f t="shared" si="24"/>
        <v>31.6</v>
      </c>
      <c r="J144" s="45">
        <f t="shared" si="21"/>
        <v>1.75</v>
      </c>
      <c r="K144" s="45">
        <v>24</v>
      </c>
      <c r="L144" s="72">
        <f t="shared" si="25"/>
        <v>1.5</v>
      </c>
      <c r="M144" s="72">
        <f t="shared" si="26"/>
        <v>2.2000000000000028</v>
      </c>
      <c r="N144" s="8">
        <f t="shared" si="22"/>
        <v>5.4500000000000028</v>
      </c>
      <c r="O144" s="8">
        <v>3.75</v>
      </c>
      <c r="P144" s="8">
        <v>1.296</v>
      </c>
      <c r="Q144" s="8">
        <f>31*16</f>
        <v>496</v>
      </c>
      <c r="R144" s="40">
        <f t="shared" si="27"/>
        <v>13.137552000000008</v>
      </c>
    </row>
    <row r="145" spans="5:19" ht="14" x14ac:dyDescent="0.25">
      <c r="E145" s="2" t="s">
        <v>19</v>
      </c>
      <c r="F145" s="41">
        <v>33.9</v>
      </c>
      <c r="G145" s="98">
        <v>4.9000000000000004</v>
      </c>
      <c r="H145" s="71">
        <f t="shared" si="23"/>
        <v>2.4500000000000002</v>
      </c>
      <c r="I145" s="71">
        <f t="shared" si="24"/>
        <v>31.45</v>
      </c>
      <c r="J145" s="45">
        <f t="shared" si="21"/>
        <v>1.75</v>
      </c>
      <c r="K145" s="45">
        <v>24</v>
      </c>
      <c r="L145" s="72">
        <f t="shared" si="25"/>
        <v>1.5</v>
      </c>
      <c r="M145" s="72">
        <f t="shared" si="26"/>
        <v>2.0500000000000007</v>
      </c>
      <c r="N145" s="8">
        <f t="shared" si="22"/>
        <v>5.3000000000000007</v>
      </c>
      <c r="O145" s="8">
        <v>3.75</v>
      </c>
      <c r="P145" s="8">
        <v>1.296</v>
      </c>
      <c r="Q145" s="8">
        <f>31*16</f>
        <v>496</v>
      </c>
      <c r="R145" s="40">
        <f t="shared" si="27"/>
        <v>12.775968000000002</v>
      </c>
    </row>
    <row r="146" spans="5:19" ht="14" x14ac:dyDescent="0.25">
      <c r="E146" s="2" t="s">
        <v>20</v>
      </c>
      <c r="F146" s="41">
        <v>34.1</v>
      </c>
      <c r="G146" s="98">
        <v>5.3</v>
      </c>
      <c r="H146" s="71">
        <f t="shared" si="23"/>
        <v>2.65</v>
      </c>
      <c r="I146" s="71">
        <f t="shared" si="24"/>
        <v>31.450000000000003</v>
      </c>
      <c r="J146" s="45">
        <f t="shared" si="21"/>
        <v>1.75</v>
      </c>
      <c r="K146" s="45">
        <v>24</v>
      </c>
      <c r="L146" s="72">
        <f t="shared" si="25"/>
        <v>1.5</v>
      </c>
      <c r="M146" s="72">
        <f t="shared" si="26"/>
        <v>2.0500000000000043</v>
      </c>
      <c r="N146" s="8">
        <f t="shared" si="22"/>
        <v>5.3000000000000043</v>
      </c>
      <c r="O146" s="8">
        <v>3.75</v>
      </c>
      <c r="P146" s="8">
        <v>1.296</v>
      </c>
      <c r="Q146" s="8">
        <f>30*16</f>
        <v>480</v>
      </c>
      <c r="R146" s="40">
        <f t="shared" si="27"/>
        <v>12.363840000000009</v>
      </c>
    </row>
    <row r="147" spans="5:19" ht="14" x14ac:dyDescent="0.25">
      <c r="E147" s="2" t="s">
        <v>21</v>
      </c>
      <c r="F147" s="41">
        <v>33.799999999999997</v>
      </c>
      <c r="G147" s="98">
        <v>6.4</v>
      </c>
      <c r="H147" s="71">
        <f t="shared" si="23"/>
        <v>3.2</v>
      </c>
      <c r="I147" s="71">
        <f t="shared" si="24"/>
        <v>30.599999999999998</v>
      </c>
      <c r="J147" s="45">
        <f t="shared" si="21"/>
        <v>1.75</v>
      </c>
      <c r="K147" s="45">
        <v>24</v>
      </c>
      <c r="L147" s="72">
        <f t="shared" si="25"/>
        <v>1.5</v>
      </c>
      <c r="M147" s="72">
        <f t="shared" si="26"/>
        <v>1.1999999999999993</v>
      </c>
      <c r="N147" s="8">
        <f t="shared" si="22"/>
        <v>4.4499999999999993</v>
      </c>
      <c r="O147" s="8">
        <v>3.75</v>
      </c>
      <c r="P147" s="8">
        <v>1.296</v>
      </c>
      <c r="Q147" s="8">
        <f>31*16</f>
        <v>496</v>
      </c>
      <c r="R147" s="40">
        <f t="shared" si="27"/>
        <v>10.726991999999999</v>
      </c>
    </row>
    <row r="148" spans="5:19" ht="14" x14ac:dyDescent="0.25">
      <c r="E148" s="2" t="s">
        <v>22</v>
      </c>
      <c r="F148" s="41">
        <v>31.2</v>
      </c>
      <c r="G148" s="98">
        <v>8.1</v>
      </c>
      <c r="H148" s="71">
        <f t="shared" si="23"/>
        <v>4.05</v>
      </c>
      <c r="I148" s="71">
        <f t="shared" si="24"/>
        <v>27.15</v>
      </c>
      <c r="J148" s="45">
        <f t="shared" si="21"/>
        <v>1.75</v>
      </c>
      <c r="K148" s="45">
        <v>24</v>
      </c>
      <c r="L148" s="72">
        <f t="shared" si="25"/>
        <v>1.5</v>
      </c>
      <c r="M148" s="72">
        <f t="shared" si="26"/>
        <v>-2.25</v>
      </c>
      <c r="N148" s="8">
        <f t="shared" si="22"/>
        <v>1</v>
      </c>
      <c r="O148" s="8">
        <v>3.75</v>
      </c>
      <c r="P148" s="8">
        <v>1.296</v>
      </c>
      <c r="Q148" s="8">
        <f>30*16</f>
        <v>480</v>
      </c>
      <c r="R148" s="40">
        <f t="shared" si="27"/>
        <v>2.3328000000000002</v>
      </c>
    </row>
    <row r="149" spans="5:19" ht="14" x14ac:dyDescent="0.25">
      <c r="E149" s="2" t="s">
        <v>23</v>
      </c>
      <c r="F149" s="41">
        <v>28</v>
      </c>
      <c r="G149" s="98">
        <v>9</v>
      </c>
      <c r="H149" s="71">
        <f t="shared" si="23"/>
        <v>4.5</v>
      </c>
      <c r="I149" s="71">
        <f t="shared" si="24"/>
        <v>23.5</v>
      </c>
      <c r="J149" s="45">
        <f t="shared" si="21"/>
        <v>1.75</v>
      </c>
      <c r="K149" s="45">
        <v>24</v>
      </c>
      <c r="L149" s="72">
        <f t="shared" si="25"/>
        <v>1.5</v>
      </c>
      <c r="M149" s="72">
        <f t="shared" si="26"/>
        <v>-5.8999999999999986</v>
      </c>
      <c r="N149" s="8">
        <f t="shared" si="22"/>
        <v>-2.6499999999999986</v>
      </c>
      <c r="O149" s="8">
        <v>3.75</v>
      </c>
      <c r="P149" s="8">
        <v>1.296</v>
      </c>
      <c r="Q149" s="8">
        <f>31*16</f>
        <v>496</v>
      </c>
      <c r="R149" s="108">
        <f t="shared" si="27"/>
        <v>-6.3879839999999968</v>
      </c>
      <c r="S149" s="109"/>
    </row>
    <row r="150" spans="5:19" ht="15" x14ac:dyDescent="0.25">
      <c r="E150" s="417" t="s">
        <v>60</v>
      </c>
      <c r="F150" s="418"/>
      <c r="G150" s="418"/>
      <c r="H150" s="418"/>
      <c r="I150" s="418"/>
      <c r="J150" s="418"/>
      <c r="K150" s="418"/>
      <c r="L150" s="418"/>
      <c r="M150" s="418"/>
      <c r="N150" s="418"/>
      <c r="O150" s="418"/>
      <c r="P150" s="418"/>
      <c r="Q150" s="419"/>
      <c r="R150" s="107">
        <f>SUM(R138:R149)</f>
        <v>84.357936000000009</v>
      </c>
      <c r="S150" s="105"/>
    </row>
    <row r="151" spans="5:19" ht="15" x14ac:dyDescent="0.4">
      <c r="E151" s="413" t="s">
        <v>73</v>
      </c>
      <c r="F151" s="414"/>
      <c r="G151" s="414"/>
      <c r="H151" s="414"/>
      <c r="I151" s="414"/>
      <c r="J151" s="414"/>
      <c r="K151" s="414"/>
      <c r="L151" s="414"/>
      <c r="M151" s="414"/>
      <c r="N151" s="414"/>
      <c r="O151" s="414"/>
      <c r="P151" s="414"/>
      <c r="Q151" s="414"/>
      <c r="R151" s="414"/>
      <c r="S151" s="104"/>
    </row>
    <row r="152" spans="5:19" ht="14" x14ac:dyDescent="0.25">
      <c r="E152" s="2" t="s">
        <v>15</v>
      </c>
      <c r="F152" s="71">
        <v>26.9</v>
      </c>
      <c r="G152" s="71">
        <v>10.199999999999999</v>
      </c>
      <c r="H152" s="41">
        <f>G152/2</f>
        <v>5.0999999999999996</v>
      </c>
      <c r="I152" s="71">
        <f>F152-H152</f>
        <v>21.799999999999997</v>
      </c>
      <c r="J152" s="8">
        <f t="shared" ref="J152:J163" si="28">C$126</f>
        <v>1.75</v>
      </c>
      <c r="K152" s="8">
        <v>25</v>
      </c>
      <c r="L152" s="8">
        <f>25.5-K152</f>
        <v>0.5</v>
      </c>
      <c r="M152" s="8">
        <f t="shared" ref="M152:M163" si="29">I152-29.4</f>
        <v>-7.6000000000000014</v>
      </c>
      <c r="N152" s="8">
        <f t="shared" ref="N152:N163" si="30">J152+L152+M152</f>
        <v>-5.3500000000000014</v>
      </c>
      <c r="O152" s="8">
        <v>3.75</v>
      </c>
      <c r="P152" s="8">
        <v>1.296</v>
      </c>
      <c r="Q152" s="8">
        <f>31*16</f>
        <v>496</v>
      </c>
      <c r="R152" s="108">
        <f t="shared" ref="R152:R163" si="31">(N152*O152*P152*Q152)/1000</f>
        <v>-12.896496000000004</v>
      </c>
      <c r="S152" s="109"/>
    </row>
    <row r="153" spans="5:19" ht="14" x14ac:dyDescent="0.25">
      <c r="E153" s="2" t="s">
        <v>16</v>
      </c>
      <c r="F153" s="71">
        <v>31</v>
      </c>
      <c r="G153" s="71">
        <v>10.6</v>
      </c>
      <c r="H153" s="41">
        <f t="shared" ref="H153:H163" si="32">G153/2</f>
        <v>5.3</v>
      </c>
      <c r="I153" s="71">
        <f t="shared" ref="I153:I163" si="33">F153-H153</f>
        <v>25.7</v>
      </c>
      <c r="J153" s="8">
        <f t="shared" si="28"/>
        <v>1.75</v>
      </c>
      <c r="K153" s="8">
        <v>25</v>
      </c>
      <c r="L153" s="8">
        <f t="shared" ref="L153:L163" si="34">25.5-K153</f>
        <v>0.5</v>
      </c>
      <c r="M153" s="8">
        <f t="shared" si="29"/>
        <v>-3.6999999999999993</v>
      </c>
      <c r="N153" s="8">
        <f t="shared" si="30"/>
        <v>-1.4499999999999993</v>
      </c>
      <c r="O153" s="8">
        <v>3.75</v>
      </c>
      <c r="P153" s="8">
        <v>1.296</v>
      </c>
      <c r="Q153" s="8">
        <f>28*16</f>
        <v>448</v>
      </c>
      <c r="R153" s="108">
        <f t="shared" si="31"/>
        <v>-3.1570559999999985</v>
      </c>
      <c r="S153" s="109"/>
    </row>
    <row r="154" spans="5:19" ht="14" x14ac:dyDescent="0.25">
      <c r="E154" s="2" t="s">
        <v>17</v>
      </c>
      <c r="F154" s="71">
        <v>34.6</v>
      </c>
      <c r="G154" s="71">
        <v>10.199999999999999</v>
      </c>
      <c r="H154" s="41">
        <f t="shared" si="32"/>
        <v>5.0999999999999996</v>
      </c>
      <c r="I154" s="71">
        <f t="shared" si="33"/>
        <v>29.5</v>
      </c>
      <c r="J154" s="8">
        <f t="shared" si="28"/>
        <v>1.75</v>
      </c>
      <c r="K154" s="8">
        <v>25</v>
      </c>
      <c r="L154" s="8">
        <f t="shared" si="34"/>
        <v>0.5</v>
      </c>
      <c r="M154" s="8">
        <f t="shared" si="29"/>
        <v>0.10000000000000142</v>
      </c>
      <c r="N154" s="8">
        <f t="shared" si="30"/>
        <v>2.3500000000000014</v>
      </c>
      <c r="O154" s="8">
        <v>3.75</v>
      </c>
      <c r="P154" s="8">
        <v>1.296</v>
      </c>
      <c r="Q154" s="8">
        <f>31*16</f>
        <v>496</v>
      </c>
      <c r="R154" s="108">
        <f t="shared" si="31"/>
        <v>5.6648160000000036</v>
      </c>
      <c r="S154" s="109"/>
    </row>
    <row r="155" spans="5:19" ht="14" x14ac:dyDescent="0.25">
      <c r="E155" s="2" t="s">
        <v>18</v>
      </c>
      <c r="F155" s="71">
        <v>36.799999999999997</v>
      </c>
      <c r="G155" s="71">
        <v>9</v>
      </c>
      <c r="H155" s="41">
        <f t="shared" si="32"/>
        <v>4.5</v>
      </c>
      <c r="I155" s="71">
        <f t="shared" si="33"/>
        <v>32.299999999999997</v>
      </c>
      <c r="J155" s="8">
        <f t="shared" si="28"/>
        <v>1.75</v>
      </c>
      <c r="K155" s="8">
        <v>25</v>
      </c>
      <c r="L155" s="8">
        <f t="shared" si="34"/>
        <v>0.5</v>
      </c>
      <c r="M155" s="8">
        <f t="shared" si="29"/>
        <v>2.8999999999999986</v>
      </c>
      <c r="N155" s="8">
        <f t="shared" si="30"/>
        <v>5.1499999999999986</v>
      </c>
      <c r="O155" s="8">
        <v>3.75</v>
      </c>
      <c r="P155" s="8">
        <v>1.296</v>
      </c>
      <c r="Q155" s="8">
        <f>30*16</f>
        <v>480</v>
      </c>
      <c r="R155" s="108">
        <f t="shared" si="31"/>
        <v>12.013919999999997</v>
      </c>
      <c r="S155" s="109"/>
    </row>
    <row r="156" spans="5:19" ht="14" x14ac:dyDescent="0.25">
      <c r="E156" s="2" t="s">
        <v>12</v>
      </c>
      <c r="F156" s="71">
        <v>35.9</v>
      </c>
      <c r="G156" s="71">
        <v>7.7</v>
      </c>
      <c r="H156" s="41">
        <f t="shared" si="32"/>
        <v>3.85</v>
      </c>
      <c r="I156" s="71">
        <f t="shared" si="33"/>
        <v>32.049999999999997</v>
      </c>
      <c r="J156" s="8">
        <f t="shared" si="28"/>
        <v>1.75</v>
      </c>
      <c r="K156" s="8">
        <v>25</v>
      </c>
      <c r="L156" s="8">
        <f t="shared" si="34"/>
        <v>0.5</v>
      </c>
      <c r="M156" s="8">
        <f t="shared" si="29"/>
        <v>2.6499999999999986</v>
      </c>
      <c r="N156" s="8">
        <f t="shared" si="30"/>
        <v>4.8999999999999986</v>
      </c>
      <c r="O156" s="8">
        <v>3.75</v>
      </c>
      <c r="P156" s="8">
        <v>1.296</v>
      </c>
      <c r="Q156" s="8">
        <f>31*16</f>
        <v>496</v>
      </c>
      <c r="R156" s="108">
        <f t="shared" si="31"/>
        <v>11.811743999999997</v>
      </c>
      <c r="S156" s="109"/>
    </row>
    <row r="157" spans="5:19" ht="14" x14ac:dyDescent="0.25">
      <c r="E157" s="2" t="s">
        <v>13</v>
      </c>
      <c r="F157" s="71">
        <v>35.1</v>
      </c>
      <c r="G157" s="71">
        <v>5.7</v>
      </c>
      <c r="H157" s="41">
        <f t="shared" si="32"/>
        <v>2.85</v>
      </c>
      <c r="I157" s="71">
        <f t="shared" si="33"/>
        <v>32.25</v>
      </c>
      <c r="J157" s="8">
        <f t="shared" si="28"/>
        <v>1.75</v>
      </c>
      <c r="K157" s="8">
        <v>25</v>
      </c>
      <c r="L157" s="8">
        <f t="shared" si="34"/>
        <v>0.5</v>
      </c>
      <c r="M157" s="8">
        <f t="shared" si="29"/>
        <v>2.8500000000000014</v>
      </c>
      <c r="N157" s="8">
        <f t="shared" si="30"/>
        <v>5.1000000000000014</v>
      </c>
      <c r="O157" s="8">
        <v>3.75</v>
      </c>
      <c r="P157" s="8">
        <v>1.296</v>
      </c>
      <c r="Q157" s="8">
        <f>30*16</f>
        <v>480</v>
      </c>
      <c r="R157" s="108">
        <f t="shared" si="31"/>
        <v>11.897280000000004</v>
      </c>
      <c r="S157" s="109"/>
    </row>
    <row r="158" spans="5:19" ht="14" x14ac:dyDescent="0.25">
      <c r="E158" s="2" t="s">
        <v>24</v>
      </c>
      <c r="F158" s="41">
        <v>34</v>
      </c>
      <c r="G158" s="98">
        <v>4.8</v>
      </c>
      <c r="H158" s="41">
        <f t="shared" si="32"/>
        <v>2.4</v>
      </c>
      <c r="I158" s="71">
        <f t="shared" si="33"/>
        <v>31.6</v>
      </c>
      <c r="J158" s="8">
        <f t="shared" si="28"/>
        <v>1.75</v>
      </c>
      <c r="K158" s="8">
        <v>25</v>
      </c>
      <c r="L158" s="8">
        <f t="shared" si="34"/>
        <v>0.5</v>
      </c>
      <c r="M158" s="8">
        <f t="shared" si="29"/>
        <v>2.2000000000000028</v>
      </c>
      <c r="N158" s="8">
        <f t="shared" si="30"/>
        <v>4.4500000000000028</v>
      </c>
      <c r="O158" s="8">
        <v>3.75</v>
      </c>
      <c r="P158" s="8">
        <v>1.296</v>
      </c>
      <c r="Q158" s="8">
        <f>31*16</f>
        <v>496</v>
      </c>
      <c r="R158" s="108">
        <f t="shared" si="31"/>
        <v>10.726992000000006</v>
      </c>
      <c r="S158" s="109"/>
    </row>
    <row r="159" spans="5:19" ht="14" x14ac:dyDescent="0.25">
      <c r="E159" s="2" t="s">
        <v>19</v>
      </c>
      <c r="F159" s="41">
        <v>33.9</v>
      </c>
      <c r="G159" s="98">
        <v>4.9000000000000004</v>
      </c>
      <c r="H159" s="41">
        <f t="shared" si="32"/>
        <v>2.4500000000000002</v>
      </c>
      <c r="I159" s="71">
        <f t="shared" si="33"/>
        <v>31.45</v>
      </c>
      <c r="J159" s="8">
        <f t="shared" si="28"/>
        <v>1.75</v>
      </c>
      <c r="K159" s="8">
        <v>25</v>
      </c>
      <c r="L159" s="8">
        <f t="shared" si="34"/>
        <v>0.5</v>
      </c>
      <c r="M159" s="8">
        <f t="shared" si="29"/>
        <v>2.0500000000000007</v>
      </c>
      <c r="N159" s="8">
        <f t="shared" si="30"/>
        <v>4.3000000000000007</v>
      </c>
      <c r="O159" s="8">
        <v>3.75</v>
      </c>
      <c r="P159" s="8">
        <v>1.296</v>
      </c>
      <c r="Q159" s="8">
        <f>31*16</f>
        <v>496</v>
      </c>
      <c r="R159" s="108">
        <f t="shared" si="31"/>
        <v>10.365408000000004</v>
      </c>
      <c r="S159" s="109"/>
    </row>
    <row r="160" spans="5:19" ht="14" x14ac:dyDescent="0.25">
      <c r="E160" s="2" t="s">
        <v>20</v>
      </c>
      <c r="F160" s="41">
        <v>34.1</v>
      </c>
      <c r="G160" s="98">
        <v>5.3</v>
      </c>
      <c r="H160" s="41">
        <f t="shared" si="32"/>
        <v>2.65</v>
      </c>
      <c r="I160" s="71">
        <f t="shared" si="33"/>
        <v>31.450000000000003</v>
      </c>
      <c r="J160" s="8">
        <f t="shared" si="28"/>
        <v>1.75</v>
      </c>
      <c r="K160" s="8">
        <v>25</v>
      </c>
      <c r="L160" s="8">
        <f t="shared" si="34"/>
        <v>0.5</v>
      </c>
      <c r="M160" s="8">
        <f t="shared" si="29"/>
        <v>2.0500000000000043</v>
      </c>
      <c r="N160" s="8">
        <f t="shared" si="30"/>
        <v>4.3000000000000043</v>
      </c>
      <c r="O160" s="8">
        <v>3.75</v>
      </c>
      <c r="P160" s="8">
        <v>1.296</v>
      </c>
      <c r="Q160" s="8">
        <f>30*16</f>
        <v>480</v>
      </c>
      <c r="R160" s="108">
        <f t="shared" si="31"/>
        <v>10.031040000000008</v>
      </c>
      <c r="S160" s="109"/>
    </row>
    <row r="161" spans="5:19" ht="14" x14ac:dyDescent="0.25">
      <c r="E161" s="2" t="s">
        <v>21</v>
      </c>
      <c r="F161" s="41">
        <v>33.799999999999997</v>
      </c>
      <c r="G161" s="98">
        <v>6.4</v>
      </c>
      <c r="H161" s="41">
        <f t="shared" si="32"/>
        <v>3.2</v>
      </c>
      <c r="I161" s="71">
        <f t="shared" si="33"/>
        <v>30.599999999999998</v>
      </c>
      <c r="J161" s="8">
        <f t="shared" si="28"/>
        <v>1.75</v>
      </c>
      <c r="K161" s="8">
        <v>25</v>
      </c>
      <c r="L161" s="8">
        <f t="shared" si="34"/>
        <v>0.5</v>
      </c>
      <c r="M161" s="8">
        <f t="shared" si="29"/>
        <v>1.1999999999999993</v>
      </c>
      <c r="N161" s="8">
        <f t="shared" si="30"/>
        <v>3.4499999999999993</v>
      </c>
      <c r="O161" s="8">
        <v>3.75</v>
      </c>
      <c r="P161" s="8">
        <v>1.296</v>
      </c>
      <c r="Q161" s="8">
        <f>31*16</f>
        <v>496</v>
      </c>
      <c r="R161" s="108">
        <f t="shared" si="31"/>
        <v>8.3164319999999972</v>
      </c>
      <c r="S161" s="109"/>
    </row>
    <row r="162" spans="5:19" ht="14" x14ac:dyDescent="0.25">
      <c r="E162" s="2" t="s">
        <v>22</v>
      </c>
      <c r="F162" s="41">
        <v>31.2</v>
      </c>
      <c r="G162" s="98">
        <v>8.1</v>
      </c>
      <c r="H162" s="41">
        <f t="shared" si="32"/>
        <v>4.05</v>
      </c>
      <c r="I162" s="71">
        <f t="shared" si="33"/>
        <v>27.15</v>
      </c>
      <c r="J162" s="8">
        <f t="shared" si="28"/>
        <v>1.75</v>
      </c>
      <c r="K162" s="8">
        <v>25</v>
      </c>
      <c r="L162" s="8">
        <f t="shared" si="34"/>
        <v>0.5</v>
      </c>
      <c r="M162" s="8">
        <f t="shared" si="29"/>
        <v>-2.25</v>
      </c>
      <c r="N162" s="8">
        <f t="shared" si="30"/>
        <v>0</v>
      </c>
      <c r="O162" s="8">
        <v>3.75</v>
      </c>
      <c r="P162" s="8">
        <v>1.296</v>
      </c>
      <c r="Q162" s="8">
        <f>30*16</f>
        <v>480</v>
      </c>
      <c r="R162" s="108">
        <f t="shared" si="31"/>
        <v>0</v>
      </c>
      <c r="S162" s="109"/>
    </row>
    <row r="163" spans="5:19" ht="14" x14ac:dyDescent="0.25">
      <c r="E163" s="2" t="s">
        <v>23</v>
      </c>
      <c r="F163" s="41">
        <v>28</v>
      </c>
      <c r="G163" s="98">
        <v>9</v>
      </c>
      <c r="H163" s="41">
        <f t="shared" si="32"/>
        <v>4.5</v>
      </c>
      <c r="I163" s="71">
        <f t="shared" si="33"/>
        <v>23.5</v>
      </c>
      <c r="J163" s="8">
        <f t="shared" si="28"/>
        <v>1.75</v>
      </c>
      <c r="K163" s="8">
        <v>25</v>
      </c>
      <c r="L163" s="8">
        <f t="shared" si="34"/>
        <v>0.5</v>
      </c>
      <c r="M163" s="8">
        <f t="shared" si="29"/>
        <v>-5.8999999999999986</v>
      </c>
      <c r="N163" s="8">
        <f t="shared" si="30"/>
        <v>-3.6499999999999986</v>
      </c>
      <c r="O163" s="8">
        <v>3.75</v>
      </c>
      <c r="P163" s="8">
        <v>1.296</v>
      </c>
      <c r="Q163" s="8">
        <f>31*16</f>
        <v>496</v>
      </c>
      <c r="R163" s="108">
        <f t="shared" si="31"/>
        <v>-8.7985439999999961</v>
      </c>
      <c r="S163" s="109"/>
    </row>
    <row r="164" spans="5:19" ht="15" x14ac:dyDescent="0.25">
      <c r="E164" s="417" t="s">
        <v>61</v>
      </c>
      <c r="F164" s="418"/>
      <c r="G164" s="418"/>
      <c r="H164" s="418"/>
      <c r="I164" s="418"/>
      <c r="J164" s="418"/>
      <c r="K164" s="418"/>
      <c r="L164" s="418"/>
      <c r="M164" s="418"/>
      <c r="N164" s="418"/>
      <c r="O164" s="418"/>
      <c r="P164" s="418"/>
      <c r="Q164" s="419"/>
      <c r="R164" s="107">
        <f>SUM(R152:R163)</f>
        <v>55.975536000000005</v>
      </c>
      <c r="S164" s="105"/>
    </row>
    <row r="165" spans="5:19" ht="15" x14ac:dyDescent="0.4">
      <c r="E165" s="413" t="s">
        <v>74</v>
      </c>
      <c r="F165" s="414"/>
      <c r="G165" s="414"/>
      <c r="H165" s="414"/>
      <c r="I165" s="414"/>
      <c r="J165" s="414"/>
      <c r="K165" s="414"/>
      <c r="L165" s="414"/>
      <c r="M165" s="414"/>
      <c r="N165" s="414"/>
      <c r="O165" s="414"/>
      <c r="P165" s="414"/>
      <c r="Q165" s="414"/>
      <c r="R165" s="414"/>
      <c r="S165" s="104"/>
    </row>
    <row r="166" spans="5:19" ht="14" x14ac:dyDescent="0.25">
      <c r="E166" s="2" t="s">
        <v>15</v>
      </c>
      <c r="F166" s="71">
        <v>26.9</v>
      </c>
      <c r="G166" s="71">
        <v>10.199999999999999</v>
      </c>
      <c r="H166" s="41">
        <f>G166/2</f>
        <v>5.0999999999999996</v>
      </c>
      <c r="I166" s="71">
        <f>F166-H166</f>
        <v>21.799999999999997</v>
      </c>
      <c r="J166" s="5">
        <f t="shared" ref="J166:J177" si="35">C$126</f>
        <v>1.75</v>
      </c>
      <c r="K166" s="5">
        <v>26</v>
      </c>
      <c r="L166" s="5">
        <f>25.5-K166</f>
        <v>-0.5</v>
      </c>
      <c r="M166" s="8">
        <f t="shared" ref="M166:M177" si="36">I166-29.4</f>
        <v>-7.6000000000000014</v>
      </c>
      <c r="N166" s="8">
        <f t="shared" ref="N166:N177" si="37">J166+L166+M166</f>
        <v>-6.3500000000000014</v>
      </c>
      <c r="O166" s="8">
        <v>3.75</v>
      </c>
      <c r="P166" s="8">
        <v>1.296</v>
      </c>
      <c r="Q166" s="8">
        <f>31*16</f>
        <v>496</v>
      </c>
      <c r="R166" s="108">
        <f t="shared" ref="R166:R177" si="38">(N166*O166*P166*Q166)/1000</f>
        <v>-15.307056000000006</v>
      </c>
      <c r="S166" s="109"/>
    </row>
    <row r="167" spans="5:19" ht="14" x14ac:dyDescent="0.25">
      <c r="E167" s="2" t="s">
        <v>16</v>
      </c>
      <c r="F167" s="71">
        <v>31</v>
      </c>
      <c r="G167" s="71">
        <v>10.6</v>
      </c>
      <c r="H167" s="41">
        <f t="shared" ref="H167:H177" si="39">G167/2</f>
        <v>5.3</v>
      </c>
      <c r="I167" s="71">
        <f t="shared" ref="I167:I177" si="40">F167-H167</f>
        <v>25.7</v>
      </c>
      <c r="J167" s="5">
        <f t="shared" si="35"/>
        <v>1.75</v>
      </c>
      <c r="K167" s="5">
        <v>26</v>
      </c>
      <c r="L167" s="5">
        <f t="shared" ref="L167:L177" si="41">25.5-K167</f>
        <v>-0.5</v>
      </c>
      <c r="M167" s="8">
        <f t="shared" si="36"/>
        <v>-3.6999999999999993</v>
      </c>
      <c r="N167" s="8">
        <f t="shared" si="37"/>
        <v>-2.4499999999999993</v>
      </c>
      <c r="O167" s="8">
        <v>3.75</v>
      </c>
      <c r="P167" s="8">
        <v>1.296</v>
      </c>
      <c r="Q167" s="8">
        <f>28*16</f>
        <v>448</v>
      </c>
      <c r="R167" s="108">
        <f t="shared" si="38"/>
        <v>-5.3343359999999986</v>
      </c>
      <c r="S167" s="109"/>
    </row>
    <row r="168" spans="5:19" ht="14" x14ac:dyDescent="0.25">
      <c r="E168" s="2" t="s">
        <v>17</v>
      </c>
      <c r="F168" s="71">
        <v>34.6</v>
      </c>
      <c r="G168" s="71">
        <v>10.199999999999999</v>
      </c>
      <c r="H168" s="41">
        <f t="shared" si="39"/>
        <v>5.0999999999999996</v>
      </c>
      <c r="I168" s="71">
        <f t="shared" si="40"/>
        <v>29.5</v>
      </c>
      <c r="J168" s="5">
        <f t="shared" si="35"/>
        <v>1.75</v>
      </c>
      <c r="K168" s="5">
        <v>26</v>
      </c>
      <c r="L168" s="5">
        <f t="shared" si="41"/>
        <v>-0.5</v>
      </c>
      <c r="M168" s="8">
        <f t="shared" si="36"/>
        <v>0.10000000000000142</v>
      </c>
      <c r="N168" s="8">
        <f t="shared" si="37"/>
        <v>1.3500000000000014</v>
      </c>
      <c r="O168" s="8">
        <v>3.75</v>
      </c>
      <c r="P168" s="8">
        <v>1.296</v>
      </c>
      <c r="Q168" s="8">
        <f>31*16</f>
        <v>496</v>
      </c>
      <c r="R168" s="108">
        <f t="shared" si="38"/>
        <v>3.2542560000000034</v>
      </c>
      <c r="S168" s="109"/>
    </row>
    <row r="169" spans="5:19" ht="14" x14ac:dyDescent="0.25">
      <c r="E169" s="2" t="s">
        <v>18</v>
      </c>
      <c r="F169" s="71">
        <v>36.799999999999997</v>
      </c>
      <c r="G169" s="71">
        <v>9</v>
      </c>
      <c r="H169" s="41">
        <f t="shared" si="39"/>
        <v>4.5</v>
      </c>
      <c r="I169" s="71">
        <f t="shared" si="40"/>
        <v>32.299999999999997</v>
      </c>
      <c r="J169" s="5">
        <f t="shared" si="35"/>
        <v>1.75</v>
      </c>
      <c r="K169" s="5">
        <v>26</v>
      </c>
      <c r="L169" s="5">
        <f t="shared" si="41"/>
        <v>-0.5</v>
      </c>
      <c r="M169" s="8">
        <f t="shared" si="36"/>
        <v>2.8999999999999986</v>
      </c>
      <c r="N169" s="8">
        <f t="shared" si="37"/>
        <v>4.1499999999999986</v>
      </c>
      <c r="O169" s="8">
        <v>3.75</v>
      </c>
      <c r="P169" s="8">
        <v>1.296</v>
      </c>
      <c r="Q169" s="8">
        <f>30*16</f>
        <v>480</v>
      </c>
      <c r="R169" s="108">
        <f t="shared" si="38"/>
        <v>9.6811199999999964</v>
      </c>
      <c r="S169" s="109"/>
    </row>
    <row r="170" spans="5:19" ht="14" x14ac:dyDescent="0.25">
      <c r="E170" s="2" t="s">
        <v>12</v>
      </c>
      <c r="F170" s="71">
        <v>35.9</v>
      </c>
      <c r="G170" s="71">
        <v>7.7</v>
      </c>
      <c r="H170" s="41">
        <f t="shared" si="39"/>
        <v>3.85</v>
      </c>
      <c r="I170" s="71">
        <f t="shared" si="40"/>
        <v>32.049999999999997</v>
      </c>
      <c r="J170" s="5">
        <f t="shared" si="35"/>
        <v>1.75</v>
      </c>
      <c r="K170" s="5">
        <v>26</v>
      </c>
      <c r="L170" s="5">
        <f t="shared" si="41"/>
        <v>-0.5</v>
      </c>
      <c r="M170" s="8">
        <f t="shared" si="36"/>
        <v>2.6499999999999986</v>
      </c>
      <c r="N170" s="8">
        <f t="shared" si="37"/>
        <v>3.8999999999999986</v>
      </c>
      <c r="O170" s="8">
        <v>3.75</v>
      </c>
      <c r="P170" s="8">
        <v>1.296</v>
      </c>
      <c r="Q170" s="8">
        <f>31*16</f>
        <v>496</v>
      </c>
      <c r="R170" s="108">
        <f t="shared" si="38"/>
        <v>9.4011839999999971</v>
      </c>
      <c r="S170" s="109"/>
    </row>
    <row r="171" spans="5:19" ht="14" x14ac:dyDescent="0.25">
      <c r="E171" s="2" t="s">
        <v>13</v>
      </c>
      <c r="F171" s="71">
        <v>35.1</v>
      </c>
      <c r="G171" s="71">
        <v>5.7</v>
      </c>
      <c r="H171" s="41">
        <f t="shared" si="39"/>
        <v>2.85</v>
      </c>
      <c r="I171" s="71">
        <f t="shared" si="40"/>
        <v>32.25</v>
      </c>
      <c r="J171" s="5">
        <f t="shared" si="35"/>
        <v>1.75</v>
      </c>
      <c r="K171" s="5">
        <v>26</v>
      </c>
      <c r="L171" s="5">
        <f t="shared" si="41"/>
        <v>-0.5</v>
      </c>
      <c r="M171" s="8">
        <f t="shared" si="36"/>
        <v>2.8500000000000014</v>
      </c>
      <c r="N171" s="8">
        <f t="shared" si="37"/>
        <v>4.1000000000000014</v>
      </c>
      <c r="O171" s="8">
        <v>3.75</v>
      </c>
      <c r="P171" s="8">
        <v>1.296</v>
      </c>
      <c r="Q171" s="8">
        <f>30*16</f>
        <v>480</v>
      </c>
      <c r="R171" s="108">
        <f t="shared" si="38"/>
        <v>9.564480000000005</v>
      </c>
      <c r="S171" s="109"/>
    </row>
    <row r="172" spans="5:19" ht="14" x14ac:dyDescent="0.25">
      <c r="E172" s="2" t="s">
        <v>24</v>
      </c>
      <c r="F172" s="41">
        <v>34</v>
      </c>
      <c r="G172" s="98">
        <v>4.8</v>
      </c>
      <c r="H172" s="41">
        <f t="shared" si="39"/>
        <v>2.4</v>
      </c>
      <c r="I172" s="71">
        <f t="shared" si="40"/>
        <v>31.6</v>
      </c>
      <c r="J172" s="5">
        <f t="shared" si="35"/>
        <v>1.75</v>
      </c>
      <c r="K172" s="5">
        <v>26</v>
      </c>
      <c r="L172" s="5">
        <f t="shared" si="41"/>
        <v>-0.5</v>
      </c>
      <c r="M172" s="8">
        <f t="shared" si="36"/>
        <v>2.2000000000000028</v>
      </c>
      <c r="N172" s="8">
        <f t="shared" si="37"/>
        <v>3.4500000000000028</v>
      </c>
      <c r="O172" s="8">
        <v>3.75</v>
      </c>
      <c r="P172" s="8">
        <v>1.296</v>
      </c>
      <c r="Q172" s="8">
        <f>31*16</f>
        <v>496</v>
      </c>
      <c r="R172" s="108">
        <f t="shared" si="38"/>
        <v>8.316432000000006</v>
      </c>
      <c r="S172" s="109"/>
    </row>
    <row r="173" spans="5:19" ht="14" x14ac:dyDescent="0.25">
      <c r="E173" s="2" t="s">
        <v>19</v>
      </c>
      <c r="F173" s="41">
        <v>33.9</v>
      </c>
      <c r="G173" s="98">
        <v>4.9000000000000004</v>
      </c>
      <c r="H173" s="41">
        <f t="shared" si="39"/>
        <v>2.4500000000000002</v>
      </c>
      <c r="I173" s="71">
        <f t="shared" si="40"/>
        <v>31.45</v>
      </c>
      <c r="J173" s="5">
        <f t="shared" si="35"/>
        <v>1.75</v>
      </c>
      <c r="K173" s="5">
        <v>26</v>
      </c>
      <c r="L173" s="5">
        <f t="shared" si="41"/>
        <v>-0.5</v>
      </c>
      <c r="M173" s="8">
        <f t="shared" si="36"/>
        <v>2.0500000000000007</v>
      </c>
      <c r="N173" s="8">
        <f t="shared" si="37"/>
        <v>3.3000000000000007</v>
      </c>
      <c r="O173" s="8">
        <v>3.75</v>
      </c>
      <c r="P173" s="8">
        <v>1.296</v>
      </c>
      <c r="Q173" s="8">
        <f>31*16</f>
        <v>496</v>
      </c>
      <c r="R173" s="108">
        <f t="shared" si="38"/>
        <v>7.9548480000000019</v>
      </c>
      <c r="S173" s="109"/>
    </row>
    <row r="174" spans="5:19" ht="14" x14ac:dyDescent="0.25">
      <c r="E174" s="2" t="s">
        <v>20</v>
      </c>
      <c r="F174" s="41">
        <v>34.1</v>
      </c>
      <c r="G174" s="98">
        <v>5.3</v>
      </c>
      <c r="H174" s="41">
        <f t="shared" si="39"/>
        <v>2.65</v>
      </c>
      <c r="I174" s="71">
        <f t="shared" si="40"/>
        <v>31.450000000000003</v>
      </c>
      <c r="J174" s="5">
        <f t="shared" si="35"/>
        <v>1.75</v>
      </c>
      <c r="K174" s="5">
        <v>26</v>
      </c>
      <c r="L174" s="5">
        <f t="shared" si="41"/>
        <v>-0.5</v>
      </c>
      <c r="M174" s="8">
        <f t="shared" si="36"/>
        <v>2.0500000000000043</v>
      </c>
      <c r="N174" s="8">
        <f t="shared" si="37"/>
        <v>3.3000000000000043</v>
      </c>
      <c r="O174" s="8">
        <v>3.75</v>
      </c>
      <c r="P174" s="8">
        <v>1.296</v>
      </c>
      <c r="Q174" s="8">
        <f>30*16</f>
        <v>480</v>
      </c>
      <c r="R174" s="108">
        <f t="shared" si="38"/>
        <v>7.6982400000000109</v>
      </c>
      <c r="S174" s="109"/>
    </row>
    <row r="175" spans="5:19" ht="14" x14ac:dyDescent="0.25">
      <c r="E175" s="2" t="s">
        <v>21</v>
      </c>
      <c r="F175" s="41">
        <v>33.799999999999997</v>
      </c>
      <c r="G175" s="98">
        <v>6.4</v>
      </c>
      <c r="H175" s="41">
        <f t="shared" si="39"/>
        <v>3.2</v>
      </c>
      <c r="I175" s="71">
        <f t="shared" si="40"/>
        <v>30.599999999999998</v>
      </c>
      <c r="J175" s="5">
        <f t="shared" si="35"/>
        <v>1.75</v>
      </c>
      <c r="K175" s="5">
        <v>26</v>
      </c>
      <c r="L175" s="5">
        <f t="shared" si="41"/>
        <v>-0.5</v>
      </c>
      <c r="M175" s="8">
        <f t="shared" si="36"/>
        <v>1.1999999999999993</v>
      </c>
      <c r="N175" s="8">
        <f t="shared" si="37"/>
        <v>2.4499999999999993</v>
      </c>
      <c r="O175" s="8">
        <v>3.75</v>
      </c>
      <c r="P175" s="8">
        <v>1.296</v>
      </c>
      <c r="Q175" s="8">
        <f>31*16</f>
        <v>496</v>
      </c>
      <c r="R175" s="108">
        <f t="shared" si="38"/>
        <v>5.9058719999999987</v>
      </c>
      <c r="S175" s="109"/>
    </row>
    <row r="176" spans="5:19" ht="14" x14ac:dyDescent="0.25">
      <c r="E176" s="2" t="s">
        <v>22</v>
      </c>
      <c r="F176" s="41">
        <v>31.2</v>
      </c>
      <c r="G176" s="98">
        <v>8.1</v>
      </c>
      <c r="H176" s="41">
        <f t="shared" si="39"/>
        <v>4.05</v>
      </c>
      <c r="I176" s="71">
        <f t="shared" si="40"/>
        <v>27.15</v>
      </c>
      <c r="J176" s="5">
        <f t="shared" si="35"/>
        <v>1.75</v>
      </c>
      <c r="K176" s="5">
        <v>26</v>
      </c>
      <c r="L176" s="5">
        <f t="shared" si="41"/>
        <v>-0.5</v>
      </c>
      <c r="M176" s="8">
        <f t="shared" si="36"/>
        <v>-2.25</v>
      </c>
      <c r="N176" s="8">
        <f t="shared" si="37"/>
        <v>-1</v>
      </c>
      <c r="O176" s="8">
        <v>3.75</v>
      </c>
      <c r="P176" s="8">
        <v>1.296</v>
      </c>
      <c r="Q176" s="8">
        <f>30*16</f>
        <v>480</v>
      </c>
      <c r="R176" s="108">
        <f t="shared" si="38"/>
        <v>-2.3328000000000002</v>
      </c>
      <c r="S176" s="109"/>
    </row>
    <row r="177" spans="5:19" ht="14" x14ac:dyDescent="0.25">
      <c r="E177" s="2" t="s">
        <v>23</v>
      </c>
      <c r="F177" s="41">
        <v>28</v>
      </c>
      <c r="G177" s="98">
        <v>9</v>
      </c>
      <c r="H177" s="41">
        <f t="shared" si="39"/>
        <v>4.5</v>
      </c>
      <c r="I177" s="71">
        <f t="shared" si="40"/>
        <v>23.5</v>
      </c>
      <c r="J177" s="5">
        <f t="shared" si="35"/>
        <v>1.75</v>
      </c>
      <c r="K177" s="5">
        <v>26</v>
      </c>
      <c r="L177" s="5">
        <f t="shared" si="41"/>
        <v>-0.5</v>
      </c>
      <c r="M177" s="8">
        <f t="shared" si="36"/>
        <v>-5.8999999999999986</v>
      </c>
      <c r="N177" s="8">
        <f t="shared" si="37"/>
        <v>-4.6499999999999986</v>
      </c>
      <c r="O177" s="8">
        <v>3.75</v>
      </c>
      <c r="P177" s="8">
        <v>1.296</v>
      </c>
      <c r="Q177" s="8">
        <f>31*16</f>
        <v>496</v>
      </c>
      <c r="R177" s="108">
        <f t="shared" si="38"/>
        <v>-11.209103999999996</v>
      </c>
      <c r="S177" s="109"/>
    </row>
    <row r="178" spans="5:19" ht="15" x14ac:dyDescent="0.25">
      <c r="E178" s="417" t="s">
        <v>61</v>
      </c>
      <c r="F178" s="418"/>
      <c r="G178" s="418"/>
      <c r="H178" s="418"/>
      <c r="I178" s="418"/>
      <c r="J178" s="418"/>
      <c r="K178" s="418"/>
      <c r="L178" s="418"/>
      <c r="M178" s="418"/>
      <c r="N178" s="418"/>
      <c r="O178" s="418"/>
      <c r="P178" s="418"/>
      <c r="Q178" s="419"/>
      <c r="R178" s="107">
        <f>SUM(R166:R177)</f>
        <v>27.593136000000023</v>
      </c>
      <c r="S178" s="105"/>
    </row>
    <row r="179" spans="5:19" ht="15" x14ac:dyDescent="0.4">
      <c r="E179" s="413" t="s">
        <v>75</v>
      </c>
      <c r="F179" s="414"/>
      <c r="G179" s="414"/>
      <c r="H179" s="414"/>
      <c r="I179" s="414"/>
      <c r="J179" s="414"/>
      <c r="K179" s="414"/>
      <c r="L179" s="414"/>
      <c r="M179" s="414"/>
      <c r="N179" s="414"/>
      <c r="O179" s="414"/>
      <c r="P179" s="414"/>
      <c r="Q179" s="414"/>
      <c r="R179" s="414"/>
      <c r="S179" s="104"/>
    </row>
    <row r="180" spans="5:19" ht="14" x14ac:dyDescent="0.25">
      <c r="E180" s="2" t="s">
        <v>15</v>
      </c>
      <c r="F180" s="71">
        <v>26.9</v>
      </c>
      <c r="G180" s="71">
        <v>10.199999999999999</v>
      </c>
      <c r="H180" s="41">
        <f>G180/2</f>
        <v>5.0999999999999996</v>
      </c>
      <c r="I180" s="71">
        <f>F180-H180</f>
        <v>21.799999999999997</v>
      </c>
      <c r="J180" s="5">
        <f t="shared" ref="J180:J191" si="42">C$126</f>
        <v>1.75</v>
      </c>
      <c r="K180" s="5">
        <v>27</v>
      </c>
      <c r="L180" s="5">
        <f>25.5-K180</f>
        <v>-1.5</v>
      </c>
      <c r="M180" s="8">
        <f t="shared" ref="M180:M191" si="43">I180-29.4</f>
        <v>-7.6000000000000014</v>
      </c>
      <c r="N180" s="8">
        <f t="shared" ref="N180:N191" si="44">J180+L180+M180</f>
        <v>-7.3500000000000014</v>
      </c>
      <c r="O180" s="8">
        <v>3.75</v>
      </c>
      <c r="P180" s="8">
        <v>1.296</v>
      </c>
      <c r="Q180" s="8">
        <f>31*16</f>
        <v>496</v>
      </c>
      <c r="R180" s="108">
        <f t="shared" ref="R180:R191" si="45">(N180*O180*P180*Q180)/1000</f>
        <v>-17.717616000000007</v>
      </c>
      <c r="S180" s="109"/>
    </row>
    <row r="181" spans="5:19" ht="14" x14ac:dyDescent="0.25">
      <c r="E181" s="2" t="s">
        <v>16</v>
      </c>
      <c r="F181" s="71">
        <v>31</v>
      </c>
      <c r="G181" s="71">
        <v>10.6</v>
      </c>
      <c r="H181" s="41">
        <f t="shared" ref="H181:H191" si="46">G181/2</f>
        <v>5.3</v>
      </c>
      <c r="I181" s="71">
        <f t="shared" ref="I181:I191" si="47">F181-H181</f>
        <v>25.7</v>
      </c>
      <c r="J181" s="5">
        <f t="shared" si="42"/>
        <v>1.75</v>
      </c>
      <c r="K181" s="5">
        <v>27</v>
      </c>
      <c r="L181" s="5">
        <f t="shared" ref="L181:L191" si="48">25.5-K181</f>
        <v>-1.5</v>
      </c>
      <c r="M181" s="8">
        <f t="shared" si="43"/>
        <v>-3.6999999999999993</v>
      </c>
      <c r="N181" s="8">
        <f t="shared" si="44"/>
        <v>-3.4499999999999993</v>
      </c>
      <c r="O181" s="8">
        <v>3.75</v>
      </c>
      <c r="P181" s="8">
        <v>1.296</v>
      </c>
      <c r="Q181" s="8">
        <f>28*16</f>
        <v>448</v>
      </c>
      <c r="R181" s="108">
        <f t="shared" si="45"/>
        <v>-7.5116159999999983</v>
      </c>
      <c r="S181" s="109"/>
    </row>
    <row r="182" spans="5:19" ht="14" x14ac:dyDescent="0.25">
      <c r="E182" s="2" t="s">
        <v>17</v>
      </c>
      <c r="F182" s="71">
        <v>34.6</v>
      </c>
      <c r="G182" s="71">
        <v>10.199999999999999</v>
      </c>
      <c r="H182" s="41">
        <f t="shared" si="46"/>
        <v>5.0999999999999996</v>
      </c>
      <c r="I182" s="71">
        <f t="shared" si="47"/>
        <v>29.5</v>
      </c>
      <c r="J182" s="5">
        <f t="shared" si="42"/>
        <v>1.75</v>
      </c>
      <c r="K182" s="5">
        <v>27</v>
      </c>
      <c r="L182" s="5">
        <f t="shared" si="48"/>
        <v>-1.5</v>
      </c>
      <c r="M182" s="8">
        <f t="shared" si="43"/>
        <v>0.10000000000000142</v>
      </c>
      <c r="N182" s="8">
        <f t="shared" si="44"/>
        <v>0.35000000000000142</v>
      </c>
      <c r="O182" s="8">
        <v>3.75</v>
      </c>
      <c r="P182" s="8">
        <v>1.296</v>
      </c>
      <c r="Q182" s="8">
        <f>31*16</f>
        <v>496</v>
      </c>
      <c r="R182" s="108">
        <f t="shared" si="45"/>
        <v>0.84369600000000344</v>
      </c>
      <c r="S182" s="109"/>
    </row>
    <row r="183" spans="5:19" ht="14" x14ac:dyDescent="0.25">
      <c r="E183" s="2" t="s">
        <v>18</v>
      </c>
      <c r="F183" s="71">
        <v>36.799999999999997</v>
      </c>
      <c r="G183" s="71">
        <v>9</v>
      </c>
      <c r="H183" s="41">
        <f t="shared" si="46"/>
        <v>4.5</v>
      </c>
      <c r="I183" s="71">
        <f t="shared" si="47"/>
        <v>32.299999999999997</v>
      </c>
      <c r="J183" s="5">
        <f t="shared" si="42"/>
        <v>1.75</v>
      </c>
      <c r="K183" s="5">
        <v>27</v>
      </c>
      <c r="L183" s="5">
        <f t="shared" si="48"/>
        <v>-1.5</v>
      </c>
      <c r="M183" s="8">
        <f t="shared" si="43"/>
        <v>2.8999999999999986</v>
      </c>
      <c r="N183" s="8">
        <f t="shared" si="44"/>
        <v>3.1499999999999986</v>
      </c>
      <c r="O183" s="8">
        <v>3.75</v>
      </c>
      <c r="P183" s="8">
        <v>1.296</v>
      </c>
      <c r="Q183" s="8">
        <f>30*16</f>
        <v>480</v>
      </c>
      <c r="R183" s="108">
        <f t="shared" si="45"/>
        <v>7.3483199999999966</v>
      </c>
      <c r="S183" s="109"/>
    </row>
    <row r="184" spans="5:19" ht="14" x14ac:dyDescent="0.25">
      <c r="E184" s="2" t="s">
        <v>12</v>
      </c>
      <c r="F184" s="71">
        <v>35.9</v>
      </c>
      <c r="G184" s="71">
        <v>7.7</v>
      </c>
      <c r="H184" s="41">
        <f t="shared" si="46"/>
        <v>3.85</v>
      </c>
      <c r="I184" s="71">
        <f t="shared" si="47"/>
        <v>32.049999999999997</v>
      </c>
      <c r="J184" s="5">
        <f t="shared" si="42"/>
        <v>1.75</v>
      </c>
      <c r="K184" s="5">
        <v>27</v>
      </c>
      <c r="L184" s="5">
        <f t="shared" si="48"/>
        <v>-1.5</v>
      </c>
      <c r="M184" s="8">
        <f t="shared" si="43"/>
        <v>2.6499999999999986</v>
      </c>
      <c r="N184" s="8">
        <f t="shared" si="44"/>
        <v>2.8999999999999986</v>
      </c>
      <c r="O184" s="8">
        <v>3.75</v>
      </c>
      <c r="P184" s="8">
        <v>1.296</v>
      </c>
      <c r="Q184" s="8">
        <f>31*16</f>
        <v>496</v>
      </c>
      <c r="R184" s="108">
        <f t="shared" si="45"/>
        <v>6.9906239999999968</v>
      </c>
      <c r="S184" s="109"/>
    </row>
    <row r="185" spans="5:19" ht="14" x14ac:dyDescent="0.25">
      <c r="E185" s="2" t="s">
        <v>13</v>
      </c>
      <c r="F185" s="71">
        <v>35.1</v>
      </c>
      <c r="G185" s="71">
        <v>5.7</v>
      </c>
      <c r="H185" s="41">
        <f t="shared" si="46"/>
        <v>2.85</v>
      </c>
      <c r="I185" s="71">
        <f t="shared" si="47"/>
        <v>32.25</v>
      </c>
      <c r="J185" s="5">
        <f t="shared" si="42"/>
        <v>1.75</v>
      </c>
      <c r="K185" s="5">
        <v>27</v>
      </c>
      <c r="L185" s="5">
        <f t="shared" si="48"/>
        <v>-1.5</v>
      </c>
      <c r="M185" s="8">
        <f t="shared" si="43"/>
        <v>2.8500000000000014</v>
      </c>
      <c r="N185" s="8">
        <f t="shared" si="44"/>
        <v>3.1000000000000014</v>
      </c>
      <c r="O185" s="8">
        <v>3.75</v>
      </c>
      <c r="P185" s="8">
        <v>1.296</v>
      </c>
      <c r="Q185" s="8">
        <f>30*16</f>
        <v>480</v>
      </c>
      <c r="R185" s="108">
        <f t="shared" si="45"/>
        <v>7.2316800000000043</v>
      </c>
      <c r="S185" s="109"/>
    </row>
    <row r="186" spans="5:19" ht="14" x14ac:dyDescent="0.25">
      <c r="E186" s="2" t="s">
        <v>24</v>
      </c>
      <c r="F186" s="41">
        <v>34</v>
      </c>
      <c r="G186" s="98">
        <v>4.8</v>
      </c>
      <c r="H186" s="41">
        <f t="shared" si="46"/>
        <v>2.4</v>
      </c>
      <c r="I186" s="71">
        <f t="shared" si="47"/>
        <v>31.6</v>
      </c>
      <c r="J186" s="5">
        <f t="shared" si="42"/>
        <v>1.75</v>
      </c>
      <c r="K186" s="5">
        <v>27</v>
      </c>
      <c r="L186" s="5">
        <f t="shared" si="48"/>
        <v>-1.5</v>
      </c>
      <c r="M186" s="8">
        <f t="shared" si="43"/>
        <v>2.2000000000000028</v>
      </c>
      <c r="N186" s="8">
        <f t="shared" si="44"/>
        <v>2.4500000000000028</v>
      </c>
      <c r="O186" s="8">
        <v>3.75</v>
      </c>
      <c r="P186" s="8">
        <v>1.296</v>
      </c>
      <c r="Q186" s="8">
        <f>31*16</f>
        <v>496</v>
      </c>
      <c r="R186" s="108">
        <f t="shared" si="45"/>
        <v>5.9058720000000067</v>
      </c>
      <c r="S186" s="109"/>
    </row>
    <row r="187" spans="5:19" ht="14" x14ac:dyDescent="0.25">
      <c r="E187" s="2" t="s">
        <v>19</v>
      </c>
      <c r="F187" s="41">
        <v>33.9</v>
      </c>
      <c r="G187" s="98">
        <v>4.9000000000000004</v>
      </c>
      <c r="H187" s="41">
        <f t="shared" si="46"/>
        <v>2.4500000000000002</v>
      </c>
      <c r="I187" s="71">
        <f t="shared" si="47"/>
        <v>31.45</v>
      </c>
      <c r="J187" s="5">
        <f t="shared" si="42"/>
        <v>1.75</v>
      </c>
      <c r="K187" s="5">
        <v>27</v>
      </c>
      <c r="L187" s="5">
        <f t="shared" si="48"/>
        <v>-1.5</v>
      </c>
      <c r="M187" s="8">
        <f t="shared" si="43"/>
        <v>2.0500000000000007</v>
      </c>
      <c r="N187" s="8">
        <f t="shared" si="44"/>
        <v>2.3000000000000007</v>
      </c>
      <c r="O187" s="8">
        <v>3.75</v>
      </c>
      <c r="P187" s="8">
        <v>1.296</v>
      </c>
      <c r="Q187" s="8">
        <f>31*16</f>
        <v>496</v>
      </c>
      <c r="R187" s="108">
        <f t="shared" si="45"/>
        <v>5.5442880000000025</v>
      </c>
      <c r="S187" s="109"/>
    </row>
    <row r="188" spans="5:19" ht="14" x14ac:dyDescent="0.25">
      <c r="E188" s="2" t="s">
        <v>20</v>
      </c>
      <c r="F188" s="41">
        <v>34.1</v>
      </c>
      <c r="G188" s="98">
        <v>5.3</v>
      </c>
      <c r="H188" s="41">
        <f t="shared" si="46"/>
        <v>2.65</v>
      </c>
      <c r="I188" s="71">
        <f t="shared" si="47"/>
        <v>31.450000000000003</v>
      </c>
      <c r="J188" s="5">
        <f t="shared" si="42"/>
        <v>1.75</v>
      </c>
      <c r="K188" s="5">
        <v>27</v>
      </c>
      <c r="L188" s="5">
        <f t="shared" si="48"/>
        <v>-1.5</v>
      </c>
      <c r="M188" s="8">
        <f t="shared" si="43"/>
        <v>2.0500000000000043</v>
      </c>
      <c r="N188" s="8">
        <f t="shared" si="44"/>
        <v>2.3000000000000043</v>
      </c>
      <c r="O188" s="8">
        <v>3.75</v>
      </c>
      <c r="P188" s="8">
        <v>1.296</v>
      </c>
      <c r="Q188" s="8">
        <f>30*16</f>
        <v>480</v>
      </c>
      <c r="R188" s="108">
        <f t="shared" si="45"/>
        <v>5.3654400000000093</v>
      </c>
      <c r="S188" s="109"/>
    </row>
    <row r="189" spans="5:19" ht="14" x14ac:dyDescent="0.25">
      <c r="E189" s="2" t="s">
        <v>21</v>
      </c>
      <c r="F189" s="41">
        <v>33.799999999999997</v>
      </c>
      <c r="G189" s="98">
        <v>6.4</v>
      </c>
      <c r="H189" s="41">
        <f t="shared" si="46"/>
        <v>3.2</v>
      </c>
      <c r="I189" s="71">
        <f t="shared" si="47"/>
        <v>30.599999999999998</v>
      </c>
      <c r="J189" s="5">
        <f t="shared" si="42"/>
        <v>1.75</v>
      </c>
      <c r="K189" s="5">
        <v>27</v>
      </c>
      <c r="L189" s="5">
        <f t="shared" si="48"/>
        <v>-1.5</v>
      </c>
      <c r="M189" s="8">
        <f t="shared" si="43"/>
        <v>1.1999999999999993</v>
      </c>
      <c r="N189" s="8">
        <f t="shared" si="44"/>
        <v>1.4499999999999993</v>
      </c>
      <c r="O189" s="8">
        <v>3.75</v>
      </c>
      <c r="P189" s="8">
        <v>1.296</v>
      </c>
      <c r="Q189" s="8">
        <f>31*16</f>
        <v>496</v>
      </c>
      <c r="R189" s="108">
        <f t="shared" si="45"/>
        <v>3.4953119999999984</v>
      </c>
      <c r="S189" s="109"/>
    </row>
    <row r="190" spans="5:19" ht="14" x14ac:dyDescent="0.25">
      <c r="E190" s="2" t="s">
        <v>22</v>
      </c>
      <c r="F190" s="41">
        <v>31.2</v>
      </c>
      <c r="G190" s="98">
        <v>8.1</v>
      </c>
      <c r="H190" s="41">
        <f t="shared" si="46"/>
        <v>4.05</v>
      </c>
      <c r="I190" s="71">
        <f t="shared" si="47"/>
        <v>27.15</v>
      </c>
      <c r="J190" s="5">
        <f t="shared" si="42"/>
        <v>1.75</v>
      </c>
      <c r="K190" s="5">
        <v>27</v>
      </c>
      <c r="L190" s="5">
        <f t="shared" si="48"/>
        <v>-1.5</v>
      </c>
      <c r="M190" s="8">
        <f t="shared" si="43"/>
        <v>-2.25</v>
      </c>
      <c r="N190" s="8">
        <f t="shared" si="44"/>
        <v>-2</v>
      </c>
      <c r="O190" s="8">
        <v>3.75</v>
      </c>
      <c r="P190" s="8">
        <v>1.296</v>
      </c>
      <c r="Q190" s="8">
        <f>30*16</f>
        <v>480</v>
      </c>
      <c r="R190" s="108">
        <f t="shared" si="45"/>
        <v>-4.6656000000000004</v>
      </c>
      <c r="S190" s="109"/>
    </row>
    <row r="191" spans="5:19" ht="14" x14ac:dyDescent="0.25">
      <c r="E191" s="2" t="s">
        <v>23</v>
      </c>
      <c r="F191" s="41">
        <v>28</v>
      </c>
      <c r="G191" s="98">
        <v>9</v>
      </c>
      <c r="H191" s="41">
        <f t="shared" si="46"/>
        <v>4.5</v>
      </c>
      <c r="I191" s="71">
        <f t="shared" si="47"/>
        <v>23.5</v>
      </c>
      <c r="J191" s="5">
        <f t="shared" si="42"/>
        <v>1.75</v>
      </c>
      <c r="K191" s="5">
        <v>27</v>
      </c>
      <c r="L191" s="5">
        <f t="shared" si="48"/>
        <v>-1.5</v>
      </c>
      <c r="M191" s="8">
        <f t="shared" si="43"/>
        <v>-5.8999999999999986</v>
      </c>
      <c r="N191" s="8">
        <f t="shared" si="44"/>
        <v>-5.6499999999999986</v>
      </c>
      <c r="O191" s="8">
        <v>3.75</v>
      </c>
      <c r="P191" s="8">
        <v>1.296</v>
      </c>
      <c r="Q191" s="8">
        <f>31*16</f>
        <v>496</v>
      </c>
      <c r="R191" s="108">
        <f t="shared" si="45"/>
        <v>-13.619663999999997</v>
      </c>
      <c r="S191" s="109"/>
    </row>
    <row r="192" spans="5:19" ht="15" x14ac:dyDescent="0.25">
      <c r="E192" s="417" t="s">
        <v>61</v>
      </c>
      <c r="F192" s="418"/>
      <c r="G192" s="418"/>
      <c r="H192" s="418"/>
      <c r="I192" s="418"/>
      <c r="J192" s="418"/>
      <c r="K192" s="418"/>
      <c r="L192" s="418"/>
      <c r="M192" s="418"/>
      <c r="N192" s="418"/>
      <c r="O192" s="418"/>
      <c r="P192" s="418"/>
      <c r="Q192" s="419"/>
      <c r="R192" s="107">
        <f>SUM(R180:R191)</f>
        <v>-0.78926399999998154</v>
      </c>
      <c r="S192" s="105"/>
    </row>
    <row r="193" spans="5:19" ht="15" x14ac:dyDescent="0.4">
      <c r="E193" s="413" t="s">
        <v>76</v>
      </c>
      <c r="F193" s="414"/>
      <c r="G193" s="414"/>
      <c r="H193" s="414"/>
      <c r="I193" s="414"/>
      <c r="J193" s="414"/>
      <c r="K193" s="414"/>
      <c r="L193" s="414"/>
      <c r="M193" s="414"/>
      <c r="N193" s="414"/>
      <c r="O193" s="414"/>
      <c r="P193" s="414"/>
      <c r="Q193" s="414"/>
      <c r="R193" s="414"/>
      <c r="S193" s="104"/>
    </row>
    <row r="194" spans="5:19" ht="14" x14ac:dyDescent="0.25">
      <c r="E194" s="2" t="s">
        <v>15</v>
      </c>
      <c r="F194" s="71">
        <v>26.9</v>
      </c>
      <c r="G194" s="71">
        <v>10.199999999999999</v>
      </c>
      <c r="H194" s="41">
        <f>G194/2</f>
        <v>5.0999999999999996</v>
      </c>
      <c r="I194" s="71">
        <f>F194-H194</f>
        <v>21.799999999999997</v>
      </c>
      <c r="J194" s="5">
        <f t="shared" ref="J194:J205" si="49">C$126</f>
        <v>1.75</v>
      </c>
      <c r="K194" s="5">
        <v>28</v>
      </c>
      <c r="L194" s="5">
        <f>25.5-K194</f>
        <v>-2.5</v>
      </c>
      <c r="M194" s="8">
        <f t="shared" ref="M194:M205" si="50">I194-29.4</f>
        <v>-7.6000000000000014</v>
      </c>
      <c r="N194" s="8">
        <f t="shared" ref="N194:N205" si="51">J194+L194+M194</f>
        <v>-8.3500000000000014</v>
      </c>
      <c r="O194" s="8">
        <v>3.75</v>
      </c>
      <c r="P194" s="8">
        <v>1.296</v>
      </c>
      <c r="Q194" s="8">
        <f>31*16</f>
        <v>496</v>
      </c>
      <c r="R194" s="108">
        <f t="shared" ref="R194:R205" si="52">(N194*O194*P194*Q194)/1000</f>
        <v>-20.128176000000007</v>
      </c>
      <c r="S194" s="109"/>
    </row>
    <row r="195" spans="5:19" ht="14" x14ac:dyDescent="0.25">
      <c r="E195" s="2" t="s">
        <v>16</v>
      </c>
      <c r="F195" s="71">
        <v>31</v>
      </c>
      <c r="G195" s="71">
        <v>10.6</v>
      </c>
      <c r="H195" s="41">
        <f t="shared" ref="H195:H205" si="53">G195/2</f>
        <v>5.3</v>
      </c>
      <c r="I195" s="71">
        <f t="shared" ref="I195:I205" si="54">F195-H195</f>
        <v>25.7</v>
      </c>
      <c r="J195" s="5">
        <f t="shared" si="49"/>
        <v>1.75</v>
      </c>
      <c r="K195" s="5">
        <v>28</v>
      </c>
      <c r="L195" s="5">
        <f t="shared" ref="L195:L205" si="55">25.5-K195</f>
        <v>-2.5</v>
      </c>
      <c r="M195" s="8">
        <f t="shared" si="50"/>
        <v>-3.6999999999999993</v>
      </c>
      <c r="N195" s="8">
        <f t="shared" si="51"/>
        <v>-4.4499999999999993</v>
      </c>
      <c r="O195" s="8">
        <v>3.75</v>
      </c>
      <c r="P195" s="8">
        <v>1.296</v>
      </c>
      <c r="Q195" s="8">
        <f>28*16</f>
        <v>448</v>
      </c>
      <c r="R195" s="108">
        <f t="shared" si="52"/>
        <v>-9.6888959999999962</v>
      </c>
      <c r="S195" s="109"/>
    </row>
    <row r="196" spans="5:19" ht="14" x14ac:dyDescent="0.25">
      <c r="E196" s="2" t="s">
        <v>17</v>
      </c>
      <c r="F196" s="71">
        <v>34.6</v>
      </c>
      <c r="G196" s="71">
        <v>10.199999999999999</v>
      </c>
      <c r="H196" s="41">
        <f t="shared" si="53"/>
        <v>5.0999999999999996</v>
      </c>
      <c r="I196" s="71">
        <f t="shared" si="54"/>
        <v>29.5</v>
      </c>
      <c r="J196" s="5">
        <f t="shared" si="49"/>
        <v>1.75</v>
      </c>
      <c r="K196" s="5">
        <v>28</v>
      </c>
      <c r="L196" s="5">
        <f t="shared" si="55"/>
        <v>-2.5</v>
      </c>
      <c r="M196" s="8">
        <f t="shared" si="50"/>
        <v>0.10000000000000142</v>
      </c>
      <c r="N196" s="8">
        <f t="shared" si="51"/>
        <v>-0.64999999999999858</v>
      </c>
      <c r="O196" s="8">
        <v>3.75</v>
      </c>
      <c r="P196" s="8">
        <v>1.296</v>
      </c>
      <c r="Q196" s="8">
        <f>31*16</f>
        <v>496</v>
      </c>
      <c r="R196" s="108">
        <f t="shared" si="52"/>
        <v>-1.5668639999999967</v>
      </c>
      <c r="S196" s="109"/>
    </row>
    <row r="197" spans="5:19" ht="14" x14ac:dyDescent="0.25">
      <c r="E197" s="2" t="s">
        <v>18</v>
      </c>
      <c r="F197" s="71">
        <v>36.799999999999997</v>
      </c>
      <c r="G197" s="71">
        <v>9</v>
      </c>
      <c r="H197" s="41">
        <f t="shared" si="53"/>
        <v>4.5</v>
      </c>
      <c r="I197" s="71">
        <f t="shared" si="54"/>
        <v>32.299999999999997</v>
      </c>
      <c r="J197" s="5">
        <f t="shared" si="49"/>
        <v>1.75</v>
      </c>
      <c r="K197" s="5">
        <v>28</v>
      </c>
      <c r="L197" s="5">
        <f t="shared" si="55"/>
        <v>-2.5</v>
      </c>
      <c r="M197" s="8">
        <f t="shared" si="50"/>
        <v>2.8999999999999986</v>
      </c>
      <c r="N197" s="8">
        <f t="shared" si="51"/>
        <v>2.1499999999999986</v>
      </c>
      <c r="O197" s="8">
        <v>3.75</v>
      </c>
      <c r="P197" s="8">
        <v>1.296</v>
      </c>
      <c r="Q197" s="8">
        <f>30*16</f>
        <v>480</v>
      </c>
      <c r="R197" s="108">
        <f t="shared" si="52"/>
        <v>5.0155199999999969</v>
      </c>
      <c r="S197" s="109"/>
    </row>
    <row r="198" spans="5:19" ht="14" x14ac:dyDescent="0.25">
      <c r="E198" s="2" t="s">
        <v>12</v>
      </c>
      <c r="F198" s="71">
        <v>35.9</v>
      </c>
      <c r="G198" s="71">
        <v>7.7</v>
      </c>
      <c r="H198" s="41">
        <f t="shared" si="53"/>
        <v>3.85</v>
      </c>
      <c r="I198" s="71">
        <f t="shared" si="54"/>
        <v>32.049999999999997</v>
      </c>
      <c r="J198" s="5">
        <f t="shared" si="49"/>
        <v>1.75</v>
      </c>
      <c r="K198" s="5">
        <v>28</v>
      </c>
      <c r="L198" s="5">
        <f t="shared" si="55"/>
        <v>-2.5</v>
      </c>
      <c r="M198" s="8">
        <f t="shared" si="50"/>
        <v>2.6499999999999986</v>
      </c>
      <c r="N198" s="8">
        <f t="shared" si="51"/>
        <v>1.8999999999999986</v>
      </c>
      <c r="O198" s="8">
        <v>3.75</v>
      </c>
      <c r="P198" s="8">
        <v>1.296</v>
      </c>
      <c r="Q198" s="8">
        <f>31*16</f>
        <v>496</v>
      </c>
      <c r="R198" s="108">
        <f t="shared" si="52"/>
        <v>4.5800639999999966</v>
      </c>
      <c r="S198" s="109"/>
    </row>
    <row r="199" spans="5:19" ht="14" x14ac:dyDescent="0.25">
      <c r="E199" s="2" t="s">
        <v>13</v>
      </c>
      <c r="F199" s="71">
        <v>35.1</v>
      </c>
      <c r="G199" s="71">
        <v>5.7</v>
      </c>
      <c r="H199" s="41">
        <f t="shared" si="53"/>
        <v>2.85</v>
      </c>
      <c r="I199" s="71">
        <f t="shared" si="54"/>
        <v>32.25</v>
      </c>
      <c r="J199" s="5">
        <f t="shared" si="49"/>
        <v>1.75</v>
      </c>
      <c r="K199" s="5">
        <v>28</v>
      </c>
      <c r="L199" s="5">
        <f t="shared" si="55"/>
        <v>-2.5</v>
      </c>
      <c r="M199" s="8">
        <f t="shared" si="50"/>
        <v>2.8500000000000014</v>
      </c>
      <c r="N199" s="8">
        <f t="shared" si="51"/>
        <v>2.1000000000000014</v>
      </c>
      <c r="O199" s="8">
        <v>3.75</v>
      </c>
      <c r="P199" s="8">
        <v>1.296</v>
      </c>
      <c r="Q199" s="8">
        <f>30*16</f>
        <v>480</v>
      </c>
      <c r="R199" s="108">
        <f t="shared" si="52"/>
        <v>4.8988800000000028</v>
      </c>
      <c r="S199" s="109"/>
    </row>
    <row r="200" spans="5:19" ht="14" x14ac:dyDescent="0.25">
      <c r="E200" s="2" t="s">
        <v>24</v>
      </c>
      <c r="F200" s="41">
        <v>34</v>
      </c>
      <c r="G200" s="98">
        <v>4.8</v>
      </c>
      <c r="H200" s="41">
        <f t="shared" si="53"/>
        <v>2.4</v>
      </c>
      <c r="I200" s="71">
        <f t="shared" si="54"/>
        <v>31.6</v>
      </c>
      <c r="J200" s="5">
        <f t="shared" si="49"/>
        <v>1.75</v>
      </c>
      <c r="K200" s="5">
        <v>28</v>
      </c>
      <c r="L200" s="5">
        <f t="shared" si="55"/>
        <v>-2.5</v>
      </c>
      <c r="M200" s="8">
        <f t="shared" si="50"/>
        <v>2.2000000000000028</v>
      </c>
      <c r="N200" s="8">
        <f t="shared" si="51"/>
        <v>1.4500000000000028</v>
      </c>
      <c r="O200" s="8">
        <v>3.75</v>
      </c>
      <c r="P200" s="8">
        <v>1.296</v>
      </c>
      <c r="Q200" s="8">
        <f>31*16</f>
        <v>496</v>
      </c>
      <c r="R200" s="108">
        <f t="shared" si="52"/>
        <v>3.4953120000000069</v>
      </c>
      <c r="S200" s="109"/>
    </row>
    <row r="201" spans="5:19" ht="14" x14ac:dyDescent="0.25">
      <c r="E201" s="2" t="s">
        <v>19</v>
      </c>
      <c r="F201" s="41">
        <v>33.9</v>
      </c>
      <c r="G201" s="98">
        <v>4.9000000000000004</v>
      </c>
      <c r="H201" s="41">
        <f t="shared" si="53"/>
        <v>2.4500000000000002</v>
      </c>
      <c r="I201" s="71">
        <f t="shared" si="54"/>
        <v>31.45</v>
      </c>
      <c r="J201" s="5">
        <f t="shared" si="49"/>
        <v>1.75</v>
      </c>
      <c r="K201" s="5">
        <v>28</v>
      </c>
      <c r="L201" s="5">
        <f t="shared" si="55"/>
        <v>-2.5</v>
      </c>
      <c r="M201" s="8">
        <f t="shared" si="50"/>
        <v>2.0500000000000007</v>
      </c>
      <c r="N201" s="8">
        <f t="shared" si="51"/>
        <v>1.3000000000000007</v>
      </c>
      <c r="O201" s="8">
        <v>3.75</v>
      </c>
      <c r="P201" s="8">
        <v>1.296</v>
      </c>
      <c r="Q201" s="8">
        <f>31*16</f>
        <v>496</v>
      </c>
      <c r="R201" s="108">
        <f t="shared" si="52"/>
        <v>3.1337280000000018</v>
      </c>
      <c r="S201" s="109"/>
    </row>
    <row r="202" spans="5:19" ht="14" x14ac:dyDescent="0.25">
      <c r="E202" s="2" t="s">
        <v>20</v>
      </c>
      <c r="F202" s="41">
        <v>34.1</v>
      </c>
      <c r="G202" s="98">
        <v>5.3</v>
      </c>
      <c r="H202" s="41">
        <f t="shared" si="53"/>
        <v>2.65</v>
      </c>
      <c r="I202" s="71">
        <f t="shared" si="54"/>
        <v>31.450000000000003</v>
      </c>
      <c r="J202" s="5">
        <f t="shared" si="49"/>
        <v>1.75</v>
      </c>
      <c r="K202" s="5">
        <v>28</v>
      </c>
      <c r="L202" s="5">
        <f t="shared" si="55"/>
        <v>-2.5</v>
      </c>
      <c r="M202" s="8">
        <f t="shared" si="50"/>
        <v>2.0500000000000043</v>
      </c>
      <c r="N202" s="8">
        <f t="shared" si="51"/>
        <v>1.3000000000000043</v>
      </c>
      <c r="O202" s="8">
        <v>3.75</v>
      </c>
      <c r="P202" s="8">
        <v>1.296</v>
      </c>
      <c r="Q202" s="8">
        <f>30*16</f>
        <v>480</v>
      </c>
      <c r="R202" s="108">
        <f t="shared" si="52"/>
        <v>3.03264000000001</v>
      </c>
      <c r="S202" s="109"/>
    </row>
    <row r="203" spans="5:19" ht="14" x14ac:dyDescent="0.25">
      <c r="E203" s="2" t="s">
        <v>21</v>
      </c>
      <c r="F203" s="41">
        <v>33.799999999999997</v>
      </c>
      <c r="G203" s="98">
        <v>6.4</v>
      </c>
      <c r="H203" s="41">
        <f t="shared" si="53"/>
        <v>3.2</v>
      </c>
      <c r="I203" s="71">
        <f t="shared" si="54"/>
        <v>30.599999999999998</v>
      </c>
      <c r="J203" s="5">
        <f t="shared" si="49"/>
        <v>1.75</v>
      </c>
      <c r="K203" s="5">
        <v>28</v>
      </c>
      <c r="L203" s="5">
        <f t="shared" si="55"/>
        <v>-2.5</v>
      </c>
      <c r="M203" s="8">
        <f t="shared" si="50"/>
        <v>1.1999999999999993</v>
      </c>
      <c r="N203" s="8">
        <f t="shared" si="51"/>
        <v>0.44999999999999929</v>
      </c>
      <c r="O203" s="8">
        <v>3.75</v>
      </c>
      <c r="P203" s="8">
        <v>1.296</v>
      </c>
      <c r="Q203" s="8">
        <f>31*16</f>
        <v>496</v>
      </c>
      <c r="R203" s="108">
        <f t="shared" si="52"/>
        <v>1.0847519999999984</v>
      </c>
      <c r="S203" s="109"/>
    </row>
    <row r="204" spans="5:19" ht="14" x14ac:dyDescent="0.25">
      <c r="E204" s="2" t="s">
        <v>22</v>
      </c>
      <c r="F204" s="41">
        <v>31.2</v>
      </c>
      <c r="G204" s="98">
        <v>8.1</v>
      </c>
      <c r="H204" s="41">
        <f t="shared" si="53"/>
        <v>4.05</v>
      </c>
      <c r="I204" s="71">
        <f t="shared" si="54"/>
        <v>27.15</v>
      </c>
      <c r="J204" s="5">
        <f t="shared" si="49"/>
        <v>1.75</v>
      </c>
      <c r="K204" s="5">
        <v>28</v>
      </c>
      <c r="L204" s="5">
        <f t="shared" si="55"/>
        <v>-2.5</v>
      </c>
      <c r="M204" s="8">
        <f t="shared" si="50"/>
        <v>-2.25</v>
      </c>
      <c r="N204" s="8">
        <f t="shared" si="51"/>
        <v>-3</v>
      </c>
      <c r="O204" s="8">
        <v>3.75</v>
      </c>
      <c r="P204" s="8">
        <v>1.296</v>
      </c>
      <c r="Q204" s="8">
        <f>30*16</f>
        <v>480</v>
      </c>
      <c r="R204" s="108">
        <f t="shared" si="52"/>
        <v>-6.9983999999999993</v>
      </c>
      <c r="S204" s="109"/>
    </row>
    <row r="205" spans="5:19" ht="14" x14ac:dyDescent="0.25">
      <c r="E205" s="2" t="s">
        <v>23</v>
      </c>
      <c r="F205" s="41">
        <v>28</v>
      </c>
      <c r="G205" s="98">
        <v>9</v>
      </c>
      <c r="H205" s="41">
        <f t="shared" si="53"/>
        <v>4.5</v>
      </c>
      <c r="I205" s="71">
        <f t="shared" si="54"/>
        <v>23.5</v>
      </c>
      <c r="J205" s="5">
        <f t="shared" si="49"/>
        <v>1.75</v>
      </c>
      <c r="K205" s="5">
        <v>28</v>
      </c>
      <c r="L205" s="5">
        <f t="shared" si="55"/>
        <v>-2.5</v>
      </c>
      <c r="M205" s="8">
        <f t="shared" si="50"/>
        <v>-5.8999999999999986</v>
      </c>
      <c r="N205" s="8">
        <f t="shared" si="51"/>
        <v>-6.6499999999999986</v>
      </c>
      <c r="O205" s="8">
        <v>3.75</v>
      </c>
      <c r="P205" s="8">
        <v>1.296</v>
      </c>
      <c r="Q205" s="8">
        <f>31*16</f>
        <v>496</v>
      </c>
      <c r="R205" s="108">
        <f t="shared" si="52"/>
        <v>-16.030223999999993</v>
      </c>
      <c r="S205" s="109"/>
    </row>
    <row r="206" spans="5:19" ht="15.5" thickBot="1" x14ac:dyDescent="0.3">
      <c r="E206" s="420" t="s">
        <v>61</v>
      </c>
      <c r="F206" s="421"/>
      <c r="G206" s="421"/>
      <c r="H206" s="421"/>
      <c r="I206" s="421"/>
      <c r="J206" s="421"/>
      <c r="K206" s="421"/>
      <c r="L206" s="421"/>
      <c r="M206" s="421"/>
      <c r="N206" s="421"/>
      <c r="O206" s="421"/>
      <c r="P206" s="421"/>
      <c r="Q206" s="422"/>
      <c r="R206" s="107">
        <f>SUM(R194:R205)</f>
        <v>-29.171663999999982</v>
      </c>
      <c r="S206" s="105"/>
    </row>
    <row r="209" spans="5:11" ht="13.5" thickBot="1" x14ac:dyDescent="0.3"/>
    <row r="210" spans="5:11" x14ac:dyDescent="0.3">
      <c r="E210" s="295" t="s">
        <v>81</v>
      </c>
      <c r="F210" s="296"/>
      <c r="G210" s="296"/>
      <c r="H210" s="296"/>
      <c r="I210" s="296"/>
      <c r="J210" s="296"/>
      <c r="K210" s="297"/>
    </row>
    <row r="211" spans="5:11" ht="15.5" thickBot="1" x14ac:dyDescent="0.3">
      <c r="E211" s="46" t="s">
        <v>78</v>
      </c>
      <c r="F211" s="37" t="s">
        <v>63</v>
      </c>
      <c r="G211" s="37" t="s">
        <v>64</v>
      </c>
      <c r="H211" s="37" t="s">
        <v>79</v>
      </c>
      <c r="I211" s="37" t="s">
        <v>82</v>
      </c>
      <c r="J211" s="37" t="s">
        <v>57</v>
      </c>
      <c r="K211" s="73" t="s">
        <v>80</v>
      </c>
    </row>
    <row r="212" spans="5:11" x14ac:dyDescent="0.25">
      <c r="E212" s="44" t="s">
        <v>15</v>
      </c>
      <c r="F212" s="8">
        <v>0.55000000000000004</v>
      </c>
      <c r="G212" s="8">
        <v>0.51</v>
      </c>
      <c r="H212" s="110">
        <v>85.17</v>
      </c>
      <c r="I212" s="8">
        <v>1.296</v>
      </c>
      <c r="J212" s="8">
        <f>31*16</f>
        <v>496</v>
      </c>
      <c r="K212" s="40">
        <f>(F212*G212*H212*I212*J212)/1000</f>
        <v>15.35699316096</v>
      </c>
    </row>
    <row r="213" spans="5:11" x14ac:dyDescent="0.25">
      <c r="E213" s="44" t="s">
        <v>16</v>
      </c>
      <c r="F213" s="8">
        <v>0.55000000000000004</v>
      </c>
      <c r="G213" s="8">
        <v>0.51</v>
      </c>
      <c r="H213" s="62">
        <v>94.63</v>
      </c>
      <c r="I213" s="8">
        <v>1.296</v>
      </c>
      <c r="J213" s="8">
        <f>28*16</f>
        <v>448</v>
      </c>
      <c r="K213" s="40">
        <f t="shared" ref="K213:K223" si="56">(F213*G213*H213*I213*J213)/1000</f>
        <v>15.411493278720004</v>
      </c>
    </row>
    <row r="214" spans="5:11" x14ac:dyDescent="0.25">
      <c r="E214" s="44" t="s">
        <v>17</v>
      </c>
      <c r="F214" s="8">
        <v>0.55000000000000004</v>
      </c>
      <c r="G214" s="8">
        <v>0.51</v>
      </c>
      <c r="H214" s="62">
        <v>107.25</v>
      </c>
      <c r="I214" s="8">
        <v>1.296</v>
      </c>
      <c r="J214" s="8">
        <f>31*16</f>
        <v>496</v>
      </c>
      <c r="K214" s="40">
        <f t="shared" si="56"/>
        <v>19.338235488000002</v>
      </c>
    </row>
    <row r="215" spans="5:11" x14ac:dyDescent="0.25">
      <c r="E215" s="44" t="s">
        <v>18</v>
      </c>
      <c r="F215" s="8">
        <v>0.55000000000000004</v>
      </c>
      <c r="G215" s="8">
        <v>0.51</v>
      </c>
      <c r="H215" s="62">
        <v>116.71</v>
      </c>
      <c r="I215" s="8">
        <v>1.296</v>
      </c>
      <c r="J215" s="8">
        <f>30*16</f>
        <v>480</v>
      </c>
      <c r="K215" s="40">
        <f t="shared" si="56"/>
        <v>20.365129382400003</v>
      </c>
    </row>
    <row r="216" spans="5:11" x14ac:dyDescent="0.25">
      <c r="E216" s="44" t="s">
        <v>12</v>
      </c>
      <c r="F216" s="8">
        <v>0.55000000000000004</v>
      </c>
      <c r="G216" s="8">
        <v>0.51</v>
      </c>
      <c r="H216" s="62">
        <v>135.63999999999999</v>
      </c>
      <c r="I216" s="8">
        <v>1.296</v>
      </c>
      <c r="J216" s="8">
        <f>31*16</f>
        <v>496</v>
      </c>
      <c r="K216" s="40">
        <f t="shared" si="56"/>
        <v>24.457233208320002</v>
      </c>
    </row>
    <row r="217" spans="5:11" x14ac:dyDescent="0.25">
      <c r="E217" s="44" t="s">
        <v>13</v>
      </c>
      <c r="F217" s="8">
        <v>0.55000000000000004</v>
      </c>
      <c r="G217" s="8">
        <v>0.51</v>
      </c>
      <c r="H217" s="63">
        <v>173.5</v>
      </c>
      <c r="I217" s="8">
        <v>1.296</v>
      </c>
      <c r="J217" s="8">
        <f>30*16</f>
        <v>480</v>
      </c>
      <c r="K217" s="40">
        <f t="shared" si="56"/>
        <v>30.274611840000006</v>
      </c>
    </row>
    <row r="218" spans="5:11" x14ac:dyDescent="0.25">
      <c r="E218" s="44" t="s">
        <v>24</v>
      </c>
      <c r="F218" s="8">
        <v>0.55000000000000004</v>
      </c>
      <c r="G218" s="8">
        <v>0.51</v>
      </c>
      <c r="H218" s="118">
        <v>141.94999999999999</v>
      </c>
      <c r="I218" s="8">
        <v>1.296</v>
      </c>
      <c r="J218" s="8">
        <f>31*16</f>
        <v>496</v>
      </c>
      <c r="K218" s="40">
        <f t="shared" si="56"/>
        <v>25.594988601599997</v>
      </c>
    </row>
    <row r="219" spans="5:11" x14ac:dyDescent="0.25">
      <c r="E219" s="44" t="s">
        <v>19</v>
      </c>
      <c r="F219" s="8">
        <v>0.55000000000000004</v>
      </c>
      <c r="G219" s="8">
        <v>0.51</v>
      </c>
      <c r="H219" s="118">
        <v>119.87</v>
      </c>
      <c r="I219" s="8">
        <v>1.296</v>
      </c>
      <c r="J219" s="8">
        <f>31*16</f>
        <v>496</v>
      </c>
      <c r="K219" s="40">
        <f t="shared" si="56"/>
        <v>21.613746274560008</v>
      </c>
    </row>
    <row r="220" spans="5:11" x14ac:dyDescent="0.25">
      <c r="E220" s="44" t="s">
        <v>20</v>
      </c>
      <c r="F220" s="8">
        <v>0.55000000000000004</v>
      </c>
      <c r="G220" s="8">
        <v>0.51</v>
      </c>
      <c r="H220" s="118">
        <v>110.41</v>
      </c>
      <c r="I220" s="8">
        <v>1.296</v>
      </c>
      <c r="J220" s="8">
        <f>30*16</f>
        <v>480</v>
      </c>
      <c r="K220" s="40">
        <f t="shared" si="56"/>
        <v>19.2658207104</v>
      </c>
    </row>
    <row r="221" spans="5:11" x14ac:dyDescent="0.25">
      <c r="E221" s="44" t="s">
        <v>21</v>
      </c>
      <c r="F221" s="8">
        <v>0.55000000000000004</v>
      </c>
      <c r="G221" s="8">
        <v>0.51</v>
      </c>
      <c r="H221" s="118">
        <v>97.79</v>
      </c>
      <c r="I221" s="8">
        <v>1.296</v>
      </c>
      <c r="J221" s="8">
        <f>31*16</f>
        <v>496</v>
      </c>
      <c r="K221" s="40">
        <f t="shared" si="56"/>
        <v>17.632503947520004</v>
      </c>
    </row>
    <row r="222" spans="5:11" x14ac:dyDescent="0.25">
      <c r="E222" s="44" t="s">
        <v>22</v>
      </c>
      <c r="F222" s="8">
        <v>0.55000000000000004</v>
      </c>
      <c r="G222" s="8">
        <v>0.51</v>
      </c>
      <c r="H222" s="63">
        <v>85.17</v>
      </c>
      <c r="I222" s="8">
        <v>1.296</v>
      </c>
      <c r="J222" s="8">
        <f>30*16</f>
        <v>480</v>
      </c>
      <c r="K222" s="40">
        <f t="shared" si="56"/>
        <v>14.861606284800002</v>
      </c>
    </row>
    <row r="223" spans="5:11" ht="13.5" thickBot="1" x14ac:dyDescent="0.3">
      <c r="E223" s="44" t="s">
        <v>23</v>
      </c>
      <c r="F223" s="8">
        <v>0.55000000000000004</v>
      </c>
      <c r="G223" s="8">
        <v>0.51</v>
      </c>
      <c r="H223" s="64">
        <v>82.01</v>
      </c>
      <c r="I223" s="8">
        <v>1.296</v>
      </c>
      <c r="J223" s="8">
        <f>31*16</f>
        <v>496</v>
      </c>
      <c r="K223" s="40">
        <f t="shared" si="56"/>
        <v>14.787213914880002</v>
      </c>
    </row>
    <row r="224" spans="5:11" ht="15.5" thickBot="1" x14ac:dyDescent="0.45">
      <c r="E224" s="310" t="s">
        <v>80</v>
      </c>
      <c r="F224" s="311"/>
      <c r="G224" s="311"/>
      <c r="H224" s="311"/>
      <c r="I224" s="311"/>
      <c r="J224" s="311"/>
      <c r="K224" s="74">
        <f>SUM(K212:K223)</f>
        <v>238.95957609216003</v>
      </c>
    </row>
    <row r="227" spans="5:18" ht="13.5" thickBot="1" x14ac:dyDescent="0.3"/>
    <row r="228" spans="5:18" x14ac:dyDescent="0.3">
      <c r="E228" s="295" t="s">
        <v>89</v>
      </c>
      <c r="F228" s="296"/>
      <c r="G228" s="296"/>
      <c r="H228" s="296"/>
      <c r="I228" s="296"/>
      <c r="J228" s="296"/>
      <c r="K228" s="296"/>
      <c r="L228" s="296"/>
      <c r="M228" s="296"/>
      <c r="N228" s="296"/>
      <c r="O228" s="296"/>
      <c r="P228" s="296"/>
      <c r="Q228" s="296"/>
      <c r="R228" s="297"/>
    </row>
    <row r="229" spans="5:18" ht="21" customHeight="1" x14ac:dyDescent="0.25">
      <c r="E229" s="46" t="s">
        <v>0</v>
      </c>
      <c r="F229" s="37" t="s">
        <v>84</v>
      </c>
      <c r="G229" s="37" t="s">
        <v>95</v>
      </c>
      <c r="H229" s="37" t="s">
        <v>96</v>
      </c>
      <c r="I229" s="37" t="s">
        <v>97</v>
      </c>
      <c r="J229" s="37" t="s">
        <v>98</v>
      </c>
      <c r="K229" s="37" t="s">
        <v>99</v>
      </c>
      <c r="L229" s="37" t="s">
        <v>100</v>
      </c>
      <c r="M229" s="37" t="s">
        <v>101</v>
      </c>
      <c r="N229" s="37"/>
      <c r="O229" s="37" t="s">
        <v>85</v>
      </c>
      <c r="P229" s="37" t="s">
        <v>102</v>
      </c>
      <c r="Q229" s="37" t="s">
        <v>86</v>
      </c>
      <c r="R229" s="73" t="s">
        <v>103</v>
      </c>
    </row>
    <row r="230" spans="5:18" ht="15" customHeight="1" x14ac:dyDescent="0.25">
      <c r="E230" s="44" t="s">
        <v>15</v>
      </c>
      <c r="F230" s="8">
        <v>0.6</v>
      </c>
      <c r="G230" s="8">
        <v>38.880000000000003</v>
      </c>
      <c r="H230" s="8">
        <v>1.0049999999999999</v>
      </c>
      <c r="I230" s="8">
        <v>1.2929999999999999</v>
      </c>
      <c r="J230" s="71">
        <v>26.9</v>
      </c>
      <c r="K230" s="8">
        <v>22</v>
      </c>
      <c r="L230" s="8">
        <f>J230-K230</f>
        <v>4.8999999999999986</v>
      </c>
      <c r="M230" s="27">
        <f>F230*G230*H230*I230*L230</f>
        <v>148.53820564799992</v>
      </c>
      <c r="N230" s="27"/>
      <c r="O230" s="8">
        <v>0.27700000000000002</v>
      </c>
      <c r="P230" s="18">
        <f>M230*O230</f>
        <v>41.145082964495984</v>
      </c>
      <c r="Q230" s="8">
        <f>31*16</f>
        <v>496</v>
      </c>
      <c r="R230" s="40">
        <f>(P230*Q230)/1000</f>
        <v>20.407961150390008</v>
      </c>
    </row>
    <row r="231" spans="5:18" ht="15" customHeight="1" x14ac:dyDescent="0.25">
      <c r="E231" s="44" t="s">
        <v>16</v>
      </c>
      <c r="F231" s="8">
        <v>0.6</v>
      </c>
      <c r="G231" s="8">
        <v>38.880000000000003</v>
      </c>
      <c r="H231" s="8">
        <v>1.0049999999999999</v>
      </c>
      <c r="I231" s="8">
        <v>1.2929999999999999</v>
      </c>
      <c r="J231" s="71">
        <v>31</v>
      </c>
      <c r="K231" s="8">
        <v>22</v>
      </c>
      <c r="L231" s="8">
        <f t="shared" ref="L231:L241" si="57">J231-K231</f>
        <v>9</v>
      </c>
      <c r="M231" s="27">
        <f t="shared" ref="M231:M241" si="58">F231*G231*H231*I231*L231</f>
        <v>272.82527567999995</v>
      </c>
      <c r="N231" s="27"/>
      <c r="O231" s="8">
        <v>0.27700000000000002</v>
      </c>
      <c r="P231" s="18">
        <f t="shared" ref="P231:P241" si="59">M231*O231</f>
        <v>75.572601363359993</v>
      </c>
      <c r="Q231" s="8">
        <f>28*16</f>
        <v>448</v>
      </c>
      <c r="R231" s="40">
        <f t="shared" ref="R231:R241" si="60">(P231*Q231)/1000</f>
        <v>33.856525410785274</v>
      </c>
    </row>
    <row r="232" spans="5:18" ht="15" customHeight="1" x14ac:dyDescent="0.25">
      <c r="E232" s="44" t="s">
        <v>17</v>
      </c>
      <c r="F232" s="8">
        <v>0.6</v>
      </c>
      <c r="G232" s="8">
        <v>38.880000000000003</v>
      </c>
      <c r="H232" s="8">
        <v>1.0049999999999999</v>
      </c>
      <c r="I232" s="8">
        <v>1.2929999999999999</v>
      </c>
      <c r="J232" s="71">
        <v>34.6</v>
      </c>
      <c r="K232" s="8">
        <v>22</v>
      </c>
      <c r="L232" s="8">
        <f t="shared" si="57"/>
        <v>12.600000000000001</v>
      </c>
      <c r="M232" s="27">
        <f t="shared" si="58"/>
        <v>381.95538595199992</v>
      </c>
      <c r="N232" s="27"/>
      <c r="O232" s="8">
        <v>0.27700000000000002</v>
      </c>
      <c r="P232" s="18">
        <f t="shared" si="59"/>
        <v>105.80164190870398</v>
      </c>
      <c r="Q232" s="8">
        <f>31*16</f>
        <v>496</v>
      </c>
      <c r="R232" s="40">
        <f t="shared" si="60"/>
        <v>52.477614386717178</v>
      </c>
    </row>
    <row r="233" spans="5:18" ht="15" customHeight="1" x14ac:dyDescent="0.25">
      <c r="E233" s="44" t="s">
        <v>18</v>
      </c>
      <c r="F233" s="8">
        <v>0.6</v>
      </c>
      <c r="G233" s="8">
        <v>38.880000000000003</v>
      </c>
      <c r="H233" s="8">
        <v>1.0049999999999999</v>
      </c>
      <c r="I233" s="8">
        <v>1.2929999999999999</v>
      </c>
      <c r="J233" s="71">
        <v>36.799999999999997</v>
      </c>
      <c r="K233" s="8">
        <v>22</v>
      </c>
      <c r="L233" s="8">
        <f t="shared" si="57"/>
        <v>14.799999999999997</v>
      </c>
      <c r="M233" s="27">
        <f t="shared" si="58"/>
        <v>448.64600889599978</v>
      </c>
      <c r="N233" s="27"/>
      <c r="O233" s="8">
        <v>0.27700000000000002</v>
      </c>
      <c r="P233" s="18">
        <f t="shared" si="59"/>
        <v>124.27494446419195</v>
      </c>
      <c r="Q233" s="8">
        <f>30*16</f>
        <v>480</v>
      </c>
      <c r="R233" s="40">
        <f t="shared" si="60"/>
        <v>59.651973342812134</v>
      </c>
    </row>
    <row r="234" spans="5:18" ht="15" customHeight="1" x14ac:dyDescent="0.25">
      <c r="E234" s="44" t="s">
        <v>12</v>
      </c>
      <c r="F234" s="8">
        <v>0.6</v>
      </c>
      <c r="G234" s="8">
        <v>38.880000000000003</v>
      </c>
      <c r="H234" s="8">
        <v>1.0049999999999999</v>
      </c>
      <c r="I234" s="8">
        <v>1.2929999999999999</v>
      </c>
      <c r="J234" s="71">
        <v>35.9</v>
      </c>
      <c r="K234" s="8">
        <v>22</v>
      </c>
      <c r="L234" s="8">
        <f t="shared" si="57"/>
        <v>13.899999999999999</v>
      </c>
      <c r="M234" s="27">
        <f t="shared" si="58"/>
        <v>421.36348132799986</v>
      </c>
      <c r="N234" s="27"/>
      <c r="O234" s="8">
        <v>0.27700000000000002</v>
      </c>
      <c r="P234" s="18">
        <f t="shared" si="59"/>
        <v>116.71768432785598</v>
      </c>
      <c r="Q234" s="8">
        <f>31*16</f>
        <v>496</v>
      </c>
      <c r="R234" s="40">
        <f t="shared" si="60"/>
        <v>57.891971426616571</v>
      </c>
    </row>
    <row r="235" spans="5:18" ht="15" customHeight="1" x14ac:dyDescent="0.25">
      <c r="E235" s="44" t="s">
        <v>13</v>
      </c>
      <c r="F235" s="8">
        <v>0.6</v>
      </c>
      <c r="G235" s="8">
        <v>38.880000000000003</v>
      </c>
      <c r="H235" s="8">
        <v>1.0049999999999999</v>
      </c>
      <c r="I235" s="8">
        <v>1.2929999999999999</v>
      </c>
      <c r="J235" s="71">
        <v>35.1</v>
      </c>
      <c r="K235" s="8">
        <v>22</v>
      </c>
      <c r="L235" s="8">
        <f t="shared" si="57"/>
        <v>13.100000000000001</v>
      </c>
      <c r="M235" s="27">
        <f t="shared" si="58"/>
        <v>397.11234571199992</v>
      </c>
      <c r="N235" s="27"/>
      <c r="O235" s="8">
        <v>0.27700000000000002</v>
      </c>
      <c r="P235" s="18">
        <f t="shared" si="59"/>
        <v>110.00011976222399</v>
      </c>
      <c r="Q235" s="8">
        <f>30*16</f>
        <v>480</v>
      </c>
      <c r="R235" s="40">
        <f t="shared" si="60"/>
        <v>52.800057485867519</v>
      </c>
    </row>
    <row r="236" spans="5:18" ht="15" customHeight="1" x14ac:dyDescent="0.25">
      <c r="E236" s="44" t="s">
        <v>24</v>
      </c>
      <c r="F236" s="8">
        <v>0.6</v>
      </c>
      <c r="G236" s="8">
        <v>38.880000000000003</v>
      </c>
      <c r="H236" s="8">
        <v>1.0049999999999999</v>
      </c>
      <c r="I236" s="8">
        <v>1.2929999999999999</v>
      </c>
      <c r="J236" s="41">
        <v>34</v>
      </c>
      <c r="K236" s="8">
        <v>22</v>
      </c>
      <c r="L236" s="8">
        <f t="shared" si="57"/>
        <v>12</v>
      </c>
      <c r="M236" s="27">
        <f t="shared" si="58"/>
        <v>363.76703423999993</v>
      </c>
      <c r="N236" s="27"/>
      <c r="O236" s="8">
        <v>0.27700000000000002</v>
      </c>
      <c r="P236" s="18">
        <f t="shared" si="59"/>
        <v>100.76346848447999</v>
      </c>
      <c r="Q236" s="8">
        <f>31*16</f>
        <v>496</v>
      </c>
      <c r="R236" s="40">
        <f t="shared" si="60"/>
        <v>49.978680368302072</v>
      </c>
    </row>
    <row r="237" spans="5:18" ht="15" customHeight="1" x14ac:dyDescent="0.25">
      <c r="E237" s="44" t="s">
        <v>19</v>
      </c>
      <c r="F237" s="8">
        <v>0.6</v>
      </c>
      <c r="G237" s="8">
        <v>38.880000000000003</v>
      </c>
      <c r="H237" s="8">
        <v>1.0049999999999999</v>
      </c>
      <c r="I237" s="8">
        <v>1.2929999999999999</v>
      </c>
      <c r="J237" s="41">
        <v>33.9</v>
      </c>
      <c r="K237" s="8">
        <v>22</v>
      </c>
      <c r="L237" s="8">
        <f t="shared" si="57"/>
        <v>11.899999999999999</v>
      </c>
      <c r="M237" s="27">
        <f t="shared" si="58"/>
        <v>360.73564228799984</v>
      </c>
      <c r="N237" s="27"/>
      <c r="O237" s="8">
        <v>0.27700000000000002</v>
      </c>
      <c r="P237" s="18">
        <f t="shared" si="59"/>
        <v>99.923772913775963</v>
      </c>
      <c r="Q237" s="8">
        <f>31*16</f>
        <v>496</v>
      </c>
      <c r="R237" s="40">
        <f t="shared" si="60"/>
        <v>49.562191365232877</v>
      </c>
    </row>
    <row r="238" spans="5:18" ht="15" customHeight="1" x14ac:dyDescent="0.25">
      <c r="E238" s="44" t="s">
        <v>20</v>
      </c>
      <c r="F238" s="8">
        <v>0.6</v>
      </c>
      <c r="G238" s="8">
        <v>38.880000000000003</v>
      </c>
      <c r="H238" s="8">
        <v>1.0049999999999999</v>
      </c>
      <c r="I238" s="8">
        <v>1.2929999999999999</v>
      </c>
      <c r="J238" s="41">
        <v>34.1</v>
      </c>
      <c r="K238" s="8">
        <v>22</v>
      </c>
      <c r="L238" s="8">
        <f t="shared" si="57"/>
        <v>12.100000000000001</v>
      </c>
      <c r="M238" s="27">
        <f t="shared" si="58"/>
        <v>366.79842619199997</v>
      </c>
      <c r="N238" s="27"/>
      <c r="O238" s="8">
        <v>0.27700000000000002</v>
      </c>
      <c r="P238" s="18">
        <f t="shared" si="59"/>
        <v>101.603164055184</v>
      </c>
      <c r="Q238" s="8">
        <f>30*16</f>
        <v>480</v>
      </c>
      <c r="R238" s="40">
        <f t="shared" si="60"/>
        <v>48.769518746488323</v>
      </c>
    </row>
    <row r="239" spans="5:18" ht="15" customHeight="1" x14ac:dyDescent="0.25">
      <c r="E239" s="44" t="s">
        <v>21</v>
      </c>
      <c r="F239" s="8">
        <v>0.6</v>
      </c>
      <c r="G239" s="8">
        <v>38.880000000000003</v>
      </c>
      <c r="H239" s="8">
        <v>1.0049999999999999</v>
      </c>
      <c r="I239" s="8">
        <v>1.2929999999999999</v>
      </c>
      <c r="J239" s="41">
        <v>33.799999999999997</v>
      </c>
      <c r="K239" s="8">
        <v>22</v>
      </c>
      <c r="L239" s="8">
        <f t="shared" si="57"/>
        <v>11.799999999999997</v>
      </c>
      <c r="M239" s="27">
        <f t="shared" si="58"/>
        <v>357.7042503359998</v>
      </c>
      <c r="N239" s="27"/>
      <c r="O239" s="8">
        <v>0.27700000000000002</v>
      </c>
      <c r="P239" s="18">
        <f t="shared" si="59"/>
        <v>99.084077343071954</v>
      </c>
      <c r="Q239" s="8">
        <f>31*16</f>
        <v>496</v>
      </c>
      <c r="R239" s="40">
        <f t="shared" si="60"/>
        <v>49.145702362163689</v>
      </c>
    </row>
    <row r="240" spans="5:18" ht="15" customHeight="1" x14ac:dyDescent="0.25">
      <c r="E240" s="44" t="s">
        <v>22</v>
      </c>
      <c r="F240" s="8">
        <v>0.6</v>
      </c>
      <c r="G240" s="8">
        <v>38.880000000000003</v>
      </c>
      <c r="H240" s="8">
        <v>1.0049999999999999</v>
      </c>
      <c r="I240" s="8">
        <v>1.2929999999999999</v>
      </c>
      <c r="J240" s="41">
        <v>31.2</v>
      </c>
      <c r="K240" s="8">
        <v>22</v>
      </c>
      <c r="L240" s="8">
        <f t="shared" si="57"/>
        <v>9.1999999999999993</v>
      </c>
      <c r="M240" s="27">
        <f t="shared" si="58"/>
        <v>278.8880595839999</v>
      </c>
      <c r="N240" s="27"/>
      <c r="O240" s="8">
        <v>0.27700000000000002</v>
      </c>
      <c r="P240" s="18">
        <f t="shared" si="59"/>
        <v>77.251992504767983</v>
      </c>
      <c r="Q240" s="8">
        <f>30*16</f>
        <v>480</v>
      </c>
      <c r="R240" s="40">
        <f t="shared" si="60"/>
        <v>37.080956402288635</v>
      </c>
    </row>
    <row r="241" spans="5:18" ht="15" customHeight="1" x14ac:dyDescent="0.25">
      <c r="E241" s="44" t="s">
        <v>23</v>
      </c>
      <c r="F241" s="8">
        <v>0.6</v>
      </c>
      <c r="G241" s="8">
        <v>38.880000000000003</v>
      </c>
      <c r="H241" s="8">
        <v>1.0049999999999999</v>
      </c>
      <c r="I241" s="8">
        <v>1.2929999999999999</v>
      </c>
      <c r="J241" s="41">
        <v>28</v>
      </c>
      <c r="K241" s="8">
        <v>22</v>
      </c>
      <c r="L241" s="8">
        <f t="shared" si="57"/>
        <v>6</v>
      </c>
      <c r="M241" s="27">
        <f t="shared" si="58"/>
        <v>181.88351711999996</v>
      </c>
      <c r="N241" s="27"/>
      <c r="O241" s="8">
        <v>0.27700000000000002</v>
      </c>
      <c r="P241" s="18">
        <f t="shared" si="59"/>
        <v>50.381734242239993</v>
      </c>
      <c r="Q241" s="8">
        <f>31*16</f>
        <v>496</v>
      </c>
      <c r="R241" s="40">
        <f t="shared" si="60"/>
        <v>24.989340184151036</v>
      </c>
    </row>
    <row r="242" spans="5:18" ht="15" customHeight="1" x14ac:dyDescent="0.4">
      <c r="E242" s="314" t="s">
        <v>133</v>
      </c>
      <c r="F242" s="315"/>
      <c r="G242" s="315"/>
      <c r="H242" s="315"/>
      <c r="I242" s="315"/>
      <c r="J242" s="315"/>
      <c r="K242" s="315"/>
      <c r="L242" s="315"/>
      <c r="M242" s="315"/>
      <c r="N242" s="315"/>
      <c r="O242" s="315"/>
      <c r="P242" s="315"/>
      <c r="Q242" s="315"/>
      <c r="R242" s="84">
        <f>SUM(R230:R241)</f>
        <v>536.61249263181537</v>
      </c>
    </row>
    <row r="243" spans="5:18" ht="14" x14ac:dyDescent="0.25">
      <c r="E243" s="44" t="s">
        <v>15</v>
      </c>
      <c r="F243" s="8">
        <v>0.6</v>
      </c>
      <c r="G243" s="8">
        <v>38.880000000000003</v>
      </c>
      <c r="H243" s="8">
        <v>1.0049999999999999</v>
      </c>
      <c r="I243" s="8">
        <v>1.2929999999999999</v>
      </c>
      <c r="J243" s="71">
        <v>26.9</v>
      </c>
      <c r="K243" s="8">
        <v>23</v>
      </c>
      <c r="L243" s="8">
        <f>J243-K243</f>
        <v>3.8999999999999986</v>
      </c>
      <c r="M243" s="27">
        <f>F243*G243*H243*I243*L243</f>
        <v>118.22428612799993</v>
      </c>
      <c r="N243" s="27"/>
      <c r="O243" s="8">
        <v>0.27700000000000002</v>
      </c>
      <c r="P243" s="18">
        <f>M243*O243</f>
        <v>32.748127257455984</v>
      </c>
      <c r="Q243" s="8">
        <f>31*16</f>
        <v>496</v>
      </c>
      <c r="R243" s="40">
        <f>(P243*Q243)/1000</f>
        <v>16.243071119698168</v>
      </c>
    </row>
    <row r="244" spans="5:18" ht="14" x14ac:dyDescent="0.25">
      <c r="E244" s="44" t="s">
        <v>16</v>
      </c>
      <c r="F244" s="8">
        <v>0.6</v>
      </c>
      <c r="G244" s="8">
        <v>38.880000000000003</v>
      </c>
      <c r="H244" s="8">
        <v>1.0049999999999999</v>
      </c>
      <c r="I244" s="8">
        <v>1.2929999999999999</v>
      </c>
      <c r="J244" s="71">
        <v>31</v>
      </c>
      <c r="K244" s="8">
        <v>23</v>
      </c>
      <c r="L244" s="8">
        <f t="shared" ref="L244:L254" si="61">J244-K244</f>
        <v>8</v>
      </c>
      <c r="M244" s="27">
        <f t="shared" ref="M244:M254" si="62">F244*G244*H244*I244*L244</f>
        <v>242.51135615999993</v>
      </c>
      <c r="N244" s="27"/>
      <c r="O244" s="8">
        <v>0.27700000000000002</v>
      </c>
      <c r="P244" s="18">
        <f t="shared" ref="P244:P254" si="63">M244*O244</f>
        <v>67.175645656319986</v>
      </c>
      <c r="Q244" s="8">
        <f>28*16</f>
        <v>448</v>
      </c>
      <c r="R244" s="40">
        <f t="shared" ref="R244:R254" si="64">(P244*Q244)/1000</f>
        <v>30.094689254031351</v>
      </c>
    </row>
    <row r="245" spans="5:18" ht="14" x14ac:dyDescent="0.25">
      <c r="E245" s="44" t="s">
        <v>17</v>
      </c>
      <c r="F245" s="8">
        <v>0.6</v>
      </c>
      <c r="G245" s="8">
        <v>38.880000000000003</v>
      </c>
      <c r="H245" s="8">
        <v>1.0049999999999999</v>
      </c>
      <c r="I245" s="8">
        <v>1.2929999999999999</v>
      </c>
      <c r="J245" s="71">
        <v>34.6</v>
      </c>
      <c r="K245" s="8">
        <v>23</v>
      </c>
      <c r="L245" s="8">
        <f t="shared" si="61"/>
        <v>11.600000000000001</v>
      </c>
      <c r="M245" s="27">
        <f t="shared" si="62"/>
        <v>351.64146643199996</v>
      </c>
      <c r="N245" s="27"/>
      <c r="O245" s="8">
        <v>0.27700000000000002</v>
      </c>
      <c r="P245" s="18">
        <f t="shared" si="63"/>
        <v>97.404686201663992</v>
      </c>
      <c r="Q245" s="8">
        <f>31*16</f>
        <v>496</v>
      </c>
      <c r="R245" s="40">
        <f t="shared" si="64"/>
        <v>48.312724356025342</v>
      </c>
    </row>
    <row r="246" spans="5:18" ht="14" x14ac:dyDescent="0.25">
      <c r="E246" s="44" t="s">
        <v>18</v>
      </c>
      <c r="F246" s="8">
        <v>0.6</v>
      </c>
      <c r="G246" s="8">
        <v>38.880000000000003</v>
      </c>
      <c r="H246" s="8">
        <v>1.0049999999999999</v>
      </c>
      <c r="I246" s="8">
        <v>1.2929999999999999</v>
      </c>
      <c r="J246" s="71">
        <v>36.799999999999997</v>
      </c>
      <c r="K246" s="8">
        <v>23</v>
      </c>
      <c r="L246" s="8">
        <f t="shared" si="61"/>
        <v>13.799999999999997</v>
      </c>
      <c r="M246" s="27">
        <f t="shared" si="62"/>
        <v>418.33208937599983</v>
      </c>
      <c r="N246" s="27"/>
      <c r="O246" s="8">
        <v>0.27700000000000002</v>
      </c>
      <c r="P246" s="18">
        <f t="shared" si="63"/>
        <v>115.87798875715197</v>
      </c>
      <c r="Q246" s="8">
        <f>30*16</f>
        <v>480</v>
      </c>
      <c r="R246" s="40">
        <f t="shared" si="64"/>
        <v>55.621434603432945</v>
      </c>
    </row>
    <row r="247" spans="5:18" ht="14" x14ac:dyDescent="0.25">
      <c r="E247" s="44" t="s">
        <v>12</v>
      </c>
      <c r="F247" s="8">
        <v>0.6</v>
      </c>
      <c r="G247" s="8">
        <v>38.880000000000003</v>
      </c>
      <c r="H247" s="8">
        <v>1.0049999999999999</v>
      </c>
      <c r="I247" s="8">
        <v>1.2929999999999999</v>
      </c>
      <c r="J247" s="71">
        <v>35.9</v>
      </c>
      <c r="K247" s="8">
        <v>23</v>
      </c>
      <c r="L247" s="8">
        <f t="shared" si="61"/>
        <v>12.899999999999999</v>
      </c>
      <c r="M247" s="27">
        <f t="shared" si="62"/>
        <v>391.04956180799985</v>
      </c>
      <c r="N247" s="27"/>
      <c r="O247" s="8">
        <v>0.27700000000000002</v>
      </c>
      <c r="P247" s="18">
        <f t="shared" si="63"/>
        <v>108.32072862081597</v>
      </c>
      <c r="Q247" s="8">
        <f>31*16</f>
        <v>496</v>
      </c>
      <c r="R247" s="40">
        <f t="shared" si="64"/>
        <v>53.727081395924728</v>
      </c>
    </row>
    <row r="248" spans="5:18" ht="14" x14ac:dyDescent="0.25">
      <c r="E248" s="44" t="s">
        <v>13</v>
      </c>
      <c r="F248" s="8">
        <v>0.6</v>
      </c>
      <c r="G248" s="8">
        <v>38.880000000000003</v>
      </c>
      <c r="H248" s="8">
        <v>1.0049999999999999</v>
      </c>
      <c r="I248" s="8">
        <v>1.2929999999999999</v>
      </c>
      <c r="J248" s="71">
        <v>35.1</v>
      </c>
      <c r="K248" s="8">
        <v>23</v>
      </c>
      <c r="L248" s="8">
        <f t="shared" si="61"/>
        <v>12.100000000000001</v>
      </c>
      <c r="M248" s="27">
        <f t="shared" si="62"/>
        <v>366.79842619199997</v>
      </c>
      <c r="N248" s="27"/>
      <c r="O248" s="8">
        <v>0.27700000000000002</v>
      </c>
      <c r="P248" s="18">
        <f t="shared" si="63"/>
        <v>101.603164055184</v>
      </c>
      <c r="Q248" s="8">
        <f>30*16</f>
        <v>480</v>
      </c>
      <c r="R248" s="40">
        <f t="shared" si="64"/>
        <v>48.769518746488323</v>
      </c>
    </row>
    <row r="249" spans="5:18" ht="14" x14ac:dyDescent="0.25">
      <c r="E249" s="44" t="s">
        <v>24</v>
      </c>
      <c r="F249" s="8">
        <v>0.6</v>
      </c>
      <c r="G249" s="8">
        <v>38.880000000000003</v>
      </c>
      <c r="H249" s="8">
        <v>1.0049999999999999</v>
      </c>
      <c r="I249" s="8">
        <v>1.2929999999999999</v>
      </c>
      <c r="J249" s="41">
        <v>34</v>
      </c>
      <c r="K249" s="8">
        <v>23</v>
      </c>
      <c r="L249" s="8">
        <f t="shared" si="61"/>
        <v>11</v>
      </c>
      <c r="M249" s="27">
        <f t="shared" si="62"/>
        <v>333.45311471999992</v>
      </c>
      <c r="N249" s="27"/>
      <c r="O249" s="8">
        <v>0.27700000000000002</v>
      </c>
      <c r="P249" s="18">
        <f t="shared" si="63"/>
        <v>92.366512777439979</v>
      </c>
      <c r="Q249" s="8">
        <f>31*16</f>
        <v>496</v>
      </c>
      <c r="R249" s="40">
        <f t="shared" si="64"/>
        <v>45.813790337610236</v>
      </c>
    </row>
    <row r="250" spans="5:18" ht="14" x14ac:dyDescent="0.25">
      <c r="E250" s="44" t="s">
        <v>19</v>
      </c>
      <c r="F250" s="8">
        <v>0.6</v>
      </c>
      <c r="G250" s="8">
        <v>38.880000000000003</v>
      </c>
      <c r="H250" s="8">
        <v>1.0049999999999999</v>
      </c>
      <c r="I250" s="8">
        <v>1.2929999999999999</v>
      </c>
      <c r="J250" s="41">
        <v>33.9</v>
      </c>
      <c r="K250" s="8">
        <v>23</v>
      </c>
      <c r="L250" s="8">
        <f t="shared" si="61"/>
        <v>10.899999999999999</v>
      </c>
      <c r="M250" s="27">
        <f t="shared" si="62"/>
        <v>330.42172276799988</v>
      </c>
      <c r="N250" s="27"/>
      <c r="O250" s="8">
        <v>0.27700000000000002</v>
      </c>
      <c r="P250" s="18">
        <f t="shared" si="63"/>
        <v>91.52681720673597</v>
      </c>
      <c r="Q250" s="8">
        <f>31*16</f>
        <v>496</v>
      </c>
      <c r="R250" s="40">
        <f t="shared" si="64"/>
        <v>45.397301334541041</v>
      </c>
    </row>
    <row r="251" spans="5:18" ht="14" x14ac:dyDescent="0.25">
      <c r="E251" s="44" t="s">
        <v>20</v>
      </c>
      <c r="F251" s="8">
        <v>0.6</v>
      </c>
      <c r="G251" s="8">
        <v>38.880000000000003</v>
      </c>
      <c r="H251" s="8">
        <v>1.0049999999999999</v>
      </c>
      <c r="I251" s="8">
        <v>1.2929999999999999</v>
      </c>
      <c r="J251" s="41">
        <v>34.1</v>
      </c>
      <c r="K251" s="8">
        <v>23</v>
      </c>
      <c r="L251" s="8">
        <f t="shared" si="61"/>
        <v>11.100000000000001</v>
      </c>
      <c r="M251" s="27">
        <f t="shared" si="62"/>
        <v>336.48450667199995</v>
      </c>
      <c r="N251" s="27"/>
      <c r="O251" s="8">
        <v>0.27700000000000002</v>
      </c>
      <c r="P251" s="18">
        <f t="shared" si="63"/>
        <v>93.206208348143988</v>
      </c>
      <c r="Q251" s="8">
        <f>30*16</f>
        <v>480</v>
      </c>
      <c r="R251" s="40">
        <f t="shared" si="64"/>
        <v>44.738980007109113</v>
      </c>
    </row>
    <row r="252" spans="5:18" ht="14" x14ac:dyDescent="0.25">
      <c r="E252" s="44" t="s">
        <v>21</v>
      </c>
      <c r="F252" s="8">
        <v>0.6</v>
      </c>
      <c r="G252" s="8">
        <v>38.880000000000003</v>
      </c>
      <c r="H252" s="8">
        <v>1.0049999999999999</v>
      </c>
      <c r="I252" s="8">
        <v>1.2929999999999999</v>
      </c>
      <c r="J252" s="41">
        <v>33.799999999999997</v>
      </c>
      <c r="K252" s="8">
        <v>23</v>
      </c>
      <c r="L252" s="8">
        <f t="shared" si="61"/>
        <v>10.799999999999997</v>
      </c>
      <c r="M252" s="27">
        <f t="shared" si="62"/>
        <v>327.39033081599985</v>
      </c>
      <c r="N252" s="27"/>
      <c r="O252" s="8">
        <v>0.27700000000000002</v>
      </c>
      <c r="P252" s="18">
        <f t="shared" si="63"/>
        <v>90.687121636031961</v>
      </c>
      <c r="Q252" s="8">
        <f>31*16</f>
        <v>496</v>
      </c>
      <c r="R252" s="40">
        <f t="shared" si="64"/>
        <v>44.980812331471853</v>
      </c>
    </row>
    <row r="253" spans="5:18" ht="14" x14ac:dyDescent="0.25">
      <c r="E253" s="44" t="s">
        <v>22</v>
      </c>
      <c r="F253" s="8">
        <v>0.6</v>
      </c>
      <c r="G253" s="8">
        <v>38.880000000000003</v>
      </c>
      <c r="H253" s="8">
        <v>1.0049999999999999</v>
      </c>
      <c r="I253" s="8">
        <v>1.2929999999999999</v>
      </c>
      <c r="J253" s="41">
        <v>31.2</v>
      </c>
      <c r="K253" s="8">
        <v>23</v>
      </c>
      <c r="L253" s="8">
        <f t="shared" si="61"/>
        <v>8.1999999999999993</v>
      </c>
      <c r="M253" s="27">
        <f t="shared" si="62"/>
        <v>248.57414006399992</v>
      </c>
      <c r="N253" s="27"/>
      <c r="O253" s="8">
        <v>0.27700000000000002</v>
      </c>
      <c r="P253" s="18">
        <f t="shared" si="63"/>
        <v>68.85503679772799</v>
      </c>
      <c r="Q253" s="8">
        <f>30*16</f>
        <v>480</v>
      </c>
      <c r="R253" s="40">
        <f t="shared" si="64"/>
        <v>33.050417662909439</v>
      </c>
    </row>
    <row r="254" spans="5:18" ht="14" x14ac:dyDescent="0.25">
      <c r="E254" s="44" t="s">
        <v>23</v>
      </c>
      <c r="F254" s="8">
        <v>0.6</v>
      </c>
      <c r="G254" s="8">
        <v>38.880000000000003</v>
      </c>
      <c r="H254" s="8">
        <v>1.0049999999999999</v>
      </c>
      <c r="I254" s="8">
        <v>1.2929999999999999</v>
      </c>
      <c r="J254" s="41">
        <v>28</v>
      </c>
      <c r="K254" s="8">
        <v>23</v>
      </c>
      <c r="L254" s="8">
        <f t="shared" si="61"/>
        <v>5</v>
      </c>
      <c r="M254" s="27">
        <f t="shared" si="62"/>
        <v>151.56959759999995</v>
      </c>
      <c r="N254" s="27"/>
      <c r="O254" s="8">
        <v>0.27700000000000002</v>
      </c>
      <c r="P254" s="18">
        <f t="shared" si="63"/>
        <v>41.984778535199993</v>
      </c>
      <c r="Q254" s="8">
        <f>31*16</f>
        <v>496</v>
      </c>
      <c r="R254" s="40">
        <f t="shared" si="64"/>
        <v>20.8244501534592</v>
      </c>
    </row>
    <row r="255" spans="5:18" ht="15" x14ac:dyDescent="0.4">
      <c r="E255" s="314" t="s">
        <v>88</v>
      </c>
      <c r="F255" s="315"/>
      <c r="G255" s="315"/>
      <c r="H255" s="315"/>
      <c r="I255" s="315"/>
      <c r="J255" s="315"/>
      <c r="K255" s="315"/>
      <c r="L255" s="315"/>
      <c r="M255" s="315"/>
      <c r="N255" s="315"/>
      <c r="O255" s="315"/>
      <c r="P255" s="315"/>
      <c r="Q255" s="315"/>
      <c r="R255" s="84">
        <f>SUM(R243:R254)</f>
        <v>487.57427130270173</v>
      </c>
    </row>
    <row r="256" spans="5:18" ht="14" x14ac:dyDescent="0.25">
      <c r="E256" s="44" t="s">
        <v>15</v>
      </c>
      <c r="F256" s="8">
        <v>0.6</v>
      </c>
      <c r="G256" s="8">
        <v>38.880000000000003</v>
      </c>
      <c r="H256" s="8">
        <v>1.0049999999999999</v>
      </c>
      <c r="I256" s="8">
        <v>1.2929999999999999</v>
      </c>
      <c r="J256" s="71">
        <v>26.9</v>
      </c>
      <c r="K256" s="8">
        <v>24</v>
      </c>
      <c r="L256" s="8">
        <f>J256-K256</f>
        <v>2.8999999999999986</v>
      </c>
      <c r="M256" s="27">
        <f>F256*G256*H256*I256*L256</f>
        <v>87.910366607999933</v>
      </c>
      <c r="N256" s="27"/>
      <c r="O256" s="8">
        <v>0.27700000000000002</v>
      </c>
      <c r="P256" s="18">
        <f>M256*O256</f>
        <v>24.351171550415984</v>
      </c>
      <c r="Q256" s="8">
        <f>31*16</f>
        <v>496</v>
      </c>
      <c r="R256" s="40">
        <f>(P256*Q256)/1000</f>
        <v>12.078181089006328</v>
      </c>
    </row>
    <row r="257" spans="5:18" ht="14" x14ac:dyDescent="0.25">
      <c r="E257" s="44" t="s">
        <v>16</v>
      </c>
      <c r="F257" s="8">
        <v>0.6</v>
      </c>
      <c r="G257" s="8">
        <v>38.880000000000003</v>
      </c>
      <c r="H257" s="8">
        <v>1.0049999999999999</v>
      </c>
      <c r="I257" s="8">
        <v>1.2929999999999999</v>
      </c>
      <c r="J257" s="71">
        <v>31</v>
      </c>
      <c r="K257" s="8">
        <v>24</v>
      </c>
      <c r="L257" s="8">
        <f t="shared" ref="L257:L267" si="65">J257-K257</f>
        <v>7</v>
      </c>
      <c r="M257" s="27">
        <f t="shared" ref="M257:M267" si="66">F257*G257*H257*I257*L257</f>
        <v>212.19743663999995</v>
      </c>
      <c r="N257" s="27"/>
      <c r="O257" s="8">
        <v>0.27700000000000002</v>
      </c>
      <c r="P257" s="18">
        <f t="shared" ref="P257:P267" si="67">M257*O257</f>
        <v>58.778689949279993</v>
      </c>
      <c r="Q257" s="8">
        <f>28*16</f>
        <v>448</v>
      </c>
      <c r="R257" s="40">
        <f t="shared" ref="R257:R267" si="68">(P257*Q257)/1000</f>
        <v>26.33285309727744</v>
      </c>
    </row>
    <row r="258" spans="5:18" ht="14" x14ac:dyDescent="0.25">
      <c r="E258" s="44" t="s">
        <v>17</v>
      </c>
      <c r="F258" s="8">
        <v>0.6</v>
      </c>
      <c r="G258" s="8">
        <v>38.880000000000003</v>
      </c>
      <c r="H258" s="8">
        <v>1.0049999999999999</v>
      </c>
      <c r="I258" s="8">
        <v>1.2929999999999999</v>
      </c>
      <c r="J258" s="71">
        <v>34.6</v>
      </c>
      <c r="K258" s="8">
        <v>24</v>
      </c>
      <c r="L258" s="8">
        <f t="shared" si="65"/>
        <v>10.600000000000001</v>
      </c>
      <c r="M258" s="27">
        <f t="shared" si="66"/>
        <v>321.32754691199995</v>
      </c>
      <c r="N258" s="27"/>
      <c r="O258" s="8">
        <v>0.27700000000000002</v>
      </c>
      <c r="P258" s="18">
        <f t="shared" si="67"/>
        <v>89.007730494623999</v>
      </c>
      <c r="Q258" s="8">
        <f>31*16</f>
        <v>496</v>
      </c>
      <c r="R258" s="40">
        <f t="shared" si="68"/>
        <v>44.147834325333505</v>
      </c>
    </row>
    <row r="259" spans="5:18" ht="14" x14ac:dyDescent="0.25">
      <c r="E259" s="44" t="s">
        <v>18</v>
      </c>
      <c r="F259" s="8">
        <v>0.6</v>
      </c>
      <c r="G259" s="8">
        <v>38.880000000000003</v>
      </c>
      <c r="H259" s="8">
        <v>1.0049999999999999</v>
      </c>
      <c r="I259" s="8">
        <v>1.2929999999999999</v>
      </c>
      <c r="J259" s="71">
        <v>36.799999999999997</v>
      </c>
      <c r="K259" s="8">
        <v>24</v>
      </c>
      <c r="L259" s="8">
        <f t="shared" si="65"/>
        <v>12.799999999999997</v>
      </c>
      <c r="M259" s="27">
        <f t="shared" si="66"/>
        <v>388.01816985599982</v>
      </c>
      <c r="N259" s="27"/>
      <c r="O259" s="8">
        <v>0.27700000000000002</v>
      </c>
      <c r="P259" s="18">
        <f t="shared" si="67"/>
        <v>107.48103305011196</v>
      </c>
      <c r="Q259" s="8">
        <f>30*16</f>
        <v>480</v>
      </c>
      <c r="R259" s="40">
        <f t="shared" si="68"/>
        <v>51.590895864053735</v>
      </c>
    </row>
    <row r="260" spans="5:18" ht="14" x14ac:dyDescent="0.25">
      <c r="E260" s="44" t="s">
        <v>12</v>
      </c>
      <c r="F260" s="8">
        <v>0.6</v>
      </c>
      <c r="G260" s="8">
        <v>38.880000000000003</v>
      </c>
      <c r="H260" s="8">
        <v>1.0049999999999999</v>
      </c>
      <c r="I260" s="8">
        <v>1.2929999999999999</v>
      </c>
      <c r="J260" s="71">
        <v>35.9</v>
      </c>
      <c r="K260" s="8">
        <v>24</v>
      </c>
      <c r="L260" s="8">
        <f t="shared" si="65"/>
        <v>11.899999999999999</v>
      </c>
      <c r="M260" s="27">
        <f t="shared" si="66"/>
        <v>360.73564228799984</v>
      </c>
      <c r="N260" s="27"/>
      <c r="O260" s="8">
        <v>0.27700000000000002</v>
      </c>
      <c r="P260" s="18">
        <f t="shared" si="67"/>
        <v>99.923772913775963</v>
      </c>
      <c r="Q260" s="8">
        <f>31*16</f>
        <v>496</v>
      </c>
      <c r="R260" s="40">
        <f t="shared" si="68"/>
        <v>49.562191365232877</v>
      </c>
    </row>
    <row r="261" spans="5:18" ht="14" x14ac:dyDescent="0.25">
      <c r="E261" s="44" t="s">
        <v>13</v>
      </c>
      <c r="F261" s="8">
        <v>0.6</v>
      </c>
      <c r="G261" s="8">
        <v>38.880000000000003</v>
      </c>
      <c r="H261" s="8">
        <v>1.0049999999999999</v>
      </c>
      <c r="I261" s="8">
        <v>1.2929999999999999</v>
      </c>
      <c r="J261" s="71">
        <v>35.1</v>
      </c>
      <c r="K261" s="8">
        <v>24</v>
      </c>
      <c r="L261" s="8">
        <f t="shared" si="65"/>
        <v>11.100000000000001</v>
      </c>
      <c r="M261" s="27">
        <f t="shared" si="66"/>
        <v>336.48450667199995</v>
      </c>
      <c r="N261" s="27"/>
      <c r="O261" s="8">
        <v>0.27700000000000002</v>
      </c>
      <c r="P261" s="18">
        <f t="shared" si="67"/>
        <v>93.206208348143988</v>
      </c>
      <c r="Q261" s="8">
        <f>30*16</f>
        <v>480</v>
      </c>
      <c r="R261" s="40">
        <f t="shared" si="68"/>
        <v>44.738980007109113</v>
      </c>
    </row>
    <row r="262" spans="5:18" ht="14" x14ac:dyDescent="0.25">
      <c r="E262" s="44" t="s">
        <v>24</v>
      </c>
      <c r="F262" s="8">
        <v>0.6</v>
      </c>
      <c r="G262" s="8">
        <v>38.880000000000003</v>
      </c>
      <c r="H262" s="8">
        <v>1.0049999999999999</v>
      </c>
      <c r="I262" s="8">
        <v>1.2929999999999999</v>
      </c>
      <c r="J262" s="41">
        <v>34</v>
      </c>
      <c r="K262" s="8">
        <v>24</v>
      </c>
      <c r="L262" s="8">
        <f t="shared" si="65"/>
        <v>10</v>
      </c>
      <c r="M262" s="27">
        <f t="shared" si="66"/>
        <v>303.1391951999999</v>
      </c>
      <c r="N262" s="27"/>
      <c r="O262" s="8">
        <v>0.27700000000000002</v>
      </c>
      <c r="P262" s="18">
        <f t="shared" si="67"/>
        <v>83.969557070399986</v>
      </c>
      <c r="Q262" s="8">
        <f>31*16</f>
        <v>496</v>
      </c>
      <c r="R262" s="40">
        <f t="shared" si="68"/>
        <v>41.648900306918399</v>
      </c>
    </row>
    <row r="263" spans="5:18" ht="14" x14ac:dyDescent="0.25">
      <c r="E263" s="44" t="s">
        <v>19</v>
      </c>
      <c r="F263" s="8">
        <v>0.6</v>
      </c>
      <c r="G263" s="8">
        <v>38.880000000000003</v>
      </c>
      <c r="H263" s="8">
        <v>1.0049999999999999</v>
      </c>
      <c r="I263" s="8">
        <v>1.2929999999999999</v>
      </c>
      <c r="J263" s="41">
        <v>33.9</v>
      </c>
      <c r="K263" s="8">
        <v>24</v>
      </c>
      <c r="L263" s="8">
        <f t="shared" si="65"/>
        <v>9.8999999999999986</v>
      </c>
      <c r="M263" s="27">
        <f t="shared" si="66"/>
        <v>300.10780324799987</v>
      </c>
      <c r="N263" s="27"/>
      <c r="O263" s="8">
        <v>0.27700000000000002</v>
      </c>
      <c r="P263" s="18">
        <f t="shared" si="67"/>
        <v>83.129861499695977</v>
      </c>
      <c r="Q263" s="8">
        <f>31*16</f>
        <v>496</v>
      </c>
      <c r="R263" s="40">
        <f t="shared" si="68"/>
        <v>41.232411303849204</v>
      </c>
    </row>
    <row r="264" spans="5:18" ht="14" x14ac:dyDescent="0.25">
      <c r="E264" s="44" t="s">
        <v>20</v>
      </c>
      <c r="F264" s="8">
        <v>0.6</v>
      </c>
      <c r="G264" s="8">
        <v>38.880000000000003</v>
      </c>
      <c r="H264" s="8">
        <v>1.0049999999999999</v>
      </c>
      <c r="I264" s="8">
        <v>1.2929999999999999</v>
      </c>
      <c r="J264" s="41">
        <v>34.1</v>
      </c>
      <c r="K264" s="8">
        <v>24</v>
      </c>
      <c r="L264" s="8">
        <f t="shared" si="65"/>
        <v>10.100000000000001</v>
      </c>
      <c r="M264" s="27">
        <f t="shared" si="66"/>
        <v>306.17058715199994</v>
      </c>
      <c r="N264" s="27"/>
      <c r="O264" s="8">
        <v>0.27700000000000002</v>
      </c>
      <c r="P264" s="18">
        <f t="shared" si="67"/>
        <v>84.809252641103996</v>
      </c>
      <c r="Q264" s="8">
        <f>30*16</f>
        <v>480</v>
      </c>
      <c r="R264" s="40">
        <f t="shared" si="68"/>
        <v>40.708441267729917</v>
      </c>
    </row>
    <row r="265" spans="5:18" ht="14" x14ac:dyDescent="0.25">
      <c r="E265" s="44" t="s">
        <v>21</v>
      </c>
      <c r="F265" s="8">
        <v>0.6</v>
      </c>
      <c r="G265" s="8">
        <v>38.880000000000003</v>
      </c>
      <c r="H265" s="8">
        <v>1.0049999999999999</v>
      </c>
      <c r="I265" s="8">
        <v>1.2929999999999999</v>
      </c>
      <c r="J265" s="41">
        <v>33.799999999999997</v>
      </c>
      <c r="K265" s="8">
        <v>24</v>
      </c>
      <c r="L265" s="8">
        <f t="shared" si="65"/>
        <v>9.7999999999999972</v>
      </c>
      <c r="M265" s="27">
        <f t="shared" si="66"/>
        <v>297.07641129599983</v>
      </c>
      <c r="N265" s="27"/>
      <c r="O265" s="8">
        <v>0.27700000000000002</v>
      </c>
      <c r="P265" s="18">
        <f t="shared" si="67"/>
        <v>82.290165928991968</v>
      </c>
      <c r="Q265" s="8">
        <f>31*16</f>
        <v>496</v>
      </c>
      <c r="R265" s="40">
        <f t="shared" si="68"/>
        <v>40.815922300780016</v>
      </c>
    </row>
    <row r="266" spans="5:18" ht="14" x14ac:dyDescent="0.25">
      <c r="E266" s="44" t="s">
        <v>22</v>
      </c>
      <c r="F266" s="8">
        <v>0.6</v>
      </c>
      <c r="G266" s="8">
        <v>38.880000000000003</v>
      </c>
      <c r="H266" s="8">
        <v>1.0049999999999999</v>
      </c>
      <c r="I266" s="8">
        <v>1.2929999999999999</v>
      </c>
      <c r="J266" s="41">
        <v>31.2</v>
      </c>
      <c r="K266" s="8">
        <v>24</v>
      </c>
      <c r="L266" s="8">
        <f t="shared" si="65"/>
        <v>7.1999999999999993</v>
      </c>
      <c r="M266" s="27">
        <f t="shared" si="66"/>
        <v>218.26022054399991</v>
      </c>
      <c r="N266" s="27"/>
      <c r="O266" s="8">
        <v>0.27700000000000002</v>
      </c>
      <c r="P266" s="18">
        <f t="shared" si="67"/>
        <v>60.458081090687976</v>
      </c>
      <c r="Q266" s="8">
        <f>30*16</f>
        <v>480</v>
      </c>
      <c r="R266" s="40">
        <f t="shared" si="68"/>
        <v>29.019878923530229</v>
      </c>
    </row>
    <row r="267" spans="5:18" ht="14" x14ac:dyDescent="0.25">
      <c r="E267" s="44" t="s">
        <v>23</v>
      </c>
      <c r="F267" s="8">
        <v>0.6</v>
      </c>
      <c r="G267" s="8">
        <v>38.880000000000003</v>
      </c>
      <c r="H267" s="8">
        <v>1.0049999999999999</v>
      </c>
      <c r="I267" s="8">
        <v>1.2929999999999999</v>
      </c>
      <c r="J267" s="41">
        <v>28</v>
      </c>
      <c r="K267" s="8">
        <v>24</v>
      </c>
      <c r="L267" s="8">
        <f t="shared" si="65"/>
        <v>4</v>
      </c>
      <c r="M267" s="27">
        <f t="shared" si="66"/>
        <v>121.25567807999997</v>
      </c>
      <c r="N267" s="27"/>
      <c r="O267" s="8">
        <v>0.27700000000000002</v>
      </c>
      <c r="P267" s="18">
        <f t="shared" si="67"/>
        <v>33.587822828159993</v>
      </c>
      <c r="Q267" s="8">
        <f>31*16</f>
        <v>496</v>
      </c>
      <c r="R267" s="40">
        <f t="shared" si="68"/>
        <v>16.659560122767356</v>
      </c>
    </row>
    <row r="268" spans="5:18" ht="15" x14ac:dyDescent="0.4">
      <c r="E268" s="314" t="s">
        <v>90</v>
      </c>
      <c r="F268" s="315"/>
      <c r="G268" s="315"/>
      <c r="H268" s="315"/>
      <c r="I268" s="315"/>
      <c r="J268" s="315"/>
      <c r="K268" s="315"/>
      <c r="L268" s="315"/>
      <c r="M268" s="315"/>
      <c r="N268" s="315"/>
      <c r="O268" s="315"/>
      <c r="P268" s="315"/>
      <c r="Q268" s="315"/>
      <c r="R268" s="84">
        <f>SUM(R256:R267)</f>
        <v>438.53604997358815</v>
      </c>
    </row>
    <row r="269" spans="5:18" ht="14" x14ac:dyDescent="0.25">
      <c r="E269" s="44" t="s">
        <v>15</v>
      </c>
      <c r="F269" s="8">
        <v>0.6</v>
      </c>
      <c r="G269" s="8">
        <v>38.880000000000003</v>
      </c>
      <c r="H269" s="8">
        <v>1.0049999999999999</v>
      </c>
      <c r="I269" s="8">
        <v>1.2929999999999999</v>
      </c>
      <c r="J269" s="71">
        <v>26.9</v>
      </c>
      <c r="K269" s="8">
        <v>25</v>
      </c>
      <c r="L269" s="8">
        <f>J269-K269</f>
        <v>1.8999999999999986</v>
      </c>
      <c r="M269" s="27">
        <f>F269*G269*H269*I269*L269</f>
        <v>57.596447087999941</v>
      </c>
      <c r="N269" s="27"/>
      <c r="O269" s="8">
        <v>0.27700000000000002</v>
      </c>
      <c r="P269" s="18">
        <f>M269*O269</f>
        <v>15.954215843375986</v>
      </c>
      <c r="Q269" s="8">
        <f>31*16</f>
        <v>496</v>
      </c>
      <c r="R269" s="40">
        <f>(P269*Q269)/1000</f>
        <v>7.9132910583144884</v>
      </c>
    </row>
    <row r="270" spans="5:18" ht="14" x14ac:dyDescent="0.25">
      <c r="E270" s="44" t="s">
        <v>16</v>
      </c>
      <c r="F270" s="8">
        <v>0.6</v>
      </c>
      <c r="G270" s="8">
        <v>38.880000000000003</v>
      </c>
      <c r="H270" s="8">
        <v>1.0049999999999999</v>
      </c>
      <c r="I270" s="8">
        <v>1.2929999999999999</v>
      </c>
      <c r="J270" s="71">
        <v>31</v>
      </c>
      <c r="K270" s="8">
        <v>25</v>
      </c>
      <c r="L270" s="8">
        <f t="shared" ref="L270:L280" si="69">J270-K270</f>
        <v>6</v>
      </c>
      <c r="M270" s="27">
        <f t="shared" ref="M270:M280" si="70">F270*G270*H270*I270*L270</f>
        <v>181.88351711999996</v>
      </c>
      <c r="N270" s="27"/>
      <c r="O270" s="8">
        <v>0.27700000000000002</v>
      </c>
      <c r="P270" s="18">
        <f t="shared" ref="P270:P280" si="71">M270*O270</f>
        <v>50.381734242239993</v>
      </c>
      <c r="Q270" s="8">
        <f>28*16</f>
        <v>448</v>
      </c>
      <c r="R270" s="40">
        <f t="shared" ref="R270:R280" si="72">(P270*Q270)/1000</f>
        <v>22.571016940523517</v>
      </c>
    </row>
    <row r="271" spans="5:18" ht="14" x14ac:dyDescent="0.25">
      <c r="E271" s="44" t="s">
        <v>17</v>
      </c>
      <c r="F271" s="8">
        <v>0.6</v>
      </c>
      <c r="G271" s="8">
        <v>38.880000000000003</v>
      </c>
      <c r="H271" s="8">
        <v>1.0049999999999999</v>
      </c>
      <c r="I271" s="8">
        <v>1.2929999999999999</v>
      </c>
      <c r="J271" s="71">
        <v>34.6</v>
      </c>
      <c r="K271" s="8">
        <v>25</v>
      </c>
      <c r="L271" s="8">
        <f t="shared" si="69"/>
        <v>9.6000000000000014</v>
      </c>
      <c r="M271" s="27">
        <f t="shared" si="70"/>
        <v>291.01362739199999</v>
      </c>
      <c r="N271" s="27"/>
      <c r="O271" s="8">
        <v>0.27700000000000002</v>
      </c>
      <c r="P271" s="18">
        <f t="shared" si="71"/>
        <v>80.610774787584006</v>
      </c>
      <c r="Q271" s="8">
        <f>31*16</f>
        <v>496</v>
      </c>
      <c r="R271" s="40">
        <f t="shared" si="72"/>
        <v>39.982944294641669</v>
      </c>
    </row>
    <row r="272" spans="5:18" ht="14" x14ac:dyDescent="0.25">
      <c r="E272" s="44" t="s">
        <v>18</v>
      </c>
      <c r="F272" s="8">
        <v>0.6</v>
      </c>
      <c r="G272" s="8">
        <v>38.880000000000003</v>
      </c>
      <c r="H272" s="8">
        <v>1.0049999999999999</v>
      </c>
      <c r="I272" s="8">
        <v>1.2929999999999999</v>
      </c>
      <c r="J272" s="71">
        <v>36.799999999999997</v>
      </c>
      <c r="K272" s="8">
        <v>25</v>
      </c>
      <c r="L272" s="8">
        <f t="shared" si="69"/>
        <v>11.799999999999997</v>
      </c>
      <c r="M272" s="27">
        <f t="shared" si="70"/>
        <v>357.7042503359998</v>
      </c>
      <c r="N272" s="27"/>
      <c r="O272" s="8">
        <v>0.27700000000000002</v>
      </c>
      <c r="P272" s="18">
        <f t="shared" si="71"/>
        <v>99.084077343071954</v>
      </c>
      <c r="Q272" s="8">
        <f>30*16</f>
        <v>480</v>
      </c>
      <c r="R272" s="40">
        <f t="shared" si="72"/>
        <v>47.560357124674539</v>
      </c>
    </row>
    <row r="273" spans="5:18" ht="14" x14ac:dyDescent="0.25">
      <c r="E273" s="44" t="s">
        <v>12</v>
      </c>
      <c r="F273" s="8">
        <v>0.6</v>
      </c>
      <c r="G273" s="8">
        <v>38.880000000000003</v>
      </c>
      <c r="H273" s="8">
        <v>1.0049999999999999</v>
      </c>
      <c r="I273" s="8">
        <v>1.2929999999999999</v>
      </c>
      <c r="J273" s="71">
        <v>35.9</v>
      </c>
      <c r="K273" s="8">
        <v>25</v>
      </c>
      <c r="L273" s="8">
        <f t="shared" si="69"/>
        <v>10.899999999999999</v>
      </c>
      <c r="M273" s="27">
        <f t="shared" si="70"/>
        <v>330.42172276799988</v>
      </c>
      <c r="N273" s="27"/>
      <c r="O273" s="8">
        <v>0.27700000000000002</v>
      </c>
      <c r="P273" s="18">
        <f t="shared" si="71"/>
        <v>91.52681720673597</v>
      </c>
      <c r="Q273" s="8">
        <f>31*16</f>
        <v>496</v>
      </c>
      <c r="R273" s="40">
        <f t="shared" si="72"/>
        <v>45.397301334541041</v>
      </c>
    </row>
    <row r="274" spans="5:18" ht="14" x14ac:dyDescent="0.25">
      <c r="E274" s="44" t="s">
        <v>13</v>
      </c>
      <c r="F274" s="8">
        <v>0.6</v>
      </c>
      <c r="G274" s="8">
        <v>38.880000000000003</v>
      </c>
      <c r="H274" s="8">
        <v>1.0049999999999999</v>
      </c>
      <c r="I274" s="8">
        <v>1.2929999999999999</v>
      </c>
      <c r="J274" s="71">
        <v>35.1</v>
      </c>
      <c r="K274" s="8">
        <v>25</v>
      </c>
      <c r="L274" s="8">
        <f t="shared" si="69"/>
        <v>10.100000000000001</v>
      </c>
      <c r="M274" s="27">
        <f t="shared" si="70"/>
        <v>306.17058715199994</v>
      </c>
      <c r="N274" s="27"/>
      <c r="O274" s="8">
        <v>0.27700000000000002</v>
      </c>
      <c r="P274" s="18">
        <f t="shared" si="71"/>
        <v>84.809252641103996</v>
      </c>
      <c r="Q274" s="8">
        <f>30*16</f>
        <v>480</v>
      </c>
      <c r="R274" s="40">
        <f t="shared" si="72"/>
        <v>40.708441267729917</v>
      </c>
    </row>
    <row r="275" spans="5:18" ht="14" x14ac:dyDescent="0.25">
      <c r="E275" s="44" t="s">
        <v>24</v>
      </c>
      <c r="F275" s="8">
        <v>0.6</v>
      </c>
      <c r="G275" s="8">
        <v>38.880000000000003</v>
      </c>
      <c r="H275" s="8">
        <v>1.0049999999999999</v>
      </c>
      <c r="I275" s="8">
        <v>1.2929999999999999</v>
      </c>
      <c r="J275" s="41">
        <v>34</v>
      </c>
      <c r="K275" s="8">
        <v>25</v>
      </c>
      <c r="L275" s="8">
        <f t="shared" si="69"/>
        <v>9</v>
      </c>
      <c r="M275" s="27">
        <f t="shared" si="70"/>
        <v>272.82527567999995</v>
      </c>
      <c r="N275" s="27"/>
      <c r="O275" s="8">
        <v>0.27700000000000002</v>
      </c>
      <c r="P275" s="18">
        <f t="shared" si="71"/>
        <v>75.572601363359993</v>
      </c>
      <c r="Q275" s="8">
        <f>31*16</f>
        <v>496</v>
      </c>
      <c r="R275" s="40">
        <f t="shared" si="72"/>
        <v>37.484010276226563</v>
      </c>
    </row>
    <row r="276" spans="5:18" ht="14" x14ac:dyDescent="0.25">
      <c r="E276" s="44" t="s">
        <v>19</v>
      </c>
      <c r="F276" s="8">
        <v>0.6</v>
      </c>
      <c r="G276" s="8">
        <v>38.880000000000003</v>
      </c>
      <c r="H276" s="8">
        <v>1.0049999999999999</v>
      </c>
      <c r="I276" s="8">
        <v>1.2929999999999999</v>
      </c>
      <c r="J276" s="41">
        <v>33.9</v>
      </c>
      <c r="K276" s="8">
        <v>25</v>
      </c>
      <c r="L276" s="8">
        <f t="shared" si="69"/>
        <v>8.8999999999999986</v>
      </c>
      <c r="M276" s="27">
        <f t="shared" si="70"/>
        <v>269.79388372799991</v>
      </c>
      <c r="N276" s="27"/>
      <c r="O276" s="8">
        <v>0.27700000000000002</v>
      </c>
      <c r="P276" s="18">
        <f t="shared" si="71"/>
        <v>74.732905792655984</v>
      </c>
      <c r="Q276" s="8">
        <f>31*16</f>
        <v>496</v>
      </c>
      <c r="R276" s="40">
        <f t="shared" si="72"/>
        <v>37.067521273157368</v>
      </c>
    </row>
    <row r="277" spans="5:18" ht="14" x14ac:dyDescent="0.25">
      <c r="E277" s="44" t="s">
        <v>20</v>
      </c>
      <c r="F277" s="8">
        <v>0.6</v>
      </c>
      <c r="G277" s="8">
        <v>38.880000000000003</v>
      </c>
      <c r="H277" s="8">
        <v>1.0049999999999999</v>
      </c>
      <c r="I277" s="8">
        <v>1.2929999999999999</v>
      </c>
      <c r="J277" s="41">
        <v>34.1</v>
      </c>
      <c r="K277" s="8">
        <v>25</v>
      </c>
      <c r="L277" s="8">
        <f t="shared" si="69"/>
        <v>9.1000000000000014</v>
      </c>
      <c r="M277" s="27">
        <f t="shared" si="70"/>
        <v>275.85666763199998</v>
      </c>
      <c r="N277" s="27"/>
      <c r="O277" s="8">
        <v>0.27700000000000002</v>
      </c>
      <c r="P277" s="18">
        <f t="shared" si="71"/>
        <v>76.412296934064003</v>
      </c>
      <c r="Q277" s="8">
        <f>30*16</f>
        <v>480</v>
      </c>
      <c r="R277" s="40">
        <f t="shared" si="72"/>
        <v>36.677902528350721</v>
      </c>
    </row>
    <row r="278" spans="5:18" ht="14" x14ac:dyDescent="0.25">
      <c r="E278" s="44" t="s">
        <v>21</v>
      </c>
      <c r="F278" s="8">
        <v>0.6</v>
      </c>
      <c r="G278" s="8">
        <v>38.880000000000003</v>
      </c>
      <c r="H278" s="8">
        <v>1.0049999999999999</v>
      </c>
      <c r="I278" s="8">
        <v>1.2929999999999999</v>
      </c>
      <c r="J278" s="41">
        <v>33.799999999999997</v>
      </c>
      <c r="K278" s="8">
        <v>25</v>
      </c>
      <c r="L278" s="8">
        <f t="shared" si="69"/>
        <v>8.7999999999999972</v>
      </c>
      <c r="M278" s="27">
        <f t="shared" si="70"/>
        <v>266.76249177599982</v>
      </c>
      <c r="N278" s="27"/>
      <c r="O278" s="8">
        <v>0.27700000000000002</v>
      </c>
      <c r="P278" s="18">
        <f t="shared" si="71"/>
        <v>73.893210221951961</v>
      </c>
      <c r="Q278" s="8">
        <f>31*16</f>
        <v>496</v>
      </c>
      <c r="R278" s="40">
        <f t="shared" si="72"/>
        <v>36.651032270088173</v>
      </c>
    </row>
    <row r="279" spans="5:18" ht="14" x14ac:dyDescent="0.25">
      <c r="E279" s="44" t="s">
        <v>22</v>
      </c>
      <c r="F279" s="8">
        <v>0.6</v>
      </c>
      <c r="G279" s="8">
        <v>38.880000000000003</v>
      </c>
      <c r="H279" s="8">
        <v>1.0049999999999999</v>
      </c>
      <c r="I279" s="8">
        <v>1.2929999999999999</v>
      </c>
      <c r="J279" s="41">
        <v>31.2</v>
      </c>
      <c r="K279" s="8">
        <v>25</v>
      </c>
      <c r="L279" s="8">
        <f t="shared" si="69"/>
        <v>6.1999999999999993</v>
      </c>
      <c r="M279" s="27">
        <f t="shared" si="70"/>
        <v>187.94630102399992</v>
      </c>
      <c r="N279" s="27"/>
      <c r="O279" s="8">
        <v>0.27700000000000002</v>
      </c>
      <c r="P279" s="18">
        <f t="shared" si="71"/>
        <v>52.061125383647983</v>
      </c>
      <c r="Q279" s="8">
        <f>30*16</f>
        <v>480</v>
      </c>
      <c r="R279" s="40">
        <f t="shared" si="72"/>
        <v>24.989340184151033</v>
      </c>
    </row>
    <row r="280" spans="5:18" ht="14" x14ac:dyDescent="0.25">
      <c r="E280" s="44" t="s">
        <v>23</v>
      </c>
      <c r="F280" s="8">
        <v>0.6</v>
      </c>
      <c r="G280" s="8">
        <v>38.880000000000003</v>
      </c>
      <c r="H280" s="8">
        <v>1.0049999999999999</v>
      </c>
      <c r="I280" s="8">
        <v>1.2929999999999999</v>
      </c>
      <c r="J280" s="41">
        <v>28</v>
      </c>
      <c r="K280" s="8">
        <v>25</v>
      </c>
      <c r="L280" s="8">
        <f t="shared" si="69"/>
        <v>3</v>
      </c>
      <c r="M280" s="27">
        <f t="shared" si="70"/>
        <v>90.941758559999982</v>
      </c>
      <c r="N280" s="27"/>
      <c r="O280" s="8">
        <v>0.27700000000000002</v>
      </c>
      <c r="P280" s="18">
        <f t="shared" si="71"/>
        <v>25.190867121119997</v>
      </c>
      <c r="Q280" s="8">
        <f>31*16</f>
        <v>496</v>
      </c>
      <c r="R280" s="40">
        <f t="shared" si="72"/>
        <v>12.494670092075518</v>
      </c>
    </row>
    <row r="281" spans="5:18" ht="15" x14ac:dyDescent="0.4">
      <c r="E281" s="314" t="s">
        <v>91</v>
      </c>
      <c r="F281" s="315"/>
      <c r="G281" s="315"/>
      <c r="H281" s="315"/>
      <c r="I281" s="315"/>
      <c r="J281" s="315"/>
      <c r="K281" s="315"/>
      <c r="L281" s="315"/>
      <c r="M281" s="315"/>
      <c r="N281" s="315"/>
      <c r="O281" s="315"/>
      <c r="P281" s="315"/>
      <c r="Q281" s="315"/>
      <c r="R281" s="84">
        <f>SUM(R269:R280)</f>
        <v>389.49782864447462</v>
      </c>
    </row>
    <row r="282" spans="5:18" ht="14" x14ac:dyDescent="0.25">
      <c r="E282" s="44" t="s">
        <v>15</v>
      </c>
      <c r="F282" s="8">
        <v>0.6</v>
      </c>
      <c r="G282" s="8">
        <v>38.880000000000003</v>
      </c>
      <c r="H282" s="8">
        <v>1.0049999999999999</v>
      </c>
      <c r="I282" s="8">
        <v>1.2929999999999999</v>
      </c>
      <c r="J282" s="71">
        <v>26.9</v>
      </c>
      <c r="K282" s="8">
        <v>26</v>
      </c>
      <c r="L282" s="8">
        <f>J282-K282</f>
        <v>0.89999999999999858</v>
      </c>
      <c r="M282" s="27">
        <f>F282*G282*H282*I282*L282</f>
        <v>27.282527567999949</v>
      </c>
      <c r="N282" s="27"/>
      <c r="O282" s="8">
        <v>0.27700000000000002</v>
      </c>
      <c r="P282" s="18">
        <f>M282*O282</f>
        <v>7.5572601363359864</v>
      </c>
      <c r="Q282" s="8">
        <f>31*16</f>
        <v>496</v>
      </c>
      <c r="R282" s="40">
        <f>(P282*Q282)/1000</f>
        <v>3.7484010276226489</v>
      </c>
    </row>
    <row r="283" spans="5:18" ht="14" x14ac:dyDescent="0.25">
      <c r="E283" s="44" t="s">
        <v>16</v>
      </c>
      <c r="F283" s="8">
        <v>0.6</v>
      </c>
      <c r="G283" s="8">
        <v>38.880000000000003</v>
      </c>
      <c r="H283" s="8">
        <v>1.0049999999999999</v>
      </c>
      <c r="I283" s="8">
        <v>1.2929999999999999</v>
      </c>
      <c r="J283" s="71">
        <v>31</v>
      </c>
      <c r="K283" s="8">
        <v>26</v>
      </c>
      <c r="L283" s="8">
        <f t="shared" ref="L283:L293" si="73">J283-K283</f>
        <v>5</v>
      </c>
      <c r="M283" s="27">
        <f t="shared" ref="M283:M293" si="74">F283*G283*H283*I283*L283</f>
        <v>151.56959759999995</v>
      </c>
      <c r="N283" s="27"/>
      <c r="O283" s="8">
        <v>0.27700000000000002</v>
      </c>
      <c r="P283" s="18">
        <f t="shared" ref="P283:P293" si="75">M283*O283</f>
        <v>41.984778535199993</v>
      </c>
      <c r="Q283" s="8">
        <f>28*16</f>
        <v>448</v>
      </c>
      <c r="R283" s="40">
        <f t="shared" ref="R283:R293" si="76">(P283*Q283)/1000</f>
        <v>18.809180783769595</v>
      </c>
    </row>
    <row r="284" spans="5:18" ht="14" x14ac:dyDescent="0.25">
      <c r="E284" s="44" t="s">
        <v>17</v>
      </c>
      <c r="F284" s="8">
        <v>0.6</v>
      </c>
      <c r="G284" s="8">
        <v>38.880000000000003</v>
      </c>
      <c r="H284" s="8">
        <v>1.0049999999999999</v>
      </c>
      <c r="I284" s="8">
        <v>1.2929999999999999</v>
      </c>
      <c r="J284" s="71">
        <v>34.6</v>
      </c>
      <c r="K284" s="8">
        <v>26</v>
      </c>
      <c r="L284" s="8">
        <f t="shared" si="73"/>
        <v>8.6000000000000014</v>
      </c>
      <c r="M284" s="27">
        <f t="shared" si="74"/>
        <v>260.69970787199998</v>
      </c>
      <c r="N284" s="27"/>
      <c r="O284" s="8">
        <v>0.27700000000000002</v>
      </c>
      <c r="P284" s="18">
        <f t="shared" si="75"/>
        <v>72.213819080543999</v>
      </c>
      <c r="Q284" s="8">
        <f>31*16</f>
        <v>496</v>
      </c>
      <c r="R284" s="40">
        <f t="shared" si="76"/>
        <v>35.818054263949826</v>
      </c>
    </row>
    <row r="285" spans="5:18" ht="14" x14ac:dyDescent="0.25">
      <c r="E285" s="44" t="s">
        <v>18</v>
      </c>
      <c r="F285" s="8">
        <v>0.6</v>
      </c>
      <c r="G285" s="8">
        <v>38.880000000000003</v>
      </c>
      <c r="H285" s="8">
        <v>1.0049999999999999</v>
      </c>
      <c r="I285" s="8">
        <v>1.2929999999999999</v>
      </c>
      <c r="J285" s="71">
        <v>36.799999999999997</v>
      </c>
      <c r="K285" s="8">
        <v>26</v>
      </c>
      <c r="L285" s="8">
        <f t="shared" si="73"/>
        <v>10.799999999999997</v>
      </c>
      <c r="M285" s="27">
        <f t="shared" si="74"/>
        <v>327.39033081599985</v>
      </c>
      <c r="N285" s="27"/>
      <c r="O285" s="8">
        <v>0.27700000000000002</v>
      </c>
      <c r="P285" s="18">
        <f t="shared" si="75"/>
        <v>90.687121636031961</v>
      </c>
      <c r="Q285" s="8">
        <f>30*16</f>
        <v>480</v>
      </c>
      <c r="R285" s="40">
        <f t="shared" si="76"/>
        <v>43.529818385295343</v>
      </c>
    </row>
    <row r="286" spans="5:18" ht="14" x14ac:dyDescent="0.25">
      <c r="E286" s="44" t="s">
        <v>12</v>
      </c>
      <c r="F286" s="8">
        <v>0.6</v>
      </c>
      <c r="G286" s="8">
        <v>38.880000000000003</v>
      </c>
      <c r="H286" s="8">
        <v>1.0049999999999999</v>
      </c>
      <c r="I286" s="8">
        <v>1.2929999999999999</v>
      </c>
      <c r="J286" s="71">
        <v>35.9</v>
      </c>
      <c r="K286" s="8">
        <v>26</v>
      </c>
      <c r="L286" s="8">
        <f t="shared" si="73"/>
        <v>9.8999999999999986</v>
      </c>
      <c r="M286" s="27">
        <f t="shared" si="74"/>
        <v>300.10780324799987</v>
      </c>
      <c r="N286" s="27"/>
      <c r="O286" s="8">
        <v>0.27700000000000002</v>
      </c>
      <c r="P286" s="18">
        <f t="shared" si="75"/>
        <v>83.129861499695977</v>
      </c>
      <c r="Q286" s="8">
        <f>31*16</f>
        <v>496</v>
      </c>
      <c r="R286" s="40">
        <f t="shared" si="76"/>
        <v>41.232411303849204</v>
      </c>
    </row>
    <row r="287" spans="5:18" ht="14" x14ac:dyDescent="0.25">
      <c r="E287" s="44" t="s">
        <v>13</v>
      </c>
      <c r="F287" s="8">
        <v>0.6</v>
      </c>
      <c r="G287" s="8">
        <v>38.880000000000003</v>
      </c>
      <c r="H287" s="8">
        <v>1.0049999999999999</v>
      </c>
      <c r="I287" s="8">
        <v>1.2929999999999999</v>
      </c>
      <c r="J287" s="71">
        <v>35.1</v>
      </c>
      <c r="K287" s="8">
        <v>26</v>
      </c>
      <c r="L287" s="8">
        <f t="shared" si="73"/>
        <v>9.1000000000000014</v>
      </c>
      <c r="M287" s="27">
        <f t="shared" si="74"/>
        <v>275.85666763199998</v>
      </c>
      <c r="N287" s="27"/>
      <c r="O287" s="8">
        <v>0.27700000000000002</v>
      </c>
      <c r="P287" s="18">
        <f t="shared" si="75"/>
        <v>76.412296934064003</v>
      </c>
      <c r="Q287" s="8">
        <f>30*16</f>
        <v>480</v>
      </c>
      <c r="R287" s="40">
        <f t="shared" si="76"/>
        <v>36.677902528350721</v>
      </c>
    </row>
    <row r="288" spans="5:18" ht="14" x14ac:dyDescent="0.25">
      <c r="E288" s="44" t="s">
        <v>24</v>
      </c>
      <c r="F288" s="8">
        <v>0.6</v>
      </c>
      <c r="G288" s="8">
        <v>38.880000000000003</v>
      </c>
      <c r="H288" s="8">
        <v>1.0049999999999999</v>
      </c>
      <c r="I288" s="8">
        <v>1.2929999999999999</v>
      </c>
      <c r="J288" s="41">
        <v>34</v>
      </c>
      <c r="K288" s="8">
        <v>26</v>
      </c>
      <c r="L288" s="8">
        <f t="shared" si="73"/>
        <v>8</v>
      </c>
      <c r="M288" s="27">
        <f t="shared" si="74"/>
        <v>242.51135615999993</v>
      </c>
      <c r="N288" s="27"/>
      <c r="O288" s="8">
        <v>0.27700000000000002</v>
      </c>
      <c r="P288" s="18">
        <f t="shared" si="75"/>
        <v>67.175645656319986</v>
      </c>
      <c r="Q288" s="8">
        <f>31*16</f>
        <v>496</v>
      </c>
      <c r="R288" s="40">
        <f t="shared" si="76"/>
        <v>33.319120245534712</v>
      </c>
    </row>
    <row r="289" spans="5:18" ht="14" x14ac:dyDescent="0.25">
      <c r="E289" s="44" t="s">
        <v>19</v>
      </c>
      <c r="F289" s="8">
        <v>0.6</v>
      </c>
      <c r="G289" s="8">
        <v>38.880000000000003</v>
      </c>
      <c r="H289" s="8">
        <v>1.0049999999999999</v>
      </c>
      <c r="I289" s="8">
        <v>1.2929999999999999</v>
      </c>
      <c r="J289" s="41">
        <v>33.9</v>
      </c>
      <c r="K289" s="8">
        <v>26</v>
      </c>
      <c r="L289" s="8">
        <f t="shared" si="73"/>
        <v>7.8999999999999986</v>
      </c>
      <c r="M289" s="27">
        <f t="shared" si="74"/>
        <v>239.4799642079999</v>
      </c>
      <c r="N289" s="27"/>
      <c r="O289" s="8">
        <v>0.27700000000000002</v>
      </c>
      <c r="P289" s="18">
        <f t="shared" si="75"/>
        <v>66.335950085615977</v>
      </c>
      <c r="Q289" s="8">
        <f>31*16</f>
        <v>496</v>
      </c>
      <c r="R289" s="40">
        <f t="shared" si="76"/>
        <v>32.902631242465525</v>
      </c>
    </row>
    <row r="290" spans="5:18" ht="14" x14ac:dyDescent="0.25">
      <c r="E290" s="44" t="s">
        <v>20</v>
      </c>
      <c r="F290" s="8">
        <v>0.6</v>
      </c>
      <c r="G290" s="8">
        <v>38.880000000000003</v>
      </c>
      <c r="H290" s="8">
        <v>1.0049999999999999</v>
      </c>
      <c r="I290" s="8">
        <v>1.2929999999999999</v>
      </c>
      <c r="J290" s="41">
        <v>34.1</v>
      </c>
      <c r="K290" s="8">
        <v>26</v>
      </c>
      <c r="L290" s="8">
        <f t="shared" si="73"/>
        <v>8.1000000000000014</v>
      </c>
      <c r="M290" s="27">
        <f t="shared" si="74"/>
        <v>245.54274811199997</v>
      </c>
      <c r="N290" s="27"/>
      <c r="O290" s="8">
        <v>0.27700000000000002</v>
      </c>
      <c r="P290" s="18">
        <f t="shared" si="75"/>
        <v>68.015341227023995</v>
      </c>
      <c r="Q290" s="8">
        <f>30*16</f>
        <v>480</v>
      </c>
      <c r="R290" s="40">
        <f t="shared" si="76"/>
        <v>32.647363788971518</v>
      </c>
    </row>
    <row r="291" spans="5:18" ht="14" x14ac:dyDescent="0.25">
      <c r="E291" s="44" t="s">
        <v>21</v>
      </c>
      <c r="F291" s="8">
        <v>0.6</v>
      </c>
      <c r="G291" s="8">
        <v>38.880000000000003</v>
      </c>
      <c r="H291" s="8">
        <v>1.0049999999999999</v>
      </c>
      <c r="I291" s="8">
        <v>1.2929999999999999</v>
      </c>
      <c r="J291" s="41">
        <v>33.799999999999997</v>
      </c>
      <c r="K291" s="8">
        <v>26</v>
      </c>
      <c r="L291" s="8">
        <f t="shared" si="73"/>
        <v>7.7999999999999972</v>
      </c>
      <c r="M291" s="27">
        <f t="shared" si="74"/>
        <v>236.44857225599986</v>
      </c>
      <c r="N291" s="27"/>
      <c r="O291" s="8">
        <v>0.27700000000000002</v>
      </c>
      <c r="P291" s="18">
        <f t="shared" si="75"/>
        <v>65.496254514911968</v>
      </c>
      <c r="Q291" s="8">
        <f>31*16</f>
        <v>496</v>
      </c>
      <c r="R291" s="40">
        <f t="shared" si="76"/>
        <v>32.486142239396337</v>
      </c>
    </row>
    <row r="292" spans="5:18" ht="14" x14ac:dyDescent="0.25">
      <c r="E292" s="44" t="s">
        <v>22</v>
      </c>
      <c r="F292" s="8">
        <v>0.6</v>
      </c>
      <c r="G292" s="8">
        <v>38.880000000000003</v>
      </c>
      <c r="H292" s="8">
        <v>1.0049999999999999</v>
      </c>
      <c r="I292" s="8">
        <v>1.2929999999999999</v>
      </c>
      <c r="J292" s="41">
        <v>31.2</v>
      </c>
      <c r="K292" s="8">
        <v>26</v>
      </c>
      <c r="L292" s="8">
        <f t="shared" si="73"/>
        <v>5.1999999999999993</v>
      </c>
      <c r="M292" s="27">
        <f t="shared" si="74"/>
        <v>157.63238150399994</v>
      </c>
      <c r="N292" s="27"/>
      <c r="O292" s="8">
        <v>0.27700000000000002</v>
      </c>
      <c r="P292" s="18">
        <f t="shared" si="75"/>
        <v>43.664169676607983</v>
      </c>
      <c r="Q292" s="8">
        <f>30*16</f>
        <v>480</v>
      </c>
      <c r="R292" s="40">
        <f t="shared" si="76"/>
        <v>20.958801444771829</v>
      </c>
    </row>
    <row r="293" spans="5:18" ht="14" x14ac:dyDescent="0.25">
      <c r="E293" s="44" t="s">
        <v>23</v>
      </c>
      <c r="F293" s="8">
        <v>0.6</v>
      </c>
      <c r="G293" s="8">
        <v>38.880000000000003</v>
      </c>
      <c r="H293" s="8">
        <v>1.0049999999999999</v>
      </c>
      <c r="I293" s="8">
        <v>1.2929999999999999</v>
      </c>
      <c r="J293" s="41">
        <v>28</v>
      </c>
      <c r="K293" s="8">
        <v>26</v>
      </c>
      <c r="L293" s="8">
        <f t="shared" si="73"/>
        <v>2</v>
      </c>
      <c r="M293" s="27">
        <f t="shared" si="74"/>
        <v>60.627839039999984</v>
      </c>
      <c r="N293" s="27"/>
      <c r="O293" s="8">
        <v>0.27700000000000002</v>
      </c>
      <c r="P293" s="18">
        <f t="shared" si="75"/>
        <v>16.793911414079997</v>
      </c>
      <c r="Q293" s="8">
        <f>31*16</f>
        <v>496</v>
      </c>
      <c r="R293" s="40">
        <f t="shared" si="76"/>
        <v>8.3297800613836781</v>
      </c>
    </row>
    <row r="294" spans="5:18" ht="15" x14ac:dyDescent="0.4">
      <c r="E294" s="314" t="s">
        <v>92</v>
      </c>
      <c r="F294" s="315"/>
      <c r="G294" s="315"/>
      <c r="H294" s="315"/>
      <c r="I294" s="315"/>
      <c r="J294" s="315"/>
      <c r="K294" s="315"/>
      <c r="L294" s="315"/>
      <c r="M294" s="315"/>
      <c r="N294" s="315"/>
      <c r="O294" s="315"/>
      <c r="P294" s="315"/>
      <c r="Q294" s="315"/>
      <c r="R294" s="84">
        <f>SUM(R282:R293)</f>
        <v>340.45960731536098</v>
      </c>
    </row>
    <row r="295" spans="5:18" ht="14" x14ac:dyDescent="0.25">
      <c r="E295" s="44" t="s">
        <v>15</v>
      </c>
      <c r="F295" s="8">
        <v>0.6</v>
      </c>
      <c r="G295" s="8">
        <v>38.880000000000003</v>
      </c>
      <c r="H295" s="8">
        <v>1.0049999999999999</v>
      </c>
      <c r="I295" s="8">
        <v>1.2929999999999999</v>
      </c>
      <c r="J295" s="71">
        <v>26.9</v>
      </c>
      <c r="K295" s="8">
        <v>27</v>
      </c>
      <c r="L295" s="8">
        <f>J295-K295</f>
        <v>-0.10000000000000142</v>
      </c>
      <c r="M295" s="27">
        <f>F295*G295*H295*I295*L295</f>
        <v>-3.0313919520000421</v>
      </c>
      <c r="N295" s="27"/>
      <c r="O295" s="8">
        <v>0.27700000000000002</v>
      </c>
      <c r="P295" s="18">
        <f>M295*O295</f>
        <v>-0.83969557070401168</v>
      </c>
      <c r="Q295" s="8">
        <f>31*16</f>
        <v>496</v>
      </c>
      <c r="R295" s="40">
        <f>(P295*Q295)/1000</f>
        <v>-0.41648900306918979</v>
      </c>
    </row>
    <row r="296" spans="5:18" ht="14" x14ac:dyDescent="0.25">
      <c r="E296" s="44" t="s">
        <v>16</v>
      </c>
      <c r="F296" s="8">
        <v>0.6</v>
      </c>
      <c r="G296" s="8">
        <v>38.880000000000003</v>
      </c>
      <c r="H296" s="8">
        <v>1.0049999999999999</v>
      </c>
      <c r="I296" s="8">
        <v>1.2929999999999999</v>
      </c>
      <c r="J296" s="71">
        <v>31</v>
      </c>
      <c r="K296" s="8">
        <v>27</v>
      </c>
      <c r="L296" s="8">
        <f t="shared" ref="L296:L306" si="77">J296-K296</f>
        <v>4</v>
      </c>
      <c r="M296" s="27">
        <f t="shared" ref="M296:M306" si="78">F296*G296*H296*I296*L296</f>
        <v>121.25567807999997</v>
      </c>
      <c r="N296" s="27"/>
      <c r="O296" s="8">
        <v>0.27700000000000002</v>
      </c>
      <c r="P296" s="18">
        <f t="shared" ref="P296:P306" si="79">M296*O296</f>
        <v>33.587822828159993</v>
      </c>
      <c r="Q296" s="8">
        <f>28*16</f>
        <v>448</v>
      </c>
      <c r="R296" s="40">
        <f t="shared" ref="R296:R306" si="80">(P296*Q296)/1000</f>
        <v>15.047344627015676</v>
      </c>
    </row>
    <row r="297" spans="5:18" ht="14" x14ac:dyDescent="0.25">
      <c r="E297" s="44" t="s">
        <v>17</v>
      </c>
      <c r="F297" s="8">
        <v>0.6</v>
      </c>
      <c r="G297" s="8">
        <v>38.880000000000003</v>
      </c>
      <c r="H297" s="8">
        <v>1.0049999999999999</v>
      </c>
      <c r="I297" s="8">
        <v>1.2929999999999999</v>
      </c>
      <c r="J297" s="71">
        <v>34.6</v>
      </c>
      <c r="K297" s="8">
        <v>27</v>
      </c>
      <c r="L297" s="8">
        <f t="shared" si="77"/>
        <v>7.6000000000000014</v>
      </c>
      <c r="M297" s="27">
        <f t="shared" si="78"/>
        <v>230.38578835199999</v>
      </c>
      <c r="N297" s="27"/>
      <c r="O297" s="8">
        <v>0.27700000000000002</v>
      </c>
      <c r="P297" s="18">
        <f t="shared" si="79"/>
        <v>63.816863373504006</v>
      </c>
      <c r="Q297" s="8">
        <f>31*16</f>
        <v>496</v>
      </c>
      <c r="R297" s="40">
        <f t="shared" si="80"/>
        <v>31.653164233257986</v>
      </c>
    </row>
    <row r="298" spans="5:18" ht="14" x14ac:dyDescent="0.25">
      <c r="E298" s="44" t="s">
        <v>18</v>
      </c>
      <c r="F298" s="8">
        <v>0.6</v>
      </c>
      <c r="G298" s="8">
        <v>38.880000000000003</v>
      </c>
      <c r="H298" s="8">
        <v>1.0049999999999999</v>
      </c>
      <c r="I298" s="8">
        <v>1.2929999999999999</v>
      </c>
      <c r="J298" s="71">
        <v>36.799999999999997</v>
      </c>
      <c r="K298" s="8">
        <v>27</v>
      </c>
      <c r="L298" s="8">
        <f t="shared" si="77"/>
        <v>9.7999999999999972</v>
      </c>
      <c r="M298" s="27">
        <f t="shared" si="78"/>
        <v>297.07641129599983</v>
      </c>
      <c r="N298" s="27"/>
      <c r="O298" s="8">
        <v>0.27700000000000002</v>
      </c>
      <c r="P298" s="18">
        <f t="shared" si="79"/>
        <v>82.290165928991968</v>
      </c>
      <c r="Q298" s="8">
        <f>30*16</f>
        <v>480</v>
      </c>
      <c r="R298" s="40">
        <f t="shared" si="80"/>
        <v>39.499279645916147</v>
      </c>
    </row>
    <row r="299" spans="5:18" ht="14" x14ac:dyDescent="0.25">
      <c r="E299" s="44" t="s">
        <v>12</v>
      </c>
      <c r="F299" s="8">
        <v>0.6</v>
      </c>
      <c r="G299" s="8">
        <v>38.880000000000003</v>
      </c>
      <c r="H299" s="8">
        <v>1.0049999999999999</v>
      </c>
      <c r="I299" s="8">
        <v>1.2929999999999999</v>
      </c>
      <c r="J299" s="71">
        <v>35.9</v>
      </c>
      <c r="K299" s="8">
        <v>27</v>
      </c>
      <c r="L299" s="8">
        <f t="shared" si="77"/>
        <v>8.8999999999999986</v>
      </c>
      <c r="M299" s="27">
        <f t="shared" si="78"/>
        <v>269.79388372799991</v>
      </c>
      <c r="N299" s="27"/>
      <c r="O299" s="8">
        <v>0.27700000000000002</v>
      </c>
      <c r="P299" s="18">
        <f t="shared" si="79"/>
        <v>74.732905792655984</v>
      </c>
      <c r="Q299" s="8">
        <f>31*16</f>
        <v>496</v>
      </c>
      <c r="R299" s="40">
        <f t="shared" si="80"/>
        <v>37.067521273157368</v>
      </c>
    </row>
    <row r="300" spans="5:18" ht="14" x14ac:dyDescent="0.25">
      <c r="E300" s="44" t="s">
        <v>13</v>
      </c>
      <c r="F300" s="8">
        <v>0.6</v>
      </c>
      <c r="G300" s="8">
        <v>38.880000000000003</v>
      </c>
      <c r="H300" s="8">
        <v>1.0049999999999999</v>
      </c>
      <c r="I300" s="8">
        <v>1.2929999999999999</v>
      </c>
      <c r="J300" s="71">
        <v>35.1</v>
      </c>
      <c r="K300" s="8">
        <v>27</v>
      </c>
      <c r="L300" s="8">
        <f t="shared" si="77"/>
        <v>8.1000000000000014</v>
      </c>
      <c r="M300" s="27">
        <f t="shared" si="78"/>
        <v>245.54274811199997</v>
      </c>
      <c r="N300" s="27"/>
      <c r="O300" s="8">
        <v>0.27700000000000002</v>
      </c>
      <c r="P300" s="18">
        <f t="shared" si="79"/>
        <v>68.015341227023995</v>
      </c>
      <c r="Q300" s="8">
        <f>30*16</f>
        <v>480</v>
      </c>
      <c r="R300" s="40">
        <f t="shared" si="80"/>
        <v>32.647363788971518</v>
      </c>
    </row>
    <row r="301" spans="5:18" ht="14" x14ac:dyDescent="0.25">
      <c r="E301" s="44" t="s">
        <v>24</v>
      </c>
      <c r="F301" s="8">
        <v>0.6</v>
      </c>
      <c r="G301" s="8">
        <v>38.880000000000003</v>
      </c>
      <c r="H301" s="8">
        <v>1.0049999999999999</v>
      </c>
      <c r="I301" s="8">
        <v>1.2929999999999999</v>
      </c>
      <c r="J301" s="41">
        <v>34</v>
      </c>
      <c r="K301" s="8">
        <v>27</v>
      </c>
      <c r="L301" s="8">
        <f t="shared" si="77"/>
        <v>7</v>
      </c>
      <c r="M301" s="27">
        <f t="shared" si="78"/>
        <v>212.19743663999995</v>
      </c>
      <c r="N301" s="27"/>
      <c r="O301" s="8">
        <v>0.27700000000000002</v>
      </c>
      <c r="P301" s="18">
        <f t="shared" si="79"/>
        <v>58.778689949279993</v>
      </c>
      <c r="Q301" s="8">
        <f>31*16</f>
        <v>496</v>
      </c>
      <c r="R301" s="40">
        <f t="shared" si="80"/>
        <v>29.154230214842876</v>
      </c>
    </row>
    <row r="302" spans="5:18" ht="14" x14ac:dyDescent="0.25">
      <c r="E302" s="44" t="s">
        <v>19</v>
      </c>
      <c r="F302" s="8">
        <v>0.6</v>
      </c>
      <c r="G302" s="8">
        <v>38.880000000000003</v>
      </c>
      <c r="H302" s="8">
        <v>1.0049999999999999</v>
      </c>
      <c r="I302" s="8">
        <v>1.2929999999999999</v>
      </c>
      <c r="J302" s="41">
        <v>33.9</v>
      </c>
      <c r="K302" s="8">
        <v>27</v>
      </c>
      <c r="L302" s="8">
        <f t="shared" si="77"/>
        <v>6.8999999999999986</v>
      </c>
      <c r="M302" s="27">
        <f t="shared" si="78"/>
        <v>209.16604468799991</v>
      </c>
      <c r="N302" s="27"/>
      <c r="O302" s="8">
        <v>0.27700000000000002</v>
      </c>
      <c r="P302" s="18">
        <f t="shared" si="79"/>
        <v>57.938994378575984</v>
      </c>
      <c r="Q302" s="8">
        <f>31*16</f>
        <v>496</v>
      </c>
      <c r="R302" s="40">
        <f t="shared" si="80"/>
        <v>28.737741211773688</v>
      </c>
    </row>
    <row r="303" spans="5:18" ht="14" x14ac:dyDescent="0.25">
      <c r="E303" s="44" t="s">
        <v>20</v>
      </c>
      <c r="F303" s="8">
        <v>0.6</v>
      </c>
      <c r="G303" s="8">
        <v>38.880000000000003</v>
      </c>
      <c r="H303" s="8">
        <v>1.0049999999999999</v>
      </c>
      <c r="I303" s="8">
        <v>1.2929999999999999</v>
      </c>
      <c r="J303" s="41">
        <v>34.1</v>
      </c>
      <c r="K303" s="8">
        <v>27</v>
      </c>
      <c r="L303" s="8">
        <f t="shared" si="77"/>
        <v>7.1000000000000014</v>
      </c>
      <c r="M303" s="27">
        <f t="shared" si="78"/>
        <v>215.22882859199999</v>
      </c>
      <c r="N303" s="27"/>
      <c r="O303" s="8">
        <v>0.27700000000000002</v>
      </c>
      <c r="P303" s="18">
        <f t="shared" si="79"/>
        <v>59.618385519984002</v>
      </c>
      <c r="Q303" s="8">
        <f>30*16</f>
        <v>480</v>
      </c>
      <c r="R303" s="40">
        <f t="shared" si="80"/>
        <v>28.616825049592322</v>
      </c>
    </row>
    <row r="304" spans="5:18" ht="14" x14ac:dyDescent="0.25">
      <c r="E304" s="44" t="s">
        <v>21</v>
      </c>
      <c r="F304" s="8">
        <v>0.6</v>
      </c>
      <c r="G304" s="8">
        <v>38.880000000000003</v>
      </c>
      <c r="H304" s="8">
        <v>1.0049999999999999</v>
      </c>
      <c r="I304" s="8">
        <v>1.2929999999999999</v>
      </c>
      <c r="J304" s="41">
        <v>33.799999999999997</v>
      </c>
      <c r="K304" s="8">
        <v>27</v>
      </c>
      <c r="L304" s="8">
        <f t="shared" si="77"/>
        <v>6.7999999999999972</v>
      </c>
      <c r="M304" s="27">
        <f t="shared" si="78"/>
        <v>206.13465273599985</v>
      </c>
      <c r="N304" s="27"/>
      <c r="O304" s="8">
        <v>0.27700000000000002</v>
      </c>
      <c r="P304" s="18">
        <f t="shared" si="79"/>
        <v>57.099298807871961</v>
      </c>
      <c r="Q304" s="8">
        <f>31*16</f>
        <v>496</v>
      </c>
      <c r="R304" s="40">
        <f t="shared" si="80"/>
        <v>28.321252208704493</v>
      </c>
    </row>
    <row r="305" spans="5:18" ht="14" x14ac:dyDescent="0.25">
      <c r="E305" s="44" t="s">
        <v>22</v>
      </c>
      <c r="F305" s="8">
        <v>0.6</v>
      </c>
      <c r="G305" s="8">
        <v>38.880000000000003</v>
      </c>
      <c r="H305" s="8">
        <v>1.0049999999999999</v>
      </c>
      <c r="I305" s="8">
        <v>1.2929999999999999</v>
      </c>
      <c r="J305" s="41">
        <v>31.2</v>
      </c>
      <c r="K305" s="8">
        <v>27</v>
      </c>
      <c r="L305" s="8">
        <f t="shared" si="77"/>
        <v>4.1999999999999993</v>
      </c>
      <c r="M305" s="27">
        <f t="shared" si="78"/>
        <v>127.31846198399994</v>
      </c>
      <c r="N305" s="27"/>
      <c r="O305" s="8">
        <v>0.27700000000000002</v>
      </c>
      <c r="P305" s="18">
        <f t="shared" si="79"/>
        <v>35.267213969567983</v>
      </c>
      <c r="Q305" s="8">
        <f>30*16</f>
        <v>480</v>
      </c>
      <c r="R305" s="40">
        <f t="shared" si="80"/>
        <v>16.928262705392633</v>
      </c>
    </row>
    <row r="306" spans="5:18" ht="14" x14ac:dyDescent="0.25">
      <c r="E306" s="44" t="s">
        <v>23</v>
      </c>
      <c r="F306" s="8">
        <v>0.6</v>
      </c>
      <c r="G306" s="8">
        <v>38.880000000000003</v>
      </c>
      <c r="H306" s="8">
        <v>1.0049999999999999</v>
      </c>
      <c r="I306" s="8">
        <v>1.2929999999999999</v>
      </c>
      <c r="J306" s="41">
        <v>28</v>
      </c>
      <c r="K306" s="8">
        <v>27</v>
      </c>
      <c r="L306" s="8">
        <f t="shared" si="77"/>
        <v>1</v>
      </c>
      <c r="M306" s="27">
        <f t="shared" si="78"/>
        <v>30.313919519999992</v>
      </c>
      <c r="N306" s="27"/>
      <c r="O306" s="8">
        <v>0.27700000000000002</v>
      </c>
      <c r="P306" s="18">
        <f t="shared" si="79"/>
        <v>8.3969557070399983</v>
      </c>
      <c r="Q306" s="8">
        <f>31*16</f>
        <v>496</v>
      </c>
      <c r="R306" s="40">
        <f t="shared" si="80"/>
        <v>4.1648900306918391</v>
      </c>
    </row>
    <row r="307" spans="5:18" ht="15" x14ac:dyDescent="0.4">
      <c r="E307" s="314" t="s">
        <v>93</v>
      </c>
      <c r="F307" s="315"/>
      <c r="G307" s="315"/>
      <c r="H307" s="315"/>
      <c r="I307" s="315"/>
      <c r="J307" s="315"/>
      <c r="K307" s="315"/>
      <c r="L307" s="315"/>
      <c r="M307" s="315"/>
      <c r="N307" s="315"/>
      <c r="O307" s="315"/>
      <c r="P307" s="315"/>
      <c r="Q307" s="315"/>
      <c r="R307" s="84">
        <f>SUM(R295:R306)</f>
        <v>291.42138598624734</v>
      </c>
    </row>
    <row r="308" spans="5:18" ht="14" x14ac:dyDescent="0.25">
      <c r="E308" s="44" t="s">
        <v>15</v>
      </c>
      <c r="F308" s="8">
        <v>0.6</v>
      </c>
      <c r="G308" s="8">
        <v>38.880000000000003</v>
      </c>
      <c r="H308" s="8">
        <v>1.0049999999999999</v>
      </c>
      <c r="I308" s="8">
        <v>1.2929999999999999</v>
      </c>
      <c r="J308" s="71">
        <v>26.9</v>
      </c>
      <c r="K308" s="8">
        <v>28</v>
      </c>
      <c r="L308" s="8">
        <f>J308-K308</f>
        <v>-1.1000000000000014</v>
      </c>
      <c r="M308" s="27">
        <f>F308*G308*H308*I308*L308</f>
        <v>-33.345311472000034</v>
      </c>
      <c r="N308" s="27"/>
      <c r="O308" s="8">
        <v>0.27700000000000002</v>
      </c>
      <c r="P308" s="18">
        <f>M308*O308</f>
        <v>-9.2366512777440111</v>
      </c>
      <c r="Q308" s="8">
        <f>31*16</f>
        <v>496</v>
      </c>
      <c r="R308" s="40">
        <f>(P308*Q308)/1000</f>
        <v>-4.5813790337610296</v>
      </c>
    </row>
    <row r="309" spans="5:18" ht="14" x14ac:dyDescent="0.25">
      <c r="E309" s="44" t="s">
        <v>16</v>
      </c>
      <c r="F309" s="8">
        <v>0.6</v>
      </c>
      <c r="G309" s="8">
        <v>38.880000000000003</v>
      </c>
      <c r="H309" s="8">
        <v>1.0049999999999999</v>
      </c>
      <c r="I309" s="8">
        <v>1.2929999999999999</v>
      </c>
      <c r="J309" s="71">
        <v>31</v>
      </c>
      <c r="K309" s="8">
        <v>28</v>
      </c>
      <c r="L309" s="8">
        <f t="shared" ref="L309:L319" si="81">J309-K309</f>
        <v>3</v>
      </c>
      <c r="M309" s="27">
        <f t="shared" ref="M309:M319" si="82">F309*G309*H309*I309*L309</f>
        <v>90.941758559999982</v>
      </c>
      <c r="N309" s="27"/>
      <c r="O309" s="8">
        <v>0.27700000000000002</v>
      </c>
      <c r="P309" s="18">
        <f t="shared" ref="P309:P319" si="83">M309*O309</f>
        <v>25.190867121119997</v>
      </c>
      <c r="Q309" s="8">
        <f>28*16</f>
        <v>448</v>
      </c>
      <c r="R309" s="40">
        <f t="shared" ref="R309:R319" si="84">(P309*Q309)/1000</f>
        <v>11.285508470261759</v>
      </c>
    </row>
    <row r="310" spans="5:18" ht="14" x14ac:dyDescent="0.25">
      <c r="E310" s="44" t="s">
        <v>17</v>
      </c>
      <c r="F310" s="8">
        <v>0.6</v>
      </c>
      <c r="G310" s="8">
        <v>38.880000000000003</v>
      </c>
      <c r="H310" s="8">
        <v>1.0049999999999999</v>
      </c>
      <c r="I310" s="8">
        <v>1.2929999999999999</v>
      </c>
      <c r="J310" s="71">
        <v>34.6</v>
      </c>
      <c r="K310" s="8">
        <v>28</v>
      </c>
      <c r="L310" s="8">
        <f t="shared" si="81"/>
        <v>6.6000000000000014</v>
      </c>
      <c r="M310" s="27">
        <f t="shared" si="82"/>
        <v>200.07186883199998</v>
      </c>
      <c r="N310" s="27"/>
      <c r="O310" s="8">
        <v>0.27700000000000002</v>
      </c>
      <c r="P310" s="18">
        <f t="shared" si="83"/>
        <v>55.419907666463999</v>
      </c>
      <c r="Q310" s="8">
        <f>31*16</f>
        <v>496</v>
      </c>
      <c r="R310" s="40">
        <f t="shared" si="84"/>
        <v>27.488274202566142</v>
      </c>
    </row>
    <row r="311" spans="5:18" ht="14" x14ac:dyDescent="0.25">
      <c r="E311" s="44" t="s">
        <v>18</v>
      </c>
      <c r="F311" s="8">
        <v>0.6</v>
      </c>
      <c r="G311" s="8">
        <v>38.880000000000003</v>
      </c>
      <c r="H311" s="8">
        <v>1.0049999999999999</v>
      </c>
      <c r="I311" s="8">
        <v>1.2929999999999999</v>
      </c>
      <c r="J311" s="71">
        <v>36.799999999999997</v>
      </c>
      <c r="K311" s="8">
        <v>28</v>
      </c>
      <c r="L311" s="8">
        <f t="shared" si="81"/>
        <v>8.7999999999999972</v>
      </c>
      <c r="M311" s="27">
        <f t="shared" si="82"/>
        <v>266.76249177599982</v>
      </c>
      <c r="N311" s="27"/>
      <c r="O311" s="8">
        <v>0.27700000000000002</v>
      </c>
      <c r="P311" s="18">
        <f t="shared" si="83"/>
        <v>73.893210221951961</v>
      </c>
      <c r="Q311" s="8">
        <f>30*16</f>
        <v>480</v>
      </c>
      <c r="R311" s="40">
        <f t="shared" si="84"/>
        <v>35.468740906536944</v>
      </c>
    </row>
    <row r="312" spans="5:18" ht="14" x14ac:dyDescent="0.25">
      <c r="E312" s="44" t="s">
        <v>12</v>
      </c>
      <c r="F312" s="8">
        <v>0.6</v>
      </c>
      <c r="G312" s="8">
        <v>38.880000000000003</v>
      </c>
      <c r="H312" s="8">
        <v>1.0049999999999999</v>
      </c>
      <c r="I312" s="8">
        <v>1.2929999999999999</v>
      </c>
      <c r="J312" s="71">
        <v>35.9</v>
      </c>
      <c r="K312" s="8">
        <v>28</v>
      </c>
      <c r="L312" s="8">
        <f t="shared" si="81"/>
        <v>7.8999999999999986</v>
      </c>
      <c r="M312" s="27">
        <f t="shared" si="82"/>
        <v>239.4799642079999</v>
      </c>
      <c r="N312" s="27"/>
      <c r="O312" s="8">
        <v>0.27700000000000002</v>
      </c>
      <c r="P312" s="18">
        <f t="shared" si="83"/>
        <v>66.335950085615977</v>
      </c>
      <c r="Q312" s="8">
        <f>31*16</f>
        <v>496</v>
      </c>
      <c r="R312" s="40">
        <f t="shared" si="84"/>
        <v>32.902631242465525</v>
      </c>
    </row>
    <row r="313" spans="5:18" ht="14" x14ac:dyDescent="0.25">
      <c r="E313" s="44" t="s">
        <v>13</v>
      </c>
      <c r="F313" s="8">
        <v>0.6</v>
      </c>
      <c r="G313" s="8">
        <v>38.880000000000003</v>
      </c>
      <c r="H313" s="8">
        <v>1.0049999999999999</v>
      </c>
      <c r="I313" s="8">
        <v>1.2929999999999999</v>
      </c>
      <c r="J313" s="71">
        <v>35.1</v>
      </c>
      <c r="K313" s="8">
        <v>28</v>
      </c>
      <c r="L313" s="8">
        <f t="shared" si="81"/>
        <v>7.1000000000000014</v>
      </c>
      <c r="M313" s="27">
        <f t="shared" si="82"/>
        <v>215.22882859199999</v>
      </c>
      <c r="N313" s="27"/>
      <c r="O313" s="8">
        <v>0.27700000000000002</v>
      </c>
      <c r="P313" s="18">
        <f t="shared" si="83"/>
        <v>59.618385519984002</v>
      </c>
      <c r="Q313" s="8">
        <f>30*16</f>
        <v>480</v>
      </c>
      <c r="R313" s="40">
        <f t="shared" si="84"/>
        <v>28.616825049592322</v>
      </c>
    </row>
    <row r="314" spans="5:18" ht="14" x14ac:dyDescent="0.25">
      <c r="E314" s="44" t="s">
        <v>24</v>
      </c>
      <c r="F314" s="8">
        <v>0.6</v>
      </c>
      <c r="G314" s="8">
        <v>38.880000000000003</v>
      </c>
      <c r="H314" s="8">
        <v>1.0049999999999999</v>
      </c>
      <c r="I314" s="8">
        <v>1.2929999999999999</v>
      </c>
      <c r="J314" s="41">
        <v>34</v>
      </c>
      <c r="K314" s="8">
        <v>28</v>
      </c>
      <c r="L314" s="8">
        <f t="shared" si="81"/>
        <v>6</v>
      </c>
      <c r="M314" s="27">
        <f t="shared" si="82"/>
        <v>181.88351711999996</v>
      </c>
      <c r="N314" s="27"/>
      <c r="O314" s="8">
        <v>0.27700000000000002</v>
      </c>
      <c r="P314" s="18">
        <f t="shared" si="83"/>
        <v>50.381734242239993</v>
      </c>
      <c r="Q314" s="8">
        <f>31*16</f>
        <v>496</v>
      </c>
      <c r="R314" s="40">
        <f t="shared" si="84"/>
        <v>24.989340184151036</v>
      </c>
    </row>
    <row r="315" spans="5:18" ht="14" x14ac:dyDescent="0.25">
      <c r="E315" s="44" t="s">
        <v>19</v>
      </c>
      <c r="F315" s="8">
        <v>0.6</v>
      </c>
      <c r="G315" s="8">
        <v>38.880000000000003</v>
      </c>
      <c r="H315" s="8">
        <v>1.0049999999999999</v>
      </c>
      <c r="I315" s="8">
        <v>1.2929999999999999</v>
      </c>
      <c r="J315" s="41">
        <v>33.9</v>
      </c>
      <c r="K315" s="8">
        <v>28</v>
      </c>
      <c r="L315" s="8">
        <f t="shared" si="81"/>
        <v>5.8999999999999986</v>
      </c>
      <c r="M315" s="27">
        <f t="shared" si="82"/>
        <v>178.8521251679999</v>
      </c>
      <c r="N315" s="27"/>
      <c r="O315" s="8">
        <v>0.27700000000000002</v>
      </c>
      <c r="P315" s="18">
        <f t="shared" si="83"/>
        <v>49.542038671535977</v>
      </c>
      <c r="Q315" s="8">
        <f>31*16</f>
        <v>496</v>
      </c>
      <c r="R315" s="40">
        <f t="shared" si="84"/>
        <v>24.572851181081845</v>
      </c>
    </row>
    <row r="316" spans="5:18" ht="14" x14ac:dyDescent="0.25">
      <c r="E316" s="44" t="s">
        <v>20</v>
      </c>
      <c r="F316" s="8">
        <v>0.6</v>
      </c>
      <c r="G316" s="8">
        <v>38.880000000000003</v>
      </c>
      <c r="H316" s="8">
        <v>1.0049999999999999</v>
      </c>
      <c r="I316" s="8">
        <v>1.2929999999999999</v>
      </c>
      <c r="J316" s="41">
        <v>34.1</v>
      </c>
      <c r="K316" s="8">
        <v>28</v>
      </c>
      <c r="L316" s="8">
        <f t="shared" si="81"/>
        <v>6.1000000000000014</v>
      </c>
      <c r="M316" s="27">
        <f t="shared" si="82"/>
        <v>184.914909072</v>
      </c>
      <c r="N316" s="27"/>
      <c r="O316" s="8">
        <v>0.27700000000000002</v>
      </c>
      <c r="P316" s="18">
        <f t="shared" si="83"/>
        <v>51.221429812944002</v>
      </c>
      <c r="Q316" s="8">
        <f>30*16</f>
        <v>480</v>
      </c>
      <c r="R316" s="40">
        <f t="shared" si="84"/>
        <v>24.586286310213119</v>
      </c>
    </row>
    <row r="317" spans="5:18" ht="14" x14ac:dyDescent="0.25">
      <c r="E317" s="44" t="s">
        <v>21</v>
      </c>
      <c r="F317" s="8">
        <v>0.6</v>
      </c>
      <c r="G317" s="8">
        <v>38.880000000000003</v>
      </c>
      <c r="H317" s="8">
        <v>1.0049999999999999</v>
      </c>
      <c r="I317" s="8">
        <v>1.2929999999999999</v>
      </c>
      <c r="J317" s="41">
        <v>33.799999999999997</v>
      </c>
      <c r="K317" s="8">
        <v>28</v>
      </c>
      <c r="L317" s="8">
        <f t="shared" si="81"/>
        <v>5.7999999999999972</v>
      </c>
      <c r="M317" s="27">
        <f t="shared" si="82"/>
        <v>175.82073321599987</v>
      </c>
      <c r="N317" s="27"/>
      <c r="O317" s="8">
        <v>0.27700000000000002</v>
      </c>
      <c r="P317" s="18">
        <f t="shared" si="83"/>
        <v>48.702343100831968</v>
      </c>
      <c r="Q317" s="8">
        <f>31*16</f>
        <v>496</v>
      </c>
      <c r="R317" s="40">
        <f t="shared" si="84"/>
        <v>24.156362178012657</v>
      </c>
    </row>
    <row r="318" spans="5:18" ht="14" x14ac:dyDescent="0.25">
      <c r="E318" s="44" t="s">
        <v>22</v>
      </c>
      <c r="F318" s="8">
        <v>0.6</v>
      </c>
      <c r="G318" s="8">
        <v>38.880000000000003</v>
      </c>
      <c r="H318" s="8">
        <v>1.0049999999999999</v>
      </c>
      <c r="I318" s="8">
        <v>1.2929999999999999</v>
      </c>
      <c r="J318" s="41">
        <v>31.2</v>
      </c>
      <c r="K318" s="8">
        <v>28</v>
      </c>
      <c r="L318" s="8">
        <f t="shared" si="81"/>
        <v>3.1999999999999993</v>
      </c>
      <c r="M318" s="27">
        <f t="shared" si="82"/>
        <v>97.004542463999954</v>
      </c>
      <c r="N318" s="27"/>
      <c r="O318" s="8">
        <v>0.27700000000000002</v>
      </c>
      <c r="P318" s="18">
        <f t="shared" si="83"/>
        <v>26.87025826252799</v>
      </c>
      <c r="Q318" s="8">
        <f>30*16</f>
        <v>480</v>
      </c>
      <c r="R318" s="40">
        <f t="shared" si="84"/>
        <v>12.897723966013434</v>
      </c>
    </row>
    <row r="319" spans="5:18" ht="14" x14ac:dyDescent="0.25">
      <c r="E319" s="44" t="s">
        <v>23</v>
      </c>
      <c r="F319" s="8">
        <v>0.6</v>
      </c>
      <c r="G319" s="8">
        <v>38.880000000000003</v>
      </c>
      <c r="H319" s="8">
        <v>1.0049999999999999</v>
      </c>
      <c r="I319" s="8">
        <v>1.2929999999999999</v>
      </c>
      <c r="J319" s="41">
        <v>28</v>
      </c>
      <c r="K319" s="8">
        <v>28</v>
      </c>
      <c r="L319" s="8">
        <f t="shared" si="81"/>
        <v>0</v>
      </c>
      <c r="M319" s="27">
        <f t="shared" si="82"/>
        <v>0</v>
      </c>
      <c r="N319" s="27"/>
      <c r="O319" s="8">
        <v>0.27700000000000002</v>
      </c>
      <c r="P319" s="18">
        <f t="shared" si="83"/>
        <v>0</v>
      </c>
      <c r="Q319" s="8">
        <f>31*16</f>
        <v>496</v>
      </c>
      <c r="R319" s="40">
        <f t="shared" si="84"/>
        <v>0</v>
      </c>
    </row>
    <row r="320" spans="5:18" ht="15.5" thickBot="1" x14ac:dyDescent="0.45">
      <c r="E320" s="312" t="s">
        <v>94</v>
      </c>
      <c r="F320" s="313"/>
      <c r="G320" s="313"/>
      <c r="H320" s="313"/>
      <c r="I320" s="313"/>
      <c r="J320" s="313"/>
      <c r="K320" s="313"/>
      <c r="L320" s="313"/>
      <c r="M320" s="313"/>
      <c r="N320" s="313"/>
      <c r="O320" s="313"/>
      <c r="P320" s="313"/>
      <c r="Q320" s="313"/>
      <c r="R320" s="74">
        <f>SUM(R308:R319)</f>
        <v>242.38316465713373</v>
      </c>
    </row>
    <row r="323" spans="5:18" ht="13.5" thickBot="1" x14ac:dyDescent="0.3">
      <c r="Q323" s="384"/>
      <c r="R323" s="384"/>
    </row>
    <row r="324" spans="5:18" x14ac:dyDescent="0.3">
      <c r="E324" s="295" t="s">
        <v>111</v>
      </c>
      <c r="F324" s="296"/>
      <c r="G324" s="296"/>
      <c r="H324" s="296"/>
      <c r="I324" s="296"/>
      <c r="J324" s="296"/>
      <c r="K324" s="296"/>
      <c r="L324" s="296"/>
      <c r="M324" s="296"/>
      <c r="N324" s="316"/>
      <c r="O324" s="297"/>
      <c r="Q324" s="384"/>
      <c r="R324" s="384"/>
    </row>
    <row r="325" spans="5:18" ht="13" customHeight="1" x14ac:dyDescent="0.25">
      <c r="E325" s="2" t="s">
        <v>0</v>
      </c>
      <c r="F325" s="5" t="s">
        <v>104</v>
      </c>
      <c r="G325" s="5" t="s">
        <v>105</v>
      </c>
      <c r="H325" s="5" t="s">
        <v>64</v>
      </c>
      <c r="I325" s="5" t="s">
        <v>106</v>
      </c>
      <c r="J325" s="5" t="s">
        <v>107</v>
      </c>
      <c r="K325" s="5" t="s">
        <v>108</v>
      </c>
      <c r="L325" s="5" t="s">
        <v>110</v>
      </c>
      <c r="M325" s="5" t="s">
        <v>86</v>
      </c>
      <c r="N325" s="101"/>
      <c r="O325" s="87" t="s">
        <v>109</v>
      </c>
      <c r="Q325" s="384"/>
      <c r="R325" s="384"/>
    </row>
    <row r="326" spans="5:18" x14ac:dyDescent="0.25">
      <c r="E326" s="44" t="s">
        <v>15</v>
      </c>
      <c r="F326" s="5">
        <v>4</v>
      </c>
      <c r="G326" s="5">
        <v>75</v>
      </c>
      <c r="H326" s="5">
        <v>1</v>
      </c>
      <c r="I326" s="5">
        <f>F326*G326*H326</f>
        <v>300</v>
      </c>
      <c r="J326" s="5">
        <v>30</v>
      </c>
      <c r="K326" s="8">
        <f>F326*J326</f>
        <v>120</v>
      </c>
      <c r="L326" s="8">
        <f>I326+K326</f>
        <v>420</v>
      </c>
      <c r="M326" s="8">
        <f>31*16</f>
        <v>496</v>
      </c>
      <c r="N326" s="102"/>
      <c r="O326" s="87">
        <f>(L326*M326)/1000</f>
        <v>208.32</v>
      </c>
    </row>
    <row r="327" spans="5:18" x14ac:dyDescent="0.25">
      <c r="E327" s="44" t="s">
        <v>16</v>
      </c>
      <c r="F327" s="5">
        <v>4</v>
      </c>
      <c r="G327" s="5">
        <v>75</v>
      </c>
      <c r="H327" s="5">
        <v>1</v>
      </c>
      <c r="I327" s="5">
        <f t="shared" ref="I327:I337" si="85">F327*G327*H327</f>
        <v>300</v>
      </c>
      <c r="J327" s="5">
        <v>30</v>
      </c>
      <c r="K327" s="8">
        <f t="shared" ref="K327:K337" si="86">F327*J327</f>
        <v>120</v>
      </c>
      <c r="L327" s="8">
        <f t="shared" ref="L327:L337" si="87">I327+K327</f>
        <v>420</v>
      </c>
      <c r="M327" s="8">
        <f>28*16</f>
        <v>448</v>
      </c>
      <c r="N327" s="102"/>
      <c r="O327" s="87">
        <f t="shared" ref="O327:O337" si="88">(L327*M327)/1000</f>
        <v>188.16</v>
      </c>
    </row>
    <row r="328" spans="5:18" x14ac:dyDescent="0.25">
      <c r="E328" s="44" t="s">
        <v>17</v>
      </c>
      <c r="F328" s="5">
        <v>4</v>
      </c>
      <c r="G328" s="5">
        <v>75</v>
      </c>
      <c r="H328" s="5">
        <v>1</v>
      </c>
      <c r="I328" s="5">
        <f t="shared" si="85"/>
        <v>300</v>
      </c>
      <c r="J328" s="5">
        <v>30</v>
      </c>
      <c r="K328" s="8">
        <f t="shared" si="86"/>
        <v>120</v>
      </c>
      <c r="L328" s="8">
        <f t="shared" si="87"/>
        <v>420</v>
      </c>
      <c r="M328" s="8">
        <f>31*16</f>
        <v>496</v>
      </c>
      <c r="N328" s="102"/>
      <c r="O328" s="87">
        <f t="shared" si="88"/>
        <v>208.32</v>
      </c>
    </row>
    <row r="329" spans="5:18" x14ac:dyDescent="0.25">
      <c r="E329" s="44" t="s">
        <v>18</v>
      </c>
      <c r="F329" s="5">
        <v>4</v>
      </c>
      <c r="G329" s="5">
        <v>75</v>
      </c>
      <c r="H329" s="5">
        <v>1</v>
      </c>
      <c r="I329" s="5">
        <f t="shared" si="85"/>
        <v>300</v>
      </c>
      <c r="J329" s="5">
        <v>30</v>
      </c>
      <c r="K329" s="8">
        <f t="shared" si="86"/>
        <v>120</v>
      </c>
      <c r="L329" s="8">
        <f t="shared" si="87"/>
        <v>420</v>
      </c>
      <c r="M329" s="8">
        <f>30*16</f>
        <v>480</v>
      </c>
      <c r="N329" s="102"/>
      <c r="O329" s="87">
        <f t="shared" si="88"/>
        <v>201.6</v>
      </c>
    </row>
    <row r="330" spans="5:18" x14ac:dyDescent="0.25">
      <c r="E330" s="44" t="s">
        <v>12</v>
      </c>
      <c r="F330" s="5">
        <v>4</v>
      </c>
      <c r="G330" s="5">
        <v>75</v>
      </c>
      <c r="H330" s="5">
        <v>1</v>
      </c>
      <c r="I330" s="5">
        <f t="shared" si="85"/>
        <v>300</v>
      </c>
      <c r="J330" s="5">
        <v>30</v>
      </c>
      <c r="K330" s="8">
        <f t="shared" si="86"/>
        <v>120</v>
      </c>
      <c r="L330" s="8">
        <f t="shared" si="87"/>
        <v>420</v>
      </c>
      <c r="M330" s="8">
        <f>31*16</f>
        <v>496</v>
      </c>
      <c r="N330" s="102"/>
      <c r="O330" s="87">
        <f t="shared" si="88"/>
        <v>208.32</v>
      </c>
    </row>
    <row r="331" spans="5:18" x14ac:dyDescent="0.25">
      <c r="E331" s="44" t="s">
        <v>13</v>
      </c>
      <c r="F331" s="5">
        <v>4</v>
      </c>
      <c r="G331" s="5">
        <v>75</v>
      </c>
      <c r="H331" s="5">
        <v>1</v>
      </c>
      <c r="I331" s="5">
        <f t="shared" si="85"/>
        <v>300</v>
      </c>
      <c r="J331" s="5">
        <v>30</v>
      </c>
      <c r="K331" s="8">
        <f t="shared" si="86"/>
        <v>120</v>
      </c>
      <c r="L331" s="8">
        <f t="shared" si="87"/>
        <v>420</v>
      </c>
      <c r="M331" s="8">
        <f>30*16</f>
        <v>480</v>
      </c>
      <c r="N331" s="102"/>
      <c r="O331" s="87">
        <f t="shared" si="88"/>
        <v>201.6</v>
      </c>
    </row>
    <row r="332" spans="5:18" x14ac:dyDescent="0.25">
      <c r="E332" s="44" t="s">
        <v>24</v>
      </c>
      <c r="F332" s="5">
        <v>4</v>
      </c>
      <c r="G332" s="5">
        <v>75</v>
      </c>
      <c r="H332" s="5">
        <v>1</v>
      </c>
      <c r="I332" s="5">
        <f t="shared" si="85"/>
        <v>300</v>
      </c>
      <c r="J332" s="5">
        <v>30</v>
      </c>
      <c r="K332" s="8">
        <f t="shared" si="86"/>
        <v>120</v>
      </c>
      <c r="L332" s="8">
        <f t="shared" si="87"/>
        <v>420</v>
      </c>
      <c r="M332" s="8">
        <f>31*16</f>
        <v>496</v>
      </c>
      <c r="N332" s="102"/>
      <c r="O332" s="87">
        <f t="shared" si="88"/>
        <v>208.32</v>
      </c>
    </row>
    <row r="333" spans="5:18" x14ac:dyDescent="0.25">
      <c r="E333" s="44" t="s">
        <v>19</v>
      </c>
      <c r="F333" s="5">
        <v>4</v>
      </c>
      <c r="G333" s="5">
        <v>75</v>
      </c>
      <c r="H333" s="5">
        <v>1</v>
      </c>
      <c r="I333" s="5">
        <f t="shared" si="85"/>
        <v>300</v>
      </c>
      <c r="J333" s="5">
        <v>30</v>
      </c>
      <c r="K333" s="8">
        <f t="shared" si="86"/>
        <v>120</v>
      </c>
      <c r="L333" s="8">
        <f t="shared" si="87"/>
        <v>420</v>
      </c>
      <c r="M333" s="8">
        <f>31*16</f>
        <v>496</v>
      </c>
      <c r="N333" s="102"/>
      <c r="O333" s="87">
        <f t="shared" si="88"/>
        <v>208.32</v>
      </c>
    </row>
    <row r="334" spans="5:18" x14ac:dyDescent="0.25">
      <c r="E334" s="44" t="s">
        <v>20</v>
      </c>
      <c r="F334" s="5">
        <v>4</v>
      </c>
      <c r="G334" s="5">
        <v>75</v>
      </c>
      <c r="H334" s="5">
        <v>1</v>
      </c>
      <c r="I334" s="5">
        <f t="shared" si="85"/>
        <v>300</v>
      </c>
      <c r="J334" s="5">
        <v>30</v>
      </c>
      <c r="K334" s="8">
        <f t="shared" si="86"/>
        <v>120</v>
      </c>
      <c r="L334" s="8">
        <f t="shared" si="87"/>
        <v>420</v>
      </c>
      <c r="M334" s="8">
        <f>30*16</f>
        <v>480</v>
      </c>
      <c r="N334" s="102"/>
      <c r="O334" s="87">
        <f t="shared" si="88"/>
        <v>201.6</v>
      </c>
    </row>
    <row r="335" spans="5:18" x14ac:dyDescent="0.25">
      <c r="E335" s="44" t="s">
        <v>21</v>
      </c>
      <c r="F335" s="5">
        <v>4</v>
      </c>
      <c r="G335" s="5">
        <v>75</v>
      </c>
      <c r="H335" s="5">
        <v>1</v>
      </c>
      <c r="I335" s="5">
        <f t="shared" si="85"/>
        <v>300</v>
      </c>
      <c r="J335" s="5">
        <v>30</v>
      </c>
      <c r="K335" s="8">
        <f t="shared" si="86"/>
        <v>120</v>
      </c>
      <c r="L335" s="8">
        <f t="shared" si="87"/>
        <v>420</v>
      </c>
      <c r="M335" s="8">
        <f>31*16</f>
        <v>496</v>
      </c>
      <c r="N335" s="102"/>
      <c r="O335" s="87">
        <f t="shared" si="88"/>
        <v>208.32</v>
      </c>
    </row>
    <row r="336" spans="5:18" x14ac:dyDescent="0.25">
      <c r="E336" s="44" t="s">
        <v>22</v>
      </c>
      <c r="F336" s="5">
        <v>4</v>
      </c>
      <c r="G336" s="5">
        <v>75</v>
      </c>
      <c r="H336" s="5">
        <v>1</v>
      </c>
      <c r="I336" s="5">
        <f t="shared" si="85"/>
        <v>300</v>
      </c>
      <c r="J336" s="5">
        <v>30</v>
      </c>
      <c r="K336" s="8">
        <f t="shared" si="86"/>
        <v>120</v>
      </c>
      <c r="L336" s="8">
        <f t="shared" si="87"/>
        <v>420</v>
      </c>
      <c r="M336" s="8">
        <f>30*16</f>
        <v>480</v>
      </c>
      <c r="N336" s="102"/>
      <c r="O336" s="87">
        <f t="shared" si="88"/>
        <v>201.6</v>
      </c>
    </row>
    <row r="337" spans="5:15" x14ac:dyDescent="0.25">
      <c r="E337" s="44" t="s">
        <v>23</v>
      </c>
      <c r="F337" s="5">
        <v>4</v>
      </c>
      <c r="G337" s="5">
        <v>75</v>
      </c>
      <c r="H337" s="5">
        <v>1</v>
      </c>
      <c r="I337" s="5">
        <f t="shared" si="85"/>
        <v>300</v>
      </c>
      <c r="J337" s="5">
        <v>30</v>
      </c>
      <c r="K337" s="8">
        <f t="shared" si="86"/>
        <v>120</v>
      </c>
      <c r="L337" s="8">
        <f t="shared" si="87"/>
        <v>420</v>
      </c>
      <c r="M337" s="8">
        <f>31*16</f>
        <v>496</v>
      </c>
      <c r="N337" s="102"/>
      <c r="O337" s="87">
        <f t="shared" si="88"/>
        <v>208.32</v>
      </c>
    </row>
    <row r="338" spans="5:15" ht="13.5" thickBot="1" x14ac:dyDescent="0.35">
      <c r="E338" s="312" t="s">
        <v>111</v>
      </c>
      <c r="F338" s="313"/>
      <c r="G338" s="313"/>
      <c r="H338" s="313"/>
      <c r="I338" s="313"/>
      <c r="J338" s="313"/>
      <c r="K338" s="313"/>
      <c r="L338" s="313"/>
      <c r="M338" s="313"/>
      <c r="N338" s="103"/>
      <c r="O338" s="100">
        <f>SUM(O326:O337)</f>
        <v>2452.7999999999997</v>
      </c>
    </row>
    <row r="340" spans="5:15" ht="13.5" thickBot="1" x14ac:dyDescent="0.3"/>
    <row r="341" spans="5:15" x14ac:dyDescent="0.3">
      <c r="E341" s="289" t="s">
        <v>118</v>
      </c>
      <c r="F341" s="290"/>
      <c r="G341" s="290"/>
      <c r="H341" s="290"/>
      <c r="I341" s="290"/>
      <c r="J341" s="290"/>
      <c r="K341" s="291"/>
    </row>
    <row r="342" spans="5:15" ht="15.5" x14ac:dyDescent="0.4">
      <c r="E342" s="49" t="s">
        <v>112</v>
      </c>
      <c r="F342" s="18" t="s">
        <v>113</v>
      </c>
      <c r="G342" s="18" t="s">
        <v>114</v>
      </c>
      <c r="H342" s="18" t="s">
        <v>115</v>
      </c>
      <c r="I342" s="18" t="s">
        <v>64</v>
      </c>
      <c r="J342" s="18" t="s">
        <v>116</v>
      </c>
      <c r="K342" s="86" t="s">
        <v>117</v>
      </c>
    </row>
    <row r="343" spans="5:15" x14ac:dyDescent="0.25">
      <c r="E343" s="49">
        <v>3</v>
      </c>
      <c r="F343" s="18">
        <v>60</v>
      </c>
      <c r="G343" s="18">
        <v>1.24</v>
      </c>
      <c r="H343" s="18">
        <v>0.66</v>
      </c>
      <c r="I343" s="18">
        <v>0.8</v>
      </c>
      <c r="J343" s="18">
        <f>6*365</f>
        <v>2190</v>
      </c>
      <c r="K343" s="35">
        <f>(E343*F343*G343*H343*I343*J343)/1000</f>
        <v>258.09062399999999</v>
      </c>
    </row>
    <row r="344" spans="5:15" ht="13.5" thickBot="1" x14ac:dyDescent="0.35">
      <c r="E344" s="327" t="s">
        <v>118</v>
      </c>
      <c r="F344" s="328"/>
      <c r="G344" s="328"/>
      <c r="H344" s="328"/>
      <c r="I344" s="328"/>
      <c r="J344" s="328"/>
      <c r="K344" s="74">
        <f>K343</f>
        <v>258.09062399999999</v>
      </c>
    </row>
    <row r="346" spans="5:15" ht="13.5" thickBot="1" x14ac:dyDescent="0.3"/>
    <row r="347" spans="5:15" x14ac:dyDescent="0.3">
      <c r="E347" s="295" t="s">
        <v>124</v>
      </c>
      <c r="F347" s="296"/>
      <c r="G347" s="296"/>
      <c r="H347" s="297"/>
    </row>
    <row r="348" spans="5:15" x14ac:dyDescent="0.25">
      <c r="E348" s="44" t="s">
        <v>119</v>
      </c>
      <c r="F348" s="8" t="s">
        <v>120</v>
      </c>
      <c r="G348" s="8" t="s">
        <v>121</v>
      </c>
      <c r="H348" s="87" t="s">
        <v>122</v>
      </c>
    </row>
    <row r="349" spans="5:15" x14ac:dyDescent="0.25">
      <c r="E349" s="44">
        <v>36</v>
      </c>
      <c r="F349" s="8">
        <v>5</v>
      </c>
      <c r="G349" s="8">
        <f>F349*365</f>
        <v>1825</v>
      </c>
      <c r="H349" s="85">
        <f>(E349*G349)/1000</f>
        <v>65.7</v>
      </c>
    </row>
    <row r="350" spans="5:15" ht="13.5" thickBot="1" x14ac:dyDescent="0.35">
      <c r="E350" s="312" t="s">
        <v>123</v>
      </c>
      <c r="F350" s="313"/>
      <c r="G350" s="313"/>
      <c r="H350" s="88">
        <f>H349</f>
        <v>65.7</v>
      </c>
    </row>
    <row r="353" spans="5:12" ht="13.5" thickBot="1" x14ac:dyDescent="0.3"/>
    <row r="354" spans="5:12" x14ac:dyDescent="0.25">
      <c r="E354" s="93" t="s">
        <v>125</v>
      </c>
      <c r="F354" s="90" t="s">
        <v>126</v>
      </c>
      <c r="G354" s="90" t="s">
        <v>127</v>
      </c>
      <c r="H354" s="90" t="s">
        <v>87</v>
      </c>
      <c r="I354" s="90" t="s">
        <v>128</v>
      </c>
      <c r="J354" s="90" t="s">
        <v>129</v>
      </c>
      <c r="K354" s="90" t="s">
        <v>130</v>
      </c>
      <c r="L354" s="91" t="s">
        <v>134</v>
      </c>
    </row>
    <row r="355" spans="5:12" x14ac:dyDescent="0.25">
      <c r="E355" s="94">
        <v>22</v>
      </c>
      <c r="F355" s="27">
        <f>R122</f>
        <v>141.122736</v>
      </c>
      <c r="G355" s="27">
        <f>K$224</f>
        <v>238.95957609216003</v>
      </c>
      <c r="H355" s="27">
        <f>R242</f>
        <v>536.61249263181537</v>
      </c>
      <c r="I355" s="8">
        <f>O$338</f>
        <v>2452.7999999999997</v>
      </c>
      <c r="J355" s="27">
        <f>K$344</f>
        <v>258.09062399999999</v>
      </c>
      <c r="K355" s="8">
        <f>H$350</f>
        <v>65.7</v>
      </c>
      <c r="L355" s="51">
        <f>F355+G355+H355+I355+J355+K355</f>
        <v>3693.2854287239747</v>
      </c>
    </row>
    <row r="356" spans="5:12" x14ac:dyDescent="0.25">
      <c r="E356" s="94">
        <v>23</v>
      </c>
      <c r="F356" s="27">
        <f>R136</f>
        <v>112.74033600000003</v>
      </c>
      <c r="G356" s="27">
        <f t="shared" ref="G356:G361" si="89">K$224</f>
        <v>238.95957609216003</v>
      </c>
      <c r="H356" s="27">
        <f>R255</f>
        <v>487.57427130270173</v>
      </c>
      <c r="I356" s="8">
        <f t="shared" ref="I356:I361" si="90">O$338</f>
        <v>2452.7999999999997</v>
      </c>
      <c r="J356" s="27">
        <f t="shared" ref="J356:J361" si="91">K$344</f>
        <v>258.09062399999999</v>
      </c>
      <c r="K356" s="8">
        <f t="shared" ref="K356:K361" si="92">H$350</f>
        <v>65.7</v>
      </c>
      <c r="L356" s="51">
        <f t="shared" ref="L356:L361" si="93">F356+G356+H356+I356+J356+K356</f>
        <v>3615.8648073948611</v>
      </c>
    </row>
    <row r="357" spans="5:12" x14ac:dyDescent="0.25">
      <c r="E357" s="94">
        <v>24</v>
      </c>
      <c r="F357" s="27">
        <f>R150</f>
        <v>84.357936000000009</v>
      </c>
      <c r="G357" s="27">
        <f t="shared" si="89"/>
        <v>238.95957609216003</v>
      </c>
      <c r="H357" s="27">
        <f>R268</f>
        <v>438.53604997358815</v>
      </c>
      <c r="I357" s="8">
        <f t="shared" si="90"/>
        <v>2452.7999999999997</v>
      </c>
      <c r="J357" s="27">
        <f t="shared" si="91"/>
        <v>258.09062399999999</v>
      </c>
      <c r="K357" s="8">
        <f t="shared" si="92"/>
        <v>65.7</v>
      </c>
      <c r="L357" s="51">
        <f t="shared" si="93"/>
        <v>3538.4441860657475</v>
      </c>
    </row>
    <row r="358" spans="5:12" x14ac:dyDescent="0.25">
      <c r="E358" s="94">
        <v>25</v>
      </c>
      <c r="F358" s="27">
        <f>R164</f>
        <v>55.975536000000005</v>
      </c>
      <c r="G358" s="27">
        <f t="shared" si="89"/>
        <v>238.95957609216003</v>
      </c>
      <c r="H358" s="27">
        <f>R281</f>
        <v>389.49782864447462</v>
      </c>
      <c r="I358" s="8">
        <f t="shared" si="90"/>
        <v>2452.7999999999997</v>
      </c>
      <c r="J358" s="27">
        <f t="shared" si="91"/>
        <v>258.09062399999999</v>
      </c>
      <c r="K358" s="8">
        <f t="shared" si="92"/>
        <v>65.7</v>
      </c>
      <c r="L358" s="51">
        <f t="shared" si="93"/>
        <v>3461.0235647366339</v>
      </c>
    </row>
    <row r="359" spans="5:12" x14ac:dyDescent="0.25">
      <c r="E359" s="94">
        <v>26</v>
      </c>
      <c r="F359" s="27">
        <f>R178</f>
        <v>27.593136000000023</v>
      </c>
      <c r="G359" s="27">
        <f t="shared" si="89"/>
        <v>238.95957609216003</v>
      </c>
      <c r="H359" s="27">
        <f>R294</f>
        <v>340.45960731536098</v>
      </c>
      <c r="I359" s="8">
        <f t="shared" si="90"/>
        <v>2452.7999999999997</v>
      </c>
      <c r="J359" s="27">
        <f t="shared" si="91"/>
        <v>258.09062399999999</v>
      </c>
      <c r="K359" s="8">
        <f t="shared" si="92"/>
        <v>65.7</v>
      </c>
      <c r="L359" s="51">
        <f t="shared" si="93"/>
        <v>3383.6029434075203</v>
      </c>
    </row>
    <row r="360" spans="5:12" x14ac:dyDescent="0.25">
      <c r="E360" s="94">
        <v>27</v>
      </c>
      <c r="F360" s="27">
        <f>R192</f>
        <v>-0.78926399999998154</v>
      </c>
      <c r="G360" s="27">
        <f t="shared" si="89"/>
        <v>238.95957609216003</v>
      </c>
      <c r="H360" s="27">
        <f>R307</f>
        <v>291.42138598624734</v>
      </c>
      <c r="I360" s="8">
        <f t="shared" si="90"/>
        <v>2452.7999999999997</v>
      </c>
      <c r="J360" s="27">
        <f t="shared" si="91"/>
        <v>258.09062399999999</v>
      </c>
      <c r="K360" s="8">
        <f t="shared" si="92"/>
        <v>65.7</v>
      </c>
      <c r="L360" s="51">
        <f t="shared" si="93"/>
        <v>3306.1823220784067</v>
      </c>
    </row>
    <row r="361" spans="5:12" ht="13.5" thickBot="1" x14ac:dyDescent="0.3">
      <c r="E361" s="95">
        <v>28</v>
      </c>
      <c r="F361" s="89">
        <f>R206</f>
        <v>-29.171663999999982</v>
      </c>
      <c r="G361" s="89">
        <f t="shared" si="89"/>
        <v>238.95957609216003</v>
      </c>
      <c r="H361" s="89">
        <f>R320</f>
        <v>242.38316465713373</v>
      </c>
      <c r="I361" s="21">
        <f t="shared" si="90"/>
        <v>2452.7999999999997</v>
      </c>
      <c r="J361" s="89">
        <f t="shared" si="91"/>
        <v>258.09062399999999</v>
      </c>
      <c r="K361" s="21">
        <f t="shared" si="92"/>
        <v>65.7</v>
      </c>
      <c r="L361" s="92">
        <f t="shared" si="93"/>
        <v>3228.7617007492931</v>
      </c>
    </row>
    <row r="362" spans="5:12" x14ac:dyDescent="0.25">
      <c r="E362" s="32"/>
      <c r="F362" s="32"/>
      <c r="G362" s="32"/>
      <c r="H362" s="32"/>
      <c r="I362" s="32"/>
      <c r="J362" s="32"/>
      <c r="K362" s="32"/>
    </row>
    <row r="363" spans="5:12" x14ac:dyDescent="0.25">
      <c r="E363" s="32"/>
      <c r="F363" s="32"/>
      <c r="G363" s="32"/>
      <c r="H363" s="32"/>
      <c r="I363" s="32"/>
      <c r="J363" s="32"/>
      <c r="K363" s="32"/>
    </row>
    <row r="364" spans="5:12" x14ac:dyDescent="0.25">
      <c r="E364" s="32"/>
      <c r="F364" s="32"/>
      <c r="G364" s="32"/>
      <c r="H364" s="32"/>
      <c r="I364" s="32"/>
      <c r="J364" s="32"/>
      <c r="K364" s="32"/>
    </row>
    <row r="365" spans="5:12" x14ac:dyDescent="0.25">
      <c r="E365" s="32"/>
      <c r="F365" s="32"/>
      <c r="G365" s="32"/>
      <c r="H365" s="32"/>
      <c r="I365" s="32"/>
      <c r="J365" s="32"/>
      <c r="K365" s="32"/>
    </row>
    <row r="366" spans="5:12" x14ac:dyDescent="0.25">
      <c r="E366" s="32"/>
      <c r="F366" s="32"/>
      <c r="G366" s="32"/>
      <c r="H366" s="32"/>
      <c r="I366" s="32"/>
      <c r="J366" s="32"/>
      <c r="K366" s="32"/>
    </row>
    <row r="367" spans="5:12" x14ac:dyDescent="0.25">
      <c r="E367" s="32"/>
      <c r="F367" s="32"/>
      <c r="G367" s="32"/>
      <c r="H367" s="32"/>
      <c r="I367" s="32"/>
      <c r="J367" s="32"/>
      <c r="K367" s="32"/>
    </row>
    <row r="368" spans="5:12" x14ac:dyDescent="0.25">
      <c r="E368" s="32"/>
      <c r="F368" s="32"/>
      <c r="G368" s="32"/>
      <c r="H368" s="32"/>
      <c r="I368" s="32"/>
      <c r="J368" s="32"/>
      <c r="K368" s="32"/>
    </row>
    <row r="369" spans="5:11" x14ac:dyDescent="0.25">
      <c r="E369" s="32"/>
      <c r="F369" s="32"/>
      <c r="G369" s="32"/>
      <c r="H369" s="32"/>
      <c r="I369" s="32"/>
      <c r="J369" s="32"/>
      <c r="K369" s="32"/>
    </row>
  </sheetData>
  <mergeCells count="47">
    <mergeCell ref="E75:N75"/>
    <mergeCell ref="E3:AI3"/>
    <mergeCell ref="E17:N17"/>
    <mergeCell ref="E31:N31"/>
    <mergeCell ref="F60:N60"/>
    <mergeCell ref="E61:AH61"/>
    <mergeCell ref="F45:N45"/>
    <mergeCell ref="E46:AH46"/>
    <mergeCell ref="E255:Q255"/>
    <mergeCell ref="E164:Q164"/>
    <mergeCell ref="E89:N89"/>
    <mergeCell ref="E103:N103"/>
    <mergeCell ref="B107:C108"/>
    <mergeCell ref="E107:R107"/>
    <mergeCell ref="E108:R108"/>
    <mergeCell ref="E122:Q122"/>
    <mergeCell ref="E123:R123"/>
    <mergeCell ref="E136:Q136"/>
    <mergeCell ref="E137:R137"/>
    <mergeCell ref="E150:Q150"/>
    <mergeCell ref="E151:R151"/>
    <mergeCell ref="E104:AH104"/>
    <mergeCell ref="E344:J344"/>
    <mergeCell ref="E347:H347"/>
    <mergeCell ref="E350:G350"/>
    <mergeCell ref="E281:Q281"/>
    <mergeCell ref="E294:Q294"/>
    <mergeCell ref="E307:Q307"/>
    <mergeCell ref="E320:Q320"/>
    <mergeCell ref="Q323:R325"/>
    <mergeCell ref="E324:O324"/>
    <mergeCell ref="AO5:AQ5"/>
    <mergeCell ref="AO47:AQ47"/>
    <mergeCell ref="AO77:AQ77"/>
    <mergeCell ref="E338:M338"/>
    <mergeCell ref="E341:K341"/>
    <mergeCell ref="E268:Q268"/>
    <mergeCell ref="E165:R165"/>
    <mergeCell ref="E178:Q178"/>
    <mergeCell ref="E179:R179"/>
    <mergeCell ref="E192:Q192"/>
    <mergeCell ref="E193:R193"/>
    <mergeCell ref="E206:Q206"/>
    <mergeCell ref="E210:K210"/>
    <mergeCell ref="E224:J224"/>
    <mergeCell ref="E228:R228"/>
    <mergeCell ref="E242:Q24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369E2-AF12-4707-96AB-052C955CA3B8}">
  <dimension ref="B2:AR369"/>
  <sheetViews>
    <sheetView topLeftCell="A336" zoomScale="49" zoomScaleNormal="92" workbookViewId="0">
      <selection activeCell="H218" sqref="H218:H221"/>
    </sheetView>
  </sheetViews>
  <sheetFormatPr defaultRowHeight="13" x14ac:dyDescent="0.25"/>
  <cols>
    <col min="2" max="2" width="15.26953125" customWidth="1"/>
    <col min="3" max="3" width="17.1796875" customWidth="1"/>
    <col min="5" max="5" width="12.81640625" customWidth="1"/>
    <col min="6" max="6" width="11.54296875" customWidth="1"/>
    <col min="7" max="7" width="9" style="1" customWidth="1"/>
    <col min="8" max="8" width="10.1796875" customWidth="1"/>
    <col min="9" max="9" width="17.81640625" customWidth="1"/>
    <col min="10" max="10" width="14.1796875" customWidth="1"/>
    <col min="11" max="11" width="11.453125" customWidth="1"/>
    <col min="12" max="12" width="19.26953125" customWidth="1"/>
    <col min="13" max="14" width="12.1796875" customWidth="1"/>
    <col min="15" max="15" width="15.54296875" style="32" customWidth="1"/>
    <col min="16" max="16" width="17.1796875" style="1" customWidth="1"/>
    <col min="17" max="17" width="28.1796875" style="1" customWidth="1"/>
    <col min="18" max="18" width="23" customWidth="1"/>
    <col min="19" max="19" width="18.81640625" customWidth="1"/>
    <col min="20" max="20" width="11.54296875" customWidth="1"/>
    <col min="21" max="21" width="9.7265625" customWidth="1"/>
    <col min="22" max="23" width="9.26953125" bestFit="1" customWidth="1"/>
    <col min="24" max="24" width="12" customWidth="1"/>
    <col min="25" max="25" width="12" bestFit="1" customWidth="1"/>
    <col min="26" max="27" width="9.26953125" bestFit="1" customWidth="1"/>
    <col min="28" max="28" width="11.26953125" customWidth="1"/>
    <col min="29" max="29" width="10.453125" customWidth="1"/>
    <col min="30" max="30" width="21.54296875" customWidth="1"/>
    <col min="31" max="31" width="15" customWidth="1"/>
    <col min="35" max="35" width="11" customWidth="1"/>
    <col min="36" max="36" width="8.7265625" style="32"/>
    <col min="37" max="38" width="8.7265625" style="39"/>
    <col min="42" max="42" width="19.81640625" customWidth="1"/>
    <col min="43" max="43" width="15.81640625" customWidth="1"/>
    <col min="44" max="44" width="12.81640625" customWidth="1"/>
  </cols>
  <sheetData>
    <row r="2" spans="2:44" ht="13.5" thickBot="1" x14ac:dyDescent="0.3"/>
    <row r="3" spans="2:44" x14ac:dyDescent="0.3">
      <c r="E3" s="376" t="s">
        <v>9</v>
      </c>
      <c r="F3" s="377"/>
      <c r="G3" s="377"/>
      <c r="H3" s="377"/>
      <c r="I3" s="377"/>
      <c r="J3" s="377"/>
      <c r="K3" s="377"/>
      <c r="L3" s="377"/>
      <c r="M3" s="377"/>
      <c r="N3" s="377"/>
      <c r="O3" s="377"/>
      <c r="P3" s="377"/>
      <c r="Q3" s="377"/>
      <c r="R3" s="377"/>
      <c r="S3" s="377"/>
      <c r="T3" s="377"/>
      <c r="U3" s="377"/>
      <c r="V3" s="377"/>
      <c r="W3" s="377"/>
      <c r="X3" s="377"/>
      <c r="Y3" s="377"/>
      <c r="Z3" s="377"/>
      <c r="AA3" s="377"/>
      <c r="AB3" s="377"/>
      <c r="AC3" s="377"/>
      <c r="AD3" s="377"/>
      <c r="AE3" s="377"/>
      <c r="AF3" s="377"/>
      <c r="AG3" s="377"/>
      <c r="AH3" s="377"/>
      <c r="AI3" s="378"/>
    </row>
    <row r="4" spans="2:44" ht="15" customHeight="1" thickBot="1" x14ac:dyDescent="0.45">
      <c r="E4" s="2" t="s">
        <v>0</v>
      </c>
      <c r="F4" s="3"/>
      <c r="G4" s="5"/>
      <c r="H4" s="4"/>
      <c r="I4" s="4"/>
      <c r="J4" s="4"/>
      <c r="K4" s="4"/>
      <c r="L4" s="4"/>
      <c r="M4" s="3" t="s">
        <v>138</v>
      </c>
      <c r="N4" s="3" t="s">
        <v>137</v>
      </c>
      <c r="O4" s="8" t="s">
        <v>2</v>
      </c>
      <c r="P4" s="4" t="s">
        <v>10</v>
      </c>
      <c r="Q4" s="4" t="s">
        <v>11</v>
      </c>
      <c r="R4" s="4"/>
      <c r="S4" s="4"/>
      <c r="T4" s="4" t="s">
        <v>3</v>
      </c>
      <c r="U4" s="4"/>
      <c r="V4" s="4"/>
      <c r="W4" s="4"/>
      <c r="X4" s="4" t="s">
        <v>3</v>
      </c>
      <c r="Y4" s="4"/>
      <c r="Z4" s="4"/>
      <c r="AA4" s="4"/>
      <c r="AB4" s="4" t="s">
        <v>3</v>
      </c>
      <c r="AC4" s="4"/>
      <c r="AD4" s="4" t="s">
        <v>4</v>
      </c>
      <c r="AE4" s="4" t="s">
        <v>5</v>
      </c>
      <c r="AF4" s="4" t="s">
        <v>6</v>
      </c>
      <c r="AG4" s="4"/>
      <c r="AH4" s="4" t="s">
        <v>7</v>
      </c>
      <c r="AI4" s="6" t="s">
        <v>8</v>
      </c>
    </row>
    <row r="5" spans="2:44" ht="15" customHeight="1" x14ac:dyDescent="0.3">
      <c r="B5" s="54"/>
      <c r="C5" s="54"/>
      <c r="E5" s="2" t="s">
        <v>15</v>
      </c>
      <c r="F5" s="7">
        <v>22</v>
      </c>
      <c r="G5" s="54">
        <v>34.400654639999999</v>
      </c>
      <c r="H5" s="5">
        <v>420</v>
      </c>
      <c r="I5" s="5">
        <v>118.8</v>
      </c>
      <c r="J5" s="5">
        <v>36</v>
      </c>
      <c r="K5" s="8">
        <v>191.96</v>
      </c>
      <c r="L5" s="8">
        <v>8.4700000000000006</v>
      </c>
      <c r="M5" s="9">
        <f>(F5-((G5+H5+I5+J5)/(K5+L5)))</f>
        <v>18.960531583894628</v>
      </c>
      <c r="N5" s="9">
        <v>19</v>
      </c>
      <c r="O5" s="32">
        <v>244.7</v>
      </c>
      <c r="P5" s="4"/>
      <c r="Q5" s="4"/>
      <c r="R5" s="4"/>
      <c r="S5" s="4"/>
      <c r="T5" s="4"/>
      <c r="U5" s="4"/>
      <c r="V5" s="4"/>
      <c r="W5" s="4"/>
      <c r="X5" s="4"/>
      <c r="Y5" s="4"/>
      <c r="Z5" s="4"/>
      <c r="AA5" s="4"/>
      <c r="AB5" s="4"/>
      <c r="AC5" s="4"/>
      <c r="AD5" s="4"/>
      <c r="AE5" s="4"/>
      <c r="AF5" s="4"/>
      <c r="AG5" s="4"/>
      <c r="AH5" s="4"/>
      <c r="AI5" s="6"/>
      <c r="AP5" s="295" t="s">
        <v>202</v>
      </c>
      <c r="AQ5" s="296"/>
      <c r="AR5" s="297"/>
    </row>
    <row r="6" spans="2:44" ht="15" customHeight="1" x14ac:dyDescent="0.25">
      <c r="B6" s="54"/>
      <c r="C6" s="54"/>
      <c r="E6" s="2" t="s">
        <v>16</v>
      </c>
      <c r="F6" s="7">
        <v>22</v>
      </c>
      <c r="G6" s="54">
        <v>37.843264800000007</v>
      </c>
      <c r="H6" s="5">
        <v>420</v>
      </c>
      <c r="I6" s="5">
        <v>118.8</v>
      </c>
      <c r="J6" s="5">
        <v>36</v>
      </c>
      <c r="K6" s="8">
        <v>191.96</v>
      </c>
      <c r="L6" s="8">
        <v>8.4700000000000006</v>
      </c>
      <c r="M6" s="9">
        <f t="shared" ref="M6:M16" si="0">(F6-((G6+H6+I6+J6)/(K6+L6)))</f>
        <v>18.943355461757221</v>
      </c>
      <c r="N6" s="9">
        <v>19</v>
      </c>
      <c r="O6" s="32">
        <v>249.4</v>
      </c>
      <c r="P6" s="4"/>
      <c r="Q6" s="4"/>
      <c r="R6" s="4"/>
      <c r="S6" s="4"/>
      <c r="T6" s="4"/>
      <c r="U6" s="4"/>
      <c r="V6" s="4"/>
      <c r="W6" s="4"/>
      <c r="X6" s="4"/>
      <c r="Y6" s="4"/>
      <c r="Z6" s="4"/>
      <c r="AA6" s="4"/>
      <c r="AB6" s="4"/>
      <c r="AC6" s="4"/>
      <c r="AD6" s="4"/>
      <c r="AE6" s="4"/>
      <c r="AF6" s="4"/>
      <c r="AG6" s="4"/>
      <c r="AH6" s="4"/>
      <c r="AI6" s="6"/>
      <c r="AP6" s="76" t="s">
        <v>195</v>
      </c>
      <c r="AQ6" s="27" t="s">
        <v>196</v>
      </c>
      <c r="AR6" s="86" t="s">
        <v>201</v>
      </c>
    </row>
    <row r="7" spans="2:44" ht="15" customHeight="1" x14ac:dyDescent="0.25">
      <c r="B7" s="54"/>
      <c r="C7" s="54"/>
      <c r="E7" s="2" t="s">
        <v>17</v>
      </c>
      <c r="F7" s="7">
        <v>22</v>
      </c>
      <c r="G7" s="54">
        <v>40.137126480000006</v>
      </c>
      <c r="H7" s="5">
        <v>420</v>
      </c>
      <c r="I7" s="5">
        <v>118.8</v>
      </c>
      <c r="J7" s="5">
        <v>36</v>
      </c>
      <c r="K7" s="8">
        <v>191.96</v>
      </c>
      <c r="L7" s="8">
        <v>8.4700000000000006</v>
      </c>
      <c r="M7" s="9">
        <f t="shared" si="0"/>
        <v>18.931910759467147</v>
      </c>
      <c r="N7" s="9">
        <v>19</v>
      </c>
      <c r="O7" s="32">
        <v>318.8</v>
      </c>
      <c r="P7" s="4"/>
      <c r="Q7" s="4"/>
      <c r="R7" s="4"/>
      <c r="S7" s="4"/>
      <c r="T7" s="4"/>
      <c r="U7" s="4"/>
      <c r="V7" s="4"/>
      <c r="W7" s="4"/>
      <c r="X7" s="4"/>
      <c r="Y7" s="4"/>
      <c r="Z7" s="4"/>
      <c r="AA7" s="4"/>
      <c r="AB7" s="4"/>
      <c r="AC7" s="4"/>
      <c r="AD7" s="4"/>
      <c r="AE7" s="4"/>
      <c r="AF7" s="4"/>
      <c r="AG7" s="4"/>
      <c r="AH7" s="4"/>
      <c r="AI7" s="6"/>
      <c r="AP7" s="76">
        <v>22</v>
      </c>
      <c r="AQ7" s="27">
        <v>16</v>
      </c>
      <c r="AR7" s="145">
        <f>AQ7/AQ10</f>
        <v>0.34782608695652173</v>
      </c>
    </row>
    <row r="8" spans="2:44" ht="15" customHeight="1" x14ac:dyDescent="0.25">
      <c r="B8" s="54"/>
      <c r="C8" s="54"/>
      <c r="E8" s="2" t="s">
        <v>18</v>
      </c>
      <c r="F8" s="7">
        <v>22</v>
      </c>
      <c r="G8" s="54">
        <v>44.721214560000007</v>
      </c>
      <c r="H8" s="5">
        <v>420</v>
      </c>
      <c r="I8" s="5">
        <v>118.8</v>
      </c>
      <c r="J8" s="5">
        <v>36</v>
      </c>
      <c r="K8" s="8">
        <v>191.96</v>
      </c>
      <c r="L8" s="8">
        <v>8.4700000000000006</v>
      </c>
      <c r="M8" s="9">
        <f t="shared" si="0"/>
        <v>18.909039492291573</v>
      </c>
      <c r="N8" s="9">
        <v>19</v>
      </c>
      <c r="O8" s="32">
        <v>335.3</v>
      </c>
      <c r="P8" s="4"/>
      <c r="Q8" s="4"/>
      <c r="R8" s="4"/>
      <c r="S8" s="4"/>
      <c r="T8" s="4"/>
      <c r="U8" s="4"/>
      <c r="V8" s="4"/>
      <c r="W8" s="4"/>
      <c r="X8" s="4"/>
      <c r="Y8" s="4"/>
      <c r="Z8" s="4"/>
      <c r="AA8" s="4"/>
      <c r="AB8" s="4"/>
      <c r="AC8" s="4"/>
      <c r="AD8" s="4"/>
      <c r="AE8" s="4"/>
      <c r="AF8" s="4"/>
      <c r="AG8" s="4"/>
      <c r="AH8" s="4"/>
      <c r="AI8" s="6"/>
      <c r="AP8" s="76">
        <v>23</v>
      </c>
      <c r="AQ8" s="27">
        <v>10</v>
      </c>
      <c r="AR8" s="145">
        <f>AQ8/AQ10</f>
        <v>0.21739130434782608</v>
      </c>
    </row>
    <row r="9" spans="2:44" ht="15" customHeight="1" x14ac:dyDescent="0.25">
      <c r="B9" s="54"/>
      <c r="C9" s="54"/>
      <c r="E9" s="2" t="s">
        <v>12</v>
      </c>
      <c r="F9" s="7">
        <v>22</v>
      </c>
      <c r="G9" s="54">
        <v>59.629497840000013</v>
      </c>
      <c r="H9" s="5">
        <v>420</v>
      </c>
      <c r="I9" s="5">
        <v>118.8</v>
      </c>
      <c r="J9" s="5">
        <v>36</v>
      </c>
      <c r="K9" s="8">
        <v>191.96</v>
      </c>
      <c r="L9" s="8">
        <v>8.4700000000000006</v>
      </c>
      <c r="M9" s="9">
        <f t="shared" si="0"/>
        <v>18.834657996108369</v>
      </c>
      <c r="N9" s="9">
        <v>19</v>
      </c>
      <c r="O9" s="32">
        <v>372.4</v>
      </c>
      <c r="P9" s="4"/>
      <c r="Q9" s="4"/>
      <c r="R9" s="4"/>
      <c r="S9" s="4"/>
      <c r="T9" s="4"/>
      <c r="U9" s="4"/>
      <c r="V9" s="4"/>
      <c r="W9" s="4"/>
      <c r="X9" s="4"/>
      <c r="Y9" s="4"/>
      <c r="Z9" s="4"/>
      <c r="AA9" s="4"/>
      <c r="AB9" s="4"/>
      <c r="AC9" s="4"/>
      <c r="AD9" s="4"/>
      <c r="AE9" s="4"/>
      <c r="AF9" s="4"/>
      <c r="AG9" s="4"/>
      <c r="AH9" s="4"/>
      <c r="AI9" s="6"/>
      <c r="AP9" s="76">
        <v>24</v>
      </c>
      <c r="AQ9" s="27">
        <v>20</v>
      </c>
      <c r="AR9" s="145">
        <f>AQ9/AQ10</f>
        <v>0.43478260869565216</v>
      </c>
    </row>
    <row r="10" spans="2:44" ht="15" customHeight="1" thickBot="1" x14ac:dyDescent="0.3">
      <c r="B10" s="54"/>
      <c r="C10" s="54"/>
      <c r="E10" s="2" t="s">
        <v>13</v>
      </c>
      <c r="F10" s="7">
        <v>22</v>
      </c>
      <c r="G10" s="54">
        <v>75.686529600000014</v>
      </c>
      <c r="H10" s="5">
        <v>420</v>
      </c>
      <c r="I10" s="5">
        <v>118.8</v>
      </c>
      <c r="J10" s="5">
        <v>36</v>
      </c>
      <c r="K10" s="8">
        <v>191.96</v>
      </c>
      <c r="L10" s="8">
        <v>8.4700000000000006</v>
      </c>
      <c r="M10" s="9">
        <f t="shared" si="0"/>
        <v>18.754545080077833</v>
      </c>
      <c r="N10" s="9">
        <v>19</v>
      </c>
      <c r="O10" s="32">
        <v>321</v>
      </c>
      <c r="P10" s="4"/>
      <c r="Q10" s="4"/>
      <c r="R10" s="4"/>
      <c r="S10" s="4"/>
      <c r="T10" s="4"/>
      <c r="U10" s="4"/>
      <c r="V10" s="4"/>
      <c r="W10" s="4"/>
      <c r="X10" s="4"/>
      <c r="Y10" s="4"/>
      <c r="Z10" s="4"/>
      <c r="AA10" s="4"/>
      <c r="AB10" s="4"/>
      <c r="AC10" s="4"/>
      <c r="AD10" s="4"/>
      <c r="AE10" s="4"/>
      <c r="AF10" s="4"/>
      <c r="AG10" s="4"/>
      <c r="AH10" s="4"/>
      <c r="AI10" s="6"/>
      <c r="AP10" s="142"/>
      <c r="AQ10" s="89">
        <f>AQ7+AQ8+AQ9</f>
        <v>46</v>
      </c>
      <c r="AR10" s="140"/>
    </row>
    <row r="11" spans="2:44" x14ac:dyDescent="0.25">
      <c r="B11" s="54"/>
      <c r="C11" s="54"/>
      <c r="E11" s="2" t="s">
        <v>1</v>
      </c>
      <c r="F11" s="7">
        <v>22</v>
      </c>
      <c r="G11" s="54">
        <v>63.072108000000007</v>
      </c>
      <c r="H11" s="5">
        <v>420</v>
      </c>
      <c r="I11" s="5">
        <v>118.8</v>
      </c>
      <c r="J11" s="5">
        <v>36</v>
      </c>
      <c r="K11" s="8">
        <v>191.96</v>
      </c>
      <c r="L11" s="8">
        <v>8.4700000000000006</v>
      </c>
      <c r="M11" s="9">
        <f t="shared" si="0"/>
        <v>18.817481873970962</v>
      </c>
      <c r="N11" s="9">
        <v>19</v>
      </c>
      <c r="O11" s="32">
        <v>289.10000000000002</v>
      </c>
      <c r="P11" s="8"/>
      <c r="Q11" s="8"/>
      <c r="R11" s="4"/>
      <c r="S11" s="4"/>
      <c r="T11" s="4"/>
      <c r="U11" s="4"/>
      <c r="V11" s="4"/>
      <c r="W11" s="4"/>
      <c r="X11" s="4"/>
      <c r="Y11" s="4"/>
      <c r="Z11" s="4"/>
      <c r="AA11" s="4"/>
      <c r="AB11" s="4"/>
      <c r="AC11" s="4"/>
      <c r="AD11" s="4"/>
      <c r="AE11" s="4"/>
      <c r="AF11" s="4"/>
      <c r="AG11" s="4"/>
      <c r="AH11" s="4"/>
      <c r="AI11" s="6"/>
    </row>
    <row r="12" spans="2:44" x14ac:dyDescent="0.25">
      <c r="B12" s="54"/>
      <c r="C12" s="54"/>
      <c r="E12" s="2" t="s">
        <v>19</v>
      </c>
      <c r="F12" s="7">
        <v>22</v>
      </c>
      <c r="G12" s="54">
        <v>47.015076240000013</v>
      </c>
      <c r="H12" s="5">
        <v>420</v>
      </c>
      <c r="I12" s="5">
        <v>118.8</v>
      </c>
      <c r="J12" s="5">
        <v>36</v>
      </c>
      <c r="K12" s="8">
        <v>191.96</v>
      </c>
      <c r="L12" s="8">
        <v>8.4700000000000006</v>
      </c>
      <c r="M12" s="9">
        <f t="shared" si="0"/>
        <v>18.897594790001499</v>
      </c>
      <c r="N12" s="9">
        <v>19</v>
      </c>
      <c r="O12" s="32">
        <v>316.10000000000002</v>
      </c>
      <c r="P12" s="8"/>
      <c r="Q12" s="8"/>
      <c r="R12" s="4"/>
      <c r="S12" s="4"/>
      <c r="T12" s="4"/>
      <c r="U12" s="4"/>
      <c r="V12" s="4"/>
      <c r="W12" s="4"/>
      <c r="X12" s="4"/>
      <c r="Y12" s="4"/>
      <c r="Z12" s="4"/>
      <c r="AA12" s="4"/>
      <c r="AB12" s="4"/>
      <c r="AC12" s="4"/>
      <c r="AD12" s="4"/>
      <c r="AE12" s="4"/>
      <c r="AF12" s="4"/>
      <c r="AG12" s="4"/>
      <c r="AH12" s="4"/>
      <c r="AI12" s="6"/>
    </row>
    <row r="13" spans="2:44" x14ac:dyDescent="0.25">
      <c r="B13" s="54"/>
      <c r="C13" s="54"/>
      <c r="E13" s="2" t="s">
        <v>20</v>
      </c>
      <c r="F13" s="7">
        <v>22</v>
      </c>
      <c r="G13" s="54">
        <v>41.282239680000004</v>
      </c>
      <c r="H13" s="5">
        <v>420</v>
      </c>
      <c r="I13" s="5">
        <v>118.8</v>
      </c>
      <c r="J13" s="5">
        <v>36</v>
      </c>
      <c r="K13" s="8">
        <v>191.96</v>
      </c>
      <c r="L13" s="8">
        <v>8.4700000000000006</v>
      </c>
      <c r="M13" s="9">
        <f t="shared" si="0"/>
        <v>18.926197477024399</v>
      </c>
      <c r="N13" s="9">
        <v>19</v>
      </c>
      <c r="O13" s="32">
        <v>270.3</v>
      </c>
      <c r="P13" s="8"/>
      <c r="Q13" s="8"/>
      <c r="R13" s="4"/>
      <c r="S13" s="4"/>
      <c r="T13" s="4"/>
      <c r="U13" s="4"/>
      <c r="V13" s="4"/>
      <c r="W13" s="4"/>
      <c r="X13" s="4"/>
      <c r="Y13" s="4"/>
      <c r="Z13" s="4"/>
      <c r="AA13" s="4"/>
      <c r="AB13" s="4"/>
      <c r="AC13" s="4"/>
      <c r="AD13" s="4"/>
      <c r="AE13" s="4"/>
      <c r="AF13" s="4"/>
      <c r="AG13" s="4"/>
      <c r="AH13" s="4"/>
      <c r="AI13" s="6"/>
    </row>
    <row r="14" spans="2:44" x14ac:dyDescent="0.25">
      <c r="B14" s="54"/>
      <c r="C14" s="54"/>
      <c r="E14" s="2" t="s">
        <v>21</v>
      </c>
      <c r="F14" s="7">
        <v>22</v>
      </c>
      <c r="G14" s="54">
        <v>37.843264800000007</v>
      </c>
      <c r="H14" s="5">
        <v>420</v>
      </c>
      <c r="I14" s="5">
        <v>118.8</v>
      </c>
      <c r="J14" s="5">
        <v>36</v>
      </c>
      <c r="K14" s="8">
        <v>191.96</v>
      </c>
      <c r="L14" s="8">
        <v>8.4700000000000006</v>
      </c>
      <c r="M14" s="9">
        <f t="shared" si="0"/>
        <v>18.943355461757221</v>
      </c>
      <c r="N14" s="9">
        <v>19</v>
      </c>
      <c r="O14" s="32">
        <v>275.89999999999998</v>
      </c>
      <c r="P14" s="8"/>
      <c r="Q14" s="8"/>
      <c r="R14" s="4"/>
      <c r="S14" s="4"/>
      <c r="T14" s="4"/>
      <c r="U14" s="4"/>
      <c r="V14" s="4"/>
      <c r="W14" s="4"/>
      <c r="X14" s="4"/>
      <c r="Y14" s="4"/>
      <c r="Z14" s="4"/>
      <c r="AA14" s="4"/>
      <c r="AB14" s="4"/>
      <c r="AC14" s="4"/>
      <c r="AD14" s="4"/>
      <c r="AE14" s="4"/>
      <c r="AF14" s="4"/>
      <c r="AG14" s="4"/>
      <c r="AH14" s="4"/>
      <c r="AI14" s="6"/>
    </row>
    <row r="15" spans="2:44" x14ac:dyDescent="0.25">
      <c r="B15" s="54"/>
      <c r="C15" s="54"/>
      <c r="E15" s="2" t="s">
        <v>22</v>
      </c>
      <c r="F15" s="7">
        <v>22</v>
      </c>
      <c r="G15" s="54">
        <v>34.400654639999999</v>
      </c>
      <c r="H15" s="5">
        <v>420</v>
      </c>
      <c r="I15" s="5">
        <v>118.8</v>
      </c>
      <c r="J15" s="5">
        <v>36</v>
      </c>
      <c r="K15" s="8">
        <v>191.96</v>
      </c>
      <c r="L15" s="8">
        <v>8.4700000000000006</v>
      </c>
      <c r="M15" s="9">
        <f t="shared" si="0"/>
        <v>18.960531583894628</v>
      </c>
      <c r="N15" s="9">
        <v>19</v>
      </c>
      <c r="O15" s="32">
        <v>284.5</v>
      </c>
      <c r="P15" s="8"/>
      <c r="Q15" s="8"/>
      <c r="R15" s="4"/>
      <c r="S15" s="4"/>
      <c r="T15" s="4"/>
      <c r="U15" s="4"/>
      <c r="V15" s="4"/>
      <c r="W15" s="4"/>
      <c r="X15" s="4"/>
      <c r="Y15" s="4"/>
      <c r="Z15" s="4"/>
      <c r="AA15" s="4"/>
      <c r="AB15" s="4"/>
      <c r="AC15" s="4"/>
      <c r="AD15" s="4"/>
      <c r="AE15" s="4"/>
      <c r="AF15" s="4"/>
      <c r="AG15" s="4"/>
      <c r="AH15" s="4"/>
      <c r="AI15" s="6"/>
      <c r="AP15" s="82"/>
      <c r="AQ15" s="82"/>
      <c r="AR15" s="54"/>
    </row>
    <row r="16" spans="2:44" x14ac:dyDescent="0.25">
      <c r="B16" s="54"/>
      <c r="C16" s="54"/>
      <c r="E16" s="2" t="s">
        <v>23</v>
      </c>
      <c r="F16" s="7">
        <v>22</v>
      </c>
      <c r="G16" s="54">
        <v>33.255541440000002</v>
      </c>
      <c r="H16" s="5">
        <v>420</v>
      </c>
      <c r="I16" s="5">
        <v>118.8</v>
      </c>
      <c r="J16" s="5">
        <v>36</v>
      </c>
      <c r="K16" s="8">
        <v>191.96</v>
      </c>
      <c r="L16" s="8">
        <v>8.4700000000000006</v>
      </c>
      <c r="M16" s="9">
        <f t="shared" si="0"/>
        <v>18.966244866337377</v>
      </c>
      <c r="N16" s="9">
        <v>19</v>
      </c>
      <c r="O16" s="32">
        <v>252.4</v>
      </c>
      <c r="P16" s="8"/>
      <c r="Q16" s="8"/>
      <c r="R16" s="4"/>
      <c r="S16" s="4"/>
      <c r="T16" s="4"/>
      <c r="U16" s="4"/>
      <c r="V16" s="4"/>
      <c r="W16" s="4"/>
      <c r="X16" s="4"/>
      <c r="Y16" s="4"/>
      <c r="Z16" s="4"/>
      <c r="AA16" s="4"/>
      <c r="AB16" s="4"/>
      <c r="AC16" s="4"/>
      <c r="AD16" s="4"/>
      <c r="AE16" s="4"/>
      <c r="AF16" s="4"/>
      <c r="AG16" s="4"/>
      <c r="AH16" s="4"/>
      <c r="AI16" s="6"/>
      <c r="AP16" s="82"/>
      <c r="AQ16" s="82"/>
      <c r="AR16" s="54"/>
    </row>
    <row r="17" spans="5:44" ht="14.15" customHeight="1" x14ac:dyDescent="0.3">
      <c r="E17" s="168" t="s">
        <v>3</v>
      </c>
      <c r="F17" s="398"/>
      <c r="G17" s="398"/>
      <c r="H17" s="398"/>
      <c r="I17" s="398"/>
      <c r="J17" s="398"/>
      <c r="K17" s="398"/>
      <c r="L17" s="398"/>
      <c r="M17" s="398"/>
      <c r="N17" s="399"/>
      <c r="O17" s="11">
        <f>SUM(O5:O16)</f>
        <v>3529.9</v>
      </c>
      <c r="P17" s="28">
        <f>16/24</f>
        <v>0.66666666666666663</v>
      </c>
      <c r="Q17" s="34">
        <f>24/1000</f>
        <v>2.4E-2</v>
      </c>
      <c r="R17" s="8">
        <v>3.59</v>
      </c>
      <c r="S17" s="8">
        <v>12.96</v>
      </c>
      <c r="T17" s="5">
        <f>O17</f>
        <v>3529.9</v>
      </c>
      <c r="U17" s="15">
        <f>P17*Q17*R17*S17*T17</f>
        <v>2627.7366297600001</v>
      </c>
      <c r="V17" s="5">
        <v>3.94</v>
      </c>
      <c r="W17" s="5">
        <v>12.96</v>
      </c>
      <c r="X17" s="5">
        <f>O17</f>
        <v>3529.9</v>
      </c>
      <c r="Y17" s="16">
        <f>(P17*Q17*V17*W17*X17)</f>
        <v>2883.9226521600003</v>
      </c>
      <c r="Z17" s="8">
        <v>2.13</v>
      </c>
      <c r="AA17" s="8">
        <v>41.904000000000003</v>
      </c>
      <c r="AB17" s="8">
        <f>O17</f>
        <v>3529.9</v>
      </c>
      <c r="AC17" s="17">
        <f>(P17*Q17*Z17*AA17*AB17)</f>
        <v>5041.0089607680002</v>
      </c>
      <c r="AD17" s="96">
        <f>L355</f>
        <v>3777.1348330092051</v>
      </c>
      <c r="AE17" s="18">
        <f>U17+Y17+AC17+AD17</f>
        <v>14329.803075697204</v>
      </c>
      <c r="AF17" s="4">
        <f>AE17*0.1</f>
        <v>1432.9803075697205</v>
      </c>
      <c r="AG17" s="19">
        <f>AE17+AF17</f>
        <v>15762.783383266924</v>
      </c>
      <c r="AH17" s="8">
        <v>3.1</v>
      </c>
      <c r="AI17" s="20">
        <f>ROUND((AG17/AH17),0)</f>
        <v>5085</v>
      </c>
      <c r="AJ17" s="39">
        <v>22</v>
      </c>
      <c r="AP17" s="82"/>
      <c r="AQ17" s="82"/>
      <c r="AR17" s="54"/>
    </row>
    <row r="18" spans="5:44" ht="15.5" x14ac:dyDescent="0.4">
      <c r="E18" s="2" t="s">
        <v>0</v>
      </c>
      <c r="F18" s="3"/>
      <c r="G18" s="5"/>
      <c r="H18" s="4"/>
      <c r="I18" s="4"/>
      <c r="J18" s="4"/>
      <c r="K18" s="4"/>
      <c r="L18" s="4"/>
      <c r="M18" s="3" t="s">
        <v>138</v>
      </c>
      <c r="N18" s="3" t="s">
        <v>137</v>
      </c>
      <c r="O18" s="8" t="s">
        <v>2</v>
      </c>
      <c r="P18" s="5"/>
      <c r="Q18" s="5"/>
      <c r="R18" s="4"/>
      <c r="S18" s="4"/>
      <c r="T18" s="4"/>
      <c r="U18" s="4"/>
      <c r="V18" s="4"/>
      <c r="W18" s="4"/>
      <c r="X18" s="4"/>
      <c r="Y18" s="4"/>
      <c r="Z18" s="4"/>
      <c r="AA18" s="4"/>
      <c r="AB18" s="4"/>
      <c r="AC18" s="4"/>
      <c r="AD18" s="4"/>
      <c r="AE18" s="4"/>
      <c r="AF18" s="4"/>
      <c r="AG18" s="4"/>
      <c r="AH18" s="4"/>
      <c r="AI18" s="6"/>
      <c r="AP18" s="53"/>
      <c r="AQ18" s="54"/>
      <c r="AR18" s="54"/>
    </row>
    <row r="19" spans="5:44" x14ac:dyDescent="0.25">
      <c r="E19" s="2" t="s">
        <v>15</v>
      </c>
      <c r="F19" s="7">
        <v>23</v>
      </c>
      <c r="G19" s="54">
        <v>34.400654639999999</v>
      </c>
      <c r="H19" s="5">
        <v>420</v>
      </c>
      <c r="I19" s="5">
        <v>118.8</v>
      </c>
      <c r="J19" s="5">
        <v>36</v>
      </c>
      <c r="K19" s="8">
        <v>191.96</v>
      </c>
      <c r="L19" s="8">
        <v>8.4700000000000006</v>
      </c>
      <c r="M19" s="9">
        <f>(F19-((G19+H19+I19+J19)/(K19+L19)))</f>
        <v>19.960531583894628</v>
      </c>
      <c r="N19" s="9">
        <v>20</v>
      </c>
      <c r="O19" s="32">
        <v>213.7</v>
      </c>
      <c r="P19" s="5"/>
      <c r="Q19" s="5"/>
      <c r="R19" s="4"/>
      <c r="S19" s="4"/>
      <c r="T19" s="4"/>
      <c r="U19" s="4"/>
      <c r="V19" s="4"/>
      <c r="W19" s="4"/>
      <c r="X19" s="4"/>
      <c r="Y19" s="4"/>
      <c r="Z19" s="4"/>
      <c r="AA19" s="4"/>
      <c r="AB19" s="4"/>
      <c r="AC19" s="4"/>
      <c r="AD19" s="4"/>
      <c r="AE19" s="4"/>
      <c r="AF19" s="4"/>
      <c r="AG19" s="4"/>
      <c r="AH19" s="4"/>
      <c r="AI19" s="6"/>
    </row>
    <row r="20" spans="5:44" x14ac:dyDescent="0.25">
      <c r="E20" s="2" t="s">
        <v>16</v>
      </c>
      <c r="F20" s="7">
        <v>23</v>
      </c>
      <c r="G20" s="54">
        <v>37.843264800000007</v>
      </c>
      <c r="H20" s="5">
        <v>420</v>
      </c>
      <c r="I20" s="5">
        <v>118.8</v>
      </c>
      <c r="J20" s="5">
        <v>36</v>
      </c>
      <c r="K20" s="8">
        <v>191.96</v>
      </c>
      <c r="L20" s="8">
        <v>8.4700000000000006</v>
      </c>
      <c r="M20" s="9">
        <f t="shared" ref="M20:M30" si="1">(F20-((G20+H20+I20+J20)/(K20+L20)))</f>
        <v>19.943355461757221</v>
      </c>
      <c r="N20" s="9">
        <v>20</v>
      </c>
      <c r="O20" s="32">
        <v>221.4</v>
      </c>
      <c r="P20" s="5"/>
      <c r="Q20" s="5"/>
      <c r="R20" s="4"/>
      <c r="S20" s="4"/>
      <c r="T20" s="4"/>
      <c r="U20" s="4"/>
      <c r="V20" s="4"/>
      <c r="W20" s="4"/>
      <c r="X20" s="4"/>
      <c r="Y20" s="4"/>
      <c r="Z20" s="4"/>
      <c r="AA20" s="4"/>
      <c r="AB20" s="4"/>
      <c r="AC20" s="4"/>
      <c r="AD20" s="4"/>
      <c r="AE20" s="4"/>
      <c r="AF20" s="4"/>
      <c r="AG20" s="4"/>
      <c r="AH20" s="4"/>
      <c r="AI20" s="6"/>
    </row>
    <row r="21" spans="5:44" x14ac:dyDescent="0.25">
      <c r="E21" s="2" t="s">
        <v>17</v>
      </c>
      <c r="F21" s="7">
        <v>23</v>
      </c>
      <c r="G21" s="54">
        <v>40.137126480000006</v>
      </c>
      <c r="H21" s="5">
        <v>420</v>
      </c>
      <c r="I21" s="5">
        <v>118.8</v>
      </c>
      <c r="J21" s="5">
        <v>36</v>
      </c>
      <c r="K21" s="8">
        <v>191.96</v>
      </c>
      <c r="L21" s="8">
        <v>8.4700000000000006</v>
      </c>
      <c r="M21" s="9">
        <f t="shared" si="1"/>
        <v>19.931910759467147</v>
      </c>
      <c r="N21" s="9">
        <v>20</v>
      </c>
      <c r="O21" s="32">
        <v>287.8</v>
      </c>
      <c r="P21" s="5"/>
      <c r="Q21" s="5"/>
      <c r="R21" s="4"/>
      <c r="S21" s="4"/>
      <c r="T21" s="4"/>
      <c r="U21" s="4"/>
      <c r="V21" s="4"/>
      <c r="W21" s="4"/>
      <c r="X21" s="4"/>
      <c r="Y21" s="4"/>
      <c r="Z21" s="4"/>
      <c r="AA21" s="4"/>
      <c r="AB21" s="4"/>
      <c r="AC21" s="4"/>
      <c r="AD21" s="4"/>
      <c r="AE21" s="4"/>
      <c r="AF21" s="4"/>
      <c r="AG21" s="4"/>
      <c r="AH21" s="4"/>
      <c r="AI21" s="6"/>
    </row>
    <row r="22" spans="5:44" x14ac:dyDescent="0.25">
      <c r="E22" s="2" t="s">
        <v>18</v>
      </c>
      <c r="F22" s="7">
        <v>23</v>
      </c>
      <c r="G22" s="54">
        <v>44.721214560000007</v>
      </c>
      <c r="H22" s="5">
        <v>420</v>
      </c>
      <c r="I22" s="5">
        <v>118.8</v>
      </c>
      <c r="J22" s="5">
        <v>36</v>
      </c>
      <c r="K22" s="8">
        <v>191.96</v>
      </c>
      <c r="L22" s="8">
        <v>8.4700000000000006</v>
      </c>
      <c r="M22" s="9">
        <f t="shared" si="1"/>
        <v>19.909039492291573</v>
      </c>
      <c r="N22" s="9">
        <v>20</v>
      </c>
      <c r="O22" s="32">
        <v>305.3</v>
      </c>
      <c r="P22" s="5"/>
      <c r="Q22" s="5"/>
      <c r="R22" s="4"/>
      <c r="S22" s="4"/>
      <c r="T22" s="4"/>
      <c r="U22" s="4"/>
      <c r="V22" s="4"/>
      <c r="W22" s="4"/>
      <c r="X22" s="4"/>
      <c r="Y22" s="4"/>
      <c r="Z22" s="4"/>
      <c r="AA22" s="4"/>
      <c r="AB22" s="4"/>
      <c r="AC22" s="4"/>
      <c r="AD22" s="4"/>
      <c r="AE22" s="4"/>
      <c r="AF22" s="4"/>
      <c r="AG22" s="4"/>
      <c r="AH22" s="4"/>
      <c r="AI22" s="6"/>
    </row>
    <row r="23" spans="5:44" x14ac:dyDescent="0.25">
      <c r="E23" s="2" t="s">
        <v>12</v>
      </c>
      <c r="F23" s="7">
        <v>23</v>
      </c>
      <c r="G23" s="54">
        <v>59.629497840000013</v>
      </c>
      <c r="H23" s="5">
        <v>420</v>
      </c>
      <c r="I23" s="5">
        <v>118.8</v>
      </c>
      <c r="J23" s="5">
        <v>36</v>
      </c>
      <c r="K23" s="8">
        <v>191.96</v>
      </c>
      <c r="L23" s="8">
        <v>8.4700000000000006</v>
      </c>
      <c r="M23" s="9">
        <f t="shared" si="1"/>
        <v>19.834657996108369</v>
      </c>
      <c r="N23" s="9">
        <v>20</v>
      </c>
      <c r="O23" s="32">
        <v>341.4</v>
      </c>
      <c r="P23" s="5"/>
      <c r="Q23" s="5"/>
      <c r="R23" s="4"/>
      <c r="S23" s="4"/>
      <c r="T23" s="4"/>
      <c r="U23" s="4"/>
      <c r="V23" s="4"/>
      <c r="W23" s="4"/>
      <c r="X23" s="4"/>
      <c r="Y23" s="4"/>
      <c r="Z23" s="4"/>
      <c r="AA23" s="4"/>
      <c r="AB23" s="4"/>
      <c r="AC23" s="4"/>
      <c r="AD23" s="4"/>
      <c r="AE23" s="4"/>
      <c r="AF23" s="4"/>
      <c r="AG23" s="4"/>
      <c r="AH23" s="4"/>
      <c r="AI23" s="6"/>
    </row>
    <row r="24" spans="5:44" x14ac:dyDescent="0.25">
      <c r="E24" s="2" t="s">
        <v>13</v>
      </c>
      <c r="F24" s="7">
        <v>23</v>
      </c>
      <c r="G24" s="54">
        <v>75.686529600000014</v>
      </c>
      <c r="H24" s="5">
        <v>420</v>
      </c>
      <c r="I24" s="5">
        <v>118.8</v>
      </c>
      <c r="J24" s="5">
        <v>36</v>
      </c>
      <c r="K24" s="8">
        <v>191.96</v>
      </c>
      <c r="L24" s="8">
        <v>8.4700000000000006</v>
      </c>
      <c r="M24" s="9">
        <f t="shared" si="1"/>
        <v>19.754545080077833</v>
      </c>
      <c r="N24" s="9">
        <v>20</v>
      </c>
      <c r="O24" s="32">
        <v>291</v>
      </c>
      <c r="P24" s="5"/>
      <c r="Q24" s="5"/>
      <c r="R24" s="4"/>
      <c r="S24" s="4"/>
      <c r="T24" s="4"/>
      <c r="U24" s="4"/>
      <c r="V24" s="4"/>
      <c r="W24" s="4"/>
      <c r="X24" s="4"/>
      <c r="Y24" s="4"/>
      <c r="Z24" s="4"/>
      <c r="AA24" s="4"/>
      <c r="AB24" s="4"/>
      <c r="AC24" s="4"/>
      <c r="AD24" s="4"/>
      <c r="AE24" s="4"/>
      <c r="AF24" s="4"/>
      <c r="AG24" s="4"/>
      <c r="AH24" s="4"/>
      <c r="AI24" s="6"/>
    </row>
    <row r="25" spans="5:44" x14ac:dyDescent="0.25">
      <c r="E25" s="2" t="s">
        <v>1</v>
      </c>
      <c r="F25" s="7">
        <v>23</v>
      </c>
      <c r="G25" s="54">
        <v>63.072108000000007</v>
      </c>
      <c r="H25" s="5">
        <v>420</v>
      </c>
      <c r="I25" s="5">
        <v>118.8</v>
      </c>
      <c r="J25" s="5">
        <v>36</v>
      </c>
      <c r="K25" s="8">
        <v>191.96</v>
      </c>
      <c r="L25" s="8">
        <v>8.4700000000000006</v>
      </c>
      <c r="M25" s="9">
        <f t="shared" si="1"/>
        <v>19.817481873970962</v>
      </c>
      <c r="N25" s="9">
        <v>20</v>
      </c>
      <c r="O25" s="32">
        <v>258.10000000000002</v>
      </c>
      <c r="P25" s="29"/>
      <c r="Q25" s="29"/>
      <c r="R25" s="4"/>
      <c r="S25" s="4"/>
      <c r="T25" s="4"/>
      <c r="U25" s="4"/>
      <c r="V25" s="4"/>
      <c r="W25" s="4"/>
      <c r="X25" s="4"/>
      <c r="Y25" s="4"/>
      <c r="Z25" s="4"/>
      <c r="AA25" s="4"/>
      <c r="AB25" s="4"/>
      <c r="AC25" s="4"/>
      <c r="AD25" s="4"/>
      <c r="AE25" s="4"/>
      <c r="AF25" s="4"/>
      <c r="AG25" s="4"/>
      <c r="AH25" s="4"/>
      <c r="AI25" s="6"/>
    </row>
    <row r="26" spans="5:44" x14ac:dyDescent="0.25">
      <c r="E26" s="2" t="s">
        <v>19</v>
      </c>
      <c r="F26" s="7">
        <v>23</v>
      </c>
      <c r="G26" s="54">
        <v>47.015076240000013</v>
      </c>
      <c r="H26" s="5">
        <v>420</v>
      </c>
      <c r="I26" s="5">
        <v>118.8</v>
      </c>
      <c r="J26" s="5">
        <v>36</v>
      </c>
      <c r="K26" s="8">
        <v>191.96</v>
      </c>
      <c r="L26" s="8">
        <v>8.4700000000000006</v>
      </c>
      <c r="M26" s="9">
        <f t="shared" si="1"/>
        <v>19.897594790001499</v>
      </c>
      <c r="N26" s="9">
        <v>20</v>
      </c>
      <c r="O26" s="32">
        <v>285.10000000000002</v>
      </c>
      <c r="P26" s="29"/>
      <c r="Q26" s="29"/>
      <c r="R26" s="4"/>
      <c r="S26" s="4"/>
      <c r="T26" s="4"/>
      <c r="U26" s="4"/>
      <c r="V26" s="4"/>
      <c r="W26" s="4"/>
      <c r="X26" s="4"/>
      <c r="Y26" s="4"/>
      <c r="Z26" s="4"/>
      <c r="AA26" s="4"/>
      <c r="AB26" s="4"/>
      <c r="AC26" s="4"/>
      <c r="AD26" s="4"/>
      <c r="AE26" s="4"/>
      <c r="AF26" s="4"/>
      <c r="AG26" s="4"/>
      <c r="AH26" s="4"/>
      <c r="AI26" s="6"/>
    </row>
    <row r="27" spans="5:44" x14ac:dyDescent="0.25">
      <c r="E27" s="2" t="s">
        <v>20</v>
      </c>
      <c r="F27" s="7">
        <v>23</v>
      </c>
      <c r="G27" s="54">
        <v>41.282239680000004</v>
      </c>
      <c r="H27" s="5">
        <v>420</v>
      </c>
      <c r="I27" s="5">
        <v>118.8</v>
      </c>
      <c r="J27" s="5">
        <v>36</v>
      </c>
      <c r="K27" s="8">
        <v>191.96</v>
      </c>
      <c r="L27" s="8">
        <v>8.4700000000000006</v>
      </c>
      <c r="M27" s="9">
        <f t="shared" si="1"/>
        <v>19.926197477024399</v>
      </c>
      <c r="N27" s="9">
        <v>20</v>
      </c>
      <c r="O27" s="32">
        <v>240.3</v>
      </c>
      <c r="P27" s="29"/>
      <c r="Q27" s="29"/>
      <c r="R27" s="4"/>
      <c r="S27" s="4"/>
      <c r="T27" s="4"/>
      <c r="U27" s="4"/>
      <c r="V27" s="4"/>
      <c r="W27" s="4"/>
      <c r="X27" s="4"/>
      <c r="Y27" s="4"/>
      <c r="Z27" s="4"/>
      <c r="AA27" s="4"/>
      <c r="AB27" s="4"/>
      <c r="AC27" s="4"/>
      <c r="AD27" s="4"/>
      <c r="AE27" s="4"/>
      <c r="AF27" s="4"/>
      <c r="AG27" s="4"/>
      <c r="AH27" s="4"/>
      <c r="AI27" s="6"/>
    </row>
    <row r="28" spans="5:44" x14ac:dyDescent="0.25">
      <c r="E28" s="2" t="s">
        <v>21</v>
      </c>
      <c r="F28" s="7">
        <v>23</v>
      </c>
      <c r="G28" s="54">
        <v>37.843264800000007</v>
      </c>
      <c r="H28" s="5">
        <v>420</v>
      </c>
      <c r="I28" s="5">
        <v>118.8</v>
      </c>
      <c r="J28" s="5">
        <v>36</v>
      </c>
      <c r="K28" s="8">
        <v>191.96</v>
      </c>
      <c r="L28" s="8">
        <v>8.4700000000000006</v>
      </c>
      <c r="M28" s="9">
        <f t="shared" si="1"/>
        <v>19.943355461757221</v>
      </c>
      <c r="N28" s="9">
        <v>20</v>
      </c>
      <c r="O28" s="32">
        <v>244.9</v>
      </c>
      <c r="P28" s="29"/>
      <c r="Q28" s="29"/>
      <c r="R28" s="4"/>
      <c r="S28" s="4"/>
      <c r="T28" s="4"/>
      <c r="U28" s="4"/>
      <c r="V28" s="4"/>
      <c r="W28" s="4"/>
      <c r="X28" s="4"/>
      <c r="Y28" s="4"/>
      <c r="Z28" s="4"/>
      <c r="AA28" s="4"/>
      <c r="AB28" s="4"/>
      <c r="AC28" s="4"/>
      <c r="AD28" s="4"/>
      <c r="AE28" s="4"/>
      <c r="AF28" s="4"/>
      <c r="AG28" s="4"/>
      <c r="AH28" s="4"/>
      <c r="AI28" s="6"/>
    </row>
    <row r="29" spans="5:44" x14ac:dyDescent="0.25">
      <c r="E29" s="2" t="s">
        <v>22</v>
      </c>
      <c r="F29" s="7">
        <v>23</v>
      </c>
      <c r="G29" s="54">
        <v>34.400654639999999</v>
      </c>
      <c r="H29" s="5">
        <v>420</v>
      </c>
      <c r="I29" s="5">
        <v>118.8</v>
      </c>
      <c r="J29" s="5">
        <v>36</v>
      </c>
      <c r="K29" s="8">
        <v>191.96</v>
      </c>
      <c r="L29" s="8">
        <v>8.4700000000000006</v>
      </c>
      <c r="M29" s="9">
        <f t="shared" si="1"/>
        <v>19.960531583894628</v>
      </c>
      <c r="N29" s="9">
        <v>20</v>
      </c>
      <c r="O29" s="32">
        <v>254.5</v>
      </c>
      <c r="P29" s="29"/>
      <c r="Q29" s="29"/>
      <c r="R29" s="4"/>
      <c r="S29" s="4"/>
      <c r="T29" s="4"/>
      <c r="U29" s="4"/>
      <c r="V29" s="4"/>
      <c r="W29" s="4"/>
      <c r="X29" s="4"/>
      <c r="Y29" s="4"/>
      <c r="Z29" s="4"/>
      <c r="AA29" s="4"/>
      <c r="AB29" s="4"/>
      <c r="AC29" s="4"/>
      <c r="AD29" s="4"/>
      <c r="AE29" s="4"/>
      <c r="AF29" s="4"/>
      <c r="AG29" s="4"/>
      <c r="AH29" s="4"/>
      <c r="AI29" s="6"/>
    </row>
    <row r="30" spans="5:44" x14ac:dyDescent="0.25">
      <c r="E30" s="2" t="s">
        <v>23</v>
      </c>
      <c r="F30" s="7">
        <v>23</v>
      </c>
      <c r="G30" s="54">
        <v>33.255541440000002</v>
      </c>
      <c r="H30" s="5">
        <v>420</v>
      </c>
      <c r="I30" s="5">
        <v>118.8</v>
      </c>
      <c r="J30" s="5">
        <v>36</v>
      </c>
      <c r="K30" s="8">
        <v>191.96</v>
      </c>
      <c r="L30" s="8">
        <v>8.4700000000000006</v>
      </c>
      <c r="M30" s="9">
        <f t="shared" si="1"/>
        <v>19.966244866337377</v>
      </c>
      <c r="N30" s="9">
        <v>20</v>
      </c>
      <c r="O30" s="32">
        <v>221.4</v>
      </c>
      <c r="P30" s="29"/>
      <c r="Q30" s="29"/>
      <c r="R30" s="4"/>
      <c r="S30" s="4"/>
      <c r="T30" s="4"/>
      <c r="U30" s="4"/>
      <c r="V30" s="4"/>
      <c r="W30" s="4"/>
      <c r="X30" s="4"/>
      <c r="Y30" s="4"/>
      <c r="Z30" s="4"/>
      <c r="AA30" s="4"/>
      <c r="AB30" s="4"/>
      <c r="AC30" s="4"/>
      <c r="AD30" s="4"/>
      <c r="AE30" s="4"/>
      <c r="AF30" s="4"/>
      <c r="AG30" s="4"/>
      <c r="AH30" s="4"/>
      <c r="AI30" s="6"/>
    </row>
    <row r="31" spans="5:44" x14ac:dyDescent="0.3">
      <c r="E31" s="168" t="s">
        <v>3</v>
      </c>
      <c r="F31" s="171"/>
      <c r="G31" s="171"/>
      <c r="H31" s="171"/>
      <c r="I31" s="171"/>
      <c r="J31" s="171"/>
      <c r="K31" s="171"/>
      <c r="L31" s="171"/>
      <c r="M31" s="171"/>
      <c r="N31" s="172"/>
      <c r="O31" s="11">
        <f>SUM(O19:O30)</f>
        <v>3164.9</v>
      </c>
      <c r="P31" s="28">
        <f>16/24</f>
        <v>0.66666666666666663</v>
      </c>
      <c r="Q31" s="28">
        <f>24/1000</f>
        <v>2.4E-2</v>
      </c>
      <c r="R31" s="8">
        <v>3.59</v>
      </c>
      <c r="S31" s="8">
        <v>12.96</v>
      </c>
      <c r="T31" s="5">
        <f>O31</f>
        <v>3164.9</v>
      </c>
      <c r="U31" s="15">
        <f>P31*Q31*R31*S31*T31</f>
        <v>2356.0224537600002</v>
      </c>
      <c r="V31" s="5">
        <v>3.94</v>
      </c>
      <c r="W31" s="5">
        <v>12.96</v>
      </c>
      <c r="X31" s="5">
        <f>O31</f>
        <v>3164.9</v>
      </c>
      <c r="Y31" s="16">
        <f>(P31*Q31*V31*W31*X31)</f>
        <v>2585.7182361600003</v>
      </c>
      <c r="Z31" s="8">
        <v>2.13</v>
      </c>
      <c r="AA31" s="8">
        <v>41.904000000000003</v>
      </c>
      <c r="AB31" s="8">
        <f>O31</f>
        <v>3164.9</v>
      </c>
      <c r="AC31" s="17">
        <f>(P31*Q31*Z31*AA31*AB31)</f>
        <v>4519.7567239680002</v>
      </c>
      <c r="AD31" s="96">
        <f>L356</f>
        <v>3699.7142116800919</v>
      </c>
      <c r="AE31" s="18">
        <f>U31+Y31+AC31+AD31</f>
        <v>13161.211625568092</v>
      </c>
      <c r="AF31" s="4">
        <f>AE31*0.1</f>
        <v>1316.1211625568094</v>
      </c>
      <c r="AG31" s="19">
        <f>AE31+AF31</f>
        <v>14477.332788124902</v>
      </c>
      <c r="AH31" s="8">
        <v>3.1</v>
      </c>
      <c r="AI31" s="20">
        <f>ROUND((AG31/AH31),0)</f>
        <v>4670</v>
      </c>
      <c r="AJ31" s="39">
        <v>23</v>
      </c>
    </row>
    <row r="32" spans="5:44" ht="15.5" x14ac:dyDescent="0.4">
      <c r="E32" s="2" t="s">
        <v>0</v>
      </c>
      <c r="F32" s="3"/>
      <c r="G32" s="5"/>
      <c r="H32" s="4"/>
      <c r="I32" s="4"/>
      <c r="J32" s="4"/>
      <c r="K32" s="4"/>
      <c r="L32" s="4"/>
      <c r="M32" s="3" t="s">
        <v>138</v>
      </c>
      <c r="N32" s="3" t="s">
        <v>137</v>
      </c>
      <c r="O32" s="8" t="s">
        <v>2</v>
      </c>
      <c r="P32" s="5"/>
      <c r="Q32" s="5"/>
      <c r="R32" s="4"/>
      <c r="S32" s="4"/>
      <c r="T32" s="4"/>
      <c r="U32" s="4"/>
      <c r="V32" s="4"/>
      <c r="W32" s="4"/>
      <c r="X32" s="4"/>
      <c r="Y32" s="4"/>
      <c r="Z32" s="4"/>
      <c r="AA32" s="4"/>
      <c r="AB32" s="4"/>
      <c r="AC32" s="4"/>
      <c r="AD32" s="4"/>
      <c r="AE32" s="4"/>
      <c r="AF32" s="4"/>
      <c r="AG32" s="4"/>
      <c r="AH32" s="4"/>
      <c r="AI32" s="6"/>
    </row>
    <row r="33" spans="5:44" x14ac:dyDescent="0.25">
      <c r="E33" s="2" t="s">
        <v>15</v>
      </c>
      <c r="F33" s="33">
        <v>24</v>
      </c>
      <c r="G33" s="54">
        <v>34.400654639999999</v>
      </c>
      <c r="H33" s="5">
        <v>420</v>
      </c>
      <c r="I33" s="5">
        <v>118.8</v>
      </c>
      <c r="J33" s="5">
        <v>36</v>
      </c>
      <c r="K33" s="8">
        <v>191.96</v>
      </c>
      <c r="L33" s="8">
        <v>8.4700000000000006</v>
      </c>
      <c r="M33" s="9">
        <f>(F33-((G33+H33+I33+J33)/(K33+L33)))</f>
        <v>20.960531583894628</v>
      </c>
      <c r="N33" s="9">
        <v>21</v>
      </c>
      <c r="O33" s="32">
        <v>183.1</v>
      </c>
      <c r="P33" s="5"/>
      <c r="Q33" s="5"/>
      <c r="R33" s="4"/>
      <c r="S33" s="4"/>
      <c r="T33" s="4"/>
      <c r="U33" s="4"/>
      <c r="V33" s="4"/>
      <c r="W33" s="4"/>
      <c r="X33" s="4"/>
      <c r="Y33" s="4"/>
      <c r="Z33" s="4"/>
      <c r="AA33" s="4"/>
      <c r="AB33" s="4"/>
      <c r="AC33" s="4"/>
      <c r="AD33" s="4"/>
      <c r="AE33" s="4"/>
      <c r="AF33" s="4"/>
      <c r="AG33" s="4"/>
      <c r="AH33" s="4"/>
      <c r="AI33" s="6"/>
    </row>
    <row r="34" spans="5:44" x14ac:dyDescent="0.25">
      <c r="E34" s="2" t="s">
        <v>16</v>
      </c>
      <c r="F34" s="33">
        <v>24</v>
      </c>
      <c r="G34" s="54">
        <v>37.843264800000007</v>
      </c>
      <c r="H34" s="5">
        <v>420</v>
      </c>
      <c r="I34" s="5">
        <v>118.8</v>
      </c>
      <c r="J34" s="5">
        <v>36</v>
      </c>
      <c r="K34" s="8">
        <v>191.96</v>
      </c>
      <c r="L34" s="8">
        <v>8.4700000000000006</v>
      </c>
      <c r="M34" s="9">
        <f t="shared" ref="M34:M44" si="2">(F34-((G34+H34+I34+J34)/(K34+L34)))</f>
        <v>20.943355461757221</v>
      </c>
      <c r="N34" s="9">
        <v>21</v>
      </c>
      <c r="O34" s="32">
        <v>193.4</v>
      </c>
      <c r="P34" s="5"/>
      <c r="Q34" s="5"/>
      <c r="R34" s="4"/>
      <c r="S34" s="4"/>
      <c r="T34" s="4"/>
      <c r="U34" s="4"/>
      <c r="V34" s="4"/>
      <c r="W34" s="4"/>
      <c r="X34" s="4"/>
      <c r="Y34" s="4"/>
      <c r="Z34" s="4"/>
      <c r="AA34" s="4"/>
      <c r="AB34" s="4"/>
      <c r="AC34" s="4"/>
      <c r="AD34" s="4"/>
      <c r="AE34" s="4"/>
      <c r="AF34" s="4"/>
      <c r="AG34" s="4"/>
      <c r="AH34" s="4"/>
      <c r="AI34" s="6"/>
    </row>
    <row r="35" spans="5:44" x14ac:dyDescent="0.25">
      <c r="E35" s="2" t="s">
        <v>17</v>
      </c>
      <c r="F35" s="33">
        <v>24</v>
      </c>
      <c r="G35" s="54">
        <v>40.137126480000006</v>
      </c>
      <c r="H35" s="5">
        <v>420</v>
      </c>
      <c r="I35" s="5">
        <v>118.8</v>
      </c>
      <c r="J35" s="5">
        <v>36</v>
      </c>
      <c r="K35" s="8">
        <v>191.96</v>
      </c>
      <c r="L35" s="8">
        <v>8.4700000000000006</v>
      </c>
      <c r="M35" s="9">
        <f t="shared" si="2"/>
        <v>20.931910759467147</v>
      </c>
      <c r="N35" s="9">
        <v>21</v>
      </c>
      <c r="O35" s="32">
        <v>256.8</v>
      </c>
      <c r="P35" s="5"/>
      <c r="Q35" s="5"/>
      <c r="R35" s="4"/>
      <c r="S35" s="4"/>
      <c r="T35" s="4"/>
      <c r="U35" s="4"/>
      <c r="V35" s="4"/>
      <c r="W35" s="4"/>
      <c r="X35" s="4"/>
      <c r="Y35" s="4"/>
      <c r="Z35" s="4"/>
      <c r="AA35" s="4"/>
      <c r="AB35" s="4"/>
      <c r="AC35" s="4"/>
      <c r="AD35" s="4"/>
      <c r="AE35" s="4"/>
      <c r="AF35" s="4"/>
      <c r="AG35" s="4"/>
      <c r="AH35" s="4"/>
      <c r="AI35" s="6"/>
    </row>
    <row r="36" spans="5:44" x14ac:dyDescent="0.25">
      <c r="E36" s="2" t="s">
        <v>18</v>
      </c>
      <c r="F36" s="33">
        <v>24</v>
      </c>
      <c r="G36" s="54">
        <v>44.721214560000007</v>
      </c>
      <c r="H36" s="5">
        <v>420</v>
      </c>
      <c r="I36" s="5">
        <v>118.8</v>
      </c>
      <c r="J36" s="5">
        <v>36</v>
      </c>
      <c r="K36" s="8">
        <v>191.96</v>
      </c>
      <c r="L36" s="8">
        <v>8.4700000000000006</v>
      </c>
      <c r="M36" s="9">
        <f t="shared" si="2"/>
        <v>20.909039492291573</v>
      </c>
      <c r="N36" s="9">
        <v>21</v>
      </c>
      <c r="O36" s="32">
        <v>275.3</v>
      </c>
      <c r="P36" s="5"/>
      <c r="Q36" s="5"/>
      <c r="R36" s="4"/>
      <c r="S36" s="4"/>
      <c r="T36" s="4"/>
      <c r="U36" s="4"/>
      <c r="V36" s="4"/>
      <c r="W36" s="4"/>
      <c r="X36" s="4"/>
      <c r="Y36" s="4"/>
      <c r="Z36" s="4"/>
      <c r="AA36" s="4"/>
      <c r="AB36" s="4"/>
      <c r="AC36" s="4"/>
      <c r="AD36" s="4"/>
      <c r="AE36" s="4"/>
      <c r="AF36" s="4"/>
      <c r="AG36" s="4"/>
      <c r="AH36" s="4"/>
      <c r="AI36" s="6"/>
    </row>
    <row r="37" spans="5:44" x14ac:dyDescent="0.25">
      <c r="E37" s="2" t="s">
        <v>12</v>
      </c>
      <c r="F37" s="33">
        <v>24</v>
      </c>
      <c r="G37" s="54">
        <v>59.629497840000013</v>
      </c>
      <c r="H37" s="5">
        <v>420</v>
      </c>
      <c r="I37" s="5">
        <v>118.8</v>
      </c>
      <c r="J37" s="5">
        <v>36</v>
      </c>
      <c r="K37" s="8">
        <v>191.96</v>
      </c>
      <c r="L37" s="8">
        <v>8.4700000000000006</v>
      </c>
      <c r="M37" s="9">
        <f t="shared" si="2"/>
        <v>20.834657996108369</v>
      </c>
      <c r="N37" s="9">
        <v>21</v>
      </c>
      <c r="O37" s="32">
        <v>310.39999999999998</v>
      </c>
      <c r="P37" s="5"/>
      <c r="Q37" s="5"/>
      <c r="R37" s="4"/>
      <c r="S37" s="4"/>
      <c r="T37" s="4"/>
      <c r="U37" s="4"/>
      <c r="V37" s="4"/>
      <c r="W37" s="4"/>
      <c r="X37" s="4"/>
      <c r="Y37" s="4"/>
      <c r="Z37" s="4"/>
      <c r="AA37" s="4"/>
      <c r="AB37" s="4"/>
      <c r="AC37" s="4"/>
      <c r="AD37" s="4"/>
      <c r="AE37" s="4"/>
      <c r="AF37" s="4"/>
      <c r="AG37" s="4"/>
      <c r="AH37" s="4"/>
      <c r="AI37" s="6"/>
    </row>
    <row r="38" spans="5:44" x14ac:dyDescent="0.25">
      <c r="E38" s="2" t="s">
        <v>13</v>
      </c>
      <c r="F38" s="33">
        <v>24</v>
      </c>
      <c r="G38" s="54">
        <v>75.686529600000014</v>
      </c>
      <c r="H38" s="5">
        <v>420</v>
      </c>
      <c r="I38" s="5">
        <v>118.8</v>
      </c>
      <c r="J38" s="5">
        <v>36</v>
      </c>
      <c r="K38" s="8">
        <v>191.96</v>
      </c>
      <c r="L38" s="8">
        <v>8.4700000000000006</v>
      </c>
      <c r="M38" s="9">
        <f t="shared" si="2"/>
        <v>20.754545080077833</v>
      </c>
      <c r="N38" s="9">
        <v>21</v>
      </c>
      <c r="O38" s="32">
        <v>261</v>
      </c>
      <c r="P38" s="5"/>
      <c r="Q38" s="5"/>
      <c r="R38" s="4"/>
      <c r="S38" s="4"/>
      <c r="T38" s="4"/>
      <c r="U38" s="4"/>
      <c r="V38" s="4"/>
      <c r="W38" s="4"/>
      <c r="X38" s="4"/>
      <c r="Y38" s="4"/>
      <c r="Z38" s="4"/>
      <c r="AA38" s="4"/>
      <c r="AB38" s="4"/>
      <c r="AC38" s="4"/>
      <c r="AD38" s="4"/>
      <c r="AE38" s="4"/>
      <c r="AF38" s="4"/>
      <c r="AG38" s="4"/>
      <c r="AH38" s="4"/>
      <c r="AI38" s="6"/>
    </row>
    <row r="39" spans="5:44" x14ac:dyDescent="0.25">
      <c r="E39" s="2" t="s">
        <v>24</v>
      </c>
      <c r="F39" s="33">
        <v>24</v>
      </c>
      <c r="G39" s="54">
        <v>63.072108000000007</v>
      </c>
      <c r="H39" s="5">
        <v>420</v>
      </c>
      <c r="I39" s="5">
        <v>118.8</v>
      </c>
      <c r="J39" s="5">
        <v>36</v>
      </c>
      <c r="K39" s="8">
        <v>191.96</v>
      </c>
      <c r="L39" s="8">
        <v>8.4700000000000006</v>
      </c>
      <c r="M39" s="9">
        <f t="shared" si="2"/>
        <v>20.817481873970962</v>
      </c>
      <c r="N39" s="9">
        <v>21</v>
      </c>
      <c r="O39" s="32">
        <v>227.1</v>
      </c>
      <c r="P39" s="5"/>
      <c r="Q39" s="5"/>
      <c r="R39" s="4"/>
      <c r="S39" s="4"/>
      <c r="T39" s="4"/>
      <c r="U39" s="4"/>
      <c r="V39" s="4"/>
      <c r="W39" s="4"/>
      <c r="X39" s="4"/>
      <c r="Y39" s="4"/>
      <c r="Z39" s="4"/>
      <c r="AA39" s="4"/>
      <c r="AB39" s="4"/>
      <c r="AC39" s="4"/>
      <c r="AD39" s="4"/>
      <c r="AE39" s="4"/>
      <c r="AF39" s="4"/>
      <c r="AG39" s="4"/>
      <c r="AH39" s="4"/>
      <c r="AI39" s="6"/>
    </row>
    <row r="40" spans="5:44" x14ac:dyDescent="0.25">
      <c r="E40" s="2" t="s">
        <v>19</v>
      </c>
      <c r="F40" s="33">
        <v>24</v>
      </c>
      <c r="G40" s="54">
        <v>47.015076240000013</v>
      </c>
      <c r="H40" s="5">
        <v>420</v>
      </c>
      <c r="I40" s="5">
        <v>118.8</v>
      </c>
      <c r="J40" s="5">
        <v>36</v>
      </c>
      <c r="K40" s="8">
        <v>191.96</v>
      </c>
      <c r="L40" s="8">
        <v>8.4700000000000006</v>
      </c>
      <c r="M40" s="9">
        <f t="shared" si="2"/>
        <v>20.897594790001499</v>
      </c>
      <c r="N40" s="9">
        <v>21</v>
      </c>
      <c r="O40" s="32">
        <v>254.1</v>
      </c>
      <c r="P40" s="5"/>
      <c r="Q40" s="5"/>
      <c r="R40" s="4"/>
      <c r="S40" s="4"/>
      <c r="T40" s="4"/>
      <c r="U40" s="4"/>
      <c r="V40" s="4"/>
      <c r="W40" s="4"/>
      <c r="X40" s="4"/>
      <c r="Y40" s="4"/>
      <c r="Z40" s="4"/>
      <c r="AA40" s="4"/>
      <c r="AB40" s="4"/>
      <c r="AC40" s="4"/>
      <c r="AD40" s="4"/>
      <c r="AE40" s="4"/>
      <c r="AF40" s="4"/>
      <c r="AG40" s="4"/>
      <c r="AH40" s="4"/>
      <c r="AI40" s="6"/>
    </row>
    <row r="41" spans="5:44" x14ac:dyDescent="0.25">
      <c r="E41" s="2" t="s">
        <v>20</v>
      </c>
      <c r="F41" s="33">
        <v>24</v>
      </c>
      <c r="G41" s="54">
        <v>41.282239680000004</v>
      </c>
      <c r="H41" s="5">
        <v>420</v>
      </c>
      <c r="I41" s="5">
        <v>118.8</v>
      </c>
      <c r="J41" s="5">
        <v>36</v>
      </c>
      <c r="K41" s="8">
        <v>191.96</v>
      </c>
      <c r="L41" s="8">
        <v>8.4700000000000006</v>
      </c>
      <c r="M41" s="9">
        <f t="shared" si="2"/>
        <v>20.926197477024399</v>
      </c>
      <c r="N41" s="9">
        <v>21</v>
      </c>
      <c r="O41" s="32">
        <v>210.3</v>
      </c>
      <c r="P41" s="5"/>
      <c r="Q41" s="5"/>
      <c r="R41" s="4"/>
      <c r="S41" s="4"/>
      <c r="T41" s="4"/>
      <c r="U41" s="4"/>
      <c r="V41" s="4"/>
      <c r="W41" s="4"/>
      <c r="X41" s="4"/>
      <c r="Y41" s="4"/>
      <c r="Z41" s="4"/>
      <c r="AA41" s="4"/>
      <c r="AB41" s="4"/>
      <c r="AC41" s="4"/>
      <c r="AD41" s="4"/>
      <c r="AE41" s="4"/>
      <c r="AF41" s="4"/>
      <c r="AG41" s="4"/>
      <c r="AH41" s="4"/>
      <c r="AI41" s="6"/>
    </row>
    <row r="42" spans="5:44" x14ac:dyDescent="0.25">
      <c r="E42" s="2" t="s">
        <v>21</v>
      </c>
      <c r="F42" s="33">
        <v>24</v>
      </c>
      <c r="G42" s="54">
        <v>37.843264800000007</v>
      </c>
      <c r="H42" s="5">
        <v>420</v>
      </c>
      <c r="I42" s="5">
        <v>118.8</v>
      </c>
      <c r="J42" s="5">
        <v>36</v>
      </c>
      <c r="K42" s="8">
        <v>191.96</v>
      </c>
      <c r="L42" s="8">
        <v>8.4700000000000006</v>
      </c>
      <c r="M42" s="9">
        <f t="shared" si="2"/>
        <v>20.943355461757221</v>
      </c>
      <c r="N42" s="9">
        <v>21</v>
      </c>
      <c r="O42" s="32">
        <v>213.9</v>
      </c>
      <c r="P42" s="5"/>
      <c r="Q42" s="5"/>
      <c r="R42" s="4"/>
      <c r="S42" s="4"/>
      <c r="T42" s="4"/>
      <c r="U42" s="4"/>
      <c r="V42" s="4"/>
      <c r="W42" s="4"/>
      <c r="X42" s="4"/>
      <c r="Y42" s="4"/>
      <c r="Z42" s="4"/>
      <c r="AA42" s="4"/>
      <c r="AB42" s="4"/>
      <c r="AC42" s="4"/>
      <c r="AD42" s="4"/>
      <c r="AE42" s="4"/>
      <c r="AF42" s="4"/>
      <c r="AG42" s="4"/>
      <c r="AH42" s="4"/>
      <c r="AI42" s="6"/>
    </row>
    <row r="43" spans="5:44" x14ac:dyDescent="0.25">
      <c r="E43" s="2" t="s">
        <v>22</v>
      </c>
      <c r="F43" s="33">
        <v>24</v>
      </c>
      <c r="G43" s="54">
        <v>34.400654639999999</v>
      </c>
      <c r="H43" s="5">
        <v>420</v>
      </c>
      <c r="I43" s="5">
        <v>118.8</v>
      </c>
      <c r="J43" s="5">
        <v>36</v>
      </c>
      <c r="K43" s="8">
        <v>191.96</v>
      </c>
      <c r="L43" s="8">
        <v>8.4700000000000006</v>
      </c>
      <c r="M43" s="9">
        <f t="shared" si="2"/>
        <v>20.960531583894628</v>
      </c>
      <c r="N43" s="9">
        <v>21</v>
      </c>
      <c r="O43" s="32">
        <v>224.5</v>
      </c>
      <c r="P43" s="5"/>
      <c r="Q43" s="5"/>
      <c r="R43" s="4"/>
      <c r="S43" s="4"/>
      <c r="T43" s="4"/>
      <c r="U43" s="4"/>
      <c r="V43" s="4"/>
      <c r="W43" s="4"/>
      <c r="X43" s="4"/>
      <c r="Y43" s="4"/>
      <c r="Z43" s="4"/>
      <c r="AA43" s="4"/>
      <c r="AB43" s="4"/>
      <c r="AC43" s="4"/>
      <c r="AD43" s="4"/>
      <c r="AE43" s="4"/>
      <c r="AF43" s="4"/>
      <c r="AG43" s="4"/>
      <c r="AH43" s="4"/>
      <c r="AI43" s="6"/>
    </row>
    <row r="44" spans="5:44" x14ac:dyDescent="0.25">
      <c r="E44" s="2" t="s">
        <v>23</v>
      </c>
      <c r="F44" s="33">
        <v>24</v>
      </c>
      <c r="G44" s="54">
        <v>33.255541440000002</v>
      </c>
      <c r="H44" s="5">
        <v>420</v>
      </c>
      <c r="I44" s="5">
        <v>118.8</v>
      </c>
      <c r="J44" s="5">
        <v>36</v>
      </c>
      <c r="K44" s="8">
        <v>191.96</v>
      </c>
      <c r="L44" s="8">
        <v>8.4700000000000006</v>
      </c>
      <c r="M44" s="9">
        <f t="shared" si="2"/>
        <v>20.966244866337377</v>
      </c>
      <c r="N44" s="9">
        <v>21</v>
      </c>
      <c r="O44" s="32">
        <v>190.4</v>
      </c>
      <c r="P44" s="5"/>
      <c r="Q44" s="5"/>
      <c r="R44" s="4"/>
      <c r="S44" s="4"/>
      <c r="T44" s="4"/>
      <c r="U44" s="4"/>
      <c r="V44" s="4"/>
      <c r="W44" s="4"/>
      <c r="X44" s="4"/>
      <c r="Y44" s="4"/>
      <c r="Z44" s="4"/>
      <c r="AA44" s="4"/>
      <c r="AB44" s="4"/>
      <c r="AC44" s="4"/>
      <c r="AD44" s="4"/>
      <c r="AE44" s="4"/>
      <c r="AF44" s="4"/>
      <c r="AG44" s="4"/>
      <c r="AH44" s="4"/>
      <c r="AI44" s="6"/>
    </row>
    <row r="45" spans="5:44" x14ac:dyDescent="0.3">
      <c r="E45" s="168" t="s">
        <v>3</v>
      </c>
      <c r="F45" s="171"/>
      <c r="G45" s="171"/>
      <c r="H45" s="171"/>
      <c r="I45" s="171"/>
      <c r="J45" s="171"/>
      <c r="K45" s="171"/>
      <c r="L45" s="171"/>
      <c r="M45" s="171"/>
      <c r="N45" s="172"/>
      <c r="O45" s="11">
        <f>SUM(O33:O44)</f>
        <v>2800.3</v>
      </c>
      <c r="P45" s="28">
        <f>16/24</f>
        <v>0.66666666666666663</v>
      </c>
      <c r="Q45" s="28">
        <f>24/1000</f>
        <v>2.4E-2</v>
      </c>
      <c r="R45" s="8">
        <v>3.59</v>
      </c>
      <c r="S45" s="8">
        <v>12.96</v>
      </c>
      <c r="T45" s="5">
        <f>O45</f>
        <v>2800.3</v>
      </c>
      <c r="U45" s="15">
        <f>P45*Q45*R45*S45*T45</f>
        <v>2084.6060467200004</v>
      </c>
      <c r="V45" s="5">
        <v>3.94</v>
      </c>
      <c r="W45" s="5">
        <v>12.96</v>
      </c>
      <c r="X45" s="5">
        <f>O45</f>
        <v>2800.3</v>
      </c>
      <c r="Y45" s="16">
        <f>(P45*Q45*V45*W45*X45)</f>
        <v>2287.84061952</v>
      </c>
      <c r="Z45" s="8">
        <v>2.13</v>
      </c>
      <c r="AA45" s="8">
        <v>41.904000000000003</v>
      </c>
      <c r="AB45" s="8">
        <f>O45</f>
        <v>2800.3</v>
      </c>
      <c r="AC45" s="17">
        <f>(P45*Q45*Z45*AA45*AB45)</f>
        <v>3999.0757224960003</v>
      </c>
      <c r="AD45" s="96">
        <f>L357</f>
        <v>3622.2935903509783</v>
      </c>
      <c r="AE45" s="18">
        <f>U45+Y45+AC45+AD45</f>
        <v>11993.815979086979</v>
      </c>
      <c r="AF45" s="4">
        <f>AE45*0.1</f>
        <v>1199.381597908698</v>
      </c>
      <c r="AG45" s="19">
        <f>AE45+AF45</f>
        <v>13193.197576995677</v>
      </c>
      <c r="AH45" s="8">
        <v>3.1</v>
      </c>
      <c r="AI45" s="20">
        <f>ROUND((AG45/AH45),0)</f>
        <v>4256</v>
      </c>
      <c r="AJ45" s="39">
        <v>24</v>
      </c>
      <c r="AK45" s="122"/>
      <c r="AL45" s="122"/>
    </row>
    <row r="46" spans="5:44" ht="13.5" thickBot="1" x14ac:dyDescent="0.35">
      <c r="E46" s="385" t="s">
        <v>220</v>
      </c>
      <c r="F46" s="386"/>
      <c r="G46" s="386"/>
      <c r="H46" s="386"/>
      <c r="I46" s="386"/>
      <c r="J46" s="386"/>
      <c r="K46" s="386"/>
      <c r="L46" s="386"/>
      <c r="M46" s="386"/>
      <c r="N46" s="386"/>
      <c r="O46" s="386"/>
      <c r="P46" s="386"/>
      <c r="Q46" s="386"/>
      <c r="R46" s="386"/>
      <c r="S46" s="386"/>
      <c r="T46" s="386"/>
      <c r="U46" s="386"/>
      <c r="V46" s="386"/>
      <c r="W46" s="386"/>
      <c r="X46" s="386"/>
      <c r="Y46" s="386"/>
      <c r="Z46" s="386"/>
      <c r="AA46" s="386"/>
      <c r="AB46" s="386"/>
      <c r="AC46" s="386"/>
      <c r="AD46" s="386"/>
      <c r="AE46" s="386"/>
      <c r="AF46" s="386"/>
      <c r="AG46" s="386"/>
      <c r="AH46" s="387"/>
      <c r="AI46" s="150">
        <f>(AI17*AR7+AI31*AR8+AI45*AR9)</f>
        <v>4634.347826086956</v>
      </c>
      <c r="AJ46" s="39"/>
      <c r="AK46" s="122"/>
      <c r="AL46" s="122"/>
    </row>
    <row r="47" spans="5:44" ht="15.5" x14ac:dyDescent="0.4">
      <c r="E47" s="2" t="s">
        <v>0</v>
      </c>
      <c r="F47" s="4"/>
      <c r="G47" s="5"/>
      <c r="H47" s="4"/>
      <c r="I47" s="4"/>
      <c r="J47" s="4"/>
      <c r="K47" s="4"/>
      <c r="L47" s="4"/>
      <c r="M47" s="3" t="s">
        <v>138</v>
      </c>
      <c r="N47" s="3" t="s">
        <v>137</v>
      </c>
      <c r="O47" s="8" t="s">
        <v>2</v>
      </c>
      <c r="P47" s="5"/>
      <c r="Q47" s="5"/>
      <c r="R47" s="4"/>
      <c r="S47" s="4"/>
      <c r="T47" s="4"/>
      <c r="U47" s="4"/>
      <c r="V47" s="4"/>
      <c r="W47" s="4"/>
      <c r="X47" s="4"/>
      <c r="Y47" s="4"/>
      <c r="Z47" s="4"/>
      <c r="AA47" s="4"/>
      <c r="AB47" s="4"/>
      <c r="AC47" s="4"/>
      <c r="AD47" s="4"/>
      <c r="AE47" s="4"/>
      <c r="AF47" s="4"/>
      <c r="AG47" s="4"/>
      <c r="AH47" s="4"/>
      <c r="AI47" s="6"/>
      <c r="AP47" s="295" t="s">
        <v>203</v>
      </c>
      <c r="AQ47" s="296"/>
      <c r="AR47" s="297"/>
    </row>
    <row r="48" spans="5:44" x14ac:dyDescent="0.3">
      <c r="E48" s="2" t="s">
        <v>15</v>
      </c>
      <c r="F48" s="7">
        <v>25</v>
      </c>
      <c r="G48" s="54">
        <v>34.400654639999999</v>
      </c>
      <c r="H48" s="5">
        <v>420</v>
      </c>
      <c r="I48" s="5">
        <v>118.8</v>
      </c>
      <c r="J48" s="5">
        <v>36</v>
      </c>
      <c r="K48" s="8">
        <v>191.96</v>
      </c>
      <c r="L48" s="8">
        <v>8.4700000000000006</v>
      </c>
      <c r="M48" s="9">
        <f>(F48-((G48+H48+I48+J48)/(K48+L48)))</f>
        <v>21.960531583894628</v>
      </c>
      <c r="N48" s="9">
        <v>22</v>
      </c>
      <c r="O48" s="32">
        <v>153.19999999999999</v>
      </c>
      <c r="P48" s="5"/>
      <c r="Q48" s="5"/>
      <c r="R48" s="4"/>
      <c r="S48" s="4"/>
      <c r="T48" s="4"/>
      <c r="U48" s="4"/>
      <c r="V48" s="4"/>
      <c r="W48" s="4"/>
      <c r="X48" s="4"/>
      <c r="Y48" s="4"/>
      <c r="Z48" s="4"/>
      <c r="AA48" s="4"/>
      <c r="AB48" s="4"/>
      <c r="AC48" s="4"/>
      <c r="AD48" s="4"/>
      <c r="AE48" s="4"/>
      <c r="AF48" s="4"/>
      <c r="AG48" s="4"/>
      <c r="AH48" s="4"/>
      <c r="AI48" s="6"/>
      <c r="AO48" s="141"/>
      <c r="AP48" s="76" t="s">
        <v>195</v>
      </c>
      <c r="AQ48" s="27" t="s">
        <v>196</v>
      </c>
      <c r="AR48" s="86" t="s">
        <v>201</v>
      </c>
    </row>
    <row r="49" spans="5:44" x14ac:dyDescent="0.25">
      <c r="E49" s="2" t="s">
        <v>16</v>
      </c>
      <c r="F49" s="7">
        <v>25</v>
      </c>
      <c r="G49" s="54">
        <v>37.843264800000007</v>
      </c>
      <c r="H49" s="5">
        <v>420</v>
      </c>
      <c r="I49" s="5">
        <v>118.8</v>
      </c>
      <c r="J49" s="5">
        <v>36</v>
      </c>
      <c r="K49" s="8">
        <v>191.96</v>
      </c>
      <c r="L49" s="8">
        <v>8.4700000000000006</v>
      </c>
      <c r="M49" s="9">
        <f t="shared" ref="M49:M59" si="3">(F49-((G49+H49+I49+J49)/(K49+L49)))</f>
        <v>21.943355461757221</v>
      </c>
      <c r="N49" s="9">
        <v>22</v>
      </c>
      <c r="O49" s="32">
        <v>165.5</v>
      </c>
      <c r="P49" s="5"/>
      <c r="Q49" s="5"/>
      <c r="R49" s="4"/>
      <c r="S49" s="4"/>
      <c r="T49" s="4"/>
      <c r="U49" s="4"/>
      <c r="V49" s="4"/>
      <c r="W49" s="4"/>
      <c r="X49" s="4"/>
      <c r="Y49" s="4"/>
      <c r="Z49" s="4"/>
      <c r="AA49" s="4"/>
      <c r="AB49" s="4"/>
      <c r="AC49" s="4"/>
      <c r="AD49" s="4"/>
      <c r="AE49" s="4"/>
      <c r="AF49" s="4"/>
      <c r="AG49" s="4"/>
      <c r="AH49" s="4"/>
      <c r="AI49" s="6"/>
      <c r="AP49" s="76">
        <v>25</v>
      </c>
      <c r="AQ49" s="27">
        <v>12</v>
      </c>
      <c r="AR49" s="35">
        <v>100</v>
      </c>
    </row>
    <row r="50" spans="5:44" x14ac:dyDescent="0.25">
      <c r="E50" s="2" t="s">
        <v>17</v>
      </c>
      <c r="F50" s="7">
        <v>25</v>
      </c>
      <c r="G50" s="54">
        <v>40.137126480000006</v>
      </c>
      <c r="H50" s="5">
        <v>420</v>
      </c>
      <c r="I50" s="5">
        <v>118.8</v>
      </c>
      <c r="J50" s="5">
        <v>36</v>
      </c>
      <c r="K50" s="8">
        <v>191.96</v>
      </c>
      <c r="L50" s="8">
        <v>8.4700000000000006</v>
      </c>
      <c r="M50" s="9">
        <f t="shared" si="3"/>
        <v>21.931910759467147</v>
      </c>
      <c r="N50" s="9">
        <v>22</v>
      </c>
      <c r="O50" s="32">
        <v>225.8</v>
      </c>
      <c r="P50" s="5"/>
      <c r="Q50" s="5"/>
      <c r="R50" s="4"/>
      <c r="S50" s="4"/>
      <c r="T50" s="4"/>
      <c r="U50" s="4"/>
      <c r="V50" s="4"/>
      <c r="W50" s="4"/>
      <c r="X50" s="4"/>
      <c r="Y50" s="4"/>
      <c r="Z50" s="4"/>
      <c r="AA50" s="4"/>
      <c r="AB50" s="4"/>
      <c r="AC50" s="4"/>
      <c r="AD50" s="4"/>
      <c r="AE50" s="4"/>
      <c r="AF50" s="4"/>
      <c r="AG50" s="4"/>
      <c r="AH50" s="4"/>
      <c r="AI50" s="6"/>
    </row>
    <row r="51" spans="5:44" x14ac:dyDescent="0.25">
      <c r="E51" s="2" t="s">
        <v>18</v>
      </c>
      <c r="F51" s="7">
        <v>25</v>
      </c>
      <c r="G51" s="54">
        <v>44.721214560000007</v>
      </c>
      <c r="H51" s="5">
        <v>420</v>
      </c>
      <c r="I51" s="5">
        <v>118.8</v>
      </c>
      <c r="J51" s="5">
        <v>36</v>
      </c>
      <c r="K51" s="8">
        <v>191.96</v>
      </c>
      <c r="L51" s="8">
        <v>8.4700000000000006</v>
      </c>
      <c r="M51" s="9">
        <f t="shared" si="3"/>
        <v>21.909039492291573</v>
      </c>
      <c r="N51" s="9">
        <v>22</v>
      </c>
      <c r="O51" s="32">
        <v>245.3</v>
      </c>
      <c r="P51" s="5"/>
      <c r="Q51" s="5"/>
      <c r="R51" s="4"/>
      <c r="S51" s="4"/>
      <c r="T51" s="4"/>
      <c r="U51" s="4"/>
      <c r="V51" s="4"/>
      <c r="W51" s="4"/>
      <c r="X51" s="4"/>
      <c r="Y51" s="4"/>
      <c r="Z51" s="4"/>
      <c r="AA51" s="4"/>
      <c r="AB51" s="4"/>
      <c r="AC51" s="4"/>
      <c r="AD51" s="4"/>
      <c r="AE51" s="4"/>
      <c r="AF51" s="4"/>
      <c r="AG51" s="4"/>
      <c r="AH51" s="4"/>
      <c r="AI51" s="6"/>
      <c r="AP51" s="82"/>
      <c r="AQ51" s="82"/>
      <c r="AR51" s="54"/>
    </row>
    <row r="52" spans="5:44" x14ac:dyDescent="0.25">
      <c r="E52" s="2" t="s">
        <v>12</v>
      </c>
      <c r="F52" s="7">
        <v>25</v>
      </c>
      <c r="G52" s="54">
        <v>59.629497840000013</v>
      </c>
      <c r="H52" s="5">
        <v>420</v>
      </c>
      <c r="I52" s="5">
        <v>118.8</v>
      </c>
      <c r="J52" s="5">
        <v>36</v>
      </c>
      <c r="K52" s="8">
        <v>191.96</v>
      </c>
      <c r="L52" s="8">
        <v>8.4700000000000006</v>
      </c>
      <c r="M52" s="9">
        <f t="shared" si="3"/>
        <v>21.834657996108369</v>
      </c>
      <c r="N52" s="9">
        <v>22</v>
      </c>
      <c r="O52" s="32">
        <v>279.39999999999998</v>
      </c>
      <c r="P52" s="5"/>
      <c r="Q52" s="5"/>
      <c r="R52" s="4"/>
      <c r="S52" s="4"/>
      <c r="T52" s="4"/>
      <c r="U52" s="4"/>
      <c r="V52" s="4"/>
      <c r="W52" s="4"/>
      <c r="X52" s="4"/>
      <c r="Y52" s="4"/>
      <c r="Z52" s="4"/>
      <c r="AA52" s="4"/>
      <c r="AB52" s="4"/>
      <c r="AC52" s="4"/>
      <c r="AD52" s="4"/>
      <c r="AE52" s="4"/>
      <c r="AF52" s="4"/>
      <c r="AG52" s="4"/>
      <c r="AH52" s="4"/>
      <c r="AI52" s="6"/>
      <c r="AP52" s="82"/>
      <c r="AQ52" s="82"/>
      <c r="AR52" s="54"/>
    </row>
    <row r="53" spans="5:44" x14ac:dyDescent="0.25">
      <c r="E53" s="2" t="s">
        <v>13</v>
      </c>
      <c r="F53" s="7">
        <v>25</v>
      </c>
      <c r="G53" s="54">
        <v>75.686529600000014</v>
      </c>
      <c r="H53" s="5">
        <v>420</v>
      </c>
      <c r="I53" s="5">
        <v>118.8</v>
      </c>
      <c r="J53" s="5">
        <v>36</v>
      </c>
      <c r="K53" s="8">
        <v>191.96</v>
      </c>
      <c r="L53" s="8">
        <v>8.4700000000000006</v>
      </c>
      <c r="M53" s="9">
        <f t="shared" si="3"/>
        <v>21.754545080077833</v>
      </c>
      <c r="N53" s="9">
        <v>22</v>
      </c>
      <c r="O53" s="32">
        <v>231</v>
      </c>
      <c r="P53" s="5"/>
      <c r="Q53" s="5"/>
      <c r="R53" s="4"/>
      <c r="S53" s="4"/>
      <c r="T53" s="4"/>
      <c r="U53" s="4"/>
      <c r="V53" s="4"/>
      <c r="W53" s="4"/>
      <c r="X53" s="4"/>
      <c r="Y53" s="4"/>
      <c r="Z53" s="4"/>
      <c r="AA53" s="4"/>
      <c r="AB53" s="4"/>
      <c r="AC53" s="4"/>
      <c r="AD53" s="4"/>
      <c r="AE53" s="4"/>
      <c r="AF53" s="4"/>
      <c r="AG53" s="4"/>
      <c r="AH53" s="4"/>
      <c r="AI53" s="6"/>
      <c r="AP53" s="82"/>
      <c r="AQ53" s="82"/>
      <c r="AR53" s="54"/>
    </row>
    <row r="54" spans="5:44" x14ac:dyDescent="0.25">
      <c r="E54" s="2" t="s">
        <v>24</v>
      </c>
      <c r="F54" s="7">
        <v>25</v>
      </c>
      <c r="G54" s="54">
        <v>63.072108000000007</v>
      </c>
      <c r="H54" s="5">
        <v>420</v>
      </c>
      <c r="I54" s="5">
        <v>118.8</v>
      </c>
      <c r="J54" s="5">
        <v>36</v>
      </c>
      <c r="K54" s="8">
        <v>191.96</v>
      </c>
      <c r="L54" s="8">
        <v>8.4700000000000006</v>
      </c>
      <c r="M54" s="9">
        <f t="shared" si="3"/>
        <v>21.817481873970962</v>
      </c>
      <c r="N54" s="9">
        <v>22</v>
      </c>
      <c r="O54" s="32">
        <v>196.1</v>
      </c>
      <c r="P54" s="5"/>
      <c r="Q54" s="5"/>
      <c r="R54" s="4"/>
      <c r="S54" s="4"/>
      <c r="T54" s="4"/>
      <c r="U54" s="4"/>
      <c r="V54" s="4"/>
      <c r="W54" s="4"/>
      <c r="X54" s="4"/>
      <c r="Y54" s="4"/>
      <c r="Z54" s="4"/>
      <c r="AA54" s="4"/>
      <c r="AB54" s="4"/>
      <c r="AC54" s="4"/>
      <c r="AD54" s="4"/>
      <c r="AE54" s="4"/>
      <c r="AF54" s="4"/>
      <c r="AG54" s="4"/>
      <c r="AH54" s="4"/>
      <c r="AI54" s="6"/>
      <c r="AP54" s="82"/>
      <c r="AQ54" s="82"/>
      <c r="AR54" s="54"/>
    </row>
    <row r="55" spans="5:44" x14ac:dyDescent="0.25">
      <c r="E55" s="2" t="s">
        <v>19</v>
      </c>
      <c r="F55" s="7">
        <v>25</v>
      </c>
      <c r="G55" s="54">
        <v>47.015076240000013</v>
      </c>
      <c r="H55" s="5">
        <v>420</v>
      </c>
      <c r="I55" s="5">
        <v>118.8</v>
      </c>
      <c r="J55" s="5">
        <v>36</v>
      </c>
      <c r="K55" s="8">
        <v>191.96</v>
      </c>
      <c r="L55" s="8">
        <v>8.4700000000000006</v>
      </c>
      <c r="M55" s="9">
        <f t="shared" si="3"/>
        <v>21.897594790001499</v>
      </c>
      <c r="N55" s="9">
        <v>22</v>
      </c>
      <c r="O55" s="32">
        <v>223.1</v>
      </c>
      <c r="P55" s="5"/>
      <c r="Q55" s="5"/>
      <c r="R55" s="4"/>
      <c r="S55" s="4"/>
      <c r="T55" s="4"/>
      <c r="U55" s="4"/>
      <c r="V55" s="4"/>
      <c r="W55" s="4"/>
      <c r="X55" s="4"/>
      <c r="Y55" s="4"/>
      <c r="Z55" s="4"/>
      <c r="AA55" s="4"/>
      <c r="AB55" s="4"/>
      <c r="AC55" s="4"/>
      <c r="AD55" s="4"/>
      <c r="AE55" s="4"/>
      <c r="AF55" s="4"/>
      <c r="AG55" s="4"/>
      <c r="AH55" s="4"/>
      <c r="AI55" s="6"/>
    </row>
    <row r="56" spans="5:44" x14ac:dyDescent="0.25">
      <c r="E56" s="2" t="s">
        <v>20</v>
      </c>
      <c r="F56" s="7">
        <v>25</v>
      </c>
      <c r="G56" s="54">
        <v>41.282239680000004</v>
      </c>
      <c r="H56" s="5">
        <v>420</v>
      </c>
      <c r="I56" s="5">
        <v>118.8</v>
      </c>
      <c r="J56" s="5">
        <v>36</v>
      </c>
      <c r="K56" s="8">
        <v>191.96</v>
      </c>
      <c r="L56" s="8">
        <v>8.4700000000000006</v>
      </c>
      <c r="M56" s="9">
        <f t="shared" si="3"/>
        <v>21.926197477024399</v>
      </c>
      <c r="N56" s="9">
        <v>22</v>
      </c>
      <c r="O56" s="32">
        <v>180.3</v>
      </c>
      <c r="P56" s="5"/>
      <c r="Q56" s="5"/>
      <c r="R56" s="4"/>
      <c r="S56" s="4"/>
      <c r="T56" s="4"/>
      <c r="U56" s="4"/>
      <c r="V56" s="4"/>
      <c r="W56" s="4"/>
      <c r="X56" s="4"/>
      <c r="Y56" s="4"/>
      <c r="Z56" s="4"/>
      <c r="AA56" s="4"/>
      <c r="AB56" s="4"/>
      <c r="AC56" s="4"/>
      <c r="AD56" s="4"/>
      <c r="AE56" s="4"/>
      <c r="AF56" s="4"/>
      <c r="AG56" s="4"/>
      <c r="AH56" s="4"/>
      <c r="AI56" s="6"/>
    </row>
    <row r="57" spans="5:44" x14ac:dyDescent="0.25">
      <c r="E57" s="2" t="s">
        <v>21</v>
      </c>
      <c r="F57" s="7">
        <v>25</v>
      </c>
      <c r="G57" s="54">
        <v>37.843264800000007</v>
      </c>
      <c r="H57" s="5">
        <v>420</v>
      </c>
      <c r="I57" s="5">
        <v>118.8</v>
      </c>
      <c r="J57" s="5">
        <v>36</v>
      </c>
      <c r="K57" s="8">
        <v>191.96</v>
      </c>
      <c r="L57" s="8">
        <v>8.4700000000000006</v>
      </c>
      <c r="M57" s="9">
        <f t="shared" si="3"/>
        <v>21.943355461757221</v>
      </c>
      <c r="N57" s="9">
        <v>22</v>
      </c>
      <c r="O57" s="32">
        <v>182.9</v>
      </c>
      <c r="P57" s="5"/>
      <c r="Q57" s="5"/>
      <c r="R57" s="4"/>
      <c r="S57" s="4"/>
      <c r="T57" s="4"/>
      <c r="U57" s="4"/>
      <c r="V57" s="4"/>
      <c r="W57" s="4"/>
      <c r="X57" s="4"/>
      <c r="Y57" s="4"/>
      <c r="Z57" s="4"/>
      <c r="AA57" s="4"/>
      <c r="AB57" s="4"/>
      <c r="AC57" s="4"/>
      <c r="AD57" s="4"/>
      <c r="AE57" s="4"/>
      <c r="AF57" s="4"/>
      <c r="AG57" s="4"/>
      <c r="AH57" s="4"/>
      <c r="AI57" s="6"/>
    </row>
    <row r="58" spans="5:44" x14ac:dyDescent="0.25">
      <c r="E58" s="2" t="s">
        <v>22</v>
      </c>
      <c r="F58" s="7">
        <v>25</v>
      </c>
      <c r="G58" s="54">
        <v>34.400654639999999</v>
      </c>
      <c r="H58" s="5">
        <v>420</v>
      </c>
      <c r="I58" s="5">
        <v>118.8</v>
      </c>
      <c r="J58" s="5">
        <v>36</v>
      </c>
      <c r="K58" s="8">
        <v>191.96</v>
      </c>
      <c r="L58" s="8">
        <v>8.4700000000000006</v>
      </c>
      <c r="M58" s="9">
        <f t="shared" si="3"/>
        <v>21.960531583894628</v>
      </c>
      <c r="N58" s="9">
        <v>22</v>
      </c>
      <c r="O58" s="32">
        <v>194.5</v>
      </c>
      <c r="P58" s="5"/>
      <c r="Q58" s="5"/>
      <c r="R58" s="4"/>
      <c r="S58" s="4"/>
      <c r="T58" s="4"/>
      <c r="U58" s="4"/>
      <c r="V58" s="4"/>
      <c r="W58" s="4"/>
      <c r="X58" s="4"/>
      <c r="Y58" s="4"/>
      <c r="Z58" s="4"/>
      <c r="AA58" s="4"/>
      <c r="AB58" s="4"/>
      <c r="AC58" s="4"/>
      <c r="AD58" s="4"/>
      <c r="AE58" s="4"/>
      <c r="AF58" s="4"/>
      <c r="AG58" s="4"/>
      <c r="AH58" s="4"/>
      <c r="AI58" s="6"/>
      <c r="AP58" s="82"/>
      <c r="AQ58" s="82"/>
      <c r="AR58" s="54"/>
    </row>
    <row r="59" spans="5:44" x14ac:dyDescent="0.25">
      <c r="E59" s="2" t="s">
        <v>23</v>
      </c>
      <c r="F59" s="7">
        <v>25</v>
      </c>
      <c r="G59" s="54">
        <v>33.255541440000002</v>
      </c>
      <c r="H59" s="5">
        <v>420</v>
      </c>
      <c r="I59" s="5">
        <v>118.8</v>
      </c>
      <c r="J59" s="5">
        <v>36</v>
      </c>
      <c r="K59" s="8">
        <v>191.96</v>
      </c>
      <c r="L59" s="8">
        <v>8.4700000000000006</v>
      </c>
      <c r="M59" s="9">
        <f t="shared" si="3"/>
        <v>21.966244866337377</v>
      </c>
      <c r="N59" s="9">
        <v>22</v>
      </c>
      <c r="O59" s="32">
        <v>159.69999999999999</v>
      </c>
      <c r="P59" s="5"/>
      <c r="Q59" s="5"/>
      <c r="R59" s="4"/>
      <c r="S59" s="4"/>
      <c r="T59" s="4"/>
      <c r="U59" s="4"/>
      <c r="V59" s="4"/>
      <c r="W59" s="4"/>
      <c r="X59" s="4"/>
      <c r="Y59" s="4"/>
      <c r="Z59" s="4"/>
      <c r="AA59" s="4"/>
      <c r="AB59" s="4"/>
      <c r="AC59" s="4"/>
      <c r="AD59" s="4"/>
      <c r="AE59" s="4"/>
      <c r="AF59" s="4"/>
      <c r="AG59" s="4"/>
      <c r="AH59" s="4"/>
      <c r="AI59" s="6"/>
      <c r="AP59" s="82"/>
      <c r="AQ59" s="82"/>
      <c r="AR59" s="54"/>
    </row>
    <row r="60" spans="5:44" x14ac:dyDescent="0.3">
      <c r="E60" s="168" t="s">
        <v>3</v>
      </c>
      <c r="F60" s="171"/>
      <c r="G60" s="171"/>
      <c r="H60" s="171"/>
      <c r="I60" s="171"/>
      <c r="J60" s="171"/>
      <c r="K60" s="171"/>
      <c r="L60" s="171"/>
      <c r="M60" s="171"/>
      <c r="N60" s="172"/>
      <c r="O60" s="11">
        <f>SUM(O48:O59)</f>
        <v>2436.7999999999993</v>
      </c>
      <c r="P60" s="28">
        <f>16/24</f>
        <v>0.66666666666666663</v>
      </c>
      <c r="Q60" s="28">
        <f>24/1000</f>
        <v>2.4E-2</v>
      </c>
      <c r="R60" s="8">
        <v>3.59</v>
      </c>
      <c r="S60" s="8">
        <v>12.96</v>
      </c>
      <c r="T60" s="5">
        <f>O60</f>
        <v>2436.7999999999993</v>
      </c>
      <c r="U60" s="15">
        <f>P60*Q60*R60*S60*T60</f>
        <v>1814.0085043199995</v>
      </c>
      <c r="V60" s="5">
        <v>3.94</v>
      </c>
      <c r="W60" s="5">
        <v>12.96</v>
      </c>
      <c r="X60" s="5">
        <f>O60</f>
        <v>2436.7999999999993</v>
      </c>
      <c r="Y60" s="16">
        <f>(P60*Q60*V60*W60*X60)</f>
        <v>1990.8617011199995</v>
      </c>
      <c r="Z60" s="8">
        <v>2.13</v>
      </c>
      <c r="AA60" s="8">
        <v>41.904000000000003</v>
      </c>
      <c r="AB60" s="8">
        <f>O60</f>
        <v>2436.7999999999993</v>
      </c>
      <c r="AC60" s="17">
        <f>(P60*Q60*Z60*AA60*AB60)</f>
        <v>3479.9656181759992</v>
      </c>
      <c r="AD60" s="96">
        <f>L358</f>
        <v>3544.8729690218647</v>
      </c>
      <c r="AE60" s="18">
        <f>U60+Y60+AC60+AD60</f>
        <v>10829.708792637863</v>
      </c>
      <c r="AF60" s="4">
        <f>AE60*0.1</f>
        <v>1082.9708792637864</v>
      </c>
      <c r="AG60" s="19">
        <f>AE60+AF60</f>
        <v>11912.679671901649</v>
      </c>
      <c r="AH60" s="8">
        <v>3.1</v>
      </c>
      <c r="AI60" s="20">
        <f>ROUND((AG60/AH60),0)</f>
        <v>3843</v>
      </c>
      <c r="AJ60" s="39">
        <v>25</v>
      </c>
      <c r="AP60" s="53"/>
      <c r="AQ60" s="54"/>
      <c r="AR60" s="54"/>
    </row>
    <row r="61" spans="5:44" x14ac:dyDescent="0.3">
      <c r="E61" s="385" t="s">
        <v>221</v>
      </c>
      <c r="F61" s="386"/>
      <c r="G61" s="386"/>
      <c r="H61" s="386"/>
      <c r="I61" s="386"/>
      <c r="J61" s="386"/>
      <c r="K61" s="386"/>
      <c r="L61" s="386"/>
      <c r="M61" s="386"/>
      <c r="N61" s="386"/>
      <c r="O61" s="386"/>
      <c r="P61" s="386"/>
      <c r="Q61" s="386"/>
      <c r="R61" s="386"/>
      <c r="S61" s="386"/>
      <c r="T61" s="386"/>
      <c r="U61" s="386"/>
      <c r="V61" s="386"/>
      <c r="W61" s="386"/>
      <c r="X61" s="386"/>
      <c r="Y61" s="386"/>
      <c r="Z61" s="386"/>
      <c r="AA61" s="386"/>
      <c r="AB61" s="386"/>
      <c r="AC61" s="386"/>
      <c r="AD61" s="386"/>
      <c r="AE61" s="386"/>
      <c r="AF61" s="386"/>
      <c r="AG61" s="386"/>
      <c r="AH61" s="387"/>
      <c r="AI61" s="150">
        <f>AI60</f>
        <v>3843</v>
      </c>
      <c r="AJ61" s="39"/>
      <c r="AP61" s="53"/>
      <c r="AQ61" s="54"/>
      <c r="AR61" s="54"/>
    </row>
    <row r="62" spans="5:44" ht="15.5" x14ac:dyDescent="0.4">
      <c r="E62" s="2" t="s">
        <v>0</v>
      </c>
      <c r="F62" s="3"/>
      <c r="G62" s="5"/>
      <c r="H62" s="4"/>
      <c r="I62" s="4"/>
      <c r="J62" s="4"/>
      <c r="K62" s="4"/>
      <c r="L62" s="4"/>
      <c r="M62" s="3" t="s">
        <v>138</v>
      </c>
      <c r="N62" s="3" t="s">
        <v>137</v>
      </c>
      <c r="O62" s="8" t="s">
        <v>2</v>
      </c>
      <c r="P62" s="5"/>
      <c r="Q62" s="5"/>
      <c r="R62" s="4"/>
      <c r="S62" s="4"/>
      <c r="T62" s="4"/>
      <c r="U62" s="4"/>
      <c r="V62" s="4"/>
      <c r="W62" s="4"/>
      <c r="X62" s="4"/>
      <c r="Y62" s="4"/>
      <c r="Z62" s="4"/>
      <c r="AA62" s="4"/>
      <c r="AB62" s="4"/>
      <c r="AC62" s="4"/>
      <c r="AD62" s="4"/>
      <c r="AE62" s="4"/>
      <c r="AF62" s="4"/>
      <c r="AG62" s="4"/>
      <c r="AH62" s="4"/>
      <c r="AI62" s="6"/>
    </row>
    <row r="63" spans="5:44" x14ac:dyDescent="0.25">
      <c r="E63" s="2" t="s">
        <v>15</v>
      </c>
      <c r="F63" s="7">
        <v>26</v>
      </c>
      <c r="G63" s="54">
        <v>34.400654639999999</v>
      </c>
      <c r="H63" s="5">
        <v>420</v>
      </c>
      <c r="I63" s="5">
        <v>118.8</v>
      </c>
      <c r="J63" s="5">
        <v>36</v>
      </c>
      <c r="K63" s="8">
        <v>191.96</v>
      </c>
      <c r="L63" s="8">
        <v>8.4700000000000006</v>
      </c>
      <c r="M63" s="9">
        <f>(F63-((G63+H63+I63+J63)/(K63+L63)))</f>
        <v>22.960531583894628</v>
      </c>
      <c r="N63" s="9">
        <v>23</v>
      </c>
      <c r="O63" s="32">
        <v>124.8</v>
      </c>
      <c r="P63" s="5"/>
      <c r="Q63" s="5"/>
      <c r="R63" s="4"/>
      <c r="S63" s="4"/>
      <c r="T63" s="4"/>
      <c r="U63" s="4"/>
      <c r="V63" s="4"/>
      <c r="W63" s="4"/>
      <c r="X63" s="4"/>
      <c r="Y63" s="4"/>
      <c r="Z63" s="4"/>
      <c r="AA63" s="4"/>
      <c r="AB63" s="4"/>
      <c r="AC63" s="4"/>
      <c r="AD63" s="4"/>
      <c r="AE63" s="4"/>
      <c r="AF63" s="4"/>
      <c r="AG63" s="4"/>
      <c r="AH63" s="4"/>
      <c r="AI63" s="6"/>
    </row>
    <row r="64" spans="5:44" x14ac:dyDescent="0.25">
      <c r="E64" s="2" t="s">
        <v>16</v>
      </c>
      <c r="F64" s="7">
        <v>26</v>
      </c>
      <c r="G64" s="54">
        <v>37.843264800000007</v>
      </c>
      <c r="H64" s="5">
        <v>420</v>
      </c>
      <c r="I64" s="5">
        <v>118.8</v>
      </c>
      <c r="J64" s="5">
        <v>36</v>
      </c>
      <c r="K64" s="8">
        <v>191.96</v>
      </c>
      <c r="L64" s="8">
        <v>8.4700000000000006</v>
      </c>
      <c r="M64" s="9">
        <f t="shared" ref="M64:M74" si="4">(F64-((G64+H64+I64+J64)/(K64+L64)))</f>
        <v>22.943355461757221</v>
      </c>
      <c r="N64" s="9">
        <v>23</v>
      </c>
      <c r="O64" s="32">
        <v>138</v>
      </c>
      <c r="P64" s="5"/>
      <c r="Q64" s="5"/>
      <c r="R64" s="4"/>
      <c r="S64" s="4"/>
      <c r="T64" s="4"/>
      <c r="U64" s="4"/>
      <c r="V64" s="4"/>
      <c r="W64" s="4"/>
      <c r="X64" s="4"/>
      <c r="Y64" s="4"/>
      <c r="Z64" s="4"/>
      <c r="AA64" s="4"/>
      <c r="AB64" s="4"/>
      <c r="AC64" s="4"/>
      <c r="AD64" s="4"/>
      <c r="AE64" s="4"/>
      <c r="AF64" s="4"/>
      <c r="AG64" s="4"/>
      <c r="AH64" s="4"/>
      <c r="AI64" s="6"/>
    </row>
    <row r="65" spans="5:44" x14ac:dyDescent="0.25">
      <c r="E65" s="2" t="s">
        <v>17</v>
      </c>
      <c r="F65" s="7">
        <v>26</v>
      </c>
      <c r="G65" s="54">
        <v>40.137126480000006</v>
      </c>
      <c r="H65" s="5">
        <v>420</v>
      </c>
      <c r="I65" s="5">
        <v>118.8</v>
      </c>
      <c r="J65" s="5">
        <v>36</v>
      </c>
      <c r="K65" s="8">
        <v>191.96</v>
      </c>
      <c r="L65" s="8">
        <v>8.4700000000000006</v>
      </c>
      <c r="M65" s="9">
        <f t="shared" si="4"/>
        <v>22.931910759467147</v>
      </c>
      <c r="N65" s="9">
        <v>23</v>
      </c>
      <c r="O65" s="32">
        <v>194.8</v>
      </c>
      <c r="P65" s="5"/>
      <c r="Q65" s="5"/>
      <c r="R65" s="4"/>
      <c r="S65" s="4"/>
      <c r="T65" s="4"/>
      <c r="U65" s="4"/>
      <c r="V65" s="4"/>
      <c r="W65" s="4"/>
      <c r="X65" s="4"/>
      <c r="Y65" s="4"/>
      <c r="Z65" s="4"/>
      <c r="AA65" s="4"/>
      <c r="AB65" s="4"/>
      <c r="AC65" s="4"/>
      <c r="AD65" s="4"/>
      <c r="AE65" s="4"/>
      <c r="AF65" s="4"/>
      <c r="AG65" s="4"/>
      <c r="AH65" s="4"/>
      <c r="AI65" s="6"/>
    </row>
    <row r="66" spans="5:44" x14ac:dyDescent="0.25">
      <c r="E66" s="2" t="s">
        <v>18</v>
      </c>
      <c r="F66" s="7">
        <v>26</v>
      </c>
      <c r="G66" s="54">
        <v>44.721214560000007</v>
      </c>
      <c r="H66" s="5">
        <v>420</v>
      </c>
      <c r="I66" s="5">
        <v>118.8</v>
      </c>
      <c r="J66" s="5">
        <v>36</v>
      </c>
      <c r="K66" s="8">
        <v>191.96</v>
      </c>
      <c r="L66" s="8">
        <v>8.4700000000000006</v>
      </c>
      <c r="M66" s="9">
        <f t="shared" si="4"/>
        <v>22.909039492291573</v>
      </c>
      <c r="N66" s="9">
        <v>23</v>
      </c>
      <c r="O66" s="32">
        <v>215.3</v>
      </c>
      <c r="P66" s="5"/>
      <c r="Q66" s="5"/>
      <c r="R66" s="4"/>
      <c r="S66" s="4"/>
      <c r="T66" s="4"/>
      <c r="U66" s="4"/>
      <c r="V66" s="4"/>
      <c r="W66" s="4"/>
      <c r="X66" s="4"/>
      <c r="Y66" s="4"/>
      <c r="Z66" s="4"/>
      <c r="AA66" s="4"/>
      <c r="AB66" s="4"/>
      <c r="AC66" s="4"/>
      <c r="AD66" s="4"/>
      <c r="AE66" s="4"/>
      <c r="AF66" s="4"/>
      <c r="AG66" s="4"/>
      <c r="AH66" s="4"/>
      <c r="AI66" s="6"/>
    </row>
    <row r="67" spans="5:44" x14ac:dyDescent="0.25">
      <c r="E67" s="2" t="s">
        <v>12</v>
      </c>
      <c r="F67" s="7">
        <v>26</v>
      </c>
      <c r="G67" s="54">
        <v>59.629497840000013</v>
      </c>
      <c r="H67" s="5">
        <v>420</v>
      </c>
      <c r="I67" s="5">
        <v>118.8</v>
      </c>
      <c r="J67" s="5">
        <v>36</v>
      </c>
      <c r="K67" s="8">
        <v>191.96</v>
      </c>
      <c r="L67" s="8">
        <v>8.4700000000000006</v>
      </c>
      <c r="M67" s="9">
        <f t="shared" si="4"/>
        <v>22.834657996108369</v>
      </c>
      <c r="N67" s="9">
        <v>23</v>
      </c>
      <c r="O67" s="32">
        <v>248.4</v>
      </c>
      <c r="P67" s="5"/>
      <c r="Q67" s="5"/>
      <c r="R67" s="4"/>
      <c r="S67" s="4"/>
      <c r="T67" s="4"/>
      <c r="U67" s="4"/>
      <c r="V67" s="4"/>
      <c r="W67" s="4"/>
      <c r="X67" s="4"/>
      <c r="Y67" s="4"/>
      <c r="Z67" s="4"/>
      <c r="AA67" s="4"/>
      <c r="AB67" s="4"/>
      <c r="AC67" s="4"/>
      <c r="AD67" s="4"/>
      <c r="AE67" s="4"/>
      <c r="AF67" s="4"/>
      <c r="AG67" s="4"/>
      <c r="AH67" s="4"/>
      <c r="AI67" s="6"/>
    </row>
    <row r="68" spans="5:44" x14ac:dyDescent="0.25">
      <c r="E68" s="2" t="s">
        <v>13</v>
      </c>
      <c r="F68" s="7">
        <v>26</v>
      </c>
      <c r="G68" s="54">
        <v>75.686529600000014</v>
      </c>
      <c r="H68" s="5">
        <v>420</v>
      </c>
      <c r="I68" s="5">
        <v>118.8</v>
      </c>
      <c r="J68" s="5">
        <v>36</v>
      </c>
      <c r="K68" s="8">
        <v>191.96</v>
      </c>
      <c r="L68" s="8">
        <v>8.4700000000000006</v>
      </c>
      <c r="M68" s="9">
        <f t="shared" si="4"/>
        <v>22.754545080077833</v>
      </c>
      <c r="N68" s="9">
        <v>23</v>
      </c>
      <c r="O68" s="32">
        <v>201</v>
      </c>
      <c r="P68" s="5"/>
      <c r="Q68" s="5"/>
      <c r="R68" s="4"/>
      <c r="S68" s="4"/>
      <c r="T68" s="4"/>
      <c r="U68" s="4"/>
      <c r="V68" s="4"/>
      <c r="W68" s="4"/>
      <c r="X68" s="4"/>
      <c r="Y68" s="4"/>
      <c r="Z68" s="4"/>
      <c r="AA68" s="4"/>
      <c r="AB68" s="4"/>
      <c r="AC68" s="4"/>
      <c r="AD68" s="4"/>
      <c r="AE68" s="4"/>
      <c r="AF68" s="4"/>
      <c r="AG68" s="4"/>
      <c r="AH68" s="4"/>
      <c r="AI68" s="6"/>
    </row>
    <row r="69" spans="5:44" x14ac:dyDescent="0.25">
      <c r="E69" s="2" t="s">
        <v>1</v>
      </c>
      <c r="F69" s="7">
        <v>26</v>
      </c>
      <c r="G69" s="54">
        <v>63.072108000000007</v>
      </c>
      <c r="H69" s="5">
        <v>420</v>
      </c>
      <c r="I69" s="5">
        <v>118.8</v>
      </c>
      <c r="J69" s="5">
        <v>36</v>
      </c>
      <c r="K69" s="8">
        <v>191.96</v>
      </c>
      <c r="L69" s="8">
        <v>8.4700000000000006</v>
      </c>
      <c r="M69" s="9">
        <f t="shared" si="4"/>
        <v>22.817481873970962</v>
      </c>
      <c r="N69" s="9">
        <v>23</v>
      </c>
      <c r="O69" s="32">
        <v>165.1</v>
      </c>
      <c r="P69" s="27"/>
      <c r="Q69" s="27"/>
      <c r="R69" s="4"/>
      <c r="S69" s="4"/>
      <c r="T69" s="4"/>
      <c r="U69" s="4"/>
      <c r="V69" s="4"/>
      <c r="W69" s="4"/>
      <c r="X69" s="4"/>
      <c r="Y69" s="4"/>
      <c r="Z69" s="4"/>
      <c r="AA69" s="4"/>
      <c r="AB69" s="4"/>
      <c r="AC69" s="4"/>
      <c r="AD69" s="4"/>
      <c r="AE69" s="4"/>
      <c r="AF69" s="4"/>
      <c r="AG69" s="4"/>
      <c r="AH69" s="4"/>
      <c r="AI69" s="6"/>
    </row>
    <row r="70" spans="5:44" x14ac:dyDescent="0.25">
      <c r="E70" s="2" t="s">
        <v>19</v>
      </c>
      <c r="F70" s="7">
        <v>26</v>
      </c>
      <c r="G70" s="54">
        <v>47.015076240000013</v>
      </c>
      <c r="H70" s="5">
        <v>420</v>
      </c>
      <c r="I70" s="5">
        <v>118.8</v>
      </c>
      <c r="J70" s="5">
        <v>36</v>
      </c>
      <c r="K70" s="8">
        <v>191.96</v>
      </c>
      <c r="L70" s="8">
        <v>8.4700000000000006</v>
      </c>
      <c r="M70" s="9">
        <f t="shared" si="4"/>
        <v>22.897594790001499</v>
      </c>
      <c r="N70" s="9">
        <v>23</v>
      </c>
      <c r="O70" s="32">
        <v>192.1</v>
      </c>
      <c r="P70" s="27"/>
      <c r="Q70" s="27"/>
      <c r="R70" s="4"/>
      <c r="S70" s="4"/>
      <c r="T70" s="4"/>
      <c r="U70" s="4"/>
      <c r="V70" s="4"/>
      <c r="W70" s="4"/>
      <c r="X70" s="4"/>
      <c r="Y70" s="4"/>
      <c r="Z70" s="4"/>
      <c r="AA70" s="4"/>
      <c r="AB70" s="4"/>
      <c r="AC70" s="4"/>
      <c r="AD70" s="4"/>
      <c r="AE70" s="4"/>
      <c r="AF70" s="4"/>
      <c r="AG70" s="4"/>
      <c r="AH70" s="4"/>
      <c r="AI70" s="6"/>
    </row>
    <row r="71" spans="5:44" x14ac:dyDescent="0.25">
      <c r="E71" s="2" t="s">
        <v>20</v>
      </c>
      <c r="F71" s="7">
        <v>26</v>
      </c>
      <c r="G71" s="54">
        <v>41.282239680000004</v>
      </c>
      <c r="H71" s="5">
        <v>420</v>
      </c>
      <c r="I71" s="5">
        <v>118.8</v>
      </c>
      <c r="J71" s="5">
        <v>36</v>
      </c>
      <c r="K71" s="8">
        <v>191.96</v>
      </c>
      <c r="L71" s="8">
        <v>8.4700000000000006</v>
      </c>
      <c r="M71" s="9">
        <f t="shared" si="4"/>
        <v>22.926197477024399</v>
      </c>
      <c r="N71" s="9">
        <v>23</v>
      </c>
      <c r="O71" s="32">
        <v>150.30000000000001</v>
      </c>
      <c r="P71" s="27"/>
      <c r="Q71" s="27"/>
      <c r="R71" s="4"/>
      <c r="S71" s="4"/>
      <c r="T71" s="4"/>
      <c r="U71" s="4"/>
      <c r="V71" s="4"/>
      <c r="W71" s="4"/>
      <c r="X71" s="4"/>
      <c r="Y71" s="4"/>
      <c r="Z71" s="4"/>
      <c r="AA71" s="4"/>
      <c r="AB71" s="4"/>
      <c r="AC71" s="4"/>
      <c r="AD71" s="4"/>
      <c r="AE71" s="4"/>
      <c r="AF71" s="4"/>
      <c r="AG71" s="4"/>
      <c r="AH71" s="4"/>
      <c r="AI71" s="6"/>
    </row>
    <row r="72" spans="5:44" x14ac:dyDescent="0.25">
      <c r="E72" s="2" t="s">
        <v>21</v>
      </c>
      <c r="F72" s="7">
        <v>26</v>
      </c>
      <c r="G72" s="54">
        <v>37.843264800000007</v>
      </c>
      <c r="H72" s="5">
        <v>420</v>
      </c>
      <c r="I72" s="5">
        <v>118.8</v>
      </c>
      <c r="J72" s="5">
        <v>36</v>
      </c>
      <c r="K72" s="8">
        <v>191.96</v>
      </c>
      <c r="L72" s="8">
        <v>8.4700000000000006</v>
      </c>
      <c r="M72" s="9">
        <f t="shared" si="4"/>
        <v>22.943355461757221</v>
      </c>
      <c r="N72" s="9">
        <v>23</v>
      </c>
      <c r="O72" s="32">
        <v>152</v>
      </c>
      <c r="P72" s="27"/>
      <c r="Q72" s="27"/>
      <c r="R72" s="4"/>
      <c r="S72" s="4"/>
      <c r="T72" s="4"/>
      <c r="U72" s="4"/>
      <c r="V72" s="4"/>
      <c r="W72" s="4"/>
      <c r="X72" s="4"/>
      <c r="Y72" s="4"/>
      <c r="Z72" s="4"/>
      <c r="AA72" s="4"/>
      <c r="AB72" s="4"/>
      <c r="AC72" s="4"/>
      <c r="AD72" s="4"/>
      <c r="AE72" s="4"/>
      <c r="AF72" s="4"/>
      <c r="AG72" s="4"/>
      <c r="AH72" s="4"/>
      <c r="AI72" s="6"/>
    </row>
    <row r="73" spans="5:44" x14ac:dyDescent="0.25">
      <c r="E73" s="2" t="s">
        <v>22</v>
      </c>
      <c r="F73" s="7">
        <v>26</v>
      </c>
      <c r="G73" s="54">
        <v>34.400654639999999</v>
      </c>
      <c r="H73" s="5">
        <v>420</v>
      </c>
      <c r="I73" s="5">
        <v>118.8</v>
      </c>
      <c r="J73" s="5">
        <v>36</v>
      </c>
      <c r="K73" s="8">
        <v>191.96</v>
      </c>
      <c r="L73" s="8">
        <v>8.4700000000000006</v>
      </c>
      <c r="M73" s="9">
        <f t="shared" si="4"/>
        <v>22.960531583894628</v>
      </c>
      <c r="N73" s="9">
        <v>23</v>
      </c>
      <c r="O73" s="32">
        <v>164.5</v>
      </c>
      <c r="P73" s="27"/>
      <c r="Q73" s="27"/>
      <c r="R73" s="4"/>
      <c r="S73" s="4"/>
      <c r="T73" s="4"/>
      <c r="U73" s="4"/>
      <c r="V73" s="4"/>
      <c r="W73" s="4"/>
      <c r="X73" s="4"/>
      <c r="Y73" s="4"/>
      <c r="Z73" s="4"/>
      <c r="AA73" s="4"/>
      <c r="AB73" s="4"/>
      <c r="AC73" s="4"/>
      <c r="AD73" s="4"/>
      <c r="AE73" s="4"/>
      <c r="AF73" s="4"/>
      <c r="AG73" s="4"/>
      <c r="AH73" s="4"/>
      <c r="AI73" s="6"/>
    </row>
    <row r="74" spans="5:44" x14ac:dyDescent="0.25">
      <c r="E74" s="2" t="s">
        <v>23</v>
      </c>
      <c r="F74" s="7">
        <v>26</v>
      </c>
      <c r="G74" s="54">
        <v>33.255541440000002</v>
      </c>
      <c r="H74" s="5">
        <v>420</v>
      </c>
      <c r="I74" s="5">
        <v>118.8</v>
      </c>
      <c r="J74" s="5">
        <v>36</v>
      </c>
      <c r="K74" s="8">
        <v>191.96</v>
      </c>
      <c r="L74" s="8">
        <v>8.4700000000000006</v>
      </c>
      <c r="M74" s="9">
        <f t="shared" si="4"/>
        <v>22.966244866337377</v>
      </c>
      <c r="N74" s="9">
        <v>23</v>
      </c>
      <c r="O74" s="32">
        <v>129.6</v>
      </c>
      <c r="P74" s="27"/>
      <c r="Q74" s="27"/>
      <c r="R74" s="4"/>
      <c r="S74" s="4"/>
      <c r="T74" s="4"/>
      <c r="U74" s="4"/>
      <c r="V74" s="4"/>
      <c r="W74" s="4"/>
      <c r="X74" s="4"/>
      <c r="Y74" s="4"/>
      <c r="Z74" s="4"/>
      <c r="AA74" s="4"/>
      <c r="AB74" s="4"/>
      <c r="AC74" s="4"/>
      <c r="AD74" s="4"/>
      <c r="AE74" s="4"/>
      <c r="AF74" s="4"/>
      <c r="AG74" s="4"/>
      <c r="AH74" s="4"/>
      <c r="AI74" s="6"/>
    </row>
    <row r="75" spans="5:44" x14ac:dyDescent="0.3">
      <c r="E75" s="168" t="s">
        <v>3</v>
      </c>
      <c r="F75" s="171"/>
      <c r="G75" s="171"/>
      <c r="H75" s="171"/>
      <c r="I75" s="171"/>
      <c r="J75" s="171"/>
      <c r="K75" s="171"/>
      <c r="L75" s="171"/>
      <c r="M75" s="171"/>
      <c r="N75" s="172"/>
      <c r="O75" s="11">
        <f>SUM(O63:O74)</f>
        <v>2075.9</v>
      </c>
      <c r="P75" s="28">
        <f>16/24</f>
        <v>0.66666666666666663</v>
      </c>
      <c r="Q75" s="28">
        <f>24/1000</f>
        <v>2.4E-2</v>
      </c>
      <c r="R75" s="8">
        <v>3.59</v>
      </c>
      <c r="S75" s="8">
        <v>12.96</v>
      </c>
      <c r="T75" s="5">
        <f>O75</f>
        <v>2075.9</v>
      </c>
      <c r="U75" s="15">
        <f>P75*Q75*R75*S75*T75</f>
        <v>1545.3464601600001</v>
      </c>
      <c r="V75" s="5">
        <v>3.94</v>
      </c>
      <c r="W75" s="5">
        <v>12.96</v>
      </c>
      <c r="X75" s="5">
        <f>O75</f>
        <v>2075.9</v>
      </c>
      <c r="Y75" s="16">
        <f>(P75*Q75*V75*W75*X75)</f>
        <v>1696.0069785600001</v>
      </c>
      <c r="Z75" s="8">
        <v>2.13</v>
      </c>
      <c r="AA75" s="8">
        <v>41.904000000000003</v>
      </c>
      <c r="AB75" s="8">
        <f>O75</f>
        <v>2075.9</v>
      </c>
      <c r="AC75" s="17">
        <f>(P75*Q75*Z75*AA75*AB75)</f>
        <v>2964.5685434880002</v>
      </c>
      <c r="AD75" s="96">
        <f>L359</f>
        <v>3467.4523476927511</v>
      </c>
      <c r="AE75" s="18">
        <f>U75+Y75+AC75+AD75</f>
        <v>9673.374329900751</v>
      </c>
      <c r="AF75" s="4">
        <f>AE75*0.1</f>
        <v>967.33743299007517</v>
      </c>
      <c r="AG75" s="19">
        <f>AE75+AF75</f>
        <v>10640.711762890825</v>
      </c>
      <c r="AH75" s="8">
        <v>3.1</v>
      </c>
      <c r="AI75" s="20">
        <f>ROUND((AG75/AH75),0)</f>
        <v>3432</v>
      </c>
      <c r="AJ75" s="39">
        <v>26</v>
      </c>
      <c r="AK75" s="122"/>
      <c r="AL75" s="122"/>
    </row>
    <row r="76" spans="5:44" ht="16" thickBot="1" x14ac:dyDescent="0.45">
      <c r="E76" s="2" t="s">
        <v>0</v>
      </c>
      <c r="F76" s="3"/>
      <c r="G76" s="5"/>
      <c r="H76" s="4"/>
      <c r="I76" s="4"/>
      <c r="J76" s="4"/>
      <c r="K76" s="4"/>
      <c r="L76" s="4"/>
      <c r="M76" s="3" t="s">
        <v>138</v>
      </c>
      <c r="N76" s="3" t="s">
        <v>137</v>
      </c>
      <c r="O76" s="8" t="s">
        <v>2</v>
      </c>
      <c r="P76" s="5"/>
      <c r="Q76" s="5"/>
      <c r="R76" s="4"/>
      <c r="S76" s="4"/>
      <c r="T76" s="4"/>
      <c r="U76" s="4"/>
      <c r="V76" s="4"/>
      <c r="W76" s="4"/>
      <c r="X76" s="4"/>
      <c r="Y76" s="4"/>
      <c r="Z76" s="4"/>
      <c r="AA76" s="4"/>
      <c r="AB76" s="4"/>
      <c r="AC76" s="4"/>
      <c r="AD76" s="4"/>
      <c r="AE76" s="4"/>
      <c r="AF76" s="4"/>
      <c r="AG76" s="4"/>
      <c r="AH76" s="4"/>
      <c r="AI76" s="6"/>
    </row>
    <row r="77" spans="5:44" x14ac:dyDescent="0.3">
      <c r="E77" s="2" t="s">
        <v>15</v>
      </c>
      <c r="F77" s="7">
        <v>27</v>
      </c>
      <c r="G77" s="54">
        <v>34.400654639999999</v>
      </c>
      <c r="H77" s="5">
        <v>420</v>
      </c>
      <c r="I77" s="5">
        <v>118.8</v>
      </c>
      <c r="J77" s="5">
        <v>36</v>
      </c>
      <c r="K77" s="8">
        <v>191.96</v>
      </c>
      <c r="L77" s="8">
        <v>8.4700000000000006</v>
      </c>
      <c r="M77" s="9">
        <f>(F77-((G77+H77+I77+J77)/(K77+L77)))</f>
        <v>23.960531583894628</v>
      </c>
      <c r="N77" s="9">
        <v>24</v>
      </c>
      <c r="O77" s="32">
        <v>98.3</v>
      </c>
      <c r="P77" s="5"/>
      <c r="Q77" s="5"/>
      <c r="R77" s="4"/>
      <c r="S77" s="4"/>
      <c r="T77" s="4"/>
      <c r="U77" s="4"/>
      <c r="V77" s="4"/>
      <c r="W77" s="4"/>
      <c r="X77" s="4"/>
      <c r="Y77" s="4"/>
      <c r="Z77" s="4"/>
      <c r="AA77" s="4"/>
      <c r="AB77" s="4"/>
      <c r="AC77" s="4"/>
      <c r="AD77" s="4"/>
      <c r="AE77" s="4"/>
      <c r="AF77" s="4"/>
      <c r="AG77" s="4"/>
      <c r="AH77" s="4"/>
      <c r="AI77" s="6"/>
      <c r="AO77" s="141"/>
      <c r="AP77" s="295" t="s">
        <v>204</v>
      </c>
      <c r="AQ77" s="296"/>
      <c r="AR77" s="297"/>
    </row>
    <row r="78" spans="5:44" x14ac:dyDescent="0.25">
      <c r="E78" s="2" t="s">
        <v>16</v>
      </c>
      <c r="F78" s="7">
        <v>27</v>
      </c>
      <c r="G78" s="54">
        <v>37.843264800000007</v>
      </c>
      <c r="H78" s="5">
        <v>420</v>
      </c>
      <c r="I78" s="5">
        <v>118.8</v>
      </c>
      <c r="J78" s="5">
        <v>36</v>
      </c>
      <c r="K78" s="8">
        <v>191.96</v>
      </c>
      <c r="L78" s="8">
        <v>8.4700000000000006</v>
      </c>
      <c r="M78" s="9">
        <f t="shared" ref="M78:M88" si="5">(F78-((G78+H78+I78+J78)/(K78+L78)))</f>
        <v>23.943355461757221</v>
      </c>
      <c r="N78" s="9">
        <v>24</v>
      </c>
      <c r="O78" s="32">
        <v>111.2</v>
      </c>
      <c r="P78" s="5"/>
      <c r="Q78" s="5"/>
      <c r="R78" s="4"/>
      <c r="S78" s="4"/>
      <c r="T78" s="4"/>
      <c r="U78" s="4"/>
      <c r="V78" s="4"/>
      <c r="W78" s="4"/>
      <c r="X78" s="4"/>
      <c r="Y78" s="4"/>
      <c r="Z78" s="4"/>
      <c r="AA78" s="4"/>
      <c r="AB78" s="4"/>
      <c r="AC78" s="4"/>
      <c r="AD78" s="4"/>
      <c r="AE78" s="4"/>
      <c r="AF78" s="4"/>
      <c r="AG78" s="4"/>
      <c r="AH78" s="4"/>
      <c r="AI78" s="6"/>
      <c r="AP78" s="76" t="s">
        <v>195</v>
      </c>
      <c r="AQ78" s="27" t="s">
        <v>196</v>
      </c>
      <c r="AR78" s="86" t="s">
        <v>201</v>
      </c>
    </row>
    <row r="79" spans="5:44" x14ac:dyDescent="0.25">
      <c r="E79" s="2" t="s">
        <v>17</v>
      </c>
      <c r="F79" s="7">
        <v>27</v>
      </c>
      <c r="G79" s="54">
        <v>40.137126480000006</v>
      </c>
      <c r="H79" s="5">
        <v>420</v>
      </c>
      <c r="I79" s="5">
        <v>118.8</v>
      </c>
      <c r="J79" s="5">
        <v>36</v>
      </c>
      <c r="K79" s="8">
        <v>191.96</v>
      </c>
      <c r="L79" s="8">
        <v>8.4700000000000006</v>
      </c>
      <c r="M79" s="9">
        <f t="shared" si="5"/>
        <v>23.931910759467147</v>
      </c>
      <c r="N79" s="9">
        <v>24</v>
      </c>
      <c r="O79" s="32">
        <v>163.80000000000001</v>
      </c>
      <c r="P79" s="5"/>
      <c r="Q79" s="5"/>
      <c r="R79" s="4"/>
      <c r="S79" s="4"/>
      <c r="T79" s="4"/>
      <c r="U79" s="4"/>
      <c r="V79" s="4"/>
      <c r="W79" s="4"/>
      <c r="X79" s="4"/>
      <c r="Y79" s="4"/>
      <c r="Z79" s="4"/>
      <c r="AA79" s="4"/>
      <c r="AB79" s="4"/>
      <c r="AC79" s="4"/>
      <c r="AD79" s="4"/>
      <c r="AE79" s="4"/>
      <c r="AF79" s="4"/>
      <c r="AG79" s="4"/>
      <c r="AH79" s="4"/>
      <c r="AI79" s="6"/>
      <c r="AP79" s="76">
        <v>26</v>
      </c>
      <c r="AQ79" s="27">
        <v>10</v>
      </c>
      <c r="AR79" s="35">
        <f>AQ79/AQ82</f>
        <v>0.5</v>
      </c>
    </row>
    <row r="80" spans="5:44" x14ac:dyDescent="0.25">
      <c r="E80" s="2" t="s">
        <v>18</v>
      </c>
      <c r="F80" s="7">
        <v>27</v>
      </c>
      <c r="G80" s="54">
        <v>44.721214560000007</v>
      </c>
      <c r="H80" s="5">
        <v>420</v>
      </c>
      <c r="I80" s="5">
        <v>118.8</v>
      </c>
      <c r="J80" s="5">
        <v>36</v>
      </c>
      <c r="K80" s="8">
        <v>191.96</v>
      </c>
      <c r="L80" s="8">
        <v>8.4700000000000006</v>
      </c>
      <c r="M80" s="9">
        <f t="shared" si="5"/>
        <v>23.909039492291573</v>
      </c>
      <c r="N80" s="9">
        <v>24</v>
      </c>
      <c r="O80" s="32">
        <v>185.3</v>
      </c>
      <c r="P80" s="5"/>
      <c r="Q80" s="5"/>
      <c r="R80" s="4"/>
      <c r="S80" s="4"/>
      <c r="T80" s="4"/>
      <c r="U80" s="4"/>
      <c r="V80" s="4"/>
      <c r="W80" s="4"/>
      <c r="X80" s="4"/>
      <c r="Y80" s="4"/>
      <c r="Z80" s="4"/>
      <c r="AA80" s="4"/>
      <c r="AB80" s="4"/>
      <c r="AC80" s="4"/>
      <c r="AD80" s="4"/>
      <c r="AE80" s="4"/>
      <c r="AF80" s="4"/>
      <c r="AG80" s="4"/>
      <c r="AH80" s="4"/>
      <c r="AI80" s="6"/>
      <c r="AP80" s="76">
        <v>27</v>
      </c>
      <c r="AQ80" s="27">
        <v>8</v>
      </c>
      <c r="AR80" s="35">
        <f>AQ80/AQ82</f>
        <v>0.4</v>
      </c>
    </row>
    <row r="81" spans="5:44" x14ac:dyDescent="0.25">
      <c r="E81" s="2" t="s">
        <v>12</v>
      </c>
      <c r="F81" s="7">
        <v>27</v>
      </c>
      <c r="G81" s="54">
        <v>59.629497840000013</v>
      </c>
      <c r="H81" s="5">
        <v>420</v>
      </c>
      <c r="I81" s="5">
        <v>118.8</v>
      </c>
      <c r="J81" s="5">
        <v>36</v>
      </c>
      <c r="K81" s="8">
        <v>191.96</v>
      </c>
      <c r="L81" s="8">
        <v>8.4700000000000006</v>
      </c>
      <c r="M81" s="9">
        <f t="shared" si="5"/>
        <v>23.834657996108369</v>
      </c>
      <c r="N81" s="9">
        <v>24</v>
      </c>
      <c r="O81" s="32">
        <v>217.4</v>
      </c>
      <c r="P81" s="5"/>
      <c r="Q81" s="5"/>
      <c r="R81" s="4"/>
      <c r="S81" s="4"/>
      <c r="T81" s="4"/>
      <c r="U81" s="4"/>
      <c r="V81" s="4"/>
      <c r="W81" s="4"/>
      <c r="X81" s="4"/>
      <c r="Y81" s="4"/>
      <c r="Z81" s="4"/>
      <c r="AA81" s="4"/>
      <c r="AB81" s="4"/>
      <c r="AC81" s="4"/>
      <c r="AD81" s="4"/>
      <c r="AE81" s="4"/>
      <c r="AF81" s="4"/>
      <c r="AG81" s="4"/>
      <c r="AH81" s="4"/>
      <c r="AI81" s="6"/>
      <c r="AP81" s="76">
        <v>28</v>
      </c>
      <c r="AQ81" s="27">
        <v>2</v>
      </c>
      <c r="AR81" s="35">
        <f>AQ81/AQ82</f>
        <v>0.1</v>
      </c>
    </row>
    <row r="82" spans="5:44" ht="13.5" thickBot="1" x14ac:dyDescent="0.3">
      <c r="E82" s="2" t="s">
        <v>13</v>
      </c>
      <c r="F82" s="7">
        <v>27</v>
      </c>
      <c r="G82" s="54">
        <v>75.686529600000014</v>
      </c>
      <c r="H82" s="5">
        <v>420</v>
      </c>
      <c r="I82" s="5">
        <v>118.8</v>
      </c>
      <c r="J82" s="5">
        <v>36</v>
      </c>
      <c r="K82" s="8">
        <v>191.96</v>
      </c>
      <c r="L82" s="8">
        <v>8.4700000000000006</v>
      </c>
      <c r="M82" s="9">
        <f t="shared" si="5"/>
        <v>23.754545080077833</v>
      </c>
      <c r="N82" s="9">
        <v>24</v>
      </c>
      <c r="O82" s="32">
        <v>171</v>
      </c>
      <c r="P82" s="5"/>
      <c r="Q82" s="5"/>
      <c r="R82" s="4"/>
      <c r="S82" s="4"/>
      <c r="T82" s="4"/>
      <c r="U82" s="4"/>
      <c r="V82" s="4"/>
      <c r="W82" s="4"/>
      <c r="X82" s="4"/>
      <c r="Y82" s="4"/>
      <c r="Z82" s="4"/>
      <c r="AA82" s="4"/>
      <c r="AB82" s="4"/>
      <c r="AC82" s="4"/>
      <c r="AD82" s="4"/>
      <c r="AE82" s="4"/>
      <c r="AF82" s="4"/>
      <c r="AG82" s="4"/>
      <c r="AH82" s="4"/>
      <c r="AI82" s="6"/>
      <c r="AP82" s="142"/>
      <c r="AQ82" s="89">
        <f>AQ79+AQ80+AQ81</f>
        <v>20</v>
      </c>
      <c r="AR82" s="140"/>
    </row>
    <row r="83" spans="5:44" x14ac:dyDescent="0.25">
      <c r="E83" s="2" t="s">
        <v>24</v>
      </c>
      <c r="F83" s="7">
        <v>27</v>
      </c>
      <c r="G83" s="54">
        <v>63.072108000000007</v>
      </c>
      <c r="H83" s="5">
        <v>420</v>
      </c>
      <c r="I83" s="5">
        <v>118.8</v>
      </c>
      <c r="J83" s="5">
        <v>36</v>
      </c>
      <c r="K83" s="8">
        <v>191.96</v>
      </c>
      <c r="L83" s="8">
        <v>8.4700000000000006</v>
      </c>
      <c r="M83" s="9">
        <f t="shared" si="5"/>
        <v>23.817481873970962</v>
      </c>
      <c r="N83" s="9">
        <v>24</v>
      </c>
      <c r="O83" s="32">
        <v>134.1</v>
      </c>
      <c r="P83" s="27"/>
      <c r="Q83" s="27"/>
      <c r="R83" s="4"/>
      <c r="S83" s="4"/>
      <c r="T83" s="4"/>
      <c r="U83" s="4"/>
      <c r="V83" s="4"/>
      <c r="W83" s="4"/>
      <c r="X83" s="4"/>
      <c r="Y83" s="4"/>
      <c r="Z83" s="4"/>
      <c r="AA83" s="4"/>
      <c r="AB83" s="4"/>
      <c r="AC83" s="4"/>
      <c r="AD83" s="4"/>
      <c r="AE83" s="4"/>
      <c r="AF83" s="4"/>
      <c r="AG83" s="4"/>
      <c r="AH83" s="4"/>
      <c r="AI83" s="6"/>
      <c r="AP83" s="143"/>
      <c r="AQ83" s="143"/>
      <c r="AR83" s="144"/>
    </row>
    <row r="84" spans="5:44" x14ac:dyDescent="0.25">
      <c r="E84" s="2" t="s">
        <v>19</v>
      </c>
      <c r="F84" s="7">
        <v>27</v>
      </c>
      <c r="G84" s="54">
        <v>47.015076240000013</v>
      </c>
      <c r="H84" s="5">
        <v>420</v>
      </c>
      <c r="I84" s="5">
        <v>118.8</v>
      </c>
      <c r="J84" s="5">
        <v>36</v>
      </c>
      <c r="K84" s="8">
        <v>191.96</v>
      </c>
      <c r="L84" s="8">
        <v>8.4700000000000006</v>
      </c>
      <c r="M84" s="9">
        <f t="shared" si="5"/>
        <v>23.897594790001499</v>
      </c>
      <c r="N84" s="9">
        <v>24</v>
      </c>
      <c r="O84" s="32">
        <v>161.1</v>
      </c>
      <c r="P84" s="27"/>
      <c r="Q84" s="27"/>
      <c r="R84" s="4"/>
      <c r="S84" s="4"/>
      <c r="T84" s="4"/>
      <c r="U84" s="4"/>
      <c r="V84" s="4"/>
      <c r="W84" s="4"/>
      <c r="X84" s="4"/>
      <c r="Y84" s="4"/>
      <c r="Z84" s="4"/>
      <c r="AA84" s="4"/>
      <c r="AB84" s="4"/>
      <c r="AC84" s="4"/>
      <c r="AD84" s="4"/>
      <c r="AE84" s="4"/>
      <c r="AF84" s="4"/>
      <c r="AG84" s="4"/>
      <c r="AH84" s="4"/>
      <c r="AI84" s="6"/>
      <c r="AP84" s="82"/>
      <c r="AQ84" s="82"/>
      <c r="AR84" s="54"/>
    </row>
    <row r="85" spans="5:44" x14ac:dyDescent="0.25">
      <c r="E85" s="2" t="s">
        <v>20</v>
      </c>
      <c r="F85" s="7">
        <v>27</v>
      </c>
      <c r="G85" s="54">
        <v>41.282239680000004</v>
      </c>
      <c r="H85" s="5">
        <v>420</v>
      </c>
      <c r="I85" s="5">
        <v>118.8</v>
      </c>
      <c r="J85" s="5">
        <v>36</v>
      </c>
      <c r="K85" s="8">
        <v>191.96</v>
      </c>
      <c r="L85" s="8">
        <v>8.4700000000000006</v>
      </c>
      <c r="M85" s="9">
        <f t="shared" si="5"/>
        <v>23.926197477024399</v>
      </c>
      <c r="N85" s="9">
        <v>24</v>
      </c>
      <c r="O85" s="32">
        <v>120.3</v>
      </c>
      <c r="P85" s="27"/>
      <c r="Q85" s="27"/>
      <c r="R85" s="4"/>
      <c r="S85" s="4"/>
      <c r="T85" s="4"/>
      <c r="U85" s="4"/>
      <c r="V85" s="4"/>
      <c r="W85" s="4"/>
      <c r="X85" s="4"/>
      <c r="Y85" s="4"/>
      <c r="Z85" s="4"/>
      <c r="AA85" s="4"/>
      <c r="AB85" s="4"/>
      <c r="AC85" s="4"/>
      <c r="AD85" s="4"/>
      <c r="AE85" s="4"/>
      <c r="AF85" s="4"/>
      <c r="AG85" s="4"/>
      <c r="AH85" s="4"/>
      <c r="AI85" s="6"/>
      <c r="AP85" s="82"/>
      <c r="AQ85" s="82"/>
      <c r="AR85" s="54"/>
    </row>
    <row r="86" spans="5:44" x14ac:dyDescent="0.25">
      <c r="E86" s="2" t="s">
        <v>21</v>
      </c>
      <c r="F86" s="7">
        <v>27</v>
      </c>
      <c r="G86" s="54">
        <v>37.843264800000007</v>
      </c>
      <c r="H86" s="5">
        <v>420</v>
      </c>
      <c r="I86" s="5">
        <v>118.8</v>
      </c>
      <c r="J86" s="5">
        <v>36</v>
      </c>
      <c r="K86" s="8">
        <v>191.96</v>
      </c>
      <c r="L86" s="8">
        <v>8.4700000000000006</v>
      </c>
      <c r="M86" s="9">
        <f t="shared" si="5"/>
        <v>23.943355461757221</v>
      </c>
      <c r="N86" s="9">
        <v>24</v>
      </c>
      <c r="O86" s="32">
        <v>121.1</v>
      </c>
      <c r="P86" s="27"/>
      <c r="Q86" s="27"/>
      <c r="R86" s="4"/>
      <c r="S86" s="4"/>
      <c r="T86" s="4"/>
      <c r="U86" s="4"/>
      <c r="V86" s="4"/>
      <c r="W86" s="4"/>
      <c r="X86" s="4"/>
      <c r="Y86" s="4"/>
      <c r="Z86" s="4"/>
      <c r="AA86" s="4"/>
      <c r="AB86" s="4"/>
      <c r="AC86" s="4"/>
      <c r="AD86" s="4"/>
      <c r="AE86" s="4"/>
      <c r="AF86" s="4"/>
      <c r="AG86" s="4"/>
      <c r="AH86" s="4"/>
      <c r="AI86" s="6"/>
      <c r="AP86" s="82"/>
      <c r="AQ86" s="82"/>
      <c r="AR86" s="54"/>
    </row>
    <row r="87" spans="5:44" x14ac:dyDescent="0.25">
      <c r="E87" s="2" t="s">
        <v>22</v>
      </c>
      <c r="F87" s="7">
        <v>27</v>
      </c>
      <c r="G87" s="54">
        <v>34.400654639999999</v>
      </c>
      <c r="H87" s="5">
        <v>420</v>
      </c>
      <c r="I87" s="5">
        <v>118.8</v>
      </c>
      <c r="J87" s="5">
        <v>36</v>
      </c>
      <c r="K87" s="8">
        <v>191.96</v>
      </c>
      <c r="L87" s="8">
        <v>8.4700000000000006</v>
      </c>
      <c r="M87" s="9">
        <f t="shared" si="5"/>
        <v>23.960531583894628</v>
      </c>
      <c r="N87" s="9">
        <v>24</v>
      </c>
      <c r="O87" s="32">
        <v>134.69999999999999</v>
      </c>
      <c r="P87" s="27"/>
      <c r="Q87" s="27"/>
      <c r="R87" s="4"/>
      <c r="S87" s="4"/>
      <c r="T87" s="4"/>
      <c r="U87" s="4"/>
      <c r="V87" s="4"/>
      <c r="W87" s="4"/>
      <c r="X87" s="4"/>
      <c r="Y87" s="4"/>
      <c r="Z87" s="4"/>
      <c r="AA87" s="4"/>
      <c r="AB87" s="4"/>
      <c r="AC87" s="4"/>
      <c r="AD87" s="4"/>
      <c r="AE87" s="4"/>
      <c r="AF87" s="4"/>
      <c r="AG87" s="4"/>
      <c r="AH87" s="4"/>
      <c r="AI87" s="6"/>
    </row>
    <row r="88" spans="5:44" x14ac:dyDescent="0.25">
      <c r="E88" s="2" t="s">
        <v>23</v>
      </c>
      <c r="F88" s="7">
        <v>27</v>
      </c>
      <c r="G88" s="54">
        <v>33.255541440000002</v>
      </c>
      <c r="H88" s="5">
        <v>420</v>
      </c>
      <c r="I88" s="5">
        <v>118.8</v>
      </c>
      <c r="J88" s="5">
        <v>36</v>
      </c>
      <c r="K88" s="8">
        <v>191.96</v>
      </c>
      <c r="L88" s="8">
        <v>8.4700000000000006</v>
      </c>
      <c r="M88" s="9">
        <f t="shared" si="5"/>
        <v>23.966244866337377</v>
      </c>
      <c r="N88" s="9">
        <v>24</v>
      </c>
      <c r="O88" s="32">
        <v>100.6</v>
      </c>
      <c r="P88" s="27"/>
      <c r="Q88" s="27"/>
      <c r="R88" s="4"/>
      <c r="S88" s="4"/>
      <c r="T88" s="4"/>
      <c r="U88" s="4"/>
      <c r="V88" s="4"/>
      <c r="W88" s="4"/>
      <c r="X88" s="4"/>
      <c r="Y88" s="4"/>
      <c r="Z88" s="4"/>
      <c r="AA88" s="4"/>
      <c r="AB88" s="4"/>
      <c r="AC88" s="4"/>
      <c r="AD88" s="4"/>
      <c r="AE88" s="4"/>
      <c r="AF88" s="4"/>
      <c r="AG88" s="4"/>
      <c r="AH88" s="4"/>
      <c r="AI88" s="6"/>
    </row>
    <row r="89" spans="5:44" x14ac:dyDescent="0.3">
      <c r="E89" s="168" t="s">
        <v>3</v>
      </c>
      <c r="F89" s="398"/>
      <c r="G89" s="398"/>
      <c r="H89" s="398"/>
      <c r="I89" s="398"/>
      <c r="J89" s="398"/>
      <c r="K89" s="398"/>
      <c r="L89" s="398"/>
      <c r="M89" s="398"/>
      <c r="N89" s="399"/>
      <c r="O89" s="14">
        <f>SUM(O77:O88)</f>
        <v>1718.8999999999996</v>
      </c>
      <c r="P89" s="28">
        <f>16/24</f>
        <v>0.66666666666666663</v>
      </c>
      <c r="Q89" s="28">
        <f>24/1000</f>
        <v>2.4E-2</v>
      </c>
      <c r="R89" s="8">
        <v>3.59</v>
      </c>
      <c r="S89" s="8">
        <v>12.96</v>
      </c>
      <c r="T89" s="5">
        <f>O89</f>
        <v>1718.8999999999996</v>
      </c>
      <c r="U89" s="15">
        <f>P89*Q89*R89*S89*T89</f>
        <v>1279.5876633599999</v>
      </c>
      <c r="V89" s="5">
        <v>3.94</v>
      </c>
      <c r="W89" s="5">
        <v>12.96</v>
      </c>
      <c r="X89" s="5">
        <f>O89</f>
        <v>1718.8999999999996</v>
      </c>
      <c r="Y89" s="16">
        <f>(P89*Q89*V89*W89*X89)</f>
        <v>1404.3385497599998</v>
      </c>
      <c r="Z89" s="8">
        <v>2.13</v>
      </c>
      <c r="AA89" s="8">
        <v>41.904000000000003</v>
      </c>
      <c r="AB89" s="8">
        <f>O89</f>
        <v>1718.8999999999996</v>
      </c>
      <c r="AC89" s="17">
        <f>(P89*Q89*Z89*AA89*AB89)</f>
        <v>2454.7410132479995</v>
      </c>
      <c r="AD89" s="96">
        <f>L360</f>
        <v>3390.0317263636375</v>
      </c>
      <c r="AE89" s="18">
        <f>U89+Y89+AC89+AD89</f>
        <v>8528.6989527316364</v>
      </c>
      <c r="AF89" s="4">
        <f>AE89*0.1</f>
        <v>852.86989527316371</v>
      </c>
      <c r="AG89" s="19">
        <f>AE89+AF89</f>
        <v>9381.5688480047993</v>
      </c>
      <c r="AH89" s="8">
        <v>3.1</v>
      </c>
      <c r="AI89" s="20">
        <f>ROUND((AG89/AH89),0)</f>
        <v>3026</v>
      </c>
      <c r="AJ89" s="39">
        <v>27</v>
      </c>
    </row>
    <row r="90" spans="5:44" ht="15.5" x14ac:dyDescent="0.4">
      <c r="E90" s="2" t="s">
        <v>0</v>
      </c>
      <c r="F90" s="3"/>
      <c r="G90" s="5"/>
      <c r="H90" s="4"/>
      <c r="I90" s="4"/>
      <c r="J90" s="4"/>
      <c r="K90" s="4"/>
      <c r="L90" s="4"/>
      <c r="M90" s="3" t="s">
        <v>138</v>
      </c>
      <c r="N90" s="3" t="s">
        <v>137</v>
      </c>
      <c r="O90" s="8" t="s">
        <v>2</v>
      </c>
      <c r="P90" s="5"/>
      <c r="Q90" s="5"/>
      <c r="R90" s="4"/>
      <c r="S90" s="4"/>
      <c r="T90" s="4"/>
      <c r="U90" s="4"/>
      <c r="V90" s="4"/>
      <c r="W90" s="4"/>
      <c r="X90" s="4"/>
      <c r="Y90" s="4"/>
      <c r="Z90" s="4"/>
      <c r="AA90" s="4"/>
      <c r="AB90" s="4"/>
      <c r="AC90" s="4"/>
      <c r="AD90" s="4"/>
      <c r="AE90" s="4"/>
      <c r="AF90" s="4"/>
      <c r="AG90" s="4"/>
      <c r="AH90" s="4"/>
      <c r="AI90" s="6"/>
      <c r="AP90" s="53"/>
      <c r="AQ90" s="54"/>
      <c r="AR90" s="54"/>
    </row>
    <row r="91" spans="5:44" x14ac:dyDescent="0.25">
      <c r="E91" s="2" t="s">
        <v>15</v>
      </c>
      <c r="F91" s="7">
        <v>28</v>
      </c>
      <c r="G91" s="54">
        <v>34.400654639999999</v>
      </c>
      <c r="H91" s="5">
        <v>420</v>
      </c>
      <c r="I91" s="5">
        <v>118.8</v>
      </c>
      <c r="J91" s="5">
        <v>36</v>
      </c>
      <c r="K91" s="8">
        <v>191.96</v>
      </c>
      <c r="L91" s="8">
        <v>8.4700000000000006</v>
      </c>
      <c r="M91" s="9">
        <f>(F91-((G91+H91+I91+J91)/(K91+L91)))</f>
        <v>24.960531583894628</v>
      </c>
      <c r="N91" s="9">
        <v>25</v>
      </c>
      <c r="O91" s="32">
        <v>74.3</v>
      </c>
      <c r="P91" s="5"/>
      <c r="Q91" s="5"/>
      <c r="R91" s="4"/>
      <c r="S91" s="4"/>
      <c r="T91" s="4"/>
      <c r="U91" s="4"/>
      <c r="V91" s="4"/>
      <c r="W91" s="4"/>
      <c r="X91" s="4"/>
      <c r="Y91" s="4"/>
      <c r="Z91" s="4"/>
      <c r="AA91" s="4"/>
      <c r="AB91" s="4"/>
      <c r="AC91" s="4"/>
      <c r="AD91" s="4"/>
      <c r="AE91" s="4"/>
      <c r="AF91" s="4"/>
      <c r="AG91" s="4"/>
      <c r="AH91" s="4"/>
      <c r="AI91" s="6"/>
    </row>
    <row r="92" spans="5:44" x14ac:dyDescent="0.25">
      <c r="E92" s="2" t="s">
        <v>16</v>
      </c>
      <c r="F92" s="7">
        <v>28</v>
      </c>
      <c r="G92" s="54">
        <v>37.843264800000007</v>
      </c>
      <c r="H92" s="5">
        <v>420</v>
      </c>
      <c r="I92" s="5">
        <v>118.8</v>
      </c>
      <c r="J92" s="5">
        <v>36</v>
      </c>
      <c r="K92" s="8">
        <v>191.96</v>
      </c>
      <c r="L92" s="8">
        <v>8.4700000000000006</v>
      </c>
      <c r="M92" s="9">
        <f t="shared" ref="M92:M102" si="6">(F92-((G92+H92+I92+J92)/(K92+L92)))</f>
        <v>24.943355461757221</v>
      </c>
      <c r="N92" s="9">
        <v>25</v>
      </c>
      <c r="O92" s="32">
        <v>86.2</v>
      </c>
      <c r="P92" s="5"/>
      <c r="Q92" s="5"/>
      <c r="R92" s="4"/>
      <c r="S92" s="4"/>
      <c r="T92" s="4"/>
      <c r="U92" s="4"/>
      <c r="V92" s="4"/>
      <c r="W92" s="4"/>
      <c r="X92" s="4"/>
      <c r="Y92" s="4"/>
      <c r="Z92" s="4"/>
      <c r="AA92" s="4"/>
      <c r="AB92" s="4"/>
      <c r="AC92" s="4"/>
      <c r="AD92" s="4"/>
      <c r="AE92" s="4"/>
      <c r="AF92" s="4"/>
      <c r="AG92" s="4"/>
      <c r="AH92" s="4"/>
      <c r="AI92" s="6"/>
    </row>
    <row r="93" spans="5:44" x14ac:dyDescent="0.25">
      <c r="E93" s="2" t="s">
        <v>17</v>
      </c>
      <c r="F93" s="7">
        <v>28</v>
      </c>
      <c r="G93" s="54">
        <v>40.137126480000006</v>
      </c>
      <c r="H93" s="5">
        <v>420</v>
      </c>
      <c r="I93" s="5">
        <v>118.8</v>
      </c>
      <c r="J93" s="5">
        <v>36</v>
      </c>
      <c r="K93" s="8">
        <v>191.96</v>
      </c>
      <c r="L93" s="8">
        <v>8.4700000000000006</v>
      </c>
      <c r="M93" s="9">
        <f t="shared" si="6"/>
        <v>24.931910759467147</v>
      </c>
      <c r="N93" s="9">
        <v>25</v>
      </c>
      <c r="O93" s="32">
        <v>133.19999999999999</v>
      </c>
      <c r="P93" s="5"/>
      <c r="Q93" s="5"/>
      <c r="R93" s="4"/>
      <c r="S93" s="4"/>
      <c r="T93" s="4"/>
      <c r="U93" s="4"/>
      <c r="V93" s="4"/>
      <c r="W93" s="4"/>
      <c r="X93" s="4"/>
      <c r="Y93" s="4"/>
      <c r="Z93" s="4"/>
      <c r="AA93" s="4"/>
      <c r="AB93" s="4"/>
      <c r="AC93" s="4"/>
      <c r="AD93" s="4"/>
      <c r="AE93" s="4"/>
      <c r="AF93" s="4"/>
      <c r="AG93" s="4"/>
      <c r="AH93" s="4"/>
      <c r="AI93" s="6"/>
    </row>
    <row r="94" spans="5:44" x14ac:dyDescent="0.25">
      <c r="E94" s="2" t="s">
        <v>18</v>
      </c>
      <c r="F94" s="7">
        <v>28</v>
      </c>
      <c r="G94" s="54">
        <v>44.721214560000007</v>
      </c>
      <c r="H94" s="5">
        <v>420</v>
      </c>
      <c r="I94" s="5">
        <v>118.8</v>
      </c>
      <c r="J94" s="5">
        <v>36</v>
      </c>
      <c r="K94" s="8">
        <v>191.96</v>
      </c>
      <c r="L94" s="8">
        <v>8.4700000000000006</v>
      </c>
      <c r="M94" s="9">
        <f t="shared" si="6"/>
        <v>24.909039492291573</v>
      </c>
      <c r="N94" s="9">
        <v>25</v>
      </c>
      <c r="O94" s="32">
        <v>155.30000000000001</v>
      </c>
      <c r="P94" s="5"/>
      <c r="Q94" s="5"/>
      <c r="R94" s="4"/>
      <c r="S94" s="4"/>
      <c r="T94" s="4"/>
      <c r="U94" s="4"/>
      <c r="V94" s="4"/>
      <c r="W94" s="4"/>
      <c r="X94" s="4"/>
      <c r="Y94" s="4"/>
      <c r="Z94" s="4"/>
      <c r="AA94" s="4"/>
      <c r="AB94" s="4"/>
      <c r="AC94" s="4"/>
      <c r="AD94" s="4"/>
      <c r="AE94" s="4"/>
      <c r="AF94" s="4"/>
      <c r="AG94" s="4"/>
      <c r="AH94" s="4"/>
      <c r="AI94" s="6"/>
    </row>
    <row r="95" spans="5:44" x14ac:dyDescent="0.25">
      <c r="E95" s="2" t="s">
        <v>12</v>
      </c>
      <c r="F95" s="7">
        <v>28</v>
      </c>
      <c r="G95" s="54">
        <v>59.629497840000013</v>
      </c>
      <c r="H95" s="5">
        <v>420</v>
      </c>
      <c r="I95" s="5">
        <v>118.8</v>
      </c>
      <c r="J95" s="5">
        <v>36</v>
      </c>
      <c r="K95" s="8">
        <v>191.96</v>
      </c>
      <c r="L95" s="8">
        <v>8.4700000000000006</v>
      </c>
      <c r="M95" s="9">
        <f t="shared" si="6"/>
        <v>24.834657996108369</v>
      </c>
      <c r="N95" s="9">
        <v>25</v>
      </c>
      <c r="O95" s="32">
        <v>186.5</v>
      </c>
      <c r="P95" s="5"/>
      <c r="Q95" s="5"/>
      <c r="R95" s="4"/>
      <c r="S95" s="4"/>
      <c r="T95" s="4"/>
      <c r="U95" s="4"/>
      <c r="V95" s="4"/>
      <c r="W95" s="4"/>
      <c r="X95" s="4"/>
      <c r="Y95" s="4"/>
      <c r="Z95" s="4"/>
      <c r="AA95" s="4"/>
      <c r="AB95" s="4"/>
      <c r="AC95" s="4"/>
      <c r="AD95" s="4"/>
      <c r="AE95" s="4"/>
      <c r="AF95" s="4"/>
      <c r="AG95" s="4"/>
      <c r="AH95" s="4"/>
      <c r="AI95" s="6"/>
    </row>
    <row r="96" spans="5:44" x14ac:dyDescent="0.25">
      <c r="E96" s="2" t="s">
        <v>13</v>
      </c>
      <c r="F96" s="7">
        <v>28</v>
      </c>
      <c r="G96" s="54">
        <v>75.686529600000014</v>
      </c>
      <c r="H96" s="5">
        <v>420</v>
      </c>
      <c r="I96" s="5">
        <v>118.8</v>
      </c>
      <c r="J96" s="5">
        <v>36</v>
      </c>
      <c r="K96" s="8">
        <v>191.96</v>
      </c>
      <c r="L96" s="8">
        <v>8.4700000000000006</v>
      </c>
      <c r="M96" s="9">
        <f t="shared" si="6"/>
        <v>24.754545080077833</v>
      </c>
      <c r="N96" s="9">
        <v>25</v>
      </c>
      <c r="O96" s="32">
        <v>141.1</v>
      </c>
      <c r="P96" s="5"/>
      <c r="Q96" s="5"/>
      <c r="R96" s="4"/>
      <c r="S96" s="4"/>
      <c r="T96" s="4"/>
      <c r="U96" s="4"/>
      <c r="V96" s="4"/>
      <c r="W96" s="4"/>
      <c r="X96" s="4"/>
      <c r="Y96" s="4"/>
      <c r="Z96" s="4"/>
      <c r="AA96" s="4"/>
      <c r="AB96" s="4"/>
      <c r="AC96" s="4"/>
      <c r="AD96" s="4"/>
      <c r="AE96" s="4"/>
      <c r="AF96" s="4"/>
      <c r="AG96" s="4"/>
      <c r="AH96" s="4"/>
      <c r="AI96" s="6"/>
    </row>
    <row r="97" spans="2:41" x14ac:dyDescent="0.25">
      <c r="E97" s="2" t="s">
        <v>24</v>
      </c>
      <c r="F97" s="7">
        <v>28</v>
      </c>
      <c r="G97" s="54">
        <v>63.072108000000007</v>
      </c>
      <c r="H97" s="5">
        <v>420</v>
      </c>
      <c r="I97" s="5">
        <v>118.8</v>
      </c>
      <c r="J97" s="5">
        <v>36</v>
      </c>
      <c r="K97" s="8">
        <v>191.96</v>
      </c>
      <c r="L97" s="8">
        <v>8.4700000000000006</v>
      </c>
      <c r="M97" s="9">
        <f t="shared" si="6"/>
        <v>24.817481873970962</v>
      </c>
      <c r="N97" s="9">
        <v>25</v>
      </c>
      <c r="O97" s="32">
        <v>103.3</v>
      </c>
      <c r="P97" s="18"/>
      <c r="Q97" s="18"/>
      <c r="R97" s="4"/>
      <c r="S97" s="4"/>
      <c r="T97" s="4"/>
      <c r="U97" s="4"/>
      <c r="V97" s="4"/>
      <c r="W97" s="4"/>
      <c r="X97" s="4"/>
      <c r="Y97" s="4"/>
      <c r="Z97" s="4"/>
      <c r="AA97" s="4"/>
      <c r="AB97" s="4"/>
      <c r="AC97" s="4"/>
      <c r="AD97" s="4"/>
      <c r="AE97" s="4"/>
      <c r="AF97" s="4"/>
      <c r="AG97" s="4"/>
      <c r="AH97" s="4"/>
      <c r="AI97" s="6"/>
    </row>
    <row r="98" spans="2:41" x14ac:dyDescent="0.25">
      <c r="E98" s="2" t="s">
        <v>19</v>
      </c>
      <c r="F98" s="7">
        <v>28</v>
      </c>
      <c r="G98" s="54">
        <v>47.015076240000013</v>
      </c>
      <c r="H98" s="5">
        <v>420</v>
      </c>
      <c r="I98" s="5">
        <v>118.8</v>
      </c>
      <c r="J98" s="5">
        <v>36</v>
      </c>
      <c r="K98" s="8">
        <v>191.96</v>
      </c>
      <c r="L98" s="8">
        <v>8.4700000000000006</v>
      </c>
      <c r="M98" s="9">
        <f t="shared" si="6"/>
        <v>24.897594790001499</v>
      </c>
      <c r="N98" s="9">
        <v>25</v>
      </c>
      <c r="O98" s="32">
        <v>130.4</v>
      </c>
      <c r="P98" s="18"/>
      <c r="Q98" s="18"/>
      <c r="R98" s="4"/>
      <c r="S98" s="4"/>
      <c r="T98" s="4"/>
      <c r="U98" s="4"/>
      <c r="V98" s="4"/>
      <c r="W98" s="4"/>
      <c r="X98" s="4"/>
      <c r="Y98" s="4"/>
      <c r="Z98" s="4"/>
      <c r="AA98" s="4"/>
      <c r="AB98" s="4"/>
      <c r="AC98" s="4"/>
      <c r="AD98" s="4"/>
      <c r="AE98" s="4"/>
      <c r="AF98" s="4"/>
      <c r="AG98" s="4"/>
      <c r="AH98" s="4"/>
      <c r="AI98" s="6"/>
    </row>
    <row r="99" spans="2:41" x14ac:dyDescent="0.25">
      <c r="E99" s="2" t="s">
        <v>20</v>
      </c>
      <c r="F99" s="7">
        <v>28</v>
      </c>
      <c r="G99" s="54">
        <v>41.282239680000004</v>
      </c>
      <c r="H99" s="5">
        <v>420</v>
      </c>
      <c r="I99" s="5">
        <v>118.8</v>
      </c>
      <c r="J99" s="5">
        <v>36</v>
      </c>
      <c r="K99" s="8">
        <v>191.96</v>
      </c>
      <c r="L99" s="8">
        <v>8.4700000000000006</v>
      </c>
      <c r="M99" s="9">
        <f t="shared" si="6"/>
        <v>24.926197477024399</v>
      </c>
      <c r="N99" s="9">
        <v>25</v>
      </c>
      <c r="O99" s="32">
        <v>90.8</v>
      </c>
      <c r="P99" s="18"/>
      <c r="Q99" s="18"/>
      <c r="R99" s="4"/>
      <c r="S99" s="4"/>
      <c r="T99" s="4"/>
      <c r="U99" s="4"/>
      <c r="V99" s="4"/>
      <c r="W99" s="4"/>
      <c r="X99" s="4"/>
      <c r="Y99" s="4"/>
      <c r="Z99" s="4"/>
      <c r="AA99" s="4"/>
      <c r="AB99" s="4"/>
      <c r="AC99" s="4"/>
      <c r="AD99" s="4"/>
      <c r="AE99" s="4"/>
      <c r="AF99" s="4"/>
      <c r="AG99" s="4"/>
      <c r="AH99" s="4"/>
      <c r="AI99" s="6"/>
    </row>
    <row r="100" spans="2:41" x14ac:dyDescent="0.25">
      <c r="E100" s="2" t="s">
        <v>21</v>
      </c>
      <c r="F100" s="7">
        <v>28</v>
      </c>
      <c r="G100" s="54">
        <v>37.843264800000007</v>
      </c>
      <c r="H100" s="5">
        <v>420</v>
      </c>
      <c r="I100" s="5">
        <v>118.8</v>
      </c>
      <c r="J100" s="5">
        <v>36</v>
      </c>
      <c r="K100" s="8">
        <v>191.96</v>
      </c>
      <c r="L100" s="8">
        <v>8.4700000000000006</v>
      </c>
      <c r="M100" s="9">
        <f t="shared" si="6"/>
        <v>24.943355461757221</v>
      </c>
      <c r="N100" s="9">
        <v>25</v>
      </c>
      <c r="O100" s="32">
        <v>91</v>
      </c>
      <c r="P100" s="18"/>
      <c r="Q100" s="18"/>
      <c r="R100" s="4"/>
      <c r="S100" s="4"/>
      <c r="T100" s="4"/>
      <c r="U100" s="4"/>
      <c r="V100" s="4"/>
      <c r="W100" s="4"/>
      <c r="X100" s="4"/>
      <c r="Y100" s="4"/>
      <c r="Z100" s="4"/>
      <c r="AA100" s="4"/>
      <c r="AB100" s="4"/>
      <c r="AC100" s="4"/>
      <c r="AD100" s="4"/>
      <c r="AE100" s="4"/>
      <c r="AF100" s="4"/>
      <c r="AG100" s="4"/>
      <c r="AH100" s="4"/>
      <c r="AI100" s="6"/>
    </row>
    <row r="101" spans="2:41" x14ac:dyDescent="0.25">
      <c r="E101" s="2" t="s">
        <v>22</v>
      </c>
      <c r="F101" s="7">
        <v>28</v>
      </c>
      <c r="G101" s="54">
        <v>34.400654639999999</v>
      </c>
      <c r="H101" s="5">
        <v>420</v>
      </c>
      <c r="I101" s="5">
        <v>118.8</v>
      </c>
      <c r="J101" s="5">
        <v>36</v>
      </c>
      <c r="K101" s="8">
        <v>191.96</v>
      </c>
      <c r="L101" s="8">
        <v>8.4700000000000006</v>
      </c>
      <c r="M101" s="9">
        <f t="shared" si="6"/>
        <v>24.960531583894628</v>
      </c>
      <c r="N101" s="9">
        <v>25</v>
      </c>
      <c r="O101" s="32">
        <v>105.3</v>
      </c>
      <c r="P101" s="18"/>
      <c r="Q101" s="18"/>
      <c r="R101" s="30"/>
      <c r="S101" s="30"/>
      <c r="T101" s="30"/>
      <c r="U101" s="4"/>
      <c r="V101" s="30"/>
      <c r="W101" s="30"/>
      <c r="X101" s="30"/>
      <c r="Y101" s="4"/>
      <c r="Z101" s="30"/>
      <c r="AA101" s="30"/>
      <c r="AB101" s="30"/>
      <c r="AC101" s="4"/>
      <c r="AD101" s="30"/>
      <c r="AE101" s="30"/>
      <c r="AF101" s="30"/>
      <c r="AG101" s="30"/>
      <c r="AH101" s="30"/>
      <c r="AI101" s="31"/>
    </row>
    <row r="102" spans="2:41" x14ac:dyDescent="0.25">
      <c r="E102" s="2" t="s">
        <v>23</v>
      </c>
      <c r="F102" s="7">
        <v>28</v>
      </c>
      <c r="G102" s="54">
        <v>33.255541440000002</v>
      </c>
      <c r="H102" s="5">
        <v>420</v>
      </c>
      <c r="I102" s="5">
        <v>118.8</v>
      </c>
      <c r="J102" s="5">
        <v>36</v>
      </c>
      <c r="K102" s="8">
        <v>191.96</v>
      </c>
      <c r="L102" s="8">
        <v>8.4700000000000006</v>
      </c>
      <c r="M102" s="9">
        <f t="shared" si="6"/>
        <v>24.966244866337377</v>
      </c>
      <c r="N102" s="9">
        <v>25</v>
      </c>
      <c r="O102" s="32">
        <v>73.599999999999994</v>
      </c>
      <c r="P102" s="18"/>
      <c r="Q102" s="18"/>
      <c r="R102" s="30"/>
      <c r="S102" s="30"/>
      <c r="T102" s="30"/>
      <c r="U102" s="4"/>
      <c r="V102" s="30"/>
      <c r="W102" s="30"/>
      <c r="X102" s="30"/>
      <c r="Y102" s="4"/>
      <c r="Z102" s="30"/>
      <c r="AA102" s="30"/>
      <c r="AB102" s="30"/>
      <c r="AC102" s="4"/>
      <c r="AD102" s="30"/>
      <c r="AE102" s="30"/>
      <c r="AF102" s="30"/>
      <c r="AG102" s="30"/>
      <c r="AH102" s="30"/>
      <c r="AI102" s="31"/>
    </row>
    <row r="103" spans="2:41" ht="13.5" thickBot="1" x14ac:dyDescent="0.35">
      <c r="E103" s="426" t="s">
        <v>3</v>
      </c>
      <c r="F103" s="427"/>
      <c r="G103" s="427"/>
      <c r="H103" s="427"/>
      <c r="I103" s="427"/>
      <c r="J103" s="427"/>
      <c r="K103" s="427"/>
      <c r="L103" s="427"/>
      <c r="M103" s="427"/>
      <c r="N103" s="428"/>
      <c r="O103" s="169">
        <f>SUM(O91:O102)</f>
        <v>1370.9999999999998</v>
      </c>
      <c r="P103" s="153">
        <f>16/24</f>
        <v>0.66666666666666663</v>
      </c>
      <c r="Q103" s="153">
        <f>24/1000</f>
        <v>2.4E-2</v>
      </c>
      <c r="R103" s="154">
        <v>3.59</v>
      </c>
      <c r="S103" s="154">
        <v>12.96</v>
      </c>
      <c r="T103" s="155">
        <f>O103</f>
        <v>1370.9999999999998</v>
      </c>
      <c r="U103" s="156">
        <f>P103*Q103*R103*S103*T103</f>
        <v>1020.6031103999999</v>
      </c>
      <c r="V103" s="155">
        <v>3.94</v>
      </c>
      <c r="W103" s="155">
        <v>12.96</v>
      </c>
      <c r="X103" s="155">
        <f>O103</f>
        <v>1370.9999999999998</v>
      </c>
      <c r="Y103" s="157">
        <f>(P103*Q103*V103*W103*X103)</f>
        <v>1120.1048063999999</v>
      </c>
      <c r="Z103" s="154">
        <v>2.13</v>
      </c>
      <c r="AA103" s="154">
        <v>41.904000000000003</v>
      </c>
      <c r="AB103" s="154">
        <f>O103</f>
        <v>1370.9999999999998</v>
      </c>
      <c r="AC103" s="158">
        <f>(P103*Q103*Z103*AA103*AB103)</f>
        <v>1957.9090867199998</v>
      </c>
      <c r="AD103" s="159">
        <f>L361</f>
        <v>3312.6111050345239</v>
      </c>
      <c r="AE103" s="160">
        <f>U103+Y103+AC103+AD103</f>
        <v>7411.2281085545237</v>
      </c>
      <c r="AF103" s="30">
        <f>AE103*0.1</f>
        <v>741.12281085545237</v>
      </c>
      <c r="AG103" s="161">
        <f>AE103+AF103</f>
        <v>8152.3509194099761</v>
      </c>
      <c r="AH103" s="154">
        <v>3.1</v>
      </c>
      <c r="AI103" s="166">
        <f>ROUND((AG103/AH103),0)</f>
        <v>2630</v>
      </c>
      <c r="AJ103" s="39">
        <v>28</v>
      </c>
      <c r="AK103" s="122"/>
      <c r="AL103" s="122"/>
    </row>
    <row r="104" spans="2:41" ht="13.5" thickBot="1" x14ac:dyDescent="0.35">
      <c r="E104" s="429" t="s">
        <v>218</v>
      </c>
      <c r="F104" s="429"/>
      <c r="G104" s="429"/>
      <c r="H104" s="429"/>
      <c r="I104" s="429"/>
      <c r="J104" s="429"/>
      <c r="K104" s="429"/>
      <c r="L104" s="429"/>
      <c r="M104" s="429"/>
      <c r="N104" s="429"/>
      <c r="O104" s="429"/>
      <c r="P104" s="429"/>
      <c r="Q104" s="429"/>
      <c r="R104" s="429"/>
      <c r="S104" s="429"/>
      <c r="T104" s="429"/>
      <c r="U104" s="429"/>
      <c r="V104" s="429"/>
      <c r="W104" s="429"/>
      <c r="X104" s="429"/>
      <c r="Y104" s="429"/>
      <c r="Z104" s="429"/>
      <c r="AA104" s="429"/>
      <c r="AB104" s="429"/>
      <c r="AC104" s="429"/>
      <c r="AD104" s="429"/>
      <c r="AE104" s="429"/>
      <c r="AF104" s="429"/>
      <c r="AG104" s="429"/>
      <c r="AH104" s="429"/>
      <c r="AI104" s="162">
        <f>ROUND((AI75*AR79+AI89*AR80+AI103*AR81),0)</f>
        <v>3189</v>
      </c>
    </row>
    <row r="105" spans="2:41" x14ac:dyDescent="0.3">
      <c r="AO105" s="123"/>
    </row>
    <row r="106" spans="2:41" ht="13.5" thickBot="1" x14ac:dyDescent="0.3"/>
    <row r="107" spans="2:41" ht="15" x14ac:dyDescent="0.4">
      <c r="B107" s="409" t="s">
        <v>83</v>
      </c>
      <c r="C107" s="410"/>
      <c r="E107" s="308" t="s">
        <v>59</v>
      </c>
      <c r="F107" s="309"/>
      <c r="G107" s="309"/>
      <c r="H107" s="309"/>
      <c r="I107" s="309"/>
      <c r="J107" s="309"/>
      <c r="K107" s="309"/>
      <c r="L107" s="309"/>
      <c r="M107" s="309"/>
      <c r="N107" s="309"/>
      <c r="O107" s="309"/>
      <c r="P107" s="309"/>
      <c r="Q107" s="309"/>
      <c r="R107" s="309"/>
      <c r="S107" s="104"/>
    </row>
    <row r="108" spans="2:41" ht="15" x14ac:dyDescent="0.4">
      <c r="B108" s="411"/>
      <c r="C108" s="412"/>
      <c r="E108" s="413" t="s">
        <v>132</v>
      </c>
      <c r="F108" s="414"/>
      <c r="G108" s="414"/>
      <c r="H108" s="414"/>
      <c r="I108" s="414"/>
      <c r="J108" s="414"/>
      <c r="K108" s="414"/>
      <c r="L108" s="414"/>
      <c r="M108" s="414"/>
      <c r="N108" s="414"/>
      <c r="O108" s="414"/>
      <c r="P108" s="414"/>
      <c r="Q108" s="414"/>
      <c r="R108" s="414"/>
      <c r="S108" s="104"/>
    </row>
    <row r="109" spans="2:41" ht="46.5" customHeight="1" x14ac:dyDescent="0.25">
      <c r="B109" s="76" t="s">
        <v>57</v>
      </c>
      <c r="C109" s="77" t="s">
        <v>34</v>
      </c>
      <c r="E109" s="43" t="s">
        <v>0</v>
      </c>
      <c r="F109" s="42" t="s">
        <v>37</v>
      </c>
      <c r="G109" s="42" t="s">
        <v>36</v>
      </c>
      <c r="H109" s="42" t="s">
        <v>35</v>
      </c>
      <c r="I109" s="42" t="s">
        <v>47</v>
      </c>
      <c r="J109" s="47" t="s">
        <v>56</v>
      </c>
      <c r="K109" s="47" t="s">
        <v>50</v>
      </c>
      <c r="L109" s="47" t="s">
        <v>51</v>
      </c>
      <c r="M109" s="47" t="s">
        <v>48</v>
      </c>
      <c r="N109" s="47" t="s">
        <v>52</v>
      </c>
      <c r="O109" s="37" t="s">
        <v>53</v>
      </c>
      <c r="P109" s="37" t="s">
        <v>54</v>
      </c>
      <c r="Q109" s="37" t="s">
        <v>49</v>
      </c>
      <c r="R109" s="48" t="s">
        <v>55</v>
      </c>
    </row>
    <row r="110" spans="2:41" ht="15.65" customHeight="1" x14ac:dyDescent="0.25">
      <c r="B110" s="76" t="s">
        <v>65</v>
      </c>
      <c r="C110" s="77">
        <v>1</v>
      </c>
      <c r="E110" s="2" t="s">
        <v>15</v>
      </c>
      <c r="F110" s="71">
        <v>33.1</v>
      </c>
      <c r="G110" s="71">
        <v>9.6</v>
      </c>
      <c r="H110" s="71">
        <f>G110/2</f>
        <v>4.8</v>
      </c>
      <c r="I110" s="71">
        <f>F110-H110</f>
        <v>28.3</v>
      </c>
      <c r="J110" s="59">
        <f t="shared" ref="J110:J121" si="7">C$126</f>
        <v>1.75</v>
      </c>
      <c r="K110" s="45">
        <v>22</v>
      </c>
      <c r="L110" s="45">
        <f>25.5-K110</f>
        <v>3.5</v>
      </c>
      <c r="M110" s="45">
        <f>I110-29.4</f>
        <v>-1.0999999999999979</v>
      </c>
      <c r="N110" s="8">
        <f t="shared" ref="N110:N121" si="8">J110+L110+M110</f>
        <v>4.1500000000000021</v>
      </c>
      <c r="O110" s="8">
        <v>3.75</v>
      </c>
      <c r="P110" s="8">
        <v>1.296</v>
      </c>
      <c r="Q110" s="8">
        <f>31*16</f>
        <v>496</v>
      </c>
      <c r="R110" s="40">
        <f>(N110*O110*P110*Q110)/1000</f>
        <v>10.003824000000005</v>
      </c>
    </row>
    <row r="111" spans="2:41" ht="15" customHeight="1" x14ac:dyDescent="0.25">
      <c r="B111" s="76" t="s">
        <v>66</v>
      </c>
      <c r="C111" s="77">
        <v>1</v>
      </c>
      <c r="E111" s="2" t="s">
        <v>16</v>
      </c>
      <c r="F111" s="71">
        <v>34</v>
      </c>
      <c r="G111" s="71">
        <v>10</v>
      </c>
      <c r="H111" s="71">
        <f t="shared" ref="H111:H121" si="9">G111/2</f>
        <v>5</v>
      </c>
      <c r="I111" s="71">
        <f t="shared" ref="I111:I121" si="10">F111-H111</f>
        <v>29</v>
      </c>
      <c r="J111" s="45">
        <f t="shared" si="7"/>
        <v>1.75</v>
      </c>
      <c r="K111" s="45">
        <v>22</v>
      </c>
      <c r="L111" s="45">
        <f t="shared" ref="L111:L121" si="11">25.5-K111</f>
        <v>3.5</v>
      </c>
      <c r="M111" s="45">
        <f t="shared" ref="M111:M121" si="12">I111-29.4</f>
        <v>-0.39999999999999858</v>
      </c>
      <c r="N111" s="8">
        <f t="shared" si="8"/>
        <v>4.8500000000000014</v>
      </c>
      <c r="O111" s="8">
        <v>3.75</v>
      </c>
      <c r="P111" s="8">
        <v>1.296</v>
      </c>
      <c r="Q111" s="8">
        <f>28*16</f>
        <v>448</v>
      </c>
      <c r="R111" s="40">
        <f t="shared" ref="R111:R121" si="13">(N111*O111*P111*Q111)/1000</f>
        <v>10.559808000000004</v>
      </c>
    </row>
    <row r="112" spans="2:41" ht="16" customHeight="1" x14ac:dyDescent="0.25">
      <c r="B112" s="76" t="s">
        <v>67</v>
      </c>
      <c r="C112" s="77">
        <v>0</v>
      </c>
      <c r="E112" s="2" t="s">
        <v>17</v>
      </c>
      <c r="F112" s="71">
        <v>35</v>
      </c>
      <c r="G112" s="71">
        <v>9.3000000000000007</v>
      </c>
      <c r="H112" s="71">
        <f t="shared" si="9"/>
        <v>4.6500000000000004</v>
      </c>
      <c r="I112" s="71">
        <f t="shared" si="10"/>
        <v>30.35</v>
      </c>
      <c r="J112" s="45">
        <f t="shared" si="7"/>
        <v>1.75</v>
      </c>
      <c r="K112" s="45">
        <v>22</v>
      </c>
      <c r="L112" s="45">
        <f t="shared" si="11"/>
        <v>3.5</v>
      </c>
      <c r="M112" s="45">
        <f t="shared" si="12"/>
        <v>0.95000000000000284</v>
      </c>
      <c r="N112" s="8">
        <f t="shared" si="8"/>
        <v>6.2000000000000028</v>
      </c>
      <c r="O112" s="8">
        <v>3.75</v>
      </c>
      <c r="P112" s="8">
        <v>1.296</v>
      </c>
      <c r="Q112" s="8">
        <f>31*16</f>
        <v>496</v>
      </c>
      <c r="R112" s="40">
        <f t="shared" si="13"/>
        <v>14.945472000000008</v>
      </c>
    </row>
    <row r="113" spans="2:19" ht="16" customHeight="1" x14ac:dyDescent="0.25">
      <c r="B113" s="76" t="s">
        <v>68</v>
      </c>
      <c r="C113" s="77">
        <v>-1</v>
      </c>
      <c r="E113" s="2" t="s">
        <v>18</v>
      </c>
      <c r="F113" s="71">
        <v>35.5</v>
      </c>
      <c r="G113" s="71">
        <v>8.6</v>
      </c>
      <c r="H113" s="71">
        <f t="shared" si="9"/>
        <v>4.3</v>
      </c>
      <c r="I113" s="71">
        <f t="shared" si="10"/>
        <v>31.2</v>
      </c>
      <c r="J113" s="45">
        <f t="shared" si="7"/>
        <v>1.75</v>
      </c>
      <c r="K113" s="45">
        <v>22</v>
      </c>
      <c r="L113" s="45">
        <f t="shared" si="11"/>
        <v>3.5</v>
      </c>
      <c r="M113" s="45">
        <f t="shared" si="12"/>
        <v>1.8000000000000007</v>
      </c>
      <c r="N113" s="8">
        <f t="shared" si="8"/>
        <v>7.0500000000000007</v>
      </c>
      <c r="O113" s="8">
        <v>3.75</v>
      </c>
      <c r="P113" s="8">
        <v>1.296</v>
      </c>
      <c r="Q113" s="8">
        <f>30*16</f>
        <v>480</v>
      </c>
      <c r="R113" s="40">
        <f t="shared" si="13"/>
        <v>16.446240000000003</v>
      </c>
    </row>
    <row r="114" spans="2:19" ht="16" customHeight="1" x14ac:dyDescent="0.25">
      <c r="B114" s="76" t="s">
        <v>69</v>
      </c>
      <c r="C114" s="77">
        <v>-1</v>
      </c>
      <c r="E114" s="2" t="s">
        <v>12</v>
      </c>
      <c r="F114" s="71">
        <v>35.700000000000003</v>
      </c>
      <c r="G114" s="71">
        <v>8.4</v>
      </c>
      <c r="H114" s="71">
        <f t="shared" si="9"/>
        <v>4.2</v>
      </c>
      <c r="I114" s="71">
        <f t="shared" si="10"/>
        <v>31.500000000000004</v>
      </c>
      <c r="J114" s="45">
        <f t="shared" si="7"/>
        <v>1.75</v>
      </c>
      <c r="K114" s="45">
        <v>22</v>
      </c>
      <c r="L114" s="45">
        <f t="shared" si="11"/>
        <v>3.5</v>
      </c>
      <c r="M114" s="45">
        <f t="shared" si="12"/>
        <v>2.100000000000005</v>
      </c>
      <c r="N114" s="8">
        <f t="shared" si="8"/>
        <v>7.350000000000005</v>
      </c>
      <c r="O114" s="8">
        <v>3.75</v>
      </c>
      <c r="P114" s="8">
        <v>1.296</v>
      </c>
      <c r="Q114" s="8">
        <f>31*16</f>
        <v>496</v>
      </c>
      <c r="R114" s="40">
        <f t="shared" si="13"/>
        <v>17.717616000000014</v>
      </c>
    </row>
    <row r="115" spans="2:19" ht="15" customHeight="1" x14ac:dyDescent="0.25">
      <c r="B115" s="76" t="s">
        <v>70</v>
      </c>
      <c r="C115" s="77">
        <v>-1</v>
      </c>
      <c r="E115" s="2" t="s">
        <v>13</v>
      </c>
      <c r="F115" s="71">
        <v>34.1</v>
      </c>
      <c r="G115" s="71">
        <v>8</v>
      </c>
      <c r="H115" s="71">
        <f t="shared" si="9"/>
        <v>4</v>
      </c>
      <c r="I115" s="71">
        <f t="shared" si="10"/>
        <v>30.1</v>
      </c>
      <c r="J115" s="45">
        <f t="shared" si="7"/>
        <v>1.75</v>
      </c>
      <c r="K115" s="45">
        <v>22</v>
      </c>
      <c r="L115" s="45">
        <f t="shared" si="11"/>
        <v>3.5</v>
      </c>
      <c r="M115" s="45">
        <f t="shared" si="12"/>
        <v>0.70000000000000284</v>
      </c>
      <c r="N115" s="8">
        <f t="shared" si="8"/>
        <v>5.9500000000000028</v>
      </c>
      <c r="O115" s="8">
        <v>3.75</v>
      </c>
      <c r="P115" s="8">
        <v>1.296</v>
      </c>
      <c r="Q115" s="8">
        <f>30*16</f>
        <v>480</v>
      </c>
      <c r="R115" s="40">
        <f t="shared" si="13"/>
        <v>13.880160000000007</v>
      </c>
    </row>
    <row r="116" spans="2:19" ht="15.65" customHeight="1" x14ac:dyDescent="0.25">
      <c r="B116" s="78" t="s">
        <v>38</v>
      </c>
      <c r="C116" s="79">
        <v>-1</v>
      </c>
      <c r="E116" s="2" t="s">
        <v>24</v>
      </c>
      <c r="F116" s="41">
        <v>33.200000000000003</v>
      </c>
      <c r="G116" s="98">
        <v>7.8</v>
      </c>
      <c r="H116" s="71">
        <f t="shared" si="9"/>
        <v>3.9</v>
      </c>
      <c r="I116" s="71">
        <f t="shared" si="10"/>
        <v>29.300000000000004</v>
      </c>
      <c r="J116" s="45">
        <f t="shared" si="7"/>
        <v>1.75</v>
      </c>
      <c r="K116" s="45">
        <v>22</v>
      </c>
      <c r="L116" s="45">
        <f t="shared" si="11"/>
        <v>3.5</v>
      </c>
      <c r="M116" s="45">
        <f t="shared" si="12"/>
        <v>-9.9999999999994316E-2</v>
      </c>
      <c r="N116" s="8">
        <f t="shared" si="8"/>
        <v>5.1500000000000057</v>
      </c>
      <c r="O116" s="8">
        <v>3.75</v>
      </c>
      <c r="P116" s="8">
        <v>1.296</v>
      </c>
      <c r="Q116" s="8">
        <f>31*16</f>
        <v>496</v>
      </c>
      <c r="R116" s="40">
        <f t="shared" si="13"/>
        <v>12.414384000000014</v>
      </c>
    </row>
    <row r="117" spans="2:19" ht="15.65" customHeight="1" x14ac:dyDescent="0.25">
      <c r="B117" s="78" t="s">
        <v>39</v>
      </c>
      <c r="C117" s="79">
        <v>-1</v>
      </c>
      <c r="E117" s="2" t="s">
        <v>19</v>
      </c>
      <c r="F117" s="41">
        <v>33.200000000000003</v>
      </c>
      <c r="G117" s="98">
        <v>7.6</v>
      </c>
      <c r="H117" s="71">
        <f t="shared" si="9"/>
        <v>3.8</v>
      </c>
      <c r="I117" s="71">
        <f t="shared" si="10"/>
        <v>29.400000000000002</v>
      </c>
      <c r="J117" s="45">
        <f t="shared" si="7"/>
        <v>1.75</v>
      </c>
      <c r="K117" s="45">
        <v>22</v>
      </c>
      <c r="L117" s="45">
        <f t="shared" si="11"/>
        <v>3.5</v>
      </c>
      <c r="M117" s="45">
        <f t="shared" si="12"/>
        <v>0</v>
      </c>
      <c r="N117" s="8">
        <f t="shared" si="8"/>
        <v>5.25</v>
      </c>
      <c r="O117" s="8">
        <v>3.75</v>
      </c>
      <c r="P117" s="8">
        <v>1.296</v>
      </c>
      <c r="Q117" s="8">
        <f>31*16</f>
        <v>496</v>
      </c>
      <c r="R117" s="40">
        <f t="shared" si="13"/>
        <v>12.65544</v>
      </c>
    </row>
    <row r="118" spans="2:19" ht="15" customHeight="1" x14ac:dyDescent="0.25">
      <c r="B118" s="78" t="s">
        <v>40</v>
      </c>
      <c r="C118" s="79">
        <v>0</v>
      </c>
      <c r="E118" s="2" t="s">
        <v>20</v>
      </c>
      <c r="F118" s="41">
        <v>33.1</v>
      </c>
      <c r="G118" s="98">
        <v>7.5</v>
      </c>
      <c r="H118" s="71">
        <f t="shared" si="9"/>
        <v>3.75</v>
      </c>
      <c r="I118" s="71">
        <f t="shared" si="10"/>
        <v>29.35</v>
      </c>
      <c r="J118" s="45">
        <f t="shared" si="7"/>
        <v>1.75</v>
      </c>
      <c r="K118" s="45">
        <v>22</v>
      </c>
      <c r="L118" s="45">
        <f t="shared" si="11"/>
        <v>3.5</v>
      </c>
      <c r="M118" s="45">
        <f t="shared" si="12"/>
        <v>-4.9999999999997158E-2</v>
      </c>
      <c r="N118" s="8">
        <f t="shared" si="8"/>
        <v>5.2000000000000028</v>
      </c>
      <c r="O118" s="8">
        <v>3.75</v>
      </c>
      <c r="P118" s="8">
        <v>1.296</v>
      </c>
      <c r="Q118" s="8">
        <f>30*16</f>
        <v>480</v>
      </c>
      <c r="R118" s="40">
        <f t="shared" si="13"/>
        <v>12.130560000000008</v>
      </c>
    </row>
    <row r="119" spans="2:19" ht="16.5" customHeight="1" x14ac:dyDescent="0.25">
      <c r="B119" s="78" t="s">
        <v>41</v>
      </c>
      <c r="C119" s="79">
        <v>7</v>
      </c>
      <c r="E119" s="2" t="s">
        <v>21</v>
      </c>
      <c r="F119" s="41">
        <v>32.9</v>
      </c>
      <c r="G119" s="98">
        <v>7.7</v>
      </c>
      <c r="H119" s="71">
        <f t="shared" si="9"/>
        <v>3.85</v>
      </c>
      <c r="I119" s="71">
        <f t="shared" si="10"/>
        <v>29.049999999999997</v>
      </c>
      <c r="J119" s="45">
        <f t="shared" si="7"/>
        <v>1.75</v>
      </c>
      <c r="K119" s="45">
        <v>22</v>
      </c>
      <c r="L119" s="45">
        <f t="shared" si="11"/>
        <v>3.5</v>
      </c>
      <c r="M119" s="45">
        <f t="shared" si="12"/>
        <v>-0.35000000000000142</v>
      </c>
      <c r="N119" s="8">
        <f t="shared" si="8"/>
        <v>4.8999999999999986</v>
      </c>
      <c r="O119" s="8">
        <v>3.75</v>
      </c>
      <c r="P119" s="8">
        <v>1.296</v>
      </c>
      <c r="Q119" s="8">
        <f>31*16</f>
        <v>496</v>
      </c>
      <c r="R119" s="40">
        <f t="shared" si="13"/>
        <v>11.811743999999997</v>
      </c>
    </row>
    <row r="120" spans="2:19" ht="14.5" customHeight="1" x14ac:dyDescent="0.25">
      <c r="B120" s="78" t="s">
        <v>42</v>
      </c>
      <c r="C120" s="79">
        <v>7</v>
      </c>
      <c r="E120" s="2" t="s">
        <v>22</v>
      </c>
      <c r="F120" s="41">
        <v>33</v>
      </c>
      <c r="G120" s="98">
        <v>8.1999999999999993</v>
      </c>
      <c r="H120" s="71">
        <f t="shared" si="9"/>
        <v>4.0999999999999996</v>
      </c>
      <c r="I120" s="71">
        <f t="shared" si="10"/>
        <v>28.9</v>
      </c>
      <c r="J120" s="45">
        <f t="shared" si="7"/>
        <v>1.75</v>
      </c>
      <c r="K120" s="45">
        <v>22</v>
      </c>
      <c r="L120" s="45">
        <f t="shared" si="11"/>
        <v>3.5</v>
      </c>
      <c r="M120" s="45">
        <f t="shared" si="12"/>
        <v>-0.5</v>
      </c>
      <c r="N120" s="8">
        <f t="shared" si="8"/>
        <v>4.75</v>
      </c>
      <c r="O120" s="8">
        <v>3.75</v>
      </c>
      <c r="P120" s="8">
        <v>1.296</v>
      </c>
      <c r="Q120" s="8">
        <f>30*16</f>
        <v>480</v>
      </c>
      <c r="R120" s="40">
        <f t="shared" si="13"/>
        <v>11.080800000000002</v>
      </c>
    </row>
    <row r="121" spans="2:19" ht="14.5" customHeight="1" x14ac:dyDescent="0.25">
      <c r="B121" s="78" t="s">
        <v>43</v>
      </c>
      <c r="C121" s="79">
        <v>6</v>
      </c>
      <c r="E121" s="2" t="s">
        <v>23</v>
      </c>
      <c r="F121" s="41">
        <v>32.9</v>
      </c>
      <c r="G121" s="98">
        <v>8.8000000000000007</v>
      </c>
      <c r="H121" s="71">
        <f t="shared" si="9"/>
        <v>4.4000000000000004</v>
      </c>
      <c r="I121" s="71">
        <f t="shared" si="10"/>
        <v>28.5</v>
      </c>
      <c r="J121" s="45">
        <f t="shared" si="7"/>
        <v>1.75</v>
      </c>
      <c r="K121" s="45">
        <v>22</v>
      </c>
      <c r="L121" s="45">
        <f t="shared" si="11"/>
        <v>3.5</v>
      </c>
      <c r="M121" s="45">
        <f t="shared" si="12"/>
        <v>-0.89999999999999858</v>
      </c>
      <c r="N121" s="8">
        <f t="shared" si="8"/>
        <v>4.3500000000000014</v>
      </c>
      <c r="O121" s="8">
        <v>3.75</v>
      </c>
      <c r="P121" s="8">
        <v>1.296</v>
      </c>
      <c r="Q121" s="8">
        <f>31*16</f>
        <v>496</v>
      </c>
      <c r="R121" s="40">
        <f t="shared" si="13"/>
        <v>10.485936000000006</v>
      </c>
    </row>
    <row r="122" spans="2:19" ht="14.5" customHeight="1" x14ac:dyDescent="0.25">
      <c r="B122" s="78" t="s">
        <v>44</v>
      </c>
      <c r="C122" s="79">
        <v>4</v>
      </c>
      <c r="E122" s="417" t="s">
        <v>58</v>
      </c>
      <c r="F122" s="418"/>
      <c r="G122" s="418"/>
      <c r="H122" s="418"/>
      <c r="I122" s="418"/>
      <c r="J122" s="418"/>
      <c r="K122" s="418"/>
      <c r="L122" s="418"/>
      <c r="M122" s="418"/>
      <c r="N122" s="418"/>
      <c r="O122" s="418"/>
      <c r="P122" s="418"/>
      <c r="Q122" s="419"/>
      <c r="R122" s="69">
        <f>SUM(R110:R121)</f>
        <v>154.13198400000007</v>
      </c>
      <c r="S122" s="105"/>
    </row>
    <row r="123" spans="2:19" ht="14.5" customHeight="1" x14ac:dyDescent="0.25">
      <c r="B123" s="78" t="s">
        <v>45</v>
      </c>
      <c r="C123" s="79">
        <v>3</v>
      </c>
      <c r="E123" s="394" t="s">
        <v>131</v>
      </c>
      <c r="F123" s="395"/>
      <c r="G123" s="395"/>
      <c r="H123" s="395"/>
      <c r="I123" s="395"/>
      <c r="J123" s="395"/>
      <c r="K123" s="395"/>
      <c r="L123" s="395"/>
      <c r="M123" s="395"/>
      <c r="N123" s="395"/>
      <c r="O123" s="395"/>
      <c r="P123" s="395"/>
      <c r="Q123" s="395"/>
      <c r="R123" s="396"/>
      <c r="S123" s="106"/>
    </row>
    <row r="124" spans="2:19" ht="14" x14ac:dyDescent="0.25">
      <c r="B124" s="78" t="s">
        <v>46</v>
      </c>
      <c r="C124" s="79">
        <v>2</v>
      </c>
      <c r="E124" s="2" t="s">
        <v>15</v>
      </c>
      <c r="F124" s="71">
        <v>33.1</v>
      </c>
      <c r="G124" s="71">
        <v>9.6</v>
      </c>
      <c r="H124" s="71">
        <f>G124/2</f>
        <v>4.8</v>
      </c>
      <c r="I124" s="71">
        <f>F124-H124</f>
        <v>28.3</v>
      </c>
      <c r="J124" s="59">
        <f t="shared" ref="J124:J135" si="14">C$126</f>
        <v>1.75</v>
      </c>
      <c r="K124" s="45">
        <v>23</v>
      </c>
      <c r="L124" s="45">
        <f>25.5-K124</f>
        <v>2.5</v>
      </c>
      <c r="M124" s="45">
        <f>I124-29.4</f>
        <v>-1.0999999999999979</v>
      </c>
      <c r="N124" s="8">
        <f t="shared" ref="N124:N135" si="15">J124+L124+M124</f>
        <v>3.1500000000000021</v>
      </c>
      <c r="O124" s="8">
        <v>3.75</v>
      </c>
      <c r="P124" s="8">
        <v>1.296</v>
      </c>
      <c r="Q124" s="8">
        <f>31*16</f>
        <v>496</v>
      </c>
      <c r="R124" s="40">
        <f>(N124*O124*P124*Q124)/1000</f>
        <v>7.5932640000000049</v>
      </c>
    </row>
    <row r="125" spans="2:19" ht="14" x14ac:dyDescent="0.25">
      <c r="B125" s="78" t="s">
        <v>71</v>
      </c>
      <c r="C125" s="79">
        <v>2</v>
      </c>
      <c r="E125" s="2" t="s">
        <v>16</v>
      </c>
      <c r="F125" s="71">
        <v>34</v>
      </c>
      <c r="G125" s="71">
        <v>10</v>
      </c>
      <c r="H125" s="71">
        <f t="shared" ref="H125:H135" si="16">G125/2</f>
        <v>5</v>
      </c>
      <c r="I125" s="71">
        <f t="shared" ref="I125:I135" si="17">F125-H125</f>
        <v>29</v>
      </c>
      <c r="J125" s="45">
        <f t="shared" si="14"/>
        <v>1.75</v>
      </c>
      <c r="K125" s="45">
        <v>23</v>
      </c>
      <c r="L125" s="45">
        <f t="shared" ref="L125:L135" si="18">25.5-K125</f>
        <v>2.5</v>
      </c>
      <c r="M125" s="45">
        <f t="shared" ref="M125:M135" si="19">I125-29.4</f>
        <v>-0.39999999999999858</v>
      </c>
      <c r="N125" s="8">
        <f t="shared" si="15"/>
        <v>3.8500000000000014</v>
      </c>
      <c r="O125" s="8">
        <v>3.75</v>
      </c>
      <c r="P125" s="8">
        <v>1.296</v>
      </c>
      <c r="Q125" s="8">
        <f>28*16</f>
        <v>448</v>
      </c>
      <c r="R125" s="40">
        <f t="shared" ref="R125:R135" si="20">(N125*O125*P125*Q125)/1000</f>
        <v>8.3825280000000042</v>
      </c>
    </row>
    <row r="126" spans="2:19" ht="16" thickBot="1" x14ac:dyDescent="0.3">
      <c r="B126" s="80" t="s">
        <v>77</v>
      </c>
      <c r="C126" s="81">
        <f>AVERAGE(C110:C125)</f>
        <v>1.75</v>
      </c>
      <c r="E126" s="2" t="s">
        <v>17</v>
      </c>
      <c r="F126" s="71">
        <v>35</v>
      </c>
      <c r="G126" s="71">
        <v>9.3000000000000007</v>
      </c>
      <c r="H126" s="71">
        <f t="shared" si="16"/>
        <v>4.6500000000000004</v>
      </c>
      <c r="I126" s="71">
        <f t="shared" si="17"/>
        <v>30.35</v>
      </c>
      <c r="J126" s="45">
        <f t="shared" si="14"/>
        <v>1.75</v>
      </c>
      <c r="K126" s="45">
        <v>23</v>
      </c>
      <c r="L126" s="45">
        <f t="shared" si="18"/>
        <v>2.5</v>
      </c>
      <c r="M126" s="45">
        <f t="shared" si="19"/>
        <v>0.95000000000000284</v>
      </c>
      <c r="N126" s="8">
        <f t="shared" si="15"/>
        <v>5.2000000000000028</v>
      </c>
      <c r="O126" s="8">
        <v>3.75</v>
      </c>
      <c r="P126" s="8">
        <v>1.296</v>
      </c>
      <c r="Q126" s="8">
        <f>31*16</f>
        <v>496</v>
      </c>
      <c r="R126" s="40">
        <f t="shared" si="20"/>
        <v>12.534912000000007</v>
      </c>
    </row>
    <row r="127" spans="2:19" ht="14" x14ac:dyDescent="0.25">
      <c r="E127" s="2" t="s">
        <v>18</v>
      </c>
      <c r="F127" s="71">
        <v>35.5</v>
      </c>
      <c r="G127" s="71">
        <v>8.6</v>
      </c>
      <c r="H127" s="71">
        <f t="shared" si="16"/>
        <v>4.3</v>
      </c>
      <c r="I127" s="71">
        <f t="shared" si="17"/>
        <v>31.2</v>
      </c>
      <c r="J127" s="45">
        <f t="shared" si="14"/>
        <v>1.75</v>
      </c>
      <c r="K127" s="45">
        <v>23</v>
      </c>
      <c r="L127" s="45">
        <f t="shared" si="18"/>
        <v>2.5</v>
      </c>
      <c r="M127" s="45">
        <f t="shared" si="19"/>
        <v>1.8000000000000007</v>
      </c>
      <c r="N127" s="8">
        <f t="shared" si="15"/>
        <v>6.0500000000000007</v>
      </c>
      <c r="O127" s="8">
        <v>3.75</v>
      </c>
      <c r="P127" s="8">
        <v>1.296</v>
      </c>
      <c r="Q127" s="8">
        <f>30*16</f>
        <v>480</v>
      </c>
      <c r="R127" s="40">
        <f t="shared" si="20"/>
        <v>14.113440000000002</v>
      </c>
    </row>
    <row r="128" spans="2:19" ht="14" x14ac:dyDescent="0.25">
      <c r="E128" s="2" t="s">
        <v>12</v>
      </c>
      <c r="F128" s="71">
        <v>35.700000000000003</v>
      </c>
      <c r="G128" s="71">
        <v>8.4</v>
      </c>
      <c r="H128" s="71">
        <f t="shared" si="16"/>
        <v>4.2</v>
      </c>
      <c r="I128" s="71">
        <f t="shared" si="17"/>
        <v>31.500000000000004</v>
      </c>
      <c r="J128" s="45">
        <f t="shared" si="14"/>
        <v>1.75</v>
      </c>
      <c r="K128" s="45">
        <v>23</v>
      </c>
      <c r="L128" s="45">
        <f t="shared" si="18"/>
        <v>2.5</v>
      </c>
      <c r="M128" s="45">
        <f t="shared" si="19"/>
        <v>2.100000000000005</v>
      </c>
      <c r="N128" s="8">
        <f t="shared" si="15"/>
        <v>6.350000000000005</v>
      </c>
      <c r="O128" s="8">
        <v>3.75</v>
      </c>
      <c r="P128" s="8">
        <v>1.296</v>
      </c>
      <c r="Q128" s="8">
        <f>31*16</f>
        <v>496</v>
      </c>
      <c r="R128" s="40">
        <f t="shared" si="20"/>
        <v>15.307056000000014</v>
      </c>
    </row>
    <row r="129" spans="5:19" ht="14" x14ac:dyDescent="0.25">
      <c r="E129" s="2" t="s">
        <v>13</v>
      </c>
      <c r="F129" s="71">
        <v>34.1</v>
      </c>
      <c r="G129" s="71">
        <v>8</v>
      </c>
      <c r="H129" s="71">
        <f t="shared" si="16"/>
        <v>4</v>
      </c>
      <c r="I129" s="71">
        <f t="shared" si="17"/>
        <v>30.1</v>
      </c>
      <c r="J129" s="45">
        <f t="shared" si="14"/>
        <v>1.75</v>
      </c>
      <c r="K129" s="45">
        <v>23</v>
      </c>
      <c r="L129" s="45">
        <f t="shared" si="18"/>
        <v>2.5</v>
      </c>
      <c r="M129" s="45">
        <f t="shared" si="19"/>
        <v>0.70000000000000284</v>
      </c>
      <c r="N129" s="8">
        <f t="shared" si="15"/>
        <v>4.9500000000000028</v>
      </c>
      <c r="O129" s="8">
        <v>3.75</v>
      </c>
      <c r="P129" s="8">
        <v>1.296</v>
      </c>
      <c r="Q129" s="8">
        <f>30*16</f>
        <v>480</v>
      </c>
      <c r="R129" s="40">
        <f t="shared" si="20"/>
        <v>11.547360000000007</v>
      </c>
    </row>
    <row r="130" spans="5:19" ht="14" x14ac:dyDescent="0.25">
      <c r="E130" s="2" t="s">
        <v>24</v>
      </c>
      <c r="F130" s="41">
        <v>33.200000000000003</v>
      </c>
      <c r="G130" s="98">
        <v>7.8</v>
      </c>
      <c r="H130" s="71">
        <f t="shared" si="16"/>
        <v>3.9</v>
      </c>
      <c r="I130" s="71">
        <f t="shared" si="17"/>
        <v>29.300000000000004</v>
      </c>
      <c r="J130" s="45">
        <f t="shared" si="14"/>
        <v>1.75</v>
      </c>
      <c r="K130" s="45">
        <v>23</v>
      </c>
      <c r="L130" s="45">
        <f t="shared" si="18"/>
        <v>2.5</v>
      </c>
      <c r="M130" s="45">
        <f t="shared" si="19"/>
        <v>-9.9999999999994316E-2</v>
      </c>
      <c r="N130" s="8">
        <f t="shared" si="15"/>
        <v>4.1500000000000057</v>
      </c>
      <c r="O130" s="8">
        <v>3.75</v>
      </c>
      <c r="P130" s="8">
        <v>1.296</v>
      </c>
      <c r="Q130" s="8">
        <f>31*16</f>
        <v>496</v>
      </c>
      <c r="R130" s="40">
        <f t="shared" si="20"/>
        <v>10.003824000000016</v>
      </c>
    </row>
    <row r="131" spans="5:19" ht="14" x14ac:dyDescent="0.25">
      <c r="E131" s="2" t="s">
        <v>19</v>
      </c>
      <c r="F131" s="41">
        <v>33.200000000000003</v>
      </c>
      <c r="G131" s="98">
        <v>7.6</v>
      </c>
      <c r="H131" s="71">
        <f t="shared" si="16"/>
        <v>3.8</v>
      </c>
      <c r="I131" s="71">
        <f t="shared" si="17"/>
        <v>29.400000000000002</v>
      </c>
      <c r="J131" s="45">
        <f t="shared" si="14"/>
        <v>1.75</v>
      </c>
      <c r="K131" s="45">
        <v>23</v>
      </c>
      <c r="L131" s="45">
        <f t="shared" si="18"/>
        <v>2.5</v>
      </c>
      <c r="M131" s="45">
        <f t="shared" si="19"/>
        <v>0</v>
      </c>
      <c r="N131" s="8">
        <f t="shared" si="15"/>
        <v>4.25</v>
      </c>
      <c r="O131" s="8">
        <v>3.75</v>
      </c>
      <c r="P131" s="8">
        <v>1.296</v>
      </c>
      <c r="Q131" s="8">
        <f>31*16</f>
        <v>496</v>
      </c>
      <c r="R131" s="40">
        <f t="shared" si="20"/>
        <v>10.24488</v>
      </c>
    </row>
    <row r="132" spans="5:19" ht="14" x14ac:dyDescent="0.25">
      <c r="E132" s="2" t="s">
        <v>20</v>
      </c>
      <c r="F132" s="41">
        <v>33.1</v>
      </c>
      <c r="G132" s="98">
        <v>7.5</v>
      </c>
      <c r="H132" s="71">
        <f t="shared" si="16"/>
        <v>3.75</v>
      </c>
      <c r="I132" s="71">
        <f t="shared" si="17"/>
        <v>29.35</v>
      </c>
      <c r="J132" s="45">
        <f t="shared" si="14"/>
        <v>1.75</v>
      </c>
      <c r="K132" s="45">
        <v>23</v>
      </c>
      <c r="L132" s="45">
        <f t="shared" si="18"/>
        <v>2.5</v>
      </c>
      <c r="M132" s="45">
        <f t="shared" si="19"/>
        <v>-4.9999999999997158E-2</v>
      </c>
      <c r="N132" s="8">
        <f t="shared" si="15"/>
        <v>4.2000000000000028</v>
      </c>
      <c r="O132" s="8">
        <v>3.75</v>
      </c>
      <c r="P132" s="8">
        <v>1.296</v>
      </c>
      <c r="Q132" s="8">
        <f>30*16</f>
        <v>480</v>
      </c>
      <c r="R132" s="40">
        <f t="shared" si="20"/>
        <v>9.7977600000000056</v>
      </c>
    </row>
    <row r="133" spans="5:19" ht="14" x14ac:dyDescent="0.25">
      <c r="E133" s="2" t="s">
        <v>21</v>
      </c>
      <c r="F133" s="41">
        <v>32.9</v>
      </c>
      <c r="G133" s="98">
        <v>7.7</v>
      </c>
      <c r="H133" s="71">
        <f t="shared" si="16"/>
        <v>3.85</v>
      </c>
      <c r="I133" s="71">
        <f t="shared" si="17"/>
        <v>29.049999999999997</v>
      </c>
      <c r="J133" s="45">
        <f t="shared" si="14"/>
        <v>1.75</v>
      </c>
      <c r="K133" s="45">
        <v>23</v>
      </c>
      <c r="L133" s="45">
        <f t="shared" si="18"/>
        <v>2.5</v>
      </c>
      <c r="M133" s="45">
        <f t="shared" si="19"/>
        <v>-0.35000000000000142</v>
      </c>
      <c r="N133" s="8">
        <f t="shared" si="15"/>
        <v>3.8999999999999986</v>
      </c>
      <c r="O133" s="8">
        <v>3.75</v>
      </c>
      <c r="P133" s="8">
        <v>1.296</v>
      </c>
      <c r="Q133" s="8">
        <f>31*16</f>
        <v>496</v>
      </c>
      <c r="R133" s="40">
        <f t="shared" si="20"/>
        <v>9.4011839999999971</v>
      </c>
    </row>
    <row r="134" spans="5:19" ht="14" x14ac:dyDescent="0.25">
      <c r="E134" s="2" t="s">
        <v>22</v>
      </c>
      <c r="F134" s="41">
        <v>33</v>
      </c>
      <c r="G134" s="98">
        <v>8.1999999999999993</v>
      </c>
      <c r="H134" s="71">
        <f t="shared" si="16"/>
        <v>4.0999999999999996</v>
      </c>
      <c r="I134" s="71">
        <f t="shared" si="17"/>
        <v>28.9</v>
      </c>
      <c r="J134" s="45">
        <f t="shared" si="14"/>
        <v>1.75</v>
      </c>
      <c r="K134" s="45">
        <v>23</v>
      </c>
      <c r="L134" s="45">
        <f t="shared" si="18"/>
        <v>2.5</v>
      </c>
      <c r="M134" s="45">
        <f t="shared" si="19"/>
        <v>-0.5</v>
      </c>
      <c r="N134" s="8">
        <f t="shared" si="15"/>
        <v>3.75</v>
      </c>
      <c r="O134" s="8">
        <v>3.75</v>
      </c>
      <c r="P134" s="8">
        <v>1.296</v>
      </c>
      <c r="Q134" s="8">
        <f>30*16</f>
        <v>480</v>
      </c>
      <c r="R134" s="40">
        <f t="shared" si="20"/>
        <v>8.7479999999999993</v>
      </c>
    </row>
    <row r="135" spans="5:19" ht="14" x14ac:dyDescent="0.25">
      <c r="E135" s="2" t="s">
        <v>23</v>
      </c>
      <c r="F135" s="41">
        <v>32.9</v>
      </c>
      <c r="G135" s="98">
        <v>8.8000000000000007</v>
      </c>
      <c r="H135" s="71">
        <f t="shared" si="16"/>
        <v>4.4000000000000004</v>
      </c>
      <c r="I135" s="71">
        <f t="shared" si="17"/>
        <v>28.5</v>
      </c>
      <c r="J135" s="45">
        <f t="shared" si="14"/>
        <v>1.75</v>
      </c>
      <c r="K135" s="45">
        <v>23</v>
      </c>
      <c r="L135" s="45">
        <f t="shared" si="18"/>
        <v>2.5</v>
      </c>
      <c r="M135" s="45">
        <f t="shared" si="19"/>
        <v>-0.89999999999999858</v>
      </c>
      <c r="N135" s="8">
        <f t="shared" si="15"/>
        <v>3.3500000000000014</v>
      </c>
      <c r="O135" s="8">
        <v>3.75</v>
      </c>
      <c r="P135" s="8">
        <v>1.296</v>
      </c>
      <c r="Q135" s="8">
        <f>31*16</f>
        <v>496</v>
      </c>
      <c r="R135" s="40">
        <f t="shared" si="20"/>
        <v>8.0753760000000021</v>
      </c>
    </row>
    <row r="136" spans="5:19" ht="15" x14ac:dyDescent="0.25">
      <c r="E136" s="417" t="s">
        <v>58</v>
      </c>
      <c r="F136" s="418"/>
      <c r="G136" s="418"/>
      <c r="H136" s="418"/>
      <c r="I136" s="418"/>
      <c r="J136" s="418"/>
      <c r="K136" s="418"/>
      <c r="L136" s="418"/>
      <c r="M136" s="418"/>
      <c r="N136" s="418"/>
      <c r="O136" s="418"/>
      <c r="P136" s="418"/>
      <c r="Q136" s="418"/>
      <c r="R136" s="107">
        <f>SUM(R124:R135)</f>
        <v>125.74958400000007</v>
      </c>
      <c r="S136" s="105"/>
    </row>
    <row r="137" spans="5:19" ht="15" x14ac:dyDescent="0.4">
      <c r="E137" s="413" t="s">
        <v>72</v>
      </c>
      <c r="F137" s="414"/>
      <c r="G137" s="414"/>
      <c r="H137" s="414"/>
      <c r="I137" s="414"/>
      <c r="J137" s="414"/>
      <c r="K137" s="414"/>
      <c r="L137" s="414"/>
      <c r="M137" s="414"/>
      <c r="N137" s="414"/>
      <c r="O137" s="414"/>
      <c r="P137" s="414"/>
      <c r="Q137" s="414"/>
      <c r="R137" s="414"/>
      <c r="S137" s="104"/>
    </row>
    <row r="138" spans="5:19" ht="14" x14ac:dyDescent="0.25">
      <c r="E138" s="2" t="s">
        <v>15</v>
      </c>
      <c r="F138" s="71">
        <v>33.1</v>
      </c>
      <c r="G138" s="71">
        <v>9.6</v>
      </c>
      <c r="H138" s="71">
        <f>G138/2</f>
        <v>4.8</v>
      </c>
      <c r="I138" s="71">
        <f>F138-H138</f>
        <v>28.3</v>
      </c>
      <c r="J138" s="45">
        <f t="shared" ref="J138:J149" si="21">C$126</f>
        <v>1.75</v>
      </c>
      <c r="K138" s="45">
        <v>24</v>
      </c>
      <c r="L138" s="72">
        <f>25.5-K138</f>
        <v>1.5</v>
      </c>
      <c r="M138" s="72">
        <f>I138-29.4</f>
        <v>-1.0999999999999979</v>
      </c>
      <c r="N138" s="8">
        <f t="shared" ref="N138:N149" si="22">J138+L138+M138</f>
        <v>2.1500000000000021</v>
      </c>
      <c r="O138" s="8">
        <v>3.75</v>
      </c>
      <c r="P138" s="8">
        <v>1.296</v>
      </c>
      <c r="Q138" s="8">
        <f>31*16</f>
        <v>496</v>
      </c>
      <c r="R138" s="40">
        <f>(N138*O138*P138*Q138)/1000</f>
        <v>5.1827040000000046</v>
      </c>
    </row>
    <row r="139" spans="5:19" ht="14" x14ac:dyDescent="0.25">
      <c r="E139" s="2" t="s">
        <v>16</v>
      </c>
      <c r="F139" s="71">
        <v>34</v>
      </c>
      <c r="G139" s="71">
        <v>10</v>
      </c>
      <c r="H139" s="71">
        <f t="shared" ref="H139:H149" si="23">G139/2</f>
        <v>5</v>
      </c>
      <c r="I139" s="71">
        <f t="shared" ref="I139:I149" si="24">F139-H139</f>
        <v>29</v>
      </c>
      <c r="J139" s="45">
        <f t="shared" si="21"/>
        <v>1.75</v>
      </c>
      <c r="K139" s="45">
        <v>24</v>
      </c>
      <c r="L139" s="72">
        <f t="shared" ref="L139:L149" si="25">25.5-K139</f>
        <v>1.5</v>
      </c>
      <c r="M139" s="72">
        <f t="shared" ref="M139:M149" si="26">I139-29.4</f>
        <v>-0.39999999999999858</v>
      </c>
      <c r="N139" s="8">
        <f t="shared" si="22"/>
        <v>2.8500000000000014</v>
      </c>
      <c r="O139" s="8">
        <v>3.75</v>
      </c>
      <c r="P139" s="8">
        <v>1.296</v>
      </c>
      <c r="Q139" s="8">
        <f>28*16</f>
        <v>448</v>
      </c>
      <c r="R139" s="40">
        <f t="shared" ref="R139:R149" si="27">(N139*O139*P139*Q139)/1000</f>
        <v>6.2052480000000036</v>
      </c>
    </row>
    <row r="140" spans="5:19" ht="14" x14ac:dyDescent="0.25">
      <c r="E140" s="2" t="s">
        <v>17</v>
      </c>
      <c r="F140" s="71">
        <v>35</v>
      </c>
      <c r="G140" s="71">
        <v>9.3000000000000007</v>
      </c>
      <c r="H140" s="71">
        <f t="shared" si="23"/>
        <v>4.6500000000000004</v>
      </c>
      <c r="I140" s="71">
        <f t="shared" si="24"/>
        <v>30.35</v>
      </c>
      <c r="J140" s="45">
        <f t="shared" si="21"/>
        <v>1.75</v>
      </c>
      <c r="K140" s="45">
        <v>24</v>
      </c>
      <c r="L140" s="72">
        <f t="shared" si="25"/>
        <v>1.5</v>
      </c>
      <c r="M140" s="72">
        <f t="shared" si="26"/>
        <v>0.95000000000000284</v>
      </c>
      <c r="N140" s="8">
        <f t="shared" si="22"/>
        <v>4.2000000000000028</v>
      </c>
      <c r="O140" s="8">
        <v>3.75</v>
      </c>
      <c r="P140" s="8">
        <v>1.296</v>
      </c>
      <c r="Q140" s="8">
        <f>31*16</f>
        <v>496</v>
      </c>
      <c r="R140" s="40">
        <f t="shared" si="27"/>
        <v>10.124352000000005</v>
      </c>
    </row>
    <row r="141" spans="5:19" ht="14" x14ac:dyDescent="0.25">
      <c r="E141" s="2" t="s">
        <v>18</v>
      </c>
      <c r="F141" s="71">
        <v>35.5</v>
      </c>
      <c r="G141" s="71">
        <v>8.6</v>
      </c>
      <c r="H141" s="71">
        <f t="shared" si="23"/>
        <v>4.3</v>
      </c>
      <c r="I141" s="71">
        <f t="shared" si="24"/>
        <v>31.2</v>
      </c>
      <c r="J141" s="45">
        <f t="shared" si="21"/>
        <v>1.75</v>
      </c>
      <c r="K141" s="45">
        <v>24</v>
      </c>
      <c r="L141" s="72">
        <f t="shared" si="25"/>
        <v>1.5</v>
      </c>
      <c r="M141" s="72">
        <f t="shared" si="26"/>
        <v>1.8000000000000007</v>
      </c>
      <c r="N141" s="8">
        <f t="shared" si="22"/>
        <v>5.0500000000000007</v>
      </c>
      <c r="O141" s="8">
        <v>3.75</v>
      </c>
      <c r="P141" s="8">
        <v>1.296</v>
      </c>
      <c r="Q141" s="8">
        <f>30*16</f>
        <v>480</v>
      </c>
      <c r="R141" s="40">
        <f t="shared" si="27"/>
        <v>11.780640000000004</v>
      </c>
    </row>
    <row r="142" spans="5:19" ht="14" x14ac:dyDescent="0.25">
      <c r="E142" s="2" t="s">
        <v>12</v>
      </c>
      <c r="F142" s="71">
        <v>35.700000000000003</v>
      </c>
      <c r="G142" s="71">
        <v>8.4</v>
      </c>
      <c r="H142" s="71">
        <f t="shared" si="23"/>
        <v>4.2</v>
      </c>
      <c r="I142" s="71">
        <f t="shared" si="24"/>
        <v>31.500000000000004</v>
      </c>
      <c r="J142" s="45">
        <f t="shared" si="21"/>
        <v>1.75</v>
      </c>
      <c r="K142" s="45">
        <v>24</v>
      </c>
      <c r="L142" s="72">
        <f t="shared" si="25"/>
        <v>1.5</v>
      </c>
      <c r="M142" s="72">
        <f t="shared" si="26"/>
        <v>2.100000000000005</v>
      </c>
      <c r="N142" s="8">
        <f t="shared" si="22"/>
        <v>5.350000000000005</v>
      </c>
      <c r="O142" s="8">
        <v>3.75</v>
      </c>
      <c r="P142" s="8">
        <v>1.296</v>
      </c>
      <c r="Q142" s="8">
        <f>31*16</f>
        <v>496</v>
      </c>
      <c r="R142" s="40">
        <f t="shared" si="27"/>
        <v>12.896496000000012</v>
      </c>
    </row>
    <row r="143" spans="5:19" ht="14" x14ac:dyDescent="0.25">
      <c r="E143" s="2" t="s">
        <v>13</v>
      </c>
      <c r="F143" s="71">
        <v>34.1</v>
      </c>
      <c r="G143" s="71">
        <v>8</v>
      </c>
      <c r="H143" s="71">
        <f t="shared" si="23"/>
        <v>4</v>
      </c>
      <c r="I143" s="71">
        <f t="shared" si="24"/>
        <v>30.1</v>
      </c>
      <c r="J143" s="45">
        <f t="shared" si="21"/>
        <v>1.75</v>
      </c>
      <c r="K143" s="45">
        <v>24</v>
      </c>
      <c r="L143" s="72">
        <f t="shared" si="25"/>
        <v>1.5</v>
      </c>
      <c r="M143" s="72">
        <f t="shared" si="26"/>
        <v>0.70000000000000284</v>
      </c>
      <c r="N143" s="8">
        <f t="shared" si="22"/>
        <v>3.9500000000000028</v>
      </c>
      <c r="O143" s="8">
        <v>3.75</v>
      </c>
      <c r="P143" s="8">
        <v>1.296</v>
      </c>
      <c r="Q143" s="8">
        <f>30*16</f>
        <v>480</v>
      </c>
      <c r="R143" s="40">
        <f t="shared" si="27"/>
        <v>9.2145600000000076</v>
      </c>
    </row>
    <row r="144" spans="5:19" ht="14" x14ac:dyDescent="0.25">
      <c r="E144" s="2" t="s">
        <v>24</v>
      </c>
      <c r="F144" s="41">
        <v>33.200000000000003</v>
      </c>
      <c r="G144" s="98">
        <v>7.8</v>
      </c>
      <c r="H144" s="71">
        <f t="shared" si="23"/>
        <v>3.9</v>
      </c>
      <c r="I144" s="71">
        <f t="shared" si="24"/>
        <v>29.300000000000004</v>
      </c>
      <c r="J144" s="45">
        <f t="shared" si="21"/>
        <v>1.75</v>
      </c>
      <c r="K144" s="45">
        <v>24</v>
      </c>
      <c r="L144" s="72">
        <f t="shared" si="25"/>
        <v>1.5</v>
      </c>
      <c r="M144" s="72">
        <f t="shared" si="26"/>
        <v>-9.9999999999994316E-2</v>
      </c>
      <c r="N144" s="8">
        <f t="shared" si="22"/>
        <v>3.1500000000000057</v>
      </c>
      <c r="O144" s="8">
        <v>3.75</v>
      </c>
      <c r="P144" s="8">
        <v>1.296</v>
      </c>
      <c r="Q144" s="8">
        <f>31*16</f>
        <v>496</v>
      </c>
      <c r="R144" s="40">
        <f t="shared" si="27"/>
        <v>7.5932640000000138</v>
      </c>
    </row>
    <row r="145" spans="5:19" ht="14" x14ac:dyDescent="0.25">
      <c r="E145" s="2" t="s">
        <v>19</v>
      </c>
      <c r="F145" s="41">
        <v>33.200000000000003</v>
      </c>
      <c r="G145" s="98">
        <v>7.6</v>
      </c>
      <c r="H145" s="71">
        <f t="shared" si="23"/>
        <v>3.8</v>
      </c>
      <c r="I145" s="71">
        <f t="shared" si="24"/>
        <v>29.400000000000002</v>
      </c>
      <c r="J145" s="45">
        <f t="shared" si="21"/>
        <v>1.75</v>
      </c>
      <c r="K145" s="45">
        <v>24</v>
      </c>
      <c r="L145" s="72">
        <f t="shared" si="25"/>
        <v>1.5</v>
      </c>
      <c r="M145" s="72">
        <f t="shared" si="26"/>
        <v>0</v>
      </c>
      <c r="N145" s="8">
        <f t="shared" si="22"/>
        <v>3.25</v>
      </c>
      <c r="O145" s="8">
        <v>3.75</v>
      </c>
      <c r="P145" s="8">
        <v>1.296</v>
      </c>
      <c r="Q145" s="8">
        <f>31*16</f>
        <v>496</v>
      </c>
      <c r="R145" s="40">
        <f t="shared" si="27"/>
        <v>7.83432</v>
      </c>
    </row>
    <row r="146" spans="5:19" ht="14" x14ac:dyDescent="0.25">
      <c r="E146" s="2" t="s">
        <v>20</v>
      </c>
      <c r="F146" s="41">
        <v>33.1</v>
      </c>
      <c r="G146" s="98">
        <v>7.5</v>
      </c>
      <c r="H146" s="71">
        <f t="shared" si="23"/>
        <v>3.75</v>
      </c>
      <c r="I146" s="71">
        <f t="shared" si="24"/>
        <v>29.35</v>
      </c>
      <c r="J146" s="45">
        <f t="shared" si="21"/>
        <v>1.75</v>
      </c>
      <c r="K146" s="45">
        <v>24</v>
      </c>
      <c r="L146" s="72">
        <f t="shared" si="25"/>
        <v>1.5</v>
      </c>
      <c r="M146" s="72">
        <f t="shared" si="26"/>
        <v>-4.9999999999997158E-2</v>
      </c>
      <c r="N146" s="8">
        <f t="shared" si="22"/>
        <v>3.2000000000000028</v>
      </c>
      <c r="O146" s="8">
        <v>3.75</v>
      </c>
      <c r="P146" s="8">
        <v>1.296</v>
      </c>
      <c r="Q146" s="8">
        <f>30*16</f>
        <v>480</v>
      </c>
      <c r="R146" s="40">
        <f t="shared" si="27"/>
        <v>7.4649600000000067</v>
      </c>
    </row>
    <row r="147" spans="5:19" ht="14" x14ac:dyDescent="0.25">
      <c r="E147" s="2" t="s">
        <v>21</v>
      </c>
      <c r="F147" s="41">
        <v>32.9</v>
      </c>
      <c r="G147" s="98">
        <v>7.7</v>
      </c>
      <c r="H147" s="71">
        <f t="shared" si="23"/>
        <v>3.85</v>
      </c>
      <c r="I147" s="71">
        <f t="shared" si="24"/>
        <v>29.049999999999997</v>
      </c>
      <c r="J147" s="45">
        <f t="shared" si="21"/>
        <v>1.75</v>
      </c>
      <c r="K147" s="45">
        <v>24</v>
      </c>
      <c r="L147" s="72">
        <f t="shared" si="25"/>
        <v>1.5</v>
      </c>
      <c r="M147" s="72">
        <f t="shared" si="26"/>
        <v>-0.35000000000000142</v>
      </c>
      <c r="N147" s="8">
        <f t="shared" si="22"/>
        <v>2.8999999999999986</v>
      </c>
      <c r="O147" s="8">
        <v>3.75</v>
      </c>
      <c r="P147" s="8">
        <v>1.296</v>
      </c>
      <c r="Q147" s="8">
        <f>31*16</f>
        <v>496</v>
      </c>
      <c r="R147" s="40">
        <f t="shared" si="27"/>
        <v>6.9906239999999968</v>
      </c>
    </row>
    <row r="148" spans="5:19" ht="14" x14ac:dyDescent="0.25">
      <c r="E148" s="2" t="s">
        <v>22</v>
      </c>
      <c r="F148" s="41">
        <v>33</v>
      </c>
      <c r="G148" s="98">
        <v>8.1999999999999993</v>
      </c>
      <c r="H148" s="71">
        <f t="shared" si="23"/>
        <v>4.0999999999999996</v>
      </c>
      <c r="I148" s="71">
        <f t="shared" si="24"/>
        <v>28.9</v>
      </c>
      <c r="J148" s="45">
        <f t="shared" si="21"/>
        <v>1.75</v>
      </c>
      <c r="K148" s="45">
        <v>24</v>
      </c>
      <c r="L148" s="72">
        <f t="shared" si="25"/>
        <v>1.5</v>
      </c>
      <c r="M148" s="72">
        <f t="shared" si="26"/>
        <v>-0.5</v>
      </c>
      <c r="N148" s="8">
        <f t="shared" si="22"/>
        <v>2.75</v>
      </c>
      <c r="O148" s="8">
        <v>3.75</v>
      </c>
      <c r="P148" s="8">
        <v>1.296</v>
      </c>
      <c r="Q148" s="8">
        <f>30*16</f>
        <v>480</v>
      </c>
      <c r="R148" s="40">
        <f t="shared" si="27"/>
        <v>6.4151999999999996</v>
      </c>
    </row>
    <row r="149" spans="5:19" ht="14" x14ac:dyDescent="0.25">
      <c r="E149" s="2" t="s">
        <v>23</v>
      </c>
      <c r="F149" s="41">
        <v>32.9</v>
      </c>
      <c r="G149" s="98">
        <v>8.8000000000000007</v>
      </c>
      <c r="H149" s="71">
        <f t="shared" si="23"/>
        <v>4.4000000000000004</v>
      </c>
      <c r="I149" s="71">
        <f t="shared" si="24"/>
        <v>28.5</v>
      </c>
      <c r="J149" s="45">
        <f t="shared" si="21"/>
        <v>1.75</v>
      </c>
      <c r="K149" s="45">
        <v>24</v>
      </c>
      <c r="L149" s="72">
        <f t="shared" si="25"/>
        <v>1.5</v>
      </c>
      <c r="M149" s="72">
        <f t="shared" si="26"/>
        <v>-0.89999999999999858</v>
      </c>
      <c r="N149" s="8">
        <f t="shared" si="22"/>
        <v>2.3500000000000014</v>
      </c>
      <c r="O149" s="8">
        <v>3.75</v>
      </c>
      <c r="P149" s="8">
        <v>1.296</v>
      </c>
      <c r="Q149" s="8">
        <f>31*16</f>
        <v>496</v>
      </c>
      <c r="R149" s="108">
        <f t="shared" si="27"/>
        <v>5.6648160000000036</v>
      </c>
      <c r="S149" s="109"/>
    </row>
    <row r="150" spans="5:19" ht="15" x14ac:dyDescent="0.25">
      <c r="E150" s="417" t="s">
        <v>60</v>
      </c>
      <c r="F150" s="418"/>
      <c r="G150" s="418"/>
      <c r="H150" s="418"/>
      <c r="I150" s="418"/>
      <c r="J150" s="418"/>
      <c r="K150" s="418"/>
      <c r="L150" s="418"/>
      <c r="M150" s="418"/>
      <c r="N150" s="418"/>
      <c r="O150" s="418"/>
      <c r="P150" s="418"/>
      <c r="Q150" s="419"/>
      <c r="R150" s="107">
        <f>SUM(R138:R149)</f>
        <v>97.367184000000051</v>
      </c>
      <c r="S150" s="105"/>
    </row>
    <row r="151" spans="5:19" ht="15" x14ac:dyDescent="0.4">
      <c r="E151" s="413" t="s">
        <v>73</v>
      </c>
      <c r="F151" s="414"/>
      <c r="G151" s="414"/>
      <c r="H151" s="414"/>
      <c r="I151" s="414"/>
      <c r="J151" s="414"/>
      <c r="K151" s="414"/>
      <c r="L151" s="414"/>
      <c r="M151" s="414"/>
      <c r="N151" s="414"/>
      <c r="O151" s="414"/>
      <c r="P151" s="414"/>
      <c r="Q151" s="414"/>
      <c r="R151" s="414"/>
      <c r="S151" s="104"/>
    </row>
    <row r="152" spans="5:19" ht="14" x14ac:dyDescent="0.25">
      <c r="E152" s="2" t="s">
        <v>15</v>
      </c>
      <c r="F152" s="71">
        <v>33.1</v>
      </c>
      <c r="G152" s="71">
        <v>9.6</v>
      </c>
      <c r="H152" s="41">
        <f>G152/2</f>
        <v>4.8</v>
      </c>
      <c r="I152" s="71">
        <f>F152-H152</f>
        <v>28.3</v>
      </c>
      <c r="J152" s="8">
        <f t="shared" ref="J152:J163" si="28">C$126</f>
        <v>1.75</v>
      </c>
      <c r="K152" s="8">
        <v>25</v>
      </c>
      <c r="L152" s="8">
        <f>25.5-K152</f>
        <v>0.5</v>
      </c>
      <c r="M152" s="8">
        <f t="shared" ref="M152:M163" si="29">I152-29.4</f>
        <v>-1.0999999999999979</v>
      </c>
      <c r="N152" s="8">
        <f t="shared" ref="N152:N163" si="30">J152+L152+M152</f>
        <v>1.1500000000000021</v>
      </c>
      <c r="O152" s="8">
        <v>3.75</v>
      </c>
      <c r="P152" s="8">
        <v>1.296</v>
      </c>
      <c r="Q152" s="8">
        <f>31*16</f>
        <v>496</v>
      </c>
      <c r="R152" s="108">
        <f t="shared" ref="R152:R163" si="31">(N152*O152*P152*Q152)/1000</f>
        <v>2.7721440000000053</v>
      </c>
      <c r="S152" s="109"/>
    </row>
    <row r="153" spans="5:19" ht="14" x14ac:dyDescent="0.25">
      <c r="E153" s="2" t="s">
        <v>16</v>
      </c>
      <c r="F153" s="71">
        <v>34</v>
      </c>
      <c r="G153" s="71">
        <v>10</v>
      </c>
      <c r="H153" s="41">
        <f t="shared" ref="H153:H163" si="32">G153/2</f>
        <v>5</v>
      </c>
      <c r="I153" s="71">
        <f t="shared" ref="I153:I163" si="33">F153-H153</f>
        <v>29</v>
      </c>
      <c r="J153" s="8">
        <f t="shared" si="28"/>
        <v>1.75</v>
      </c>
      <c r="K153" s="8">
        <v>25</v>
      </c>
      <c r="L153" s="8">
        <f t="shared" ref="L153:L163" si="34">25.5-K153</f>
        <v>0.5</v>
      </c>
      <c r="M153" s="8">
        <f t="shared" si="29"/>
        <v>-0.39999999999999858</v>
      </c>
      <c r="N153" s="8">
        <f t="shared" si="30"/>
        <v>1.8500000000000014</v>
      </c>
      <c r="O153" s="8">
        <v>3.75</v>
      </c>
      <c r="P153" s="8">
        <v>1.296</v>
      </c>
      <c r="Q153" s="8">
        <f>28*16</f>
        <v>448</v>
      </c>
      <c r="R153" s="108">
        <f t="shared" si="31"/>
        <v>4.0279680000000031</v>
      </c>
      <c r="S153" s="109"/>
    </row>
    <row r="154" spans="5:19" ht="14" x14ac:dyDescent="0.25">
      <c r="E154" s="2" t="s">
        <v>17</v>
      </c>
      <c r="F154" s="71">
        <v>35</v>
      </c>
      <c r="G154" s="71">
        <v>9.3000000000000007</v>
      </c>
      <c r="H154" s="41">
        <f t="shared" si="32"/>
        <v>4.6500000000000004</v>
      </c>
      <c r="I154" s="71">
        <f t="shared" si="33"/>
        <v>30.35</v>
      </c>
      <c r="J154" s="8">
        <f t="shared" si="28"/>
        <v>1.75</v>
      </c>
      <c r="K154" s="8">
        <v>25</v>
      </c>
      <c r="L154" s="8">
        <f t="shared" si="34"/>
        <v>0.5</v>
      </c>
      <c r="M154" s="8">
        <f t="shared" si="29"/>
        <v>0.95000000000000284</v>
      </c>
      <c r="N154" s="8">
        <f t="shared" si="30"/>
        <v>3.2000000000000028</v>
      </c>
      <c r="O154" s="8">
        <v>3.75</v>
      </c>
      <c r="P154" s="8">
        <v>1.296</v>
      </c>
      <c r="Q154" s="8">
        <f>31*16</f>
        <v>496</v>
      </c>
      <c r="R154" s="108">
        <f t="shared" si="31"/>
        <v>7.7137920000000069</v>
      </c>
      <c r="S154" s="109"/>
    </row>
    <row r="155" spans="5:19" ht="14" x14ac:dyDescent="0.25">
      <c r="E155" s="2" t="s">
        <v>18</v>
      </c>
      <c r="F155" s="71">
        <v>35.5</v>
      </c>
      <c r="G155" s="71">
        <v>8.6</v>
      </c>
      <c r="H155" s="41">
        <f t="shared" si="32"/>
        <v>4.3</v>
      </c>
      <c r="I155" s="71">
        <f t="shared" si="33"/>
        <v>31.2</v>
      </c>
      <c r="J155" s="8">
        <f t="shared" si="28"/>
        <v>1.75</v>
      </c>
      <c r="K155" s="8">
        <v>25</v>
      </c>
      <c r="L155" s="8">
        <f t="shared" si="34"/>
        <v>0.5</v>
      </c>
      <c r="M155" s="8">
        <f t="shared" si="29"/>
        <v>1.8000000000000007</v>
      </c>
      <c r="N155" s="8">
        <f t="shared" si="30"/>
        <v>4.0500000000000007</v>
      </c>
      <c r="O155" s="8">
        <v>3.75</v>
      </c>
      <c r="P155" s="8">
        <v>1.296</v>
      </c>
      <c r="Q155" s="8">
        <f>30*16</f>
        <v>480</v>
      </c>
      <c r="R155" s="108">
        <f t="shared" si="31"/>
        <v>9.4478400000000029</v>
      </c>
      <c r="S155" s="109"/>
    </row>
    <row r="156" spans="5:19" ht="14" x14ac:dyDescent="0.25">
      <c r="E156" s="2" t="s">
        <v>12</v>
      </c>
      <c r="F156" s="71">
        <v>35.700000000000003</v>
      </c>
      <c r="G156" s="71">
        <v>8.4</v>
      </c>
      <c r="H156" s="41">
        <f t="shared" si="32"/>
        <v>4.2</v>
      </c>
      <c r="I156" s="71">
        <f t="shared" si="33"/>
        <v>31.500000000000004</v>
      </c>
      <c r="J156" s="8">
        <f t="shared" si="28"/>
        <v>1.75</v>
      </c>
      <c r="K156" s="8">
        <v>25</v>
      </c>
      <c r="L156" s="8">
        <f t="shared" si="34"/>
        <v>0.5</v>
      </c>
      <c r="M156" s="8">
        <f t="shared" si="29"/>
        <v>2.100000000000005</v>
      </c>
      <c r="N156" s="8">
        <f t="shared" si="30"/>
        <v>4.350000000000005</v>
      </c>
      <c r="O156" s="8">
        <v>3.75</v>
      </c>
      <c r="P156" s="8">
        <v>1.296</v>
      </c>
      <c r="Q156" s="8">
        <f>31*16</f>
        <v>496</v>
      </c>
      <c r="R156" s="108">
        <f t="shared" si="31"/>
        <v>10.485936000000011</v>
      </c>
      <c r="S156" s="109"/>
    </row>
    <row r="157" spans="5:19" ht="14" x14ac:dyDescent="0.25">
      <c r="E157" s="2" t="s">
        <v>13</v>
      </c>
      <c r="F157" s="71">
        <v>34.1</v>
      </c>
      <c r="G157" s="71">
        <v>8</v>
      </c>
      <c r="H157" s="41">
        <f t="shared" si="32"/>
        <v>4</v>
      </c>
      <c r="I157" s="71">
        <f t="shared" si="33"/>
        <v>30.1</v>
      </c>
      <c r="J157" s="8">
        <f t="shared" si="28"/>
        <v>1.75</v>
      </c>
      <c r="K157" s="8">
        <v>25</v>
      </c>
      <c r="L157" s="8">
        <f t="shared" si="34"/>
        <v>0.5</v>
      </c>
      <c r="M157" s="8">
        <f t="shared" si="29"/>
        <v>0.70000000000000284</v>
      </c>
      <c r="N157" s="8">
        <f t="shared" si="30"/>
        <v>2.9500000000000028</v>
      </c>
      <c r="O157" s="8">
        <v>3.75</v>
      </c>
      <c r="P157" s="8">
        <v>1.296</v>
      </c>
      <c r="Q157" s="8">
        <f>30*16</f>
        <v>480</v>
      </c>
      <c r="R157" s="108">
        <f t="shared" si="31"/>
        <v>6.881760000000007</v>
      </c>
      <c r="S157" s="109"/>
    </row>
    <row r="158" spans="5:19" ht="14" x14ac:dyDescent="0.25">
      <c r="E158" s="2" t="s">
        <v>24</v>
      </c>
      <c r="F158" s="41">
        <v>33.200000000000003</v>
      </c>
      <c r="G158" s="98">
        <v>7.8</v>
      </c>
      <c r="H158" s="41">
        <f t="shared" si="32"/>
        <v>3.9</v>
      </c>
      <c r="I158" s="71">
        <f t="shared" si="33"/>
        <v>29.300000000000004</v>
      </c>
      <c r="J158" s="8">
        <f t="shared" si="28"/>
        <v>1.75</v>
      </c>
      <c r="K158" s="8">
        <v>25</v>
      </c>
      <c r="L158" s="8">
        <f t="shared" si="34"/>
        <v>0.5</v>
      </c>
      <c r="M158" s="8">
        <f t="shared" si="29"/>
        <v>-9.9999999999994316E-2</v>
      </c>
      <c r="N158" s="8">
        <f t="shared" si="30"/>
        <v>2.1500000000000057</v>
      </c>
      <c r="O158" s="8">
        <v>3.75</v>
      </c>
      <c r="P158" s="8">
        <v>1.296</v>
      </c>
      <c r="Q158" s="8">
        <f>31*16</f>
        <v>496</v>
      </c>
      <c r="R158" s="108">
        <f t="shared" si="31"/>
        <v>5.1827040000000144</v>
      </c>
      <c r="S158" s="109"/>
    </row>
    <row r="159" spans="5:19" ht="14" x14ac:dyDescent="0.25">
      <c r="E159" s="2" t="s">
        <v>19</v>
      </c>
      <c r="F159" s="41">
        <v>33.200000000000003</v>
      </c>
      <c r="G159" s="98">
        <v>7.6</v>
      </c>
      <c r="H159" s="41">
        <f t="shared" si="32"/>
        <v>3.8</v>
      </c>
      <c r="I159" s="71">
        <f t="shared" si="33"/>
        <v>29.400000000000002</v>
      </c>
      <c r="J159" s="8">
        <f t="shared" si="28"/>
        <v>1.75</v>
      </c>
      <c r="K159" s="8">
        <v>25</v>
      </c>
      <c r="L159" s="8">
        <f t="shared" si="34"/>
        <v>0.5</v>
      </c>
      <c r="M159" s="8">
        <f t="shared" si="29"/>
        <v>0</v>
      </c>
      <c r="N159" s="8">
        <f t="shared" si="30"/>
        <v>2.25</v>
      </c>
      <c r="O159" s="8">
        <v>3.75</v>
      </c>
      <c r="P159" s="8">
        <v>1.296</v>
      </c>
      <c r="Q159" s="8">
        <f>31*16</f>
        <v>496</v>
      </c>
      <c r="R159" s="108">
        <f t="shared" si="31"/>
        <v>5.4237600000000006</v>
      </c>
      <c r="S159" s="109"/>
    </row>
    <row r="160" spans="5:19" ht="14" x14ac:dyDescent="0.25">
      <c r="E160" s="2" t="s">
        <v>20</v>
      </c>
      <c r="F160" s="41">
        <v>33.1</v>
      </c>
      <c r="G160" s="98">
        <v>7.5</v>
      </c>
      <c r="H160" s="41">
        <f t="shared" si="32"/>
        <v>3.75</v>
      </c>
      <c r="I160" s="71">
        <f t="shared" si="33"/>
        <v>29.35</v>
      </c>
      <c r="J160" s="8">
        <f t="shared" si="28"/>
        <v>1.75</v>
      </c>
      <c r="K160" s="8">
        <v>25</v>
      </c>
      <c r="L160" s="8">
        <f t="shared" si="34"/>
        <v>0.5</v>
      </c>
      <c r="M160" s="8">
        <f t="shared" si="29"/>
        <v>-4.9999999999997158E-2</v>
      </c>
      <c r="N160" s="8">
        <f t="shared" si="30"/>
        <v>2.2000000000000028</v>
      </c>
      <c r="O160" s="8">
        <v>3.75</v>
      </c>
      <c r="P160" s="8">
        <v>1.296</v>
      </c>
      <c r="Q160" s="8">
        <f>30*16</f>
        <v>480</v>
      </c>
      <c r="R160" s="108">
        <f t="shared" si="31"/>
        <v>5.1321600000000069</v>
      </c>
      <c r="S160" s="109"/>
    </row>
    <row r="161" spans="5:19" ht="14" x14ac:dyDescent="0.25">
      <c r="E161" s="2" t="s">
        <v>21</v>
      </c>
      <c r="F161" s="41">
        <v>32.9</v>
      </c>
      <c r="G161" s="98">
        <v>7.7</v>
      </c>
      <c r="H161" s="41">
        <f t="shared" si="32"/>
        <v>3.85</v>
      </c>
      <c r="I161" s="71">
        <f t="shared" si="33"/>
        <v>29.049999999999997</v>
      </c>
      <c r="J161" s="8">
        <f t="shared" si="28"/>
        <v>1.75</v>
      </c>
      <c r="K161" s="8">
        <v>25</v>
      </c>
      <c r="L161" s="8">
        <f t="shared" si="34"/>
        <v>0.5</v>
      </c>
      <c r="M161" s="8">
        <f t="shared" si="29"/>
        <v>-0.35000000000000142</v>
      </c>
      <c r="N161" s="8">
        <f t="shared" si="30"/>
        <v>1.8999999999999986</v>
      </c>
      <c r="O161" s="8">
        <v>3.75</v>
      </c>
      <c r="P161" s="8">
        <v>1.296</v>
      </c>
      <c r="Q161" s="8">
        <f>31*16</f>
        <v>496</v>
      </c>
      <c r="R161" s="108">
        <f t="shared" si="31"/>
        <v>4.5800639999999966</v>
      </c>
      <c r="S161" s="109"/>
    </row>
    <row r="162" spans="5:19" ht="14" x14ac:dyDescent="0.25">
      <c r="E162" s="2" t="s">
        <v>22</v>
      </c>
      <c r="F162" s="41">
        <v>33</v>
      </c>
      <c r="G162" s="98">
        <v>8.1999999999999993</v>
      </c>
      <c r="H162" s="41">
        <f t="shared" si="32"/>
        <v>4.0999999999999996</v>
      </c>
      <c r="I162" s="71">
        <f t="shared" si="33"/>
        <v>28.9</v>
      </c>
      <c r="J162" s="8">
        <f t="shared" si="28"/>
        <v>1.75</v>
      </c>
      <c r="K162" s="8">
        <v>25</v>
      </c>
      <c r="L162" s="8">
        <f t="shared" si="34"/>
        <v>0.5</v>
      </c>
      <c r="M162" s="8">
        <f t="shared" si="29"/>
        <v>-0.5</v>
      </c>
      <c r="N162" s="8">
        <f t="shared" si="30"/>
        <v>1.75</v>
      </c>
      <c r="O162" s="8">
        <v>3.75</v>
      </c>
      <c r="P162" s="8">
        <v>1.296</v>
      </c>
      <c r="Q162" s="8">
        <f>30*16</f>
        <v>480</v>
      </c>
      <c r="R162" s="108">
        <f t="shared" si="31"/>
        <v>4.0824000000000007</v>
      </c>
      <c r="S162" s="109"/>
    </row>
    <row r="163" spans="5:19" ht="14" x14ac:dyDescent="0.25">
      <c r="E163" s="2" t="s">
        <v>23</v>
      </c>
      <c r="F163" s="41">
        <v>32.9</v>
      </c>
      <c r="G163" s="98">
        <v>8.8000000000000007</v>
      </c>
      <c r="H163" s="41">
        <f t="shared" si="32"/>
        <v>4.4000000000000004</v>
      </c>
      <c r="I163" s="71">
        <f t="shared" si="33"/>
        <v>28.5</v>
      </c>
      <c r="J163" s="8">
        <f t="shared" si="28"/>
        <v>1.75</v>
      </c>
      <c r="K163" s="8">
        <v>25</v>
      </c>
      <c r="L163" s="8">
        <f t="shared" si="34"/>
        <v>0.5</v>
      </c>
      <c r="M163" s="8">
        <f t="shared" si="29"/>
        <v>-0.89999999999999858</v>
      </c>
      <c r="N163" s="8">
        <f t="shared" si="30"/>
        <v>1.3500000000000014</v>
      </c>
      <c r="O163" s="8">
        <v>3.75</v>
      </c>
      <c r="P163" s="8">
        <v>1.296</v>
      </c>
      <c r="Q163" s="8">
        <f>31*16</f>
        <v>496</v>
      </c>
      <c r="R163" s="108">
        <f t="shared" si="31"/>
        <v>3.2542560000000034</v>
      </c>
      <c r="S163" s="109"/>
    </row>
    <row r="164" spans="5:19" ht="15" x14ac:dyDescent="0.25">
      <c r="E164" s="417" t="s">
        <v>61</v>
      </c>
      <c r="F164" s="418"/>
      <c r="G164" s="418"/>
      <c r="H164" s="418"/>
      <c r="I164" s="418"/>
      <c r="J164" s="418"/>
      <c r="K164" s="418"/>
      <c r="L164" s="418"/>
      <c r="M164" s="418"/>
      <c r="N164" s="418"/>
      <c r="O164" s="418"/>
      <c r="P164" s="418"/>
      <c r="Q164" s="419"/>
      <c r="R164" s="107">
        <f>SUM(R152:R163)</f>
        <v>68.984784000000062</v>
      </c>
      <c r="S164" s="105"/>
    </row>
    <row r="165" spans="5:19" ht="15" x14ac:dyDescent="0.4">
      <c r="E165" s="413" t="s">
        <v>74</v>
      </c>
      <c r="F165" s="414"/>
      <c r="G165" s="414"/>
      <c r="H165" s="414"/>
      <c r="I165" s="414"/>
      <c r="J165" s="414"/>
      <c r="K165" s="414"/>
      <c r="L165" s="414"/>
      <c r="M165" s="414"/>
      <c r="N165" s="414"/>
      <c r="O165" s="414"/>
      <c r="P165" s="414"/>
      <c r="Q165" s="414"/>
      <c r="R165" s="414"/>
      <c r="S165" s="104"/>
    </row>
    <row r="166" spans="5:19" ht="14" x14ac:dyDescent="0.25">
      <c r="E166" s="2" t="s">
        <v>15</v>
      </c>
      <c r="F166" s="71">
        <v>33.1</v>
      </c>
      <c r="G166" s="71">
        <v>9.6</v>
      </c>
      <c r="H166" s="41">
        <f>G166/2</f>
        <v>4.8</v>
      </c>
      <c r="I166" s="71">
        <f>F166-H166</f>
        <v>28.3</v>
      </c>
      <c r="J166" s="5">
        <f t="shared" ref="J166:J177" si="35">C$126</f>
        <v>1.75</v>
      </c>
      <c r="K166" s="5">
        <v>26</v>
      </c>
      <c r="L166" s="5">
        <f>25.5-K166</f>
        <v>-0.5</v>
      </c>
      <c r="M166" s="8">
        <f t="shared" ref="M166:M177" si="36">I166-29.4</f>
        <v>-1.0999999999999979</v>
      </c>
      <c r="N166" s="8">
        <f t="shared" ref="N166:N177" si="37">J166+L166+M166</f>
        <v>0.15000000000000213</v>
      </c>
      <c r="O166" s="8">
        <v>3.75</v>
      </c>
      <c r="P166" s="8">
        <v>1.296</v>
      </c>
      <c r="Q166" s="8">
        <f>31*16</f>
        <v>496</v>
      </c>
      <c r="R166" s="108">
        <f t="shared" ref="R166:R177" si="38">(N166*O166*P166*Q166)/1000</f>
        <v>0.36158400000000518</v>
      </c>
      <c r="S166" s="109"/>
    </row>
    <row r="167" spans="5:19" ht="14" x14ac:dyDescent="0.25">
      <c r="E167" s="2" t="s">
        <v>16</v>
      </c>
      <c r="F167" s="71">
        <v>34</v>
      </c>
      <c r="G167" s="71">
        <v>10</v>
      </c>
      <c r="H167" s="41">
        <f t="shared" ref="H167:H177" si="39">G167/2</f>
        <v>5</v>
      </c>
      <c r="I167" s="71">
        <f t="shared" ref="I167:I177" si="40">F167-H167</f>
        <v>29</v>
      </c>
      <c r="J167" s="5">
        <f t="shared" si="35"/>
        <v>1.75</v>
      </c>
      <c r="K167" s="5">
        <v>26</v>
      </c>
      <c r="L167" s="5">
        <f t="shared" ref="L167:L177" si="41">25.5-K167</f>
        <v>-0.5</v>
      </c>
      <c r="M167" s="8">
        <f t="shared" si="36"/>
        <v>-0.39999999999999858</v>
      </c>
      <c r="N167" s="8">
        <f t="shared" si="37"/>
        <v>0.85000000000000142</v>
      </c>
      <c r="O167" s="8">
        <v>3.75</v>
      </c>
      <c r="P167" s="8">
        <v>1.296</v>
      </c>
      <c r="Q167" s="8">
        <f>28*16</f>
        <v>448</v>
      </c>
      <c r="R167" s="108">
        <f t="shared" si="38"/>
        <v>1.8506880000000032</v>
      </c>
      <c r="S167" s="109"/>
    </row>
    <row r="168" spans="5:19" ht="14" x14ac:dyDescent="0.25">
      <c r="E168" s="2" t="s">
        <v>17</v>
      </c>
      <c r="F168" s="71">
        <v>35</v>
      </c>
      <c r="G168" s="71">
        <v>9.3000000000000007</v>
      </c>
      <c r="H168" s="41">
        <f t="shared" si="39"/>
        <v>4.6500000000000004</v>
      </c>
      <c r="I168" s="71">
        <f t="shared" si="40"/>
        <v>30.35</v>
      </c>
      <c r="J168" s="5">
        <f t="shared" si="35"/>
        <v>1.75</v>
      </c>
      <c r="K168" s="5">
        <v>26</v>
      </c>
      <c r="L168" s="5">
        <f t="shared" si="41"/>
        <v>-0.5</v>
      </c>
      <c r="M168" s="8">
        <f t="shared" si="36"/>
        <v>0.95000000000000284</v>
      </c>
      <c r="N168" s="8">
        <f t="shared" si="37"/>
        <v>2.2000000000000028</v>
      </c>
      <c r="O168" s="8">
        <v>3.75</v>
      </c>
      <c r="P168" s="8">
        <v>1.296</v>
      </c>
      <c r="Q168" s="8">
        <f>31*16</f>
        <v>496</v>
      </c>
      <c r="R168" s="108">
        <f t="shared" si="38"/>
        <v>5.3032320000000075</v>
      </c>
      <c r="S168" s="109"/>
    </row>
    <row r="169" spans="5:19" ht="14" x14ac:dyDescent="0.25">
      <c r="E169" s="2" t="s">
        <v>18</v>
      </c>
      <c r="F169" s="71">
        <v>35.5</v>
      </c>
      <c r="G169" s="71">
        <v>8.6</v>
      </c>
      <c r="H169" s="41">
        <f t="shared" si="39"/>
        <v>4.3</v>
      </c>
      <c r="I169" s="71">
        <f t="shared" si="40"/>
        <v>31.2</v>
      </c>
      <c r="J169" s="5">
        <f t="shared" si="35"/>
        <v>1.75</v>
      </c>
      <c r="K169" s="5">
        <v>26</v>
      </c>
      <c r="L169" s="5">
        <f t="shared" si="41"/>
        <v>-0.5</v>
      </c>
      <c r="M169" s="8">
        <f t="shared" si="36"/>
        <v>1.8000000000000007</v>
      </c>
      <c r="N169" s="8">
        <f t="shared" si="37"/>
        <v>3.0500000000000007</v>
      </c>
      <c r="O169" s="8">
        <v>3.75</v>
      </c>
      <c r="P169" s="8">
        <v>1.296</v>
      </c>
      <c r="Q169" s="8">
        <f>30*16</f>
        <v>480</v>
      </c>
      <c r="R169" s="108">
        <f t="shared" si="38"/>
        <v>7.1150400000000023</v>
      </c>
      <c r="S169" s="109"/>
    </row>
    <row r="170" spans="5:19" ht="14" x14ac:dyDescent="0.25">
      <c r="E170" s="2" t="s">
        <v>12</v>
      </c>
      <c r="F170" s="71">
        <v>35.700000000000003</v>
      </c>
      <c r="G170" s="71">
        <v>8.4</v>
      </c>
      <c r="H170" s="41">
        <f t="shared" si="39"/>
        <v>4.2</v>
      </c>
      <c r="I170" s="71">
        <f t="shared" si="40"/>
        <v>31.500000000000004</v>
      </c>
      <c r="J170" s="5">
        <f t="shared" si="35"/>
        <v>1.75</v>
      </c>
      <c r="K170" s="5">
        <v>26</v>
      </c>
      <c r="L170" s="5">
        <f t="shared" si="41"/>
        <v>-0.5</v>
      </c>
      <c r="M170" s="8">
        <f t="shared" si="36"/>
        <v>2.100000000000005</v>
      </c>
      <c r="N170" s="8">
        <f t="shared" si="37"/>
        <v>3.350000000000005</v>
      </c>
      <c r="O170" s="8">
        <v>3.75</v>
      </c>
      <c r="P170" s="8">
        <v>1.296</v>
      </c>
      <c r="Q170" s="8">
        <f>31*16</f>
        <v>496</v>
      </c>
      <c r="R170" s="108">
        <f t="shared" si="38"/>
        <v>8.0753760000000128</v>
      </c>
      <c r="S170" s="109"/>
    </row>
    <row r="171" spans="5:19" ht="14" x14ac:dyDescent="0.25">
      <c r="E171" s="2" t="s">
        <v>13</v>
      </c>
      <c r="F171" s="71">
        <v>34.1</v>
      </c>
      <c r="G171" s="71">
        <v>8</v>
      </c>
      <c r="H171" s="41">
        <f t="shared" si="39"/>
        <v>4</v>
      </c>
      <c r="I171" s="71">
        <f t="shared" si="40"/>
        <v>30.1</v>
      </c>
      <c r="J171" s="5">
        <f t="shared" si="35"/>
        <v>1.75</v>
      </c>
      <c r="K171" s="5">
        <v>26</v>
      </c>
      <c r="L171" s="5">
        <f t="shared" si="41"/>
        <v>-0.5</v>
      </c>
      <c r="M171" s="8">
        <f t="shared" si="36"/>
        <v>0.70000000000000284</v>
      </c>
      <c r="N171" s="8">
        <f t="shared" si="37"/>
        <v>1.9500000000000028</v>
      </c>
      <c r="O171" s="8">
        <v>3.75</v>
      </c>
      <c r="P171" s="8">
        <v>1.296</v>
      </c>
      <c r="Q171" s="8">
        <f>30*16</f>
        <v>480</v>
      </c>
      <c r="R171" s="108">
        <f t="shared" si="38"/>
        <v>4.5489600000000072</v>
      </c>
      <c r="S171" s="109"/>
    </row>
    <row r="172" spans="5:19" ht="14" x14ac:dyDescent="0.25">
      <c r="E172" s="2" t="s">
        <v>24</v>
      </c>
      <c r="F172" s="41">
        <v>33.200000000000003</v>
      </c>
      <c r="G172" s="98">
        <v>7.8</v>
      </c>
      <c r="H172" s="41">
        <f t="shared" si="39"/>
        <v>3.9</v>
      </c>
      <c r="I172" s="71">
        <f t="shared" si="40"/>
        <v>29.300000000000004</v>
      </c>
      <c r="J172" s="5">
        <f t="shared" si="35"/>
        <v>1.75</v>
      </c>
      <c r="K172" s="5">
        <v>26</v>
      </c>
      <c r="L172" s="5">
        <f t="shared" si="41"/>
        <v>-0.5</v>
      </c>
      <c r="M172" s="8">
        <f t="shared" si="36"/>
        <v>-9.9999999999994316E-2</v>
      </c>
      <c r="N172" s="8">
        <f t="shared" si="37"/>
        <v>1.1500000000000057</v>
      </c>
      <c r="O172" s="8">
        <v>3.75</v>
      </c>
      <c r="P172" s="8">
        <v>1.296</v>
      </c>
      <c r="Q172" s="8">
        <f>31*16</f>
        <v>496</v>
      </c>
      <c r="R172" s="108">
        <f t="shared" si="38"/>
        <v>2.7721440000000137</v>
      </c>
      <c r="S172" s="109"/>
    </row>
    <row r="173" spans="5:19" ht="14" x14ac:dyDescent="0.25">
      <c r="E173" s="2" t="s">
        <v>19</v>
      </c>
      <c r="F173" s="41">
        <v>33.200000000000003</v>
      </c>
      <c r="G173" s="98">
        <v>7.6</v>
      </c>
      <c r="H173" s="41">
        <f t="shared" si="39"/>
        <v>3.8</v>
      </c>
      <c r="I173" s="71">
        <f t="shared" si="40"/>
        <v>29.400000000000002</v>
      </c>
      <c r="J173" s="5">
        <f t="shared" si="35"/>
        <v>1.75</v>
      </c>
      <c r="K173" s="5">
        <v>26</v>
      </c>
      <c r="L173" s="5">
        <f t="shared" si="41"/>
        <v>-0.5</v>
      </c>
      <c r="M173" s="8">
        <f t="shared" si="36"/>
        <v>0</v>
      </c>
      <c r="N173" s="8">
        <f t="shared" si="37"/>
        <v>1.25</v>
      </c>
      <c r="O173" s="8">
        <v>3.75</v>
      </c>
      <c r="P173" s="8">
        <v>1.296</v>
      </c>
      <c r="Q173" s="8">
        <f>31*16</f>
        <v>496</v>
      </c>
      <c r="R173" s="108">
        <f t="shared" si="38"/>
        <v>3.0132000000000003</v>
      </c>
      <c r="S173" s="109"/>
    </row>
    <row r="174" spans="5:19" ht="14" x14ac:dyDescent="0.25">
      <c r="E174" s="2" t="s">
        <v>20</v>
      </c>
      <c r="F174" s="41">
        <v>33.1</v>
      </c>
      <c r="G174" s="98">
        <v>7.5</v>
      </c>
      <c r="H174" s="41">
        <f t="shared" si="39"/>
        <v>3.75</v>
      </c>
      <c r="I174" s="71">
        <f t="shared" si="40"/>
        <v>29.35</v>
      </c>
      <c r="J174" s="5">
        <f t="shared" si="35"/>
        <v>1.75</v>
      </c>
      <c r="K174" s="5">
        <v>26</v>
      </c>
      <c r="L174" s="5">
        <f t="shared" si="41"/>
        <v>-0.5</v>
      </c>
      <c r="M174" s="8">
        <f t="shared" si="36"/>
        <v>-4.9999999999997158E-2</v>
      </c>
      <c r="N174" s="8">
        <f t="shared" si="37"/>
        <v>1.2000000000000028</v>
      </c>
      <c r="O174" s="8">
        <v>3.75</v>
      </c>
      <c r="P174" s="8">
        <v>1.296</v>
      </c>
      <c r="Q174" s="8">
        <f>30*16</f>
        <v>480</v>
      </c>
      <c r="R174" s="108">
        <f t="shared" si="38"/>
        <v>2.7993600000000067</v>
      </c>
      <c r="S174" s="109"/>
    </row>
    <row r="175" spans="5:19" ht="14" x14ac:dyDescent="0.25">
      <c r="E175" s="2" t="s">
        <v>21</v>
      </c>
      <c r="F175" s="41">
        <v>32.9</v>
      </c>
      <c r="G175" s="98">
        <v>7.7</v>
      </c>
      <c r="H175" s="41">
        <f t="shared" si="39"/>
        <v>3.85</v>
      </c>
      <c r="I175" s="71">
        <f t="shared" si="40"/>
        <v>29.049999999999997</v>
      </c>
      <c r="J175" s="5">
        <f t="shared" si="35"/>
        <v>1.75</v>
      </c>
      <c r="K175" s="5">
        <v>26</v>
      </c>
      <c r="L175" s="5">
        <f t="shared" si="41"/>
        <v>-0.5</v>
      </c>
      <c r="M175" s="8">
        <f t="shared" si="36"/>
        <v>-0.35000000000000142</v>
      </c>
      <c r="N175" s="8">
        <f t="shared" si="37"/>
        <v>0.89999999999999858</v>
      </c>
      <c r="O175" s="8">
        <v>3.75</v>
      </c>
      <c r="P175" s="8">
        <v>1.296</v>
      </c>
      <c r="Q175" s="8">
        <f>31*16</f>
        <v>496</v>
      </c>
      <c r="R175" s="108">
        <f t="shared" si="38"/>
        <v>2.1695039999999968</v>
      </c>
      <c r="S175" s="109"/>
    </row>
    <row r="176" spans="5:19" ht="14" x14ac:dyDescent="0.25">
      <c r="E176" s="2" t="s">
        <v>22</v>
      </c>
      <c r="F176" s="41">
        <v>33</v>
      </c>
      <c r="G176" s="98">
        <v>8.1999999999999993</v>
      </c>
      <c r="H176" s="41">
        <f t="shared" si="39"/>
        <v>4.0999999999999996</v>
      </c>
      <c r="I176" s="71">
        <f t="shared" si="40"/>
        <v>28.9</v>
      </c>
      <c r="J176" s="5">
        <f t="shared" si="35"/>
        <v>1.75</v>
      </c>
      <c r="K176" s="5">
        <v>26</v>
      </c>
      <c r="L176" s="5">
        <f t="shared" si="41"/>
        <v>-0.5</v>
      </c>
      <c r="M176" s="8">
        <f t="shared" si="36"/>
        <v>-0.5</v>
      </c>
      <c r="N176" s="8">
        <f t="shared" si="37"/>
        <v>0.75</v>
      </c>
      <c r="O176" s="8">
        <v>3.75</v>
      </c>
      <c r="P176" s="8">
        <v>1.296</v>
      </c>
      <c r="Q176" s="8">
        <f>30*16</f>
        <v>480</v>
      </c>
      <c r="R176" s="108">
        <f t="shared" si="38"/>
        <v>1.7495999999999998</v>
      </c>
      <c r="S176" s="109"/>
    </row>
    <row r="177" spans="5:19" ht="14" x14ac:dyDescent="0.25">
      <c r="E177" s="2" t="s">
        <v>23</v>
      </c>
      <c r="F177" s="41">
        <v>32.9</v>
      </c>
      <c r="G177" s="98">
        <v>8.8000000000000007</v>
      </c>
      <c r="H177" s="41">
        <f t="shared" si="39"/>
        <v>4.4000000000000004</v>
      </c>
      <c r="I177" s="71">
        <f t="shared" si="40"/>
        <v>28.5</v>
      </c>
      <c r="J177" s="5">
        <f t="shared" si="35"/>
        <v>1.75</v>
      </c>
      <c r="K177" s="5">
        <v>26</v>
      </c>
      <c r="L177" s="5">
        <f t="shared" si="41"/>
        <v>-0.5</v>
      </c>
      <c r="M177" s="8">
        <f t="shared" si="36"/>
        <v>-0.89999999999999858</v>
      </c>
      <c r="N177" s="8">
        <f t="shared" si="37"/>
        <v>0.35000000000000142</v>
      </c>
      <c r="O177" s="8">
        <v>3.75</v>
      </c>
      <c r="P177" s="8">
        <v>1.296</v>
      </c>
      <c r="Q177" s="8">
        <f>31*16</f>
        <v>496</v>
      </c>
      <c r="R177" s="108">
        <f t="shared" si="38"/>
        <v>0.84369600000000344</v>
      </c>
      <c r="S177" s="109"/>
    </row>
    <row r="178" spans="5:19" ht="15" x14ac:dyDescent="0.25">
      <c r="E178" s="417" t="s">
        <v>61</v>
      </c>
      <c r="F178" s="418"/>
      <c r="G178" s="418"/>
      <c r="H178" s="418"/>
      <c r="I178" s="418"/>
      <c r="J178" s="418"/>
      <c r="K178" s="418"/>
      <c r="L178" s="418"/>
      <c r="M178" s="418"/>
      <c r="N178" s="418"/>
      <c r="O178" s="418"/>
      <c r="P178" s="418"/>
      <c r="Q178" s="419"/>
      <c r="R178" s="107">
        <f>SUM(R166:R177)</f>
        <v>40.602384000000058</v>
      </c>
      <c r="S178" s="105"/>
    </row>
    <row r="179" spans="5:19" ht="15" x14ac:dyDescent="0.4">
      <c r="E179" s="413" t="s">
        <v>75</v>
      </c>
      <c r="F179" s="414"/>
      <c r="G179" s="414"/>
      <c r="H179" s="414"/>
      <c r="I179" s="414"/>
      <c r="J179" s="414"/>
      <c r="K179" s="414"/>
      <c r="L179" s="414"/>
      <c r="M179" s="414"/>
      <c r="N179" s="414"/>
      <c r="O179" s="414"/>
      <c r="P179" s="414"/>
      <c r="Q179" s="414"/>
      <c r="R179" s="414"/>
      <c r="S179" s="104"/>
    </row>
    <row r="180" spans="5:19" ht="14" x14ac:dyDescent="0.25">
      <c r="E180" s="2" t="s">
        <v>15</v>
      </c>
      <c r="F180" s="71">
        <v>33.1</v>
      </c>
      <c r="G180" s="71">
        <v>9.6</v>
      </c>
      <c r="H180" s="41">
        <f>G180/2</f>
        <v>4.8</v>
      </c>
      <c r="I180" s="71">
        <f>F180-H180</f>
        <v>28.3</v>
      </c>
      <c r="J180" s="5">
        <f t="shared" ref="J180:J191" si="42">C$126</f>
        <v>1.75</v>
      </c>
      <c r="K180" s="5">
        <v>27</v>
      </c>
      <c r="L180" s="5">
        <f>25.5-K180</f>
        <v>-1.5</v>
      </c>
      <c r="M180" s="8">
        <f t="shared" ref="M180:M191" si="43">I180-29.4</f>
        <v>-1.0999999999999979</v>
      </c>
      <c r="N180" s="8">
        <f t="shared" ref="N180:N191" si="44">J180+L180+M180</f>
        <v>-0.84999999999999787</v>
      </c>
      <c r="O180" s="8">
        <v>3.75</v>
      </c>
      <c r="P180" s="8">
        <v>1.296</v>
      </c>
      <c r="Q180" s="8">
        <f>31*16</f>
        <v>496</v>
      </c>
      <c r="R180" s="108">
        <f t="shared" ref="R180:R191" si="45">(N180*O180*P180*Q180)/1000</f>
        <v>-2.0489759999999948</v>
      </c>
      <c r="S180" s="109"/>
    </row>
    <row r="181" spans="5:19" ht="14" x14ac:dyDescent="0.25">
      <c r="E181" s="2" t="s">
        <v>16</v>
      </c>
      <c r="F181" s="71">
        <v>34</v>
      </c>
      <c r="G181" s="71">
        <v>10</v>
      </c>
      <c r="H181" s="41">
        <f t="shared" ref="H181:H191" si="46">G181/2</f>
        <v>5</v>
      </c>
      <c r="I181" s="71">
        <f t="shared" ref="I181:I191" si="47">F181-H181</f>
        <v>29</v>
      </c>
      <c r="J181" s="5">
        <f t="shared" si="42"/>
        <v>1.75</v>
      </c>
      <c r="K181" s="5">
        <v>27</v>
      </c>
      <c r="L181" s="5">
        <f t="shared" ref="L181:L191" si="48">25.5-K181</f>
        <v>-1.5</v>
      </c>
      <c r="M181" s="8">
        <f t="shared" si="43"/>
        <v>-0.39999999999999858</v>
      </c>
      <c r="N181" s="8">
        <f t="shared" si="44"/>
        <v>-0.14999999999999858</v>
      </c>
      <c r="O181" s="8">
        <v>3.75</v>
      </c>
      <c r="P181" s="8">
        <v>1.296</v>
      </c>
      <c r="Q181" s="8">
        <f>28*16</f>
        <v>448</v>
      </c>
      <c r="R181" s="108">
        <f t="shared" si="45"/>
        <v>-0.32659199999999694</v>
      </c>
      <c r="S181" s="109"/>
    </row>
    <row r="182" spans="5:19" ht="14" x14ac:dyDescent="0.25">
      <c r="E182" s="2" t="s">
        <v>17</v>
      </c>
      <c r="F182" s="71">
        <v>35</v>
      </c>
      <c r="G182" s="71">
        <v>9.3000000000000007</v>
      </c>
      <c r="H182" s="41">
        <f t="shared" si="46"/>
        <v>4.6500000000000004</v>
      </c>
      <c r="I182" s="71">
        <f t="shared" si="47"/>
        <v>30.35</v>
      </c>
      <c r="J182" s="5">
        <f t="shared" si="42"/>
        <v>1.75</v>
      </c>
      <c r="K182" s="5">
        <v>27</v>
      </c>
      <c r="L182" s="5">
        <f t="shared" si="48"/>
        <v>-1.5</v>
      </c>
      <c r="M182" s="8">
        <f t="shared" si="43"/>
        <v>0.95000000000000284</v>
      </c>
      <c r="N182" s="8">
        <f t="shared" si="44"/>
        <v>1.2000000000000028</v>
      </c>
      <c r="O182" s="8">
        <v>3.75</v>
      </c>
      <c r="P182" s="8">
        <v>1.296</v>
      </c>
      <c r="Q182" s="8">
        <f>31*16</f>
        <v>496</v>
      </c>
      <c r="R182" s="108">
        <f t="shared" si="45"/>
        <v>2.8926720000000068</v>
      </c>
      <c r="S182" s="109"/>
    </row>
    <row r="183" spans="5:19" ht="14" x14ac:dyDescent="0.25">
      <c r="E183" s="2" t="s">
        <v>18</v>
      </c>
      <c r="F183" s="71">
        <v>35.5</v>
      </c>
      <c r="G183" s="71">
        <v>8.6</v>
      </c>
      <c r="H183" s="41">
        <f t="shared" si="46"/>
        <v>4.3</v>
      </c>
      <c r="I183" s="71">
        <f t="shared" si="47"/>
        <v>31.2</v>
      </c>
      <c r="J183" s="5">
        <f t="shared" si="42"/>
        <v>1.75</v>
      </c>
      <c r="K183" s="5">
        <v>27</v>
      </c>
      <c r="L183" s="5">
        <f t="shared" si="48"/>
        <v>-1.5</v>
      </c>
      <c r="M183" s="8">
        <f t="shared" si="43"/>
        <v>1.8000000000000007</v>
      </c>
      <c r="N183" s="8">
        <f t="shared" si="44"/>
        <v>2.0500000000000007</v>
      </c>
      <c r="O183" s="8">
        <v>3.75</v>
      </c>
      <c r="P183" s="8">
        <v>1.296</v>
      </c>
      <c r="Q183" s="8">
        <f>30*16</f>
        <v>480</v>
      </c>
      <c r="R183" s="108">
        <f t="shared" si="45"/>
        <v>4.7822400000000025</v>
      </c>
      <c r="S183" s="109"/>
    </row>
    <row r="184" spans="5:19" ht="14" x14ac:dyDescent="0.25">
      <c r="E184" s="2" t="s">
        <v>12</v>
      </c>
      <c r="F184" s="71">
        <v>35.700000000000003</v>
      </c>
      <c r="G184" s="71">
        <v>8.4</v>
      </c>
      <c r="H184" s="41">
        <f t="shared" si="46"/>
        <v>4.2</v>
      </c>
      <c r="I184" s="71">
        <f t="shared" si="47"/>
        <v>31.500000000000004</v>
      </c>
      <c r="J184" s="5">
        <f t="shared" si="42"/>
        <v>1.75</v>
      </c>
      <c r="K184" s="5">
        <v>27</v>
      </c>
      <c r="L184" s="5">
        <f t="shared" si="48"/>
        <v>-1.5</v>
      </c>
      <c r="M184" s="8">
        <f t="shared" si="43"/>
        <v>2.100000000000005</v>
      </c>
      <c r="N184" s="8">
        <f t="shared" si="44"/>
        <v>2.350000000000005</v>
      </c>
      <c r="O184" s="8">
        <v>3.75</v>
      </c>
      <c r="P184" s="8">
        <v>1.296</v>
      </c>
      <c r="Q184" s="8">
        <f>31*16</f>
        <v>496</v>
      </c>
      <c r="R184" s="108">
        <f t="shared" si="45"/>
        <v>5.6648160000000116</v>
      </c>
      <c r="S184" s="109"/>
    </row>
    <row r="185" spans="5:19" ht="14" x14ac:dyDescent="0.25">
      <c r="E185" s="2" t="s">
        <v>13</v>
      </c>
      <c r="F185" s="71">
        <v>34.1</v>
      </c>
      <c r="G185" s="71">
        <v>8</v>
      </c>
      <c r="H185" s="41">
        <f t="shared" si="46"/>
        <v>4</v>
      </c>
      <c r="I185" s="71">
        <f t="shared" si="47"/>
        <v>30.1</v>
      </c>
      <c r="J185" s="5">
        <f t="shared" si="42"/>
        <v>1.75</v>
      </c>
      <c r="K185" s="5">
        <v>27</v>
      </c>
      <c r="L185" s="5">
        <f t="shared" si="48"/>
        <v>-1.5</v>
      </c>
      <c r="M185" s="8">
        <f t="shared" si="43"/>
        <v>0.70000000000000284</v>
      </c>
      <c r="N185" s="8">
        <f t="shared" si="44"/>
        <v>0.95000000000000284</v>
      </c>
      <c r="O185" s="8">
        <v>3.75</v>
      </c>
      <c r="P185" s="8">
        <v>1.296</v>
      </c>
      <c r="Q185" s="8">
        <f>30*16</f>
        <v>480</v>
      </c>
      <c r="R185" s="108">
        <f t="shared" si="45"/>
        <v>2.2161600000000066</v>
      </c>
      <c r="S185" s="109"/>
    </row>
    <row r="186" spans="5:19" ht="14" x14ac:dyDescent="0.25">
      <c r="E186" s="2" t="s">
        <v>24</v>
      </c>
      <c r="F186" s="41">
        <v>33.200000000000003</v>
      </c>
      <c r="G186" s="98">
        <v>7.8</v>
      </c>
      <c r="H186" s="41">
        <f t="shared" si="46"/>
        <v>3.9</v>
      </c>
      <c r="I186" s="71">
        <f t="shared" si="47"/>
        <v>29.300000000000004</v>
      </c>
      <c r="J186" s="5">
        <f t="shared" si="42"/>
        <v>1.75</v>
      </c>
      <c r="K186" s="5">
        <v>27</v>
      </c>
      <c r="L186" s="5">
        <f t="shared" si="48"/>
        <v>-1.5</v>
      </c>
      <c r="M186" s="8">
        <f t="shared" si="43"/>
        <v>-9.9999999999994316E-2</v>
      </c>
      <c r="N186" s="8">
        <f t="shared" si="44"/>
        <v>0.15000000000000568</v>
      </c>
      <c r="O186" s="8">
        <v>3.75</v>
      </c>
      <c r="P186" s="8">
        <v>1.296</v>
      </c>
      <c r="Q186" s="8">
        <f>31*16</f>
        <v>496</v>
      </c>
      <c r="R186" s="108">
        <f t="shared" si="45"/>
        <v>0.36158400000001373</v>
      </c>
      <c r="S186" s="109"/>
    </row>
    <row r="187" spans="5:19" ht="14" x14ac:dyDescent="0.25">
      <c r="E187" s="2" t="s">
        <v>19</v>
      </c>
      <c r="F187" s="41">
        <v>33.200000000000003</v>
      </c>
      <c r="G187" s="98">
        <v>7.6</v>
      </c>
      <c r="H187" s="41">
        <f t="shared" si="46"/>
        <v>3.8</v>
      </c>
      <c r="I187" s="71">
        <f t="shared" si="47"/>
        <v>29.400000000000002</v>
      </c>
      <c r="J187" s="5">
        <f t="shared" si="42"/>
        <v>1.75</v>
      </c>
      <c r="K187" s="5">
        <v>27</v>
      </c>
      <c r="L187" s="5">
        <f t="shared" si="48"/>
        <v>-1.5</v>
      </c>
      <c r="M187" s="8">
        <f t="shared" si="43"/>
        <v>0</v>
      </c>
      <c r="N187" s="8">
        <f t="shared" si="44"/>
        <v>0.25</v>
      </c>
      <c r="O187" s="8">
        <v>3.75</v>
      </c>
      <c r="P187" s="8">
        <v>1.296</v>
      </c>
      <c r="Q187" s="8">
        <f>31*16</f>
        <v>496</v>
      </c>
      <c r="R187" s="108">
        <f t="shared" si="45"/>
        <v>0.60263999999999995</v>
      </c>
      <c r="S187" s="109"/>
    </row>
    <row r="188" spans="5:19" ht="14" x14ac:dyDescent="0.25">
      <c r="E188" s="2" t="s">
        <v>20</v>
      </c>
      <c r="F188" s="41">
        <v>33.1</v>
      </c>
      <c r="G188" s="98">
        <v>7.5</v>
      </c>
      <c r="H188" s="41">
        <f t="shared" si="46"/>
        <v>3.75</v>
      </c>
      <c r="I188" s="71">
        <f t="shared" si="47"/>
        <v>29.35</v>
      </c>
      <c r="J188" s="5">
        <f t="shared" si="42"/>
        <v>1.75</v>
      </c>
      <c r="K188" s="5">
        <v>27</v>
      </c>
      <c r="L188" s="5">
        <f t="shared" si="48"/>
        <v>-1.5</v>
      </c>
      <c r="M188" s="8">
        <f t="shared" si="43"/>
        <v>-4.9999999999997158E-2</v>
      </c>
      <c r="N188" s="8">
        <f t="shared" si="44"/>
        <v>0.20000000000000284</v>
      </c>
      <c r="O188" s="8">
        <v>3.75</v>
      </c>
      <c r="P188" s="8">
        <v>1.296</v>
      </c>
      <c r="Q188" s="8">
        <f>30*16</f>
        <v>480</v>
      </c>
      <c r="R188" s="108">
        <f t="shared" si="45"/>
        <v>0.46656000000000664</v>
      </c>
      <c r="S188" s="109"/>
    </row>
    <row r="189" spans="5:19" ht="14" x14ac:dyDescent="0.25">
      <c r="E189" s="2" t="s">
        <v>21</v>
      </c>
      <c r="F189" s="41">
        <v>32.9</v>
      </c>
      <c r="G189" s="98">
        <v>7.7</v>
      </c>
      <c r="H189" s="41">
        <f t="shared" si="46"/>
        <v>3.85</v>
      </c>
      <c r="I189" s="71">
        <f t="shared" si="47"/>
        <v>29.049999999999997</v>
      </c>
      <c r="J189" s="5">
        <f t="shared" si="42"/>
        <v>1.75</v>
      </c>
      <c r="K189" s="5">
        <v>27</v>
      </c>
      <c r="L189" s="5">
        <f t="shared" si="48"/>
        <v>-1.5</v>
      </c>
      <c r="M189" s="8">
        <f t="shared" si="43"/>
        <v>-0.35000000000000142</v>
      </c>
      <c r="N189" s="8">
        <f t="shared" si="44"/>
        <v>-0.10000000000000142</v>
      </c>
      <c r="O189" s="8">
        <v>3.75</v>
      </c>
      <c r="P189" s="8">
        <v>1.296</v>
      </c>
      <c r="Q189" s="8">
        <f>31*16</f>
        <v>496</v>
      </c>
      <c r="R189" s="108">
        <f t="shared" si="45"/>
        <v>-0.24105600000000343</v>
      </c>
      <c r="S189" s="109"/>
    </row>
    <row r="190" spans="5:19" ht="14" x14ac:dyDescent="0.25">
      <c r="E190" s="2" t="s">
        <v>22</v>
      </c>
      <c r="F190" s="41">
        <v>33</v>
      </c>
      <c r="G190" s="98">
        <v>8.1999999999999993</v>
      </c>
      <c r="H190" s="41">
        <f t="shared" si="46"/>
        <v>4.0999999999999996</v>
      </c>
      <c r="I190" s="71">
        <f t="shared" si="47"/>
        <v>28.9</v>
      </c>
      <c r="J190" s="5">
        <f t="shared" si="42"/>
        <v>1.75</v>
      </c>
      <c r="K190" s="5">
        <v>27</v>
      </c>
      <c r="L190" s="5">
        <f t="shared" si="48"/>
        <v>-1.5</v>
      </c>
      <c r="M190" s="8">
        <f t="shared" si="43"/>
        <v>-0.5</v>
      </c>
      <c r="N190" s="8">
        <f t="shared" si="44"/>
        <v>-0.25</v>
      </c>
      <c r="O190" s="8">
        <v>3.75</v>
      </c>
      <c r="P190" s="8">
        <v>1.296</v>
      </c>
      <c r="Q190" s="8">
        <f>30*16</f>
        <v>480</v>
      </c>
      <c r="R190" s="108">
        <f t="shared" si="45"/>
        <v>-0.58320000000000005</v>
      </c>
      <c r="S190" s="109"/>
    </row>
    <row r="191" spans="5:19" ht="14" x14ac:dyDescent="0.25">
      <c r="E191" s="2" t="s">
        <v>23</v>
      </c>
      <c r="F191" s="41">
        <v>32.9</v>
      </c>
      <c r="G191" s="98">
        <v>8.8000000000000007</v>
      </c>
      <c r="H191" s="41">
        <f t="shared" si="46"/>
        <v>4.4000000000000004</v>
      </c>
      <c r="I191" s="71">
        <f t="shared" si="47"/>
        <v>28.5</v>
      </c>
      <c r="J191" s="5">
        <f t="shared" si="42"/>
        <v>1.75</v>
      </c>
      <c r="K191" s="5">
        <v>27</v>
      </c>
      <c r="L191" s="5">
        <f t="shared" si="48"/>
        <v>-1.5</v>
      </c>
      <c r="M191" s="8">
        <f t="shared" si="43"/>
        <v>-0.89999999999999858</v>
      </c>
      <c r="N191" s="8">
        <f t="shared" si="44"/>
        <v>-0.64999999999999858</v>
      </c>
      <c r="O191" s="8">
        <v>3.75</v>
      </c>
      <c r="P191" s="8">
        <v>1.296</v>
      </c>
      <c r="Q191" s="8">
        <f>31*16</f>
        <v>496</v>
      </c>
      <c r="R191" s="108">
        <f t="shared" si="45"/>
        <v>-1.5668639999999967</v>
      </c>
      <c r="S191" s="109"/>
    </row>
    <row r="192" spans="5:19" ht="15" x14ac:dyDescent="0.25">
      <c r="E192" s="417" t="s">
        <v>61</v>
      </c>
      <c r="F192" s="418"/>
      <c r="G192" s="418"/>
      <c r="H192" s="418"/>
      <c r="I192" s="418"/>
      <c r="J192" s="418"/>
      <c r="K192" s="418"/>
      <c r="L192" s="418"/>
      <c r="M192" s="418"/>
      <c r="N192" s="418"/>
      <c r="O192" s="418"/>
      <c r="P192" s="418"/>
      <c r="Q192" s="419"/>
      <c r="R192" s="107">
        <f>SUM(R180:R191)</f>
        <v>12.219984000000052</v>
      </c>
      <c r="S192" s="105"/>
    </row>
    <row r="193" spans="5:19" ht="15" x14ac:dyDescent="0.4">
      <c r="E193" s="413" t="s">
        <v>76</v>
      </c>
      <c r="F193" s="414"/>
      <c r="G193" s="414"/>
      <c r="H193" s="414"/>
      <c r="I193" s="414"/>
      <c r="J193" s="414"/>
      <c r="K193" s="414"/>
      <c r="L193" s="414"/>
      <c r="M193" s="414"/>
      <c r="N193" s="414"/>
      <c r="O193" s="414"/>
      <c r="P193" s="414"/>
      <c r="Q193" s="414"/>
      <c r="R193" s="414"/>
      <c r="S193" s="104"/>
    </row>
    <row r="194" spans="5:19" ht="14" x14ac:dyDescent="0.25">
      <c r="E194" s="2" t="s">
        <v>15</v>
      </c>
      <c r="F194" s="71">
        <v>33.1</v>
      </c>
      <c r="G194" s="71">
        <v>9.6</v>
      </c>
      <c r="H194" s="41">
        <f>G194/2</f>
        <v>4.8</v>
      </c>
      <c r="I194" s="71">
        <f>F194-H194</f>
        <v>28.3</v>
      </c>
      <c r="J194" s="5">
        <f t="shared" ref="J194:J205" si="49">C$126</f>
        <v>1.75</v>
      </c>
      <c r="K194" s="5">
        <v>28</v>
      </c>
      <c r="L194" s="5">
        <f>25.5-K194</f>
        <v>-2.5</v>
      </c>
      <c r="M194" s="8">
        <f t="shared" ref="M194:M205" si="50">I194-29.4</f>
        <v>-1.0999999999999979</v>
      </c>
      <c r="N194" s="8">
        <f t="shared" ref="N194:N205" si="51">J194+L194+M194</f>
        <v>-1.8499999999999979</v>
      </c>
      <c r="O194" s="8">
        <v>3.75</v>
      </c>
      <c r="P194" s="8">
        <v>1.296</v>
      </c>
      <c r="Q194" s="8">
        <f>31*16</f>
        <v>496</v>
      </c>
      <c r="R194" s="108">
        <f t="shared" ref="R194:R205" si="52">(N194*O194*P194*Q194)/1000</f>
        <v>-4.4595359999999955</v>
      </c>
      <c r="S194" s="109"/>
    </row>
    <row r="195" spans="5:19" ht="14" x14ac:dyDescent="0.25">
      <c r="E195" s="2" t="s">
        <v>16</v>
      </c>
      <c r="F195" s="71">
        <v>34</v>
      </c>
      <c r="G195" s="71">
        <v>10</v>
      </c>
      <c r="H195" s="41">
        <f t="shared" ref="H195:H205" si="53">G195/2</f>
        <v>5</v>
      </c>
      <c r="I195" s="71">
        <f t="shared" ref="I195:I205" si="54">F195-H195</f>
        <v>29</v>
      </c>
      <c r="J195" s="5">
        <f t="shared" si="49"/>
        <v>1.75</v>
      </c>
      <c r="K195" s="5">
        <v>28</v>
      </c>
      <c r="L195" s="5">
        <f t="shared" ref="L195:L205" si="55">25.5-K195</f>
        <v>-2.5</v>
      </c>
      <c r="M195" s="8">
        <f t="shared" si="50"/>
        <v>-0.39999999999999858</v>
      </c>
      <c r="N195" s="8">
        <f t="shared" si="51"/>
        <v>-1.1499999999999986</v>
      </c>
      <c r="O195" s="8">
        <v>3.75</v>
      </c>
      <c r="P195" s="8">
        <v>1.296</v>
      </c>
      <c r="Q195" s="8">
        <f>28*16</f>
        <v>448</v>
      </c>
      <c r="R195" s="108">
        <f t="shared" si="52"/>
        <v>-2.5038719999999972</v>
      </c>
      <c r="S195" s="109"/>
    </row>
    <row r="196" spans="5:19" ht="14" x14ac:dyDescent="0.25">
      <c r="E196" s="2" t="s">
        <v>17</v>
      </c>
      <c r="F196" s="71">
        <v>35</v>
      </c>
      <c r="G196" s="71">
        <v>9.3000000000000007</v>
      </c>
      <c r="H196" s="41">
        <f t="shared" si="53"/>
        <v>4.6500000000000004</v>
      </c>
      <c r="I196" s="71">
        <f t="shared" si="54"/>
        <v>30.35</v>
      </c>
      <c r="J196" s="5">
        <f t="shared" si="49"/>
        <v>1.75</v>
      </c>
      <c r="K196" s="5">
        <v>28</v>
      </c>
      <c r="L196" s="5">
        <f t="shared" si="55"/>
        <v>-2.5</v>
      </c>
      <c r="M196" s="8">
        <f t="shared" si="50"/>
        <v>0.95000000000000284</v>
      </c>
      <c r="N196" s="8">
        <f t="shared" si="51"/>
        <v>0.20000000000000284</v>
      </c>
      <c r="O196" s="8">
        <v>3.75</v>
      </c>
      <c r="P196" s="8">
        <v>1.296</v>
      </c>
      <c r="Q196" s="8">
        <f>31*16</f>
        <v>496</v>
      </c>
      <c r="R196" s="108">
        <f t="shared" si="52"/>
        <v>0.48211200000000687</v>
      </c>
      <c r="S196" s="109"/>
    </row>
    <row r="197" spans="5:19" ht="14" x14ac:dyDescent="0.25">
      <c r="E197" s="2" t="s">
        <v>18</v>
      </c>
      <c r="F197" s="71">
        <v>35.5</v>
      </c>
      <c r="G197" s="71">
        <v>8.6</v>
      </c>
      <c r="H197" s="41">
        <f t="shared" si="53"/>
        <v>4.3</v>
      </c>
      <c r="I197" s="71">
        <f t="shared" si="54"/>
        <v>31.2</v>
      </c>
      <c r="J197" s="5">
        <f t="shared" si="49"/>
        <v>1.75</v>
      </c>
      <c r="K197" s="5">
        <v>28</v>
      </c>
      <c r="L197" s="5">
        <f t="shared" si="55"/>
        <v>-2.5</v>
      </c>
      <c r="M197" s="8">
        <f t="shared" si="50"/>
        <v>1.8000000000000007</v>
      </c>
      <c r="N197" s="8">
        <f t="shared" si="51"/>
        <v>1.0500000000000007</v>
      </c>
      <c r="O197" s="8">
        <v>3.75</v>
      </c>
      <c r="P197" s="8">
        <v>1.296</v>
      </c>
      <c r="Q197" s="8">
        <f>30*16</f>
        <v>480</v>
      </c>
      <c r="R197" s="108">
        <f t="shared" si="52"/>
        <v>2.4494400000000014</v>
      </c>
      <c r="S197" s="109"/>
    </row>
    <row r="198" spans="5:19" ht="14" x14ac:dyDescent="0.25">
      <c r="E198" s="2" t="s">
        <v>12</v>
      </c>
      <c r="F198" s="71">
        <v>35.700000000000003</v>
      </c>
      <c r="G198" s="71">
        <v>8.4</v>
      </c>
      <c r="H198" s="41">
        <f t="shared" si="53"/>
        <v>4.2</v>
      </c>
      <c r="I198" s="71">
        <f t="shared" si="54"/>
        <v>31.500000000000004</v>
      </c>
      <c r="J198" s="5">
        <f t="shared" si="49"/>
        <v>1.75</v>
      </c>
      <c r="K198" s="5">
        <v>28</v>
      </c>
      <c r="L198" s="5">
        <f t="shared" si="55"/>
        <v>-2.5</v>
      </c>
      <c r="M198" s="8">
        <f t="shared" si="50"/>
        <v>2.100000000000005</v>
      </c>
      <c r="N198" s="8">
        <f t="shared" si="51"/>
        <v>1.350000000000005</v>
      </c>
      <c r="O198" s="8">
        <v>3.75</v>
      </c>
      <c r="P198" s="8">
        <v>1.296</v>
      </c>
      <c r="Q198" s="8">
        <f>31*16</f>
        <v>496</v>
      </c>
      <c r="R198" s="108">
        <f t="shared" si="52"/>
        <v>3.2542560000000122</v>
      </c>
      <c r="S198" s="109"/>
    </row>
    <row r="199" spans="5:19" ht="14" x14ac:dyDescent="0.25">
      <c r="E199" s="2" t="s">
        <v>13</v>
      </c>
      <c r="F199" s="71">
        <v>34.1</v>
      </c>
      <c r="G199" s="71">
        <v>8</v>
      </c>
      <c r="H199" s="41">
        <f t="shared" si="53"/>
        <v>4</v>
      </c>
      <c r="I199" s="71">
        <f t="shared" si="54"/>
        <v>30.1</v>
      </c>
      <c r="J199" s="5">
        <f t="shared" si="49"/>
        <v>1.75</v>
      </c>
      <c r="K199" s="5">
        <v>28</v>
      </c>
      <c r="L199" s="5">
        <f t="shared" si="55"/>
        <v>-2.5</v>
      </c>
      <c r="M199" s="8">
        <f t="shared" si="50"/>
        <v>0.70000000000000284</v>
      </c>
      <c r="N199" s="8">
        <f t="shared" si="51"/>
        <v>-4.9999999999997158E-2</v>
      </c>
      <c r="O199" s="8">
        <v>3.75</v>
      </c>
      <c r="P199" s="8">
        <v>1.296</v>
      </c>
      <c r="Q199" s="8">
        <f>30*16</f>
        <v>480</v>
      </c>
      <c r="R199" s="108">
        <f t="shared" si="52"/>
        <v>-0.11663999999999337</v>
      </c>
      <c r="S199" s="109"/>
    </row>
    <row r="200" spans="5:19" ht="14" x14ac:dyDescent="0.25">
      <c r="E200" s="2" t="s">
        <v>24</v>
      </c>
      <c r="F200" s="41">
        <v>33.200000000000003</v>
      </c>
      <c r="G200" s="98">
        <v>7.8</v>
      </c>
      <c r="H200" s="41">
        <f t="shared" si="53"/>
        <v>3.9</v>
      </c>
      <c r="I200" s="71">
        <f t="shared" si="54"/>
        <v>29.300000000000004</v>
      </c>
      <c r="J200" s="5">
        <f t="shared" si="49"/>
        <v>1.75</v>
      </c>
      <c r="K200" s="5">
        <v>28</v>
      </c>
      <c r="L200" s="5">
        <f t="shared" si="55"/>
        <v>-2.5</v>
      </c>
      <c r="M200" s="8">
        <f t="shared" si="50"/>
        <v>-9.9999999999994316E-2</v>
      </c>
      <c r="N200" s="8">
        <f t="shared" si="51"/>
        <v>-0.84999999999999432</v>
      </c>
      <c r="O200" s="8">
        <v>3.75</v>
      </c>
      <c r="P200" s="8">
        <v>1.296</v>
      </c>
      <c r="Q200" s="8">
        <f>31*16</f>
        <v>496</v>
      </c>
      <c r="R200" s="108">
        <f t="shared" si="52"/>
        <v>-2.0489759999999864</v>
      </c>
      <c r="S200" s="109"/>
    </row>
    <row r="201" spans="5:19" ht="14" x14ac:dyDescent="0.25">
      <c r="E201" s="2" t="s">
        <v>19</v>
      </c>
      <c r="F201" s="41">
        <v>33.200000000000003</v>
      </c>
      <c r="G201" s="98">
        <v>7.6</v>
      </c>
      <c r="H201" s="41">
        <f t="shared" si="53"/>
        <v>3.8</v>
      </c>
      <c r="I201" s="71">
        <f t="shared" si="54"/>
        <v>29.400000000000002</v>
      </c>
      <c r="J201" s="5">
        <f t="shared" si="49"/>
        <v>1.75</v>
      </c>
      <c r="K201" s="5">
        <v>28</v>
      </c>
      <c r="L201" s="5">
        <f t="shared" si="55"/>
        <v>-2.5</v>
      </c>
      <c r="M201" s="8">
        <f t="shared" si="50"/>
        <v>0</v>
      </c>
      <c r="N201" s="8">
        <f t="shared" si="51"/>
        <v>-0.75</v>
      </c>
      <c r="O201" s="8">
        <v>3.75</v>
      </c>
      <c r="P201" s="8">
        <v>1.296</v>
      </c>
      <c r="Q201" s="8">
        <f>31*16</f>
        <v>496</v>
      </c>
      <c r="R201" s="108">
        <f t="shared" si="52"/>
        <v>-1.80792</v>
      </c>
      <c r="S201" s="109"/>
    </row>
    <row r="202" spans="5:19" ht="14" x14ac:dyDescent="0.25">
      <c r="E202" s="2" t="s">
        <v>20</v>
      </c>
      <c r="F202" s="41">
        <v>33.1</v>
      </c>
      <c r="G202" s="98">
        <v>7.5</v>
      </c>
      <c r="H202" s="41">
        <f t="shared" si="53"/>
        <v>3.75</v>
      </c>
      <c r="I202" s="71">
        <f t="shared" si="54"/>
        <v>29.35</v>
      </c>
      <c r="J202" s="5">
        <f t="shared" si="49"/>
        <v>1.75</v>
      </c>
      <c r="K202" s="5">
        <v>28</v>
      </c>
      <c r="L202" s="5">
        <f t="shared" si="55"/>
        <v>-2.5</v>
      </c>
      <c r="M202" s="8">
        <f t="shared" si="50"/>
        <v>-4.9999999999997158E-2</v>
      </c>
      <c r="N202" s="8">
        <f t="shared" si="51"/>
        <v>-0.79999999999999716</v>
      </c>
      <c r="O202" s="8">
        <v>3.75</v>
      </c>
      <c r="P202" s="8">
        <v>1.296</v>
      </c>
      <c r="Q202" s="8">
        <f>30*16</f>
        <v>480</v>
      </c>
      <c r="R202" s="108">
        <f t="shared" si="52"/>
        <v>-1.8662399999999935</v>
      </c>
      <c r="S202" s="109"/>
    </row>
    <row r="203" spans="5:19" ht="14" x14ac:dyDescent="0.25">
      <c r="E203" s="2" t="s">
        <v>21</v>
      </c>
      <c r="F203" s="41">
        <v>32.9</v>
      </c>
      <c r="G203" s="98">
        <v>7.7</v>
      </c>
      <c r="H203" s="41">
        <f t="shared" si="53"/>
        <v>3.85</v>
      </c>
      <c r="I203" s="71">
        <f t="shared" si="54"/>
        <v>29.049999999999997</v>
      </c>
      <c r="J203" s="5">
        <f t="shared" si="49"/>
        <v>1.75</v>
      </c>
      <c r="K203" s="5">
        <v>28</v>
      </c>
      <c r="L203" s="5">
        <f t="shared" si="55"/>
        <v>-2.5</v>
      </c>
      <c r="M203" s="8">
        <f t="shared" si="50"/>
        <v>-0.35000000000000142</v>
      </c>
      <c r="N203" s="8">
        <f t="shared" si="51"/>
        <v>-1.1000000000000014</v>
      </c>
      <c r="O203" s="8">
        <v>3.75</v>
      </c>
      <c r="P203" s="8">
        <v>1.296</v>
      </c>
      <c r="Q203" s="8">
        <f>31*16</f>
        <v>496</v>
      </c>
      <c r="R203" s="108">
        <f t="shared" si="52"/>
        <v>-2.6516160000000037</v>
      </c>
      <c r="S203" s="109"/>
    </row>
    <row r="204" spans="5:19" ht="14" x14ac:dyDescent="0.25">
      <c r="E204" s="2" t="s">
        <v>22</v>
      </c>
      <c r="F204" s="41">
        <v>33</v>
      </c>
      <c r="G204" s="98">
        <v>8.1999999999999993</v>
      </c>
      <c r="H204" s="41">
        <f t="shared" si="53"/>
        <v>4.0999999999999996</v>
      </c>
      <c r="I204" s="71">
        <f t="shared" si="54"/>
        <v>28.9</v>
      </c>
      <c r="J204" s="5">
        <f t="shared" si="49"/>
        <v>1.75</v>
      </c>
      <c r="K204" s="5">
        <v>28</v>
      </c>
      <c r="L204" s="5">
        <f t="shared" si="55"/>
        <v>-2.5</v>
      </c>
      <c r="M204" s="8">
        <f t="shared" si="50"/>
        <v>-0.5</v>
      </c>
      <c r="N204" s="8">
        <f t="shared" si="51"/>
        <v>-1.25</v>
      </c>
      <c r="O204" s="8">
        <v>3.75</v>
      </c>
      <c r="P204" s="8">
        <v>1.296</v>
      </c>
      <c r="Q204" s="8">
        <f>30*16</f>
        <v>480</v>
      </c>
      <c r="R204" s="108">
        <f t="shared" si="52"/>
        <v>-2.9159999999999999</v>
      </c>
      <c r="S204" s="109"/>
    </row>
    <row r="205" spans="5:19" ht="14" x14ac:dyDescent="0.25">
      <c r="E205" s="2" t="s">
        <v>23</v>
      </c>
      <c r="F205" s="41">
        <v>32.9</v>
      </c>
      <c r="G205" s="98">
        <v>8.8000000000000007</v>
      </c>
      <c r="H205" s="41">
        <f t="shared" si="53"/>
        <v>4.4000000000000004</v>
      </c>
      <c r="I205" s="71">
        <f t="shared" si="54"/>
        <v>28.5</v>
      </c>
      <c r="J205" s="5">
        <f t="shared" si="49"/>
        <v>1.75</v>
      </c>
      <c r="K205" s="5">
        <v>28</v>
      </c>
      <c r="L205" s="5">
        <f t="shared" si="55"/>
        <v>-2.5</v>
      </c>
      <c r="M205" s="8">
        <f t="shared" si="50"/>
        <v>-0.89999999999999858</v>
      </c>
      <c r="N205" s="8">
        <f t="shared" si="51"/>
        <v>-1.6499999999999986</v>
      </c>
      <c r="O205" s="8">
        <v>3.75</v>
      </c>
      <c r="P205" s="8">
        <v>1.296</v>
      </c>
      <c r="Q205" s="8">
        <f>31*16</f>
        <v>496</v>
      </c>
      <c r="R205" s="108">
        <f t="shared" si="52"/>
        <v>-3.9774239999999965</v>
      </c>
      <c r="S205" s="109"/>
    </row>
    <row r="206" spans="5:19" ht="15.5" thickBot="1" x14ac:dyDescent="0.3">
      <c r="E206" s="420" t="s">
        <v>61</v>
      </c>
      <c r="F206" s="421"/>
      <c r="G206" s="421"/>
      <c r="H206" s="421"/>
      <c r="I206" s="421"/>
      <c r="J206" s="421"/>
      <c r="K206" s="421"/>
      <c r="L206" s="421"/>
      <c r="M206" s="421"/>
      <c r="N206" s="421"/>
      <c r="O206" s="421"/>
      <c r="P206" s="421"/>
      <c r="Q206" s="422"/>
      <c r="R206" s="107">
        <f>SUM(R194:R205)</f>
        <v>-16.162415999999943</v>
      </c>
      <c r="S206" s="105"/>
    </row>
    <row r="209" spans="5:11" ht="13.5" thickBot="1" x14ac:dyDescent="0.3"/>
    <row r="210" spans="5:11" x14ac:dyDescent="0.3">
      <c r="E210" s="295" t="s">
        <v>81</v>
      </c>
      <c r="F210" s="296"/>
      <c r="G210" s="296"/>
      <c r="H210" s="296"/>
      <c r="I210" s="296"/>
      <c r="J210" s="296"/>
      <c r="K210" s="297"/>
    </row>
    <row r="211" spans="5:11" ht="15.5" thickBot="1" x14ac:dyDescent="0.3">
      <c r="E211" s="46" t="s">
        <v>78</v>
      </c>
      <c r="F211" s="37" t="s">
        <v>63</v>
      </c>
      <c r="G211" s="37" t="s">
        <v>64</v>
      </c>
      <c r="H211" s="37" t="s">
        <v>79</v>
      </c>
      <c r="I211" s="37" t="s">
        <v>82</v>
      </c>
      <c r="J211" s="37" t="s">
        <v>57</v>
      </c>
      <c r="K211" s="73" t="s">
        <v>80</v>
      </c>
    </row>
    <row r="212" spans="5:11" x14ac:dyDescent="0.25">
      <c r="E212" s="44" t="s">
        <v>15</v>
      </c>
      <c r="F212" s="8">
        <v>0.55000000000000004</v>
      </c>
      <c r="G212" s="8">
        <v>0.51</v>
      </c>
      <c r="H212" s="111">
        <v>94.63</v>
      </c>
      <c r="I212" s="8">
        <v>1.296</v>
      </c>
      <c r="J212" s="8">
        <f>31*16</f>
        <v>496</v>
      </c>
      <c r="K212" s="40">
        <f>(F212*G212*H212*I212*J212)/1000</f>
        <v>17.062724701440001</v>
      </c>
    </row>
    <row r="213" spans="5:11" x14ac:dyDescent="0.25">
      <c r="E213" s="44" t="s">
        <v>16</v>
      </c>
      <c r="F213" s="8">
        <v>0.55000000000000004</v>
      </c>
      <c r="G213" s="8">
        <v>0.51</v>
      </c>
      <c r="H213" s="63">
        <v>104.1</v>
      </c>
      <c r="I213" s="8">
        <v>1.296</v>
      </c>
      <c r="J213" s="8">
        <f>28*16</f>
        <v>448</v>
      </c>
      <c r="K213" s="40">
        <f t="shared" ref="K213:K223" si="56">(F213*G213*H213*I213*J213)/1000</f>
        <v>16.953782630399999</v>
      </c>
    </row>
    <row r="214" spans="5:11" x14ac:dyDescent="0.25">
      <c r="E214" s="44" t="s">
        <v>17</v>
      </c>
      <c r="F214" s="8">
        <v>0.55000000000000004</v>
      </c>
      <c r="G214" s="8">
        <v>0.51</v>
      </c>
      <c r="H214" s="63">
        <v>110.41</v>
      </c>
      <c r="I214" s="8">
        <v>1.296</v>
      </c>
      <c r="J214" s="8">
        <f>31*16</f>
        <v>496</v>
      </c>
      <c r="K214" s="40">
        <f t="shared" si="56"/>
        <v>19.908014734079998</v>
      </c>
    </row>
    <row r="215" spans="5:11" x14ac:dyDescent="0.25">
      <c r="E215" s="44" t="s">
        <v>18</v>
      </c>
      <c r="F215" s="8">
        <v>0.55000000000000004</v>
      </c>
      <c r="G215" s="8">
        <v>0.51</v>
      </c>
      <c r="H215" s="63">
        <v>123.02</v>
      </c>
      <c r="I215" s="8">
        <v>1.296</v>
      </c>
      <c r="J215" s="8">
        <f>30*16</f>
        <v>480</v>
      </c>
      <c r="K215" s="40">
        <f t="shared" si="56"/>
        <v>21.466182988800004</v>
      </c>
    </row>
    <row r="216" spans="5:11" x14ac:dyDescent="0.25">
      <c r="E216" s="44" t="s">
        <v>12</v>
      </c>
      <c r="F216" s="8">
        <v>0.55000000000000004</v>
      </c>
      <c r="G216" s="8">
        <v>0.51</v>
      </c>
      <c r="H216" s="63">
        <v>164.03</v>
      </c>
      <c r="I216" s="8">
        <v>1.296</v>
      </c>
      <c r="J216" s="8">
        <f>31*16</f>
        <v>496</v>
      </c>
      <c r="K216" s="40">
        <f t="shared" si="56"/>
        <v>29.576230928640001</v>
      </c>
    </row>
    <row r="217" spans="5:11" x14ac:dyDescent="0.25">
      <c r="E217" s="44" t="s">
        <v>13</v>
      </c>
      <c r="F217" s="8">
        <v>0.55000000000000004</v>
      </c>
      <c r="G217" s="8">
        <v>0.51</v>
      </c>
      <c r="H217" s="63">
        <v>208.2</v>
      </c>
      <c r="I217" s="8">
        <v>1.296</v>
      </c>
      <c r="J217" s="8">
        <f>30*16</f>
        <v>480</v>
      </c>
      <c r="K217" s="40">
        <f t="shared" si="56"/>
        <v>36.329534207999998</v>
      </c>
    </row>
    <row r="218" spans="5:11" x14ac:dyDescent="0.25">
      <c r="E218" s="44" t="s">
        <v>24</v>
      </c>
      <c r="F218" s="8">
        <v>0.55000000000000004</v>
      </c>
      <c r="G218" s="8">
        <v>0.51</v>
      </c>
      <c r="H218" s="118">
        <v>173.5</v>
      </c>
      <c r="I218" s="8">
        <v>1.296</v>
      </c>
      <c r="J218" s="8">
        <f>31*16</f>
        <v>496</v>
      </c>
      <c r="K218" s="40">
        <f t="shared" si="56"/>
        <v>31.283765568000007</v>
      </c>
    </row>
    <row r="219" spans="5:11" x14ac:dyDescent="0.25">
      <c r="E219" s="44" t="s">
        <v>19</v>
      </c>
      <c r="F219" s="8">
        <v>0.55000000000000004</v>
      </c>
      <c r="G219" s="8">
        <v>0.51</v>
      </c>
      <c r="H219" s="118">
        <v>129.33000000000001</v>
      </c>
      <c r="I219" s="8">
        <v>1.296</v>
      </c>
      <c r="J219" s="8">
        <f>31*16</f>
        <v>496</v>
      </c>
      <c r="K219" s="40">
        <f t="shared" si="56"/>
        <v>23.319477815040006</v>
      </c>
    </row>
    <row r="220" spans="5:11" x14ac:dyDescent="0.25">
      <c r="E220" s="44" t="s">
        <v>20</v>
      </c>
      <c r="F220" s="8">
        <v>0.55000000000000004</v>
      </c>
      <c r="G220" s="8">
        <v>0.51</v>
      </c>
      <c r="H220" s="118">
        <v>113.56</v>
      </c>
      <c r="I220" s="8">
        <v>1.296</v>
      </c>
      <c r="J220" s="8">
        <f>30*16</f>
        <v>480</v>
      </c>
      <c r="K220" s="40">
        <f t="shared" si="56"/>
        <v>19.815475046400003</v>
      </c>
    </row>
    <row r="221" spans="5:11" x14ac:dyDescent="0.25">
      <c r="E221" s="44" t="s">
        <v>21</v>
      </c>
      <c r="F221" s="8">
        <v>0.55000000000000004</v>
      </c>
      <c r="G221" s="8">
        <v>0.51</v>
      </c>
      <c r="H221" s="118">
        <v>104.1</v>
      </c>
      <c r="I221" s="8">
        <v>1.296</v>
      </c>
      <c r="J221" s="8">
        <f>31*16</f>
        <v>496</v>
      </c>
      <c r="K221" s="40">
        <f t="shared" si="56"/>
        <v>18.770259340799999</v>
      </c>
    </row>
    <row r="222" spans="5:11" x14ac:dyDescent="0.25">
      <c r="E222" s="44" t="s">
        <v>22</v>
      </c>
      <c r="F222" s="8">
        <v>0.55000000000000004</v>
      </c>
      <c r="G222" s="8">
        <v>0.51</v>
      </c>
      <c r="H222" s="63">
        <v>94.63</v>
      </c>
      <c r="I222" s="8">
        <v>1.296</v>
      </c>
      <c r="J222" s="8">
        <f>30*16</f>
        <v>480</v>
      </c>
      <c r="K222" s="40">
        <f t="shared" si="56"/>
        <v>16.512314227200005</v>
      </c>
    </row>
    <row r="223" spans="5:11" ht="13.5" thickBot="1" x14ac:dyDescent="0.3">
      <c r="E223" s="44" t="s">
        <v>23</v>
      </c>
      <c r="F223" s="8">
        <v>0.55000000000000004</v>
      </c>
      <c r="G223" s="8">
        <v>0.51</v>
      </c>
      <c r="H223" s="64">
        <v>91.48</v>
      </c>
      <c r="I223" s="8">
        <v>1.296</v>
      </c>
      <c r="J223" s="8">
        <f>31*16</f>
        <v>496</v>
      </c>
      <c r="K223" s="40">
        <f t="shared" si="56"/>
        <v>16.494748554240001</v>
      </c>
    </row>
    <row r="224" spans="5:11" ht="24" customHeight="1" thickBot="1" x14ac:dyDescent="0.45">
      <c r="E224" s="310" t="s">
        <v>80</v>
      </c>
      <c r="F224" s="311"/>
      <c r="G224" s="311"/>
      <c r="H224" s="311"/>
      <c r="I224" s="311"/>
      <c r="J224" s="311"/>
      <c r="K224" s="74">
        <f>SUM(K212:K223)</f>
        <v>267.49251074304004</v>
      </c>
    </row>
    <row r="227" spans="5:18" ht="13.5" thickBot="1" x14ac:dyDescent="0.3"/>
    <row r="228" spans="5:18" x14ac:dyDescent="0.3">
      <c r="E228" s="295" t="s">
        <v>89</v>
      </c>
      <c r="F228" s="296"/>
      <c r="G228" s="296"/>
      <c r="H228" s="296"/>
      <c r="I228" s="296"/>
      <c r="J228" s="296"/>
      <c r="K228" s="296"/>
      <c r="L228" s="296"/>
      <c r="M228" s="296"/>
      <c r="N228" s="296"/>
      <c r="O228" s="296"/>
      <c r="P228" s="296"/>
      <c r="Q228" s="296"/>
      <c r="R228" s="297"/>
    </row>
    <row r="229" spans="5:18" ht="21" customHeight="1" x14ac:dyDescent="0.25">
      <c r="E229" s="46" t="s">
        <v>0</v>
      </c>
      <c r="F229" s="37" t="s">
        <v>84</v>
      </c>
      <c r="G229" s="37" t="s">
        <v>95</v>
      </c>
      <c r="H229" s="37" t="s">
        <v>96</v>
      </c>
      <c r="I229" s="37" t="s">
        <v>97</v>
      </c>
      <c r="J229" s="37" t="s">
        <v>98</v>
      </c>
      <c r="K229" s="37" t="s">
        <v>99</v>
      </c>
      <c r="L229" s="37" t="s">
        <v>100</v>
      </c>
      <c r="M229" s="37" t="s">
        <v>101</v>
      </c>
      <c r="N229" s="37"/>
      <c r="O229" s="37" t="s">
        <v>85</v>
      </c>
      <c r="P229" s="37" t="s">
        <v>102</v>
      </c>
      <c r="Q229" s="37" t="s">
        <v>86</v>
      </c>
      <c r="R229" s="73" t="s">
        <v>103</v>
      </c>
    </row>
    <row r="230" spans="5:18" ht="15" customHeight="1" x14ac:dyDescent="0.25">
      <c r="E230" s="44" t="s">
        <v>15</v>
      </c>
      <c r="F230" s="8">
        <v>0.6</v>
      </c>
      <c r="G230" s="8">
        <v>38.880000000000003</v>
      </c>
      <c r="H230" s="8">
        <v>1.0049999999999999</v>
      </c>
      <c r="I230" s="8">
        <v>1.2929999999999999</v>
      </c>
      <c r="J230" s="71">
        <v>33.1</v>
      </c>
      <c r="K230" s="8">
        <v>22</v>
      </c>
      <c r="L230" s="8">
        <f>J230-K230</f>
        <v>11.100000000000001</v>
      </c>
      <c r="M230" s="27">
        <f>F230*G230*H230*I230*L230</f>
        <v>336.48450667199995</v>
      </c>
      <c r="N230" s="27"/>
      <c r="O230" s="8">
        <v>0.27700000000000002</v>
      </c>
      <c r="P230" s="18">
        <f>M230*O230</f>
        <v>93.206208348143988</v>
      </c>
      <c r="Q230" s="8">
        <f>31*16</f>
        <v>496</v>
      </c>
      <c r="R230" s="40">
        <f>(P230*Q230)/1000</f>
        <v>46.230279340679417</v>
      </c>
    </row>
    <row r="231" spans="5:18" ht="15" customHeight="1" x14ac:dyDescent="0.25">
      <c r="E231" s="44" t="s">
        <v>16</v>
      </c>
      <c r="F231" s="8">
        <v>0.6</v>
      </c>
      <c r="G231" s="8">
        <v>38.880000000000003</v>
      </c>
      <c r="H231" s="8">
        <v>1.0049999999999999</v>
      </c>
      <c r="I231" s="8">
        <v>1.2929999999999999</v>
      </c>
      <c r="J231" s="71">
        <v>34</v>
      </c>
      <c r="K231" s="8">
        <v>22</v>
      </c>
      <c r="L231" s="8">
        <f t="shared" ref="L231:L241" si="57">J231-K231</f>
        <v>12</v>
      </c>
      <c r="M231" s="27">
        <f t="shared" ref="M231:M241" si="58">F231*G231*H231*I231*L231</f>
        <v>363.76703423999993</v>
      </c>
      <c r="N231" s="27"/>
      <c r="O231" s="8">
        <v>0.27700000000000002</v>
      </c>
      <c r="P231" s="18">
        <f t="shared" ref="P231:P241" si="59">M231*O231</f>
        <v>100.76346848447999</v>
      </c>
      <c r="Q231" s="8">
        <f>28*16</f>
        <v>448</v>
      </c>
      <c r="R231" s="40">
        <f t="shared" ref="R231:R241" si="60">(P231*Q231)/1000</f>
        <v>45.142033881047034</v>
      </c>
    </row>
    <row r="232" spans="5:18" ht="15" customHeight="1" x14ac:dyDescent="0.25">
      <c r="E232" s="44" t="s">
        <v>17</v>
      </c>
      <c r="F232" s="8">
        <v>0.6</v>
      </c>
      <c r="G232" s="8">
        <v>38.880000000000003</v>
      </c>
      <c r="H232" s="8">
        <v>1.0049999999999999</v>
      </c>
      <c r="I232" s="8">
        <v>1.2929999999999999</v>
      </c>
      <c r="J232" s="71">
        <v>35</v>
      </c>
      <c r="K232" s="8">
        <v>22</v>
      </c>
      <c r="L232" s="8">
        <f t="shared" si="57"/>
        <v>13</v>
      </c>
      <c r="M232" s="27">
        <f t="shared" si="58"/>
        <v>394.08095375999989</v>
      </c>
      <c r="N232" s="27"/>
      <c r="O232" s="8">
        <v>0.27700000000000002</v>
      </c>
      <c r="P232" s="18">
        <f t="shared" si="59"/>
        <v>109.16042419151998</v>
      </c>
      <c r="Q232" s="8">
        <f>31*16</f>
        <v>496</v>
      </c>
      <c r="R232" s="40">
        <f t="shared" si="60"/>
        <v>54.143570398993909</v>
      </c>
    </row>
    <row r="233" spans="5:18" ht="15" customHeight="1" x14ac:dyDescent="0.25">
      <c r="E233" s="44" t="s">
        <v>18</v>
      </c>
      <c r="F233" s="8">
        <v>0.6</v>
      </c>
      <c r="G233" s="8">
        <v>38.880000000000003</v>
      </c>
      <c r="H233" s="8">
        <v>1.0049999999999999</v>
      </c>
      <c r="I233" s="8">
        <v>1.2929999999999999</v>
      </c>
      <c r="J233" s="71">
        <v>35.5</v>
      </c>
      <c r="K233" s="8">
        <v>22</v>
      </c>
      <c r="L233" s="8">
        <f t="shared" si="57"/>
        <v>13.5</v>
      </c>
      <c r="M233" s="27">
        <f t="shared" si="58"/>
        <v>409.23791351999989</v>
      </c>
      <c r="N233" s="27"/>
      <c r="O233" s="8">
        <v>0.27700000000000002</v>
      </c>
      <c r="P233" s="18">
        <f t="shared" si="59"/>
        <v>113.35890204503998</v>
      </c>
      <c r="Q233" s="8">
        <f>30*16</f>
        <v>480</v>
      </c>
      <c r="R233" s="40">
        <f t="shared" si="60"/>
        <v>54.412272981619196</v>
      </c>
    </row>
    <row r="234" spans="5:18" ht="15" customHeight="1" x14ac:dyDescent="0.25">
      <c r="E234" s="44" t="s">
        <v>12</v>
      </c>
      <c r="F234" s="8">
        <v>0.6</v>
      </c>
      <c r="G234" s="8">
        <v>38.880000000000003</v>
      </c>
      <c r="H234" s="8">
        <v>1.0049999999999999</v>
      </c>
      <c r="I234" s="8">
        <v>1.2929999999999999</v>
      </c>
      <c r="J234" s="71">
        <v>35.700000000000003</v>
      </c>
      <c r="K234" s="8">
        <v>22</v>
      </c>
      <c r="L234" s="8">
        <f t="shared" si="57"/>
        <v>13.700000000000003</v>
      </c>
      <c r="M234" s="27">
        <f t="shared" si="58"/>
        <v>415.30069742399996</v>
      </c>
      <c r="N234" s="27"/>
      <c r="O234" s="8">
        <v>0.27700000000000002</v>
      </c>
      <c r="P234" s="18">
        <f t="shared" si="59"/>
        <v>115.038293186448</v>
      </c>
      <c r="Q234" s="8">
        <f>31*16</f>
        <v>496</v>
      </c>
      <c r="R234" s="40">
        <f t="shared" si="60"/>
        <v>57.05899342047821</v>
      </c>
    </row>
    <row r="235" spans="5:18" ht="15" customHeight="1" x14ac:dyDescent="0.25">
      <c r="E235" s="44" t="s">
        <v>13</v>
      </c>
      <c r="F235" s="8">
        <v>0.6</v>
      </c>
      <c r="G235" s="8">
        <v>38.880000000000003</v>
      </c>
      <c r="H235" s="8">
        <v>1.0049999999999999</v>
      </c>
      <c r="I235" s="8">
        <v>1.2929999999999999</v>
      </c>
      <c r="J235" s="71">
        <v>34.1</v>
      </c>
      <c r="K235" s="8">
        <v>22</v>
      </c>
      <c r="L235" s="8">
        <f t="shared" si="57"/>
        <v>12.100000000000001</v>
      </c>
      <c r="M235" s="27">
        <f t="shared" si="58"/>
        <v>366.79842619199997</v>
      </c>
      <c r="N235" s="27"/>
      <c r="O235" s="8">
        <v>0.27700000000000002</v>
      </c>
      <c r="P235" s="18">
        <f t="shared" si="59"/>
        <v>101.603164055184</v>
      </c>
      <c r="Q235" s="8">
        <f>30*16</f>
        <v>480</v>
      </c>
      <c r="R235" s="40">
        <f t="shared" si="60"/>
        <v>48.769518746488323</v>
      </c>
    </row>
    <row r="236" spans="5:18" ht="15" customHeight="1" x14ac:dyDescent="0.25">
      <c r="E236" s="44" t="s">
        <v>24</v>
      </c>
      <c r="F236" s="8">
        <v>0.6</v>
      </c>
      <c r="G236" s="8">
        <v>38.880000000000003</v>
      </c>
      <c r="H236" s="8">
        <v>1.0049999999999999</v>
      </c>
      <c r="I236" s="8">
        <v>1.2929999999999999</v>
      </c>
      <c r="J236" s="41">
        <v>33.200000000000003</v>
      </c>
      <c r="K236" s="8">
        <v>22</v>
      </c>
      <c r="L236" s="8">
        <f t="shared" si="57"/>
        <v>11.200000000000003</v>
      </c>
      <c r="M236" s="27">
        <f t="shared" si="58"/>
        <v>339.51589862399999</v>
      </c>
      <c r="N236" s="27"/>
      <c r="O236" s="8">
        <v>0.27700000000000002</v>
      </c>
      <c r="P236" s="18">
        <f t="shared" si="59"/>
        <v>94.045903918847998</v>
      </c>
      <c r="Q236" s="8">
        <f>31*16</f>
        <v>496</v>
      </c>
      <c r="R236" s="40">
        <f t="shared" si="60"/>
        <v>46.646768343748604</v>
      </c>
    </row>
    <row r="237" spans="5:18" ht="15" customHeight="1" x14ac:dyDescent="0.25">
      <c r="E237" s="44" t="s">
        <v>19</v>
      </c>
      <c r="F237" s="8">
        <v>0.6</v>
      </c>
      <c r="G237" s="8">
        <v>38.880000000000003</v>
      </c>
      <c r="H237" s="8">
        <v>1.0049999999999999</v>
      </c>
      <c r="I237" s="8">
        <v>1.2929999999999999</v>
      </c>
      <c r="J237" s="41">
        <v>33.200000000000003</v>
      </c>
      <c r="K237" s="8">
        <v>22</v>
      </c>
      <c r="L237" s="8">
        <f t="shared" si="57"/>
        <v>11.200000000000003</v>
      </c>
      <c r="M237" s="27">
        <f t="shared" si="58"/>
        <v>339.51589862399999</v>
      </c>
      <c r="N237" s="27"/>
      <c r="O237" s="8">
        <v>0.27700000000000002</v>
      </c>
      <c r="P237" s="18">
        <f t="shared" si="59"/>
        <v>94.045903918847998</v>
      </c>
      <c r="Q237" s="8">
        <f>31*16</f>
        <v>496</v>
      </c>
      <c r="R237" s="40">
        <f t="shared" si="60"/>
        <v>46.646768343748604</v>
      </c>
    </row>
    <row r="238" spans="5:18" ht="15" customHeight="1" x14ac:dyDescent="0.25">
      <c r="E238" s="44" t="s">
        <v>20</v>
      </c>
      <c r="F238" s="8">
        <v>0.6</v>
      </c>
      <c r="G238" s="8">
        <v>38.880000000000003</v>
      </c>
      <c r="H238" s="8">
        <v>1.0049999999999999</v>
      </c>
      <c r="I238" s="8">
        <v>1.2929999999999999</v>
      </c>
      <c r="J238" s="41">
        <v>33.1</v>
      </c>
      <c r="K238" s="8">
        <v>22</v>
      </c>
      <c r="L238" s="8">
        <f t="shared" si="57"/>
        <v>11.100000000000001</v>
      </c>
      <c r="M238" s="27">
        <f t="shared" si="58"/>
        <v>336.48450667199995</v>
      </c>
      <c r="N238" s="27"/>
      <c r="O238" s="8">
        <v>0.27700000000000002</v>
      </c>
      <c r="P238" s="18">
        <f t="shared" si="59"/>
        <v>93.206208348143988</v>
      </c>
      <c r="Q238" s="8">
        <f>30*16</f>
        <v>480</v>
      </c>
      <c r="R238" s="40">
        <f t="shared" si="60"/>
        <v>44.738980007109113</v>
      </c>
    </row>
    <row r="239" spans="5:18" ht="15" customHeight="1" x14ac:dyDescent="0.25">
      <c r="E239" s="44" t="s">
        <v>21</v>
      </c>
      <c r="F239" s="8">
        <v>0.6</v>
      </c>
      <c r="G239" s="8">
        <v>38.880000000000003</v>
      </c>
      <c r="H239" s="8">
        <v>1.0049999999999999</v>
      </c>
      <c r="I239" s="8">
        <v>1.2929999999999999</v>
      </c>
      <c r="J239" s="41">
        <v>32.9</v>
      </c>
      <c r="K239" s="8">
        <v>22</v>
      </c>
      <c r="L239" s="8">
        <f t="shared" si="57"/>
        <v>10.899999999999999</v>
      </c>
      <c r="M239" s="27">
        <f t="shared" si="58"/>
        <v>330.42172276799988</v>
      </c>
      <c r="N239" s="27"/>
      <c r="O239" s="8">
        <v>0.27700000000000002</v>
      </c>
      <c r="P239" s="18">
        <f t="shared" si="59"/>
        <v>91.52681720673597</v>
      </c>
      <c r="Q239" s="8">
        <f>31*16</f>
        <v>496</v>
      </c>
      <c r="R239" s="40">
        <f t="shared" si="60"/>
        <v>45.397301334541041</v>
      </c>
    </row>
    <row r="240" spans="5:18" ht="15" customHeight="1" x14ac:dyDescent="0.25">
      <c r="E240" s="44" t="s">
        <v>22</v>
      </c>
      <c r="F240" s="8">
        <v>0.6</v>
      </c>
      <c r="G240" s="8">
        <v>38.880000000000003</v>
      </c>
      <c r="H240" s="8">
        <v>1.0049999999999999</v>
      </c>
      <c r="I240" s="8">
        <v>1.2929999999999999</v>
      </c>
      <c r="J240" s="41">
        <v>33</v>
      </c>
      <c r="K240" s="8">
        <v>22</v>
      </c>
      <c r="L240" s="8">
        <f t="shared" si="57"/>
        <v>11</v>
      </c>
      <c r="M240" s="27">
        <f t="shared" si="58"/>
        <v>333.45311471999992</v>
      </c>
      <c r="N240" s="27"/>
      <c r="O240" s="8">
        <v>0.27700000000000002</v>
      </c>
      <c r="P240" s="18">
        <f t="shared" si="59"/>
        <v>92.366512777439979</v>
      </c>
      <c r="Q240" s="8">
        <f>30*16</f>
        <v>480</v>
      </c>
      <c r="R240" s="40">
        <f t="shared" si="60"/>
        <v>44.335926133171192</v>
      </c>
    </row>
    <row r="241" spans="5:18" ht="15" customHeight="1" x14ac:dyDescent="0.25">
      <c r="E241" s="44" t="s">
        <v>23</v>
      </c>
      <c r="F241" s="8">
        <v>0.6</v>
      </c>
      <c r="G241" s="8">
        <v>38.880000000000003</v>
      </c>
      <c r="H241" s="8">
        <v>1.0049999999999999</v>
      </c>
      <c r="I241" s="8">
        <v>1.2929999999999999</v>
      </c>
      <c r="J241" s="41">
        <v>32.9</v>
      </c>
      <c r="K241" s="8">
        <v>22</v>
      </c>
      <c r="L241" s="8">
        <f t="shared" si="57"/>
        <v>10.899999999999999</v>
      </c>
      <c r="M241" s="27">
        <f t="shared" si="58"/>
        <v>330.42172276799988</v>
      </c>
      <c r="N241" s="27"/>
      <c r="O241" s="8">
        <v>0.27700000000000002</v>
      </c>
      <c r="P241" s="18">
        <f t="shared" si="59"/>
        <v>91.52681720673597</v>
      </c>
      <c r="Q241" s="8">
        <f>31*16</f>
        <v>496</v>
      </c>
      <c r="R241" s="40">
        <f t="shared" si="60"/>
        <v>45.397301334541041</v>
      </c>
    </row>
    <row r="242" spans="5:18" ht="15" customHeight="1" x14ac:dyDescent="0.4">
      <c r="E242" s="314" t="s">
        <v>133</v>
      </c>
      <c r="F242" s="315"/>
      <c r="G242" s="315"/>
      <c r="H242" s="315"/>
      <c r="I242" s="315"/>
      <c r="J242" s="315"/>
      <c r="K242" s="315"/>
      <c r="L242" s="315"/>
      <c r="M242" s="315"/>
      <c r="N242" s="315"/>
      <c r="O242" s="315"/>
      <c r="P242" s="315"/>
      <c r="Q242" s="315"/>
      <c r="R242" s="84">
        <f>SUM(R230:R241)</f>
        <v>578.91971426616556</v>
      </c>
    </row>
    <row r="243" spans="5:18" ht="14" x14ac:dyDescent="0.25">
      <c r="E243" s="44" t="s">
        <v>15</v>
      </c>
      <c r="F243" s="8">
        <v>0.6</v>
      </c>
      <c r="G243" s="8">
        <v>38.880000000000003</v>
      </c>
      <c r="H243" s="8">
        <v>1.0049999999999999</v>
      </c>
      <c r="I243" s="8">
        <v>1.2929999999999999</v>
      </c>
      <c r="J243" s="71">
        <v>33.1</v>
      </c>
      <c r="K243" s="8">
        <v>23</v>
      </c>
      <c r="L243" s="8">
        <f>J243-K243</f>
        <v>10.100000000000001</v>
      </c>
      <c r="M243" s="27">
        <f>F243*G243*H243*I243*L243</f>
        <v>306.17058715199994</v>
      </c>
      <c r="N243" s="27"/>
      <c r="O243" s="8">
        <v>0.27700000000000002</v>
      </c>
      <c r="P243" s="18">
        <f>M243*O243</f>
        <v>84.809252641103996</v>
      </c>
      <c r="Q243" s="8">
        <f>31*16</f>
        <v>496</v>
      </c>
      <c r="R243" s="40">
        <f>(P243*Q243)/1000</f>
        <v>42.06538930998758</v>
      </c>
    </row>
    <row r="244" spans="5:18" ht="14" x14ac:dyDescent="0.25">
      <c r="E244" s="44" t="s">
        <v>16</v>
      </c>
      <c r="F244" s="8">
        <v>0.6</v>
      </c>
      <c r="G244" s="8">
        <v>38.880000000000003</v>
      </c>
      <c r="H244" s="8">
        <v>1.0049999999999999</v>
      </c>
      <c r="I244" s="8">
        <v>1.2929999999999999</v>
      </c>
      <c r="J244" s="71">
        <v>34</v>
      </c>
      <c r="K244" s="8">
        <v>23</v>
      </c>
      <c r="L244" s="8">
        <f t="shared" ref="L244:L254" si="61">J244-K244</f>
        <v>11</v>
      </c>
      <c r="M244" s="27">
        <f t="shared" ref="M244:M254" si="62">F244*G244*H244*I244*L244</f>
        <v>333.45311471999992</v>
      </c>
      <c r="N244" s="27"/>
      <c r="O244" s="8">
        <v>0.27700000000000002</v>
      </c>
      <c r="P244" s="18">
        <f t="shared" ref="P244:P254" si="63">M244*O244</f>
        <v>92.366512777439979</v>
      </c>
      <c r="Q244" s="8">
        <f>28*16</f>
        <v>448</v>
      </c>
      <c r="R244" s="40">
        <f t="shared" ref="R244:R254" si="64">(P244*Q244)/1000</f>
        <v>41.380197724293112</v>
      </c>
    </row>
    <row r="245" spans="5:18" ht="14" x14ac:dyDescent="0.25">
      <c r="E245" s="44" t="s">
        <v>17</v>
      </c>
      <c r="F245" s="8">
        <v>0.6</v>
      </c>
      <c r="G245" s="8">
        <v>38.880000000000003</v>
      </c>
      <c r="H245" s="8">
        <v>1.0049999999999999</v>
      </c>
      <c r="I245" s="8">
        <v>1.2929999999999999</v>
      </c>
      <c r="J245" s="71">
        <v>35</v>
      </c>
      <c r="K245" s="8">
        <v>23</v>
      </c>
      <c r="L245" s="8">
        <f t="shared" si="61"/>
        <v>12</v>
      </c>
      <c r="M245" s="27">
        <f t="shared" si="62"/>
        <v>363.76703423999993</v>
      </c>
      <c r="N245" s="27"/>
      <c r="O245" s="8">
        <v>0.27700000000000002</v>
      </c>
      <c r="P245" s="18">
        <f t="shared" si="63"/>
        <v>100.76346848447999</v>
      </c>
      <c r="Q245" s="8">
        <f>31*16</f>
        <v>496</v>
      </c>
      <c r="R245" s="40">
        <f t="shared" si="64"/>
        <v>49.978680368302072</v>
      </c>
    </row>
    <row r="246" spans="5:18" ht="14" x14ac:dyDescent="0.25">
      <c r="E246" s="44" t="s">
        <v>18</v>
      </c>
      <c r="F246" s="8">
        <v>0.6</v>
      </c>
      <c r="G246" s="8">
        <v>38.880000000000003</v>
      </c>
      <c r="H246" s="8">
        <v>1.0049999999999999</v>
      </c>
      <c r="I246" s="8">
        <v>1.2929999999999999</v>
      </c>
      <c r="J246" s="71">
        <v>35.5</v>
      </c>
      <c r="K246" s="8">
        <v>23</v>
      </c>
      <c r="L246" s="8">
        <f t="shared" si="61"/>
        <v>12.5</v>
      </c>
      <c r="M246" s="27">
        <f t="shared" si="62"/>
        <v>378.92399399999988</v>
      </c>
      <c r="N246" s="27"/>
      <c r="O246" s="8">
        <v>0.27700000000000002</v>
      </c>
      <c r="P246" s="18">
        <f t="shared" si="63"/>
        <v>104.96194633799998</v>
      </c>
      <c r="Q246" s="8">
        <f>30*16</f>
        <v>480</v>
      </c>
      <c r="R246" s="40">
        <f t="shared" si="64"/>
        <v>50.381734242239986</v>
      </c>
    </row>
    <row r="247" spans="5:18" ht="14" x14ac:dyDescent="0.25">
      <c r="E247" s="44" t="s">
        <v>12</v>
      </c>
      <c r="F247" s="8">
        <v>0.6</v>
      </c>
      <c r="G247" s="8">
        <v>38.880000000000003</v>
      </c>
      <c r="H247" s="8">
        <v>1.0049999999999999</v>
      </c>
      <c r="I247" s="8">
        <v>1.2929999999999999</v>
      </c>
      <c r="J247" s="71">
        <v>35.700000000000003</v>
      </c>
      <c r="K247" s="8">
        <v>23</v>
      </c>
      <c r="L247" s="8">
        <f t="shared" si="61"/>
        <v>12.700000000000003</v>
      </c>
      <c r="M247" s="27">
        <f t="shared" si="62"/>
        <v>384.98677790400001</v>
      </c>
      <c r="N247" s="27"/>
      <c r="O247" s="8">
        <v>0.27700000000000002</v>
      </c>
      <c r="P247" s="18">
        <f t="shared" si="63"/>
        <v>106.64133747940801</v>
      </c>
      <c r="Q247" s="8">
        <f>31*16</f>
        <v>496</v>
      </c>
      <c r="R247" s="40">
        <f t="shared" si="64"/>
        <v>52.894103389786373</v>
      </c>
    </row>
    <row r="248" spans="5:18" ht="14" x14ac:dyDescent="0.25">
      <c r="E248" s="44" t="s">
        <v>13</v>
      </c>
      <c r="F248" s="8">
        <v>0.6</v>
      </c>
      <c r="G248" s="8">
        <v>38.880000000000003</v>
      </c>
      <c r="H248" s="8">
        <v>1.0049999999999999</v>
      </c>
      <c r="I248" s="8">
        <v>1.2929999999999999</v>
      </c>
      <c r="J248" s="71">
        <v>34.1</v>
      </c>
      <c r="K248" s="8">
        <v>23</v>
      </c>
      <c r="L248" s="8">
        <f t="shared" si="61"/>
        <v>11.100000000000001</v>
      </c>
      <c r="M248" s="27">
        <f t="shared" si="62"/>
        <v>336.48450667199995</v>
      </c>
      <c r="N248" s="27"/>
      <c r="O248" s="8">
        <v>0.27700000000000002</v>
      </c>
      <c r="P248" s="18">
        <f t="shared" si="63"/>
        <v>93.206208348143988</v>
      </c>
      <c r="Q248" s="8">
        <f>30*16</f>
        <v>480</v>
      </c>
      <c r="R248" s="40">
        <f t="shared" si="64"/>
        <v>44.738980007109113</v>
      </c>
    </row>
    <row r="249" spans="5:18" ht="14" x14ac:dyDescent="0.25">
      <c r="E249" s="44" t="s">
        <v>24</v>
      </c>
      <c r="F249" s="8">
        <v>0.6</v>
      </c>
      <c r="G249" s="8">
        <v>38.880000000000003</v>
      </c>
      <c r="H249" s="8">
        <v>1.0049999999999999</v>
      </c>
      <c r="I249" s="8">
        <v>1.2929999999999999</v>
      </c>
      <c r="J249" s="41">
        <v>33.200000000000003</v>
      </c>
      <c r="K249" s="8">
        <v>23</v>
      </c>
      <c r="L249" s="8">
        <f t="shared" si="61"/>
        <v>10.200000000000003</v>
      </c>
      <c r="M249" s="27">
        <f t="shared" si="62"/>
        <v>309.20197910399997</v>
      </c>
      <c r="N249" s="27"/>
      <c r="O249" s="8">
        <v>0.27700000000000002</v>
      </c>
      <c r="P249" s="18">
        <f t="shared" si="63"/>
        <v>85.648948211808005</v>
      </c>
      <c r="Q249" s="8">
        <f>31*16</f>
        <v>496</v>
      </c>
      <c r="R249" s="40">
        <f t="shared" si="64"/>
        <v>42.481878313056768</v>
      </c>
    </row>
    <row r="250" spans="5:18" ht="14" x14ac:dyDescent="0.25">
      <c r="E250" s="44" t="s">
        <v>19</v>
      </c>
      <c r="F250" s="8">
        <v>0.6</v>
      </c>
      <c r="G250" s="8">
        <v>38.880000000000003</v>
      </c>
      <c r="H250" s="8">
        <v>1.0049999999999999</v>
      </c>
      <c r="I250" s="8">
        <v>1.2929999999999999</v>
      </c>
      <c r="J250" s="41">
        <v>33.200000000000003</v>
      </c>
      <c r="K250" s="8">
        <v>23</v>
      </c>
      <c r="L250" s="8">
        <f t="shared" si="61"/>
        <v>10.200000000000003</v>
      </c>
      <c r="M250" s="27">
        <f t="shared" si="62"/>
        <v>309.20197910399997</v>
      </c>
      <c r="N250" s="27"/>
      <c r="O250" s="8">
        <v>0.27700000000000002</v>
      </c>
      <c r="P250" s="18">
        <f t="shared" si="63"/>
        <v>85.648948211808005</v>
      </c>
      <c r="Q250" s="8">
        <f>31*16</f>
        <v>496</v>
      </c>
      <c r="R250" s="40">
        <f t="shared" si="64"/>
        <v>42.481878313056768</v>
      </c>
    </row>
    <row r="251" spans="5:18" ht="14" x14ac:dyDescent="0.25">
      <c r="E251" s="44" t="s">
        <v>20</v>
      </c>
      <c r="F251" s="8">
        <v>0.6</v>
      </c>
      <c r="G251" s="8">
        <v>38.880000000000003</v>
      </c>
      <c r="H251" s="8">
        <v>1.0049999999999999</v>
      </c>
      <c r="I251" s="8">
        <v>1.2929999999999999</v>
      </c>
      <c r="J251" s="41">
        <v>33.1</v>
      </c>
      <c r="K251" s="8">
        <v>23</v>
      </c>
      <c r="L251" s="8">
        <f t="shared" si="61"/>
        <v>10.100000000000001</v>
      </c>
      <c r="M251" s="27">
        <f t="shared" si="62"/>
        <v>306.17058715199994</v>
      </c>
      <c r="N251" s="27"/>
      <c r="O251" s="8">
        <v>0.27700000000000002</v>
      </c>
      <c r="P251" s="18">
        <f t="shared" si="63"/>
        <v>84.809252641103996</v>
      </c>
      <c r="Q251" s="8">
        <f>30*16</f>
        <v>480</v>
      </c>
      <c r="R251" s="40">
        <f t="shared" si="64"/>
        <v>40.708441267729917</v>
      </c>
    </row>
    <row r="252" spans="5:18" ht="14" x14ac:dyDescent="0.25">
      <c r="E252" s="44" t="s">
        <v>21</v>
      </c>
      <c r="F252" s="8">
        <v>0.6</v>
      </c>
      <c r="G252" s="8">
        <v>38.880000000000003</v>
      </c>
      <c r="H252" s="8">
        <v>1.0049999999999999</v>
      </c>
      <c r="I252" s="8">
        <v>1.2929999999999999</v>
      </c>
      <c r="J252" s="41">
        <v>32.9</v>
      </c>
      <c r="K252" s="8">
        <v>23</v>
      </c>
      <c r="L252" s="8">
        <f t="shared" si="61"/>
        <v>9.8999999999999986</v>
      </c>
      <c r="M252" s="27">
        <f t="shared" si="62"/>
        <v>300.10780324799987</v>
      </c>
      <c r="N252" s="27"/>
      <c r="O252" s="8">
        <v>0.27700000000000002</v>
      </c>
      <c r="P252" s="18">
        <f t="shared" si="63"/>
        <v>83.129861499695977</v>
      </c>
      <c r="Q252" s="8">
        <f>31*16</f>
        <v>496</v>
      </c>
      <c r="R252" s="40">
        <f t="shared" si="64"/>
        <v>41.232411303849204</v>
      </c>
    </row>
    <row r="253" spans="5:18" ht="14" x14ac:dyDescent="0.25">
      <c r="E253" s="44" t="s">
        <v>22</v>
      </c>
      <c r="F253" s="8">
        <v>0.6</v>
      </c>
      <c r="G253" s="8">
        <v>38.880000000000003</v>
      </c>
      <c r="H253" s="8">
        <v>1.0049999999999999</v>
      </c>
      <c r="I253" s="8">
        <v>1.2929999999999999</v>
      </c>
      <c r="J253" s="41">
        <v>33</v>
      </c>
      <c r="K253" s="8">
        <v>23</v>
      </c>
      <c r="L253" s="8">
        <f t="shared" si="61"/>
        <v>10</v>
      </c>
      <c r="M253" s="27">
        <f t="shared" si="62"/>
        <v>303.1391951999999</v>
      </c>
      <c r="N253" s="27"/>
      <c r="O253" s="8">
        <v>0.27700000000000002</v>
      </c>
      <c r="P253" s="18">
        <f t="shared" si="63"/>
        <v>83.969557070399986</v>
      </c>
      <c r="Q253" s="8">
        <f>30*16</f>
        <v>480</v>
      </c>
      <c r="R253" s="40">
        <f t="shared" si="64"/>
        <v>40.305387393791996</v>
      </c>
    </row>
    <row r="254" spans="5:18" ht="14" x14ac:dyDescent="0.25">
      <c r="E254" s="44" t="s">
        <v>23</v>
      </c>
      <c r="F254" s="8">
        <v>0.6</v>
      </c>
      <c r="G254" s="8">
        <v>38.880000000000003</v>
      </c>
      <c r="H254" s="8">
        <v>1.0049999999999999</v>
      </c>
      <c r="I254" s="8">
        <v>1.2929999999999999</v>
      </c>
      <c r="J254" s="41">
        <v>32.9</v>
      </c>
      <c r="K254" s="8">
        <v>23</v>
      </c>
      <c r="L254" s="8">
        <f t="shared" si="61"/>
        <v>9.8999999999999986</v>
      </c>
      <c r="M254" s="27">
        <f t="shared" si="62"/>
        <v>300.10780324799987</v>
      </c>
      <c r="N254" s="27"/>
      <c r="O254" s="8">
        <v>0.27700000000000002</v>
      </c>
      <c r="P254" s="18">
        <f t="shared" si="63"/>
        <v>83.129861499695977</v>
      </c>
      <c r="Q254" s="8">
        <f>31*16</f>
        <v>496</v>
      </c>
      <c r="R254" s="40">
        <f t="shared" si="64"/>
        <v>41.232411303849204</v>
      </c>
    </row>
    <row r="255" spans="5:18" ht="15" x14ac:dyDescent="0.4">
      <c r="E255" s="314" t="s">
        <v>88</v>
      </c>
      <c r="F255" s="315"/>
      <c r="G255" s="315"/>
      <c r="H255" s="315"/>
      <c r="I255" s="315"/>
      <c r="J255" s="315"/>
      <c r="K255" s="315"/>
      <c r="L255" s="315"/>
      <c r="M255" s="315"/>
      <c r="N255" s="315"/>
      <c r="O255" s="315"/>
      <c r="P255" s="315"/>
      <c r="Q255" s="315"/>
      <c r="R255" s="84">
        <f>SUM(R243:R254)</f>
        <v>529.88149293705203</v>
      </c>
    </row>
    <row r="256" spans="5:18" ht="14" x14ac:dyDescent="0.25">
      <c r="E256" s="44" t="s">
        <v>15</v>
      </c>
      <c r="F256" s="8">
        <v>0.6</v>
      </c>
      <c r="G256" s="8">
        <v>38.880000000000003</v>
      </c>
      <c r="H256" s="8">
        <v>1.0049999999999999</v>
      </c>
      <c r="I256" s="8">
        <v>1.2929999999999999</v>
      </c>
      <c r="J256" s="71">
        <v>33.1</v>
      </c>
      <c r="K256" s="8">
        <v>24</v>
      </c>
      <c r="L256" s="8">
        <f>J256-K256</f>
        <v>9.1000000000000014</v>
      </c>
      <c r="M256" s="27">
        <f>F256*G256*H256*I256*L256</f>
        <v>275.85666763199998</v>
      </c>
      <c r="N256" s="27"/>
      <c r="O256" s="8">
        <v>0.27700000000000002</v>
      </c>
      <c r="P256" s="18">
        <f>M256*O256</f>
        <v>76.412296934064003</v>
      </c>
      <c r="Q256" s="8">
        <f>31*16</f>
        <v>496</v>
      </c>
      <c r="R256" s="40">
        <f>(P256*Q256)/1000</f>
        <v>37.900499279295744</v>
      </c>
    </row>
    <row r="257" spans="5:18" ht="14" x14ac:dyDescent="0.25">
      <c r="E257" s="44" t="s">
        <v>16</v>
      </c>
      <c r="F257" s="8">
        <v>0.6</v>
      </c>
      <c r="G257" s="8">
        <v>38.880000000000003</v>
      </c>
      <c r="H257" s="8">
        <v>1.0049999999999999</v>
      </c>
      <c r="I257" s="8">
        <v>1.2929999999999999</v>
      </c>
      <c r="J257" s="71">
        <v>34</v>
      </c>
      <c r="K257" s="8">
        <v>24</v>
      </c>
      <c r="L257" s="8">
        <f t="shared" ref="L257:L267" si="65">J257-K257</f>
        <v>10</v>
      </c>
      <c r="M257" s="27">
        <f t="shared" ref="M257:M267" si="66">F257*G257*H257*I257*L257</f>
        <v>303.1391951999999</v>
      </c>
      <c r="N257" s="27"/>
      <c r="O257" s="8">
        <v>0.27700000000000002</v>
      </c>
      <c r="P257" s="18">
        <f t="shared" ref="P257:P267" si="67">M257*O257</f>
        <v>83.969557070399986</v>
      </c>
      <c r="Q257" s="8">
        <f>28*16</f>
        <v>448</v>
      </c>
      <c r="R257" s="40">
        <f t="shared" ref="R257:R267" si="68">(P257*Q257)/1000</f>
        <v>37.618361567539189</v>
      </c>
    </row>
    <row r="258" spans="5:18" ht="14" x14ac:dyDescent="0.25">
      <c r="E258" s="44" t="s">
        <v>17</v>
      </c>
      <c r="F258" s="8">
        <v>0.6</v>
      </c>
      <c r="G258" s="8">
        <v>38.880000000000003</v>
      </c>
      <c r="H258" s="8">
        <v>1.0049999999999999</v>
      </c>
      <c r="I258" s="8">
        <v>1.2929999999999999</v>
      </c>
      <c r="J258" s="71">
        <v>35</v>
      </c>
      <c r="K258" s="8">
        <v>24</v>
      </c>
      <c r="L258" s="8">
        <f t="shared" si="65"/>
        <v>11</v>
      </c>
      <c r="M258" s="27">
        <f t="shared" si="66"/>
        <v>333.45311471999992</v>
      </c>
      <c r="N258" s="27"/>
      <c r="O258" s="8">
        <v>0.27700000000000002</v>
      </c>
      <c r="P258" s="18">
        <f t="shared" si="67"/>
        <v>92.366512777439979</v>
      </c>
      <c r="Q258" s="8">
        <f>31*16</f>
        <v>496</v>
      </c>
      <c r="R258" s="40">
        <f t="shared" si="68"/>
        <v>45.813790337610236</v>
      </c>
    </row>
    <row r="259" spans="5:18" ht="14" x14ac:dyDescent="0.25">
      <c r="E259" s="44" t="s">
        <v>18</v>
      </c>
      <c r="F259" s="8">
        <v>0.6</v>
      </c>
      <c r="G259" s="8">
        <v>38.880000000000003</v>
      </c>
      <c r="H259" s="8">
        <v>1.0049999999999999</v>
      </c>
      <c r="I259" s="8">
        <v>1.2929999999999999</v>
      </c>
      <c r="J259" s="71">
        <v>35.5</v>
      </c>
      <c r="K259" s="8">
        <v>24</v>
      </c>
      <c r="L259" s="8">
        <f t="shared" si="65"/>
        <v>11.5</v>
      </c>
      <c r="M259" s="27">
        <f t="shared" si="66"/>
        <v>348.61007447999992</v>
      </c>
      <c r="N259" s="27"/>
      <c r="O259" s="8">
        <v>0.27700000000000002</v>
      </c>
      <c r="P259" s="18">
        <f t="shared" si="67"/>
        <v>96.564990630959983</v>
      </c>
      <c r="Q259" s="8">
        <f>30*16</f>
        <v>480</v>
      </c>
      <c r="R259" s="40">
        <f t="shared" si="68"/>
        <v>46.35119550286079</v>
      </c>
    </row>
    <row r="260" spans="5:18" ht="14" x14ac:dyDescent="0.25">
      <c r="E260" s="44" t="s">
        <v>12</v>
      </c>
      <c r="F260" s="8">
        <v>0.6</v>
      </c>
      <c r="G260" s="8">
        <v>38.880000000000003</v>
      </c>
      <c r="H260" s="8">
        <v>1.0049999999999999</v>
      </c>
      <c r="I260" s="8">
        <v>1.2929999999999999</v>
      </c>
      <c r="J260" s="71">
        <v>35.700000000000003</v>
      </c>
      <c r="K260" s="8">
        <v>24</v>
      </c>
      <c r="L260" s="8">
        <f t="shared" si="65"/>
        <v>11.700000000000003</v>
      </c>
      <c r="M260" s="27">
        <f t="shared" si="66"/>
        <v>354.67285838399999</v>
      </c>
      <c r="N260" s="27"/>
      <c r="O260" s="8">
        <v>0.27700000000000002</v>
      </c>
      <c r="P260" s="18">
        <f t="shared" si="67"/>
        <v>98.244381772368001</v>
      </c>
      <c r="Q260" s="8">
        <f>31*16</f>
        <v>496</v>
      </c>
      <c r="R260" s="40">
        <f t="shared" si="68"/>
        <v>48.72921335909453</v>
      </c>
    </row>
    <row r="261" spans="5:18" ht="14" x14ac:dyDescent="0.25">
      <c r="E261" s="44" t="s">
        <v>13</v>
      </c>
      <c r="F261" s="8">
        <v>0.6</v>
      </c>
      <c r="G261" s="8">
        <v>38.880000000000003</v>
      </c>
      <c r="H261" s="8">
        <v>1.0049999999999999</v>
      </c>
      <c r="I261" s="8">
        <v>1.2929999999999999</v>
      </c>
      <c r="J261" s="71">
        <v>34.1</v>
      </c>
      <c r="K261" s="8">
        <v>24</v>
      </c>
      <c r="L261" s="8">
        <f t="shared" si="65"/>
        <v>10.100000000000001</v>
      </c>
      <c r="M261" s="27">
        <f t="shared" si="66"/>
        <v>306.17058715199994</v>
      </c>
      <c r="N261" s="27"/>
      <c r="O261" s="8">
        <v>0.27700000000000002</v>
      </c>
      <c r="P261" s="18">
        <f t="shared" si="67"/>
        <v>84.809252641103996</v>
      </c>
      <c r="Q261" s="8">
        <f>30*16</f>
        <v>480</v>
      </c>
      <c r="R261" s="40">
        <f t="shared" si="68"/>
        <v>40.708441267729917</v>
      </c>
    </row>
    <row r="262" spans="5:18" ht="14" x14ac:dyDescent="0.25">
      <c r="E262" s="44" t="s">
        <v>24</v>
      </c>
      <c r="F262" s="8">
        <v>0.6</v>
      </c>
      <c r="G262" s="8">
        <v>38.880000000000003</v>
      </c>
      <c r="H262" s="8">
        <v>1.0049999999999999</v>
      </c>
      <c r="I262" s="8">
        <v>1.2929999999999999</v>
      </c>
      <c r="J262" s="41">
        <v>33.200000000000003</v>
      </c>
      <c r="K262" s="8">
        <v>24</v>
      </c>
      <c r="L262" s="8">
        <f t="shared" si="65"/>
        <v>9.2000000000000028</v>
      </c>
      <c r="M262" s="27">
        <f t="shared" si="66"/>
        <v>278.88805958400002</v>
      </c>
      <c r="N262" s="27"/>
      <c r="O262" s="8">
        <v>0.27700000000000002</v>
      </c>
      <c r="P262" s="18">
        <f t="shared" si="67"/>
        <v>77.251992504768012</v>
      </c>
      <c r="Q262" s="8">
        <f>31*16</f>
        <v>496</v>
      </c>
      <c r="R262" s="40">
        <f t="shared" si="68"/>
        <v>38.316988282364932</v>
      </c>
    </row>
    <row r="263" spans="5:18" ht="14" x14ac:dyDescent="0.25">
      <c r="E263" s="44" t="s">
        <v>19</v>
      </c>
      <c r="F263" s="8">
        <v>0.6</v>
      </c>
      <c r="G263" s="8">
        <v>38.880000000000003</v>
      </c>
      <c r="H263" s="8">
        <v>1.0049999999999999</v>
      </c>
      <c r="I263" s="8">
        <v>1.2929999999999999</v>
      </c>
      <c r="J263" s="41">
        <v>33.200000000000003</v>
      </c>
      <c r="K263" s="8">
        <v>24</v>
      </c>
      <c r="L263" s="8">
        <f t="shared" si="65"/>
        <v>9.2000000000000028</v>
      </c>
      <c r="M263" s="27">
        <f t="shared" si="66"/>
        <v>278.88805958400002</v>
      </c>
      <c r="N263" s="27"/>
      <c r="O263" s="8">
        <v>0.27700000000000002</v>
      </c>
      <c r="P263" s="18">
        <f t="shared" si="67"/>
        <v>77.251992504768012</v>
      </c>
      <c r="Q263" s="8">
        <f>31*16</f>
        <v>496</v>
      </c>
      <c r="R263" s="40">
        <f t="shared" si="68"/>
        <v>38.316988282364932</v>
      </c>
    </row>
    <row r="264" spans="5:18" ht="14" x14ac:dyDescent="0.25">
      <c r="E264" s="44" t="s">
        <v>20</v>
      </c>
      <c r="F264" s="8">
        <v>0.6</v>
      </c>
      <c r="G264" s="8">
        <v>38.880000000000003</v>
      </c>
      <c r="H264" s="8">
        <v>1.0049999999999999</v>
      </c>
      <c r="I264" s="8">
        <v>1.2929999999999999</v>
      </c>
      <c r="J264" s="41">
        <v>33.1</v>
      </c>
      <c r="K264" s="8">
        <v>24</v>
      </c>
      <c r="L264" s="8">
        <f t="shared" si="65"/>
        <v>9.1000000000000014</v>
      </c>
      <c r="M264" s="27">
        <f t="shared" si="66"/>
        <v>275.85666763199998</v>
      </c>
      <c r="N264" s="27"/>
      <c r="O264" s="8">
        <v>0.27700000000000002</v>
      </c>
      <c r="P264" s="18">
        <f t="shared" si="67"/>
        <v>76.412296934064003</v>
      </c>
      <c r="Q264" s="8">
        <f>30*16</f>
        <v>480</v>
      </c>
      <c r="R264" s="40">
        <f t="shared" si="68"/>
        <v>36.677902528350721</v>
      </c>
    </row>
    <row r="265" spans="5:18" ht="14" x14ac:dyDescent="0.25">
      <c r="E265" s="44" t="s">
        <v>21</v>
      </c>
      <c r="F265" s="8">
        <v>0.6</v>
      </c>
      <c r="G265" s="8">
        <v>38.880000000000003</v>
      </c>
      <c r="H265" s="8">
        <v>1.0049999999999999</v>
      </c>
      <c r="I265" s="8">
        <v>1.2929999999999999</v>
      </c>
      <c r="J265" s="41">
        <v>32.9</v>
      </c>
      <c r="K265" s="8">
        <v>24</v>
      </c>
      <c r="L265" s="8">
        <f t="shared" si="65"/>
        <v>8.8999999999999986</v>
      </c>
      <c r="M265" s="27">
        <f t="shared" si="66"/>
        <v>269.79388372799991</v>
      </c>
      <c r="N265" s="27"/>
      <c r="O265" s="8">
        <v>0.27700000000000002</v>
      </c>
      <c r="P265" s="18">
        <f t="shared" si="67"/>
        <v>74.732905792655984</v>
      </c>
      <c r="Q265" s="8">
        <f>31*16</f>
        <v>496</v>
      </c>
      <c r="R265" s="40">
        <f t="shared" si="68"/>
        <v>37.067521273157368</v>
      </c>
    </row>
    <row r="266" spans="5:18" ht="14" x14ac:dyDescent="0.25">
      <c r="E266" s="44" t="s">
        <v>22</v>
      </c>
      <c r="F266" s="8">
        <v>0.6</v>
      </c>
      <c r="G266" s="8">
        <v>38.880000000000003</v>
      </c>
      <c r="H266" s="8">
        <v>1.0049999999999999</v>
      </c>
      <c r="I266" s="8">
        <v>1.2929999999999999</v>
      </c>
      <c r="J266" s="41">
        <v>33</v>
      </c>
      <c r="K266" s="8">
        <v>24</v>
      </c>
      <c r="L266" s="8">
        <f t="shared" si="65"/>
        <v>9</v>
      </c>
      <c r="M266" s="27">
        <f t="shared" si="66"/>
        <v>272.82527567999995</v>
      </c>
      <c r="N266" s="27"/>
      <c r="O266" s="8">
        <v>0.27700000000000002</v>
      </c>
      <c r="P266" s="18">
        <f t="shared" si="67"/>
        <v>75.572601363359993</v>
      </c>
      <c r="Q266" s="8">
        <f>30*16</f>
        <v>480</v>
      </c>
      <c r="R266" s="40">
        <f t="shared" si="68"/>
        <v>36.274848654412793</v>
      </c>
    </row>
    <row r="267" spans="5:18" ht="14" x14ac:dyDescent="0.25">
      <c r="E267" s="44" t="s">
        <v>23</v>
      </c>
      <c r="F267" s="8">
        <v>0.6</v>
      </c>
      <c r="G267" s="8">
        <v>38.880000000000003</v>
      </c>
      <c r="H267" s="8">
        <v>1.0049999999999999</v>
      </c>
      <c r="I267" s="8">
        <v>1.2929999999999999</v>
      </c>
      <c r="J267" s="41">
        <v>32.9</v>
      </c>
      <c r="K267" s="8">
        <v>24</v>
      </c>
      <c r="L267" s="8">
        <f t="shared" si="65"/>
        <v>8.8999999999999986</v>
      </c>
      <c r="M267" s="27">
        <f t="shared" si="66"/>
        <v>269.79388372799991</v>
      </c>
      <c r="N267" s="27"/>
      <c r="O267" s="8">
        <v>0.27700000000000002</v>
      </c>
      <c r="P267" s="18">
        <f t="shared" si="67"/>
        <v>74.732905792655984</v>
      </c>
      <c r="Q267" s="8">
        <f>31*16</f>
        <v>496</v>
      </c>
      <c r="R267" s="40">
        <f t="shared" si="68"/>
        <v>37.067521273157368</v>
      </c>
    </row>
    <row r="268" spans="5:18" ht="15" x14ac:dyDescent="0.4">
      <c r="E268" s="314" t="s">
        <v>90</v>
      </c>
      <c r="F268" s="315"/>
      <c r="G268" s="315"/>
      <c r="H268" s="315"/>
      <c r="I268" s="315"/>
      <c r="J268" s="315"/>
      <c r="K268" s="315"/>
      <c r="L268" s="315"/>
      <c r="M268" s="315"/>
      <c r="N268" s="315"/>
      <c r="O268" s="315"/>
      <c r="P268" s="315"/>
      <c r="Q268" s="315"/>
      <c r="R268" s="84">
        <f>SUM(R256:R267)</f>
        <v>480.8432716079385</v>
      </c>
    </row>
    <row r="269" spans="5:18" ht="14" x14ac:dyDescent="0.25">
      <c r="E269" s="44" t="s">
        <v>15</v>
      </c>
      <c r="F269" s="8">
        <v>0.6</v>
      </c>
      <c r="G269" s="8">
        <v>38.880000000000003</v>
      </c>
      <c r="H269" s="8">
        <v>1.0049999999999999</v>
      </c>
      <c r="I269" s="8">
        <v>1.2929999999999999</v>
      </c>
      <c r="J269" s="71">
        <v>33.1</v>
      </c>
      <c r="K269" s="8">
        <v>25</v>
      </c>
      <c r="L269" s="8">
        <f>J269-K269</f>
        <v>8.1000000000000014</v>
      </c>
      <c r="M269" s="27">
        <f>F269*G269*H269*I269*L269</f>
        <v>245.54274811199997</v>
      </c>
      <c r="N269" s="27"/>
      <c r="O269" s="8">
        <v>0.27700000000000002</v>
      </c>
      <c r="P269" s="18">
        <f>M269*O269</f>
        <v>68.015341227023995</v>
      </c>
      <c r="Q269" s="8">
        <f>31*16</f>
        <v>496</v>
      </c>
      <c r="R269" s="40">
        <f>(P269*Q269)/1000</f>
        <v>33.735609248603907</v>
      </c>
    </row>
    <row r="270" spans="5:18" ht="14" x14ac:dyDescent="0.25">
      <c r="E270" s="44" t="s">
        <v>16</v>
      </c>
      <c r="F270" s="8">
        <v>0.6</v>
      </c>
      <c r="G270" s="8">
        <v>38.880000000000003</v>
      </c>
      <c r="H270" s="8">
        <v>1.0049999999999999</v>
      </c>
      <c r="I270" s="8">
        <v>1.2929999999999999</v>
      </c>
      <c r="J270" s="71">
        <v>34</v>
      </c>
      <c r="K270" s="8">
        <v>25</v>
      </c>
      <c r="L270" s="8">
        <f t="shared" ref="L270:L280" si="69">J270-K270</f>
        <v>9</v>
      </c>
      <c r="M270" s="27">
        <f t="shared" ref="M270:M280" si="70">F270*G270*H270*I270*L270</f>
        <v>272.82527567999995</v>
      </c>
      <c r="N270" s="27"/>
      <c r="O270" s="8">
        <v>0.27700000000000002</v>
      </c>
      <c r="P270" s="18">
        <f t="shared" ref="P270:P280" si="71">M270*O270</f>
        <v>75.572601363359993</v>
      </c>
      <c r="Q270" s="8">
        <f>28*16</f>
        <v>448</v>
      </c>
      <c r="R270" s="40">
        <f t="shared" ref="R270:R280" si="72">(P270*Q270)/1000</f>
        <v>33.856525410785274</v>
      </c>
    </row>
    <row r="271" spans="5:18" ht="14" x14ac:dyDescent="0.25">
      <c r="E271" s="44" t="s">
        <v>17</v>
      </c>
      <c r="F271" s="8">
        <v>0.6</v>
      </c>
      <c r="G271" s="8">
        <v>38.880000000000003</v>
      </c>
      <c r="H271" s="8">
        <v>1.0049999999999999</v>
      </c>
      <c r="I271" s="8">
        <v>1.2929999999999999</v>
      </c>
      <c r="J271" s="71">
        <v>35</v>
      </c>
      <c r="K271" s="8">
        <v>25</v>
      </c>
      <c r="L271" s="8">
        <f t="shared" si="69"/>
        <v>10</v>
      </c>
      <c r="M271" s="27">
        <f t="shared" si="70"/>
        <v>303.1391951999999</v>
      </c>
      <c r="N271" s="27"/>
      <c r="O271" s="8">
        <v>0.27700000000000002</v>
      </c>
      <c r="P271" s="18">
        <f t="shared" si="71"/>
        <v>83.969557070399986</v>
      </c>
      <c r="Q271" s="8">
        <f>31*16</f>
        <v>496</v>
      </c>
      <c r="R271" s="40">
        <f t="shared" si="72"/>
        <v>41.648900306918399</v>
      </c>
    </row>
    <row r="272" spans="5:18" ht="14" x14ac:dyDescent="0.25">
      <c r="E272" s="44" t="s">
        <v>18</v>
      </c>
      <c r="F272" s="8">
        <v>0.6</v>
      </c>
      <c r="G272" s="8">
        <v>38.880000000000003</v>
      </c>
      <c r="H272" s="8">
        <v>1.0049999999999999</v>
      </c>
      <c r="I272" s="8">
        <v>1.2929999999999999</v>
      </c>
      <c r="J272" s="71">
        <v>35.5</v>
      </c>
      <c r="K272" s="8">
        <v>25</v>
      </c>
      <c r="L272" s="8">
        <f t="shared" si="69"/>
        <v>10.5</v>
      </c>
      <c r="M272" s="27">
        <f t="shared" si="70"/>
        <v>318.29615495999991</v>
      </c>
      <c r="N272" s="27"/>
      <c r="O272" s="8">
        <v>0.27700000000000002</v>
      </c>
      <c r="P272" s="18">
        <f t="shared" si="71"/>
        <v>88.16803492391999</v>
      </c>
      <c r="Q272" s="8">
        <f>30*16</f>
        <v>480</v>
      </c>
      <c r="R272" s="40">
        <f t="shared" si="72"/>
        <v>42.320656763481594</v>
      </c>
    </row>
    <row r="273" spans="5:18" ht="14" x14ac:dyDescent="0.25">
      <c r="E273" s="44" t="s">
        <v>12</v>
      </c>
      <c r="F273" s="8">
        <v>0.6</v>
      </c>
      <c r="G273" s="8">
        <v>38.880000000000003</v>
      </c>
      <c r="H273" s="8">
        <v>1.0049999999999999</v>
      </c>
      <c r="I273" s="8">
        <v>1.2929999999999999</v>
      </c>
      <c r="J273" s="71">
        <v>35.700000000000003</v>
      </c>
      <c r="K273" s="8">
        <v>25</v>
      </c>
      <c r="L273" s="8">
        <f t="shared" si="69"/>
        <v>10.700000000000003</v>
      </c>
      <c r="M273" s="27">
        <f t="shared" si="70"/>
        <v>324.35893886399998</v>
      </c>
      <c r="N273" s="27"/>
      <c r="O273" s="8">
        <v>0.27700000000000002</v>
      </c>
      <c r="P273" s="18">
        <f t="shared" si="71"/>
        <v>89.847426065328008</v>
      </c>
      <c r="Q273" s="8">
        <f>31*16</f>
        <v>496</v>
      </c>
      <c r="R273" s="40">
        <f t="shared" si="72"/>
        <v>44.564323328402693</v>
      </c>
    </row>
    <row r="274" spans="5:18" ht="14" x14ac:dyDescent="0.25">
      <c r="E274" s="44" t="s">
        <v>13</v>
      </c>
      <c r="F274" s="8">
        <v>0.6</v>
      </c>
      <c r="G274" s="8">
        <v>38.880000000000003</v>
      </c>
      <c r="H274" s="8">
        <v>1.0049999999999999</v>
      </c>
      <c r="I274" s="8">
        <v>1.2929999999999999</v>
      </c>
      <c r="J274" s="71">
        <v>34.1</v>
      </c>
      <c r="K274" s="8">
        <v>25</v>
      </c>
      <c r="L274" s="8">
        <f t="shared" si="69"/>
        <v>9.1000000000000014</v>
      </c>
      <c r="M274" s="27">
        <f t="shared" si="70"/>
        <v>275.85666763199998</v>
      </c>
      <c r="N274" s="27"/>
      <c r="O274" s="8">
        <v>0.27700000000000002</v>
      </c>
      <c r="P274" s="18">
        <f t="shared" si="71"/>
        <v>76.412296934064003</v>
      </c>
      <c r="Q274" s="8">
        <f>30*16</f>
        <v>480</v>
      </c>
      <c r="R274" s="40">
        <f t="shared" si="72"/>
        <v>36.677902528350721</v>
      </c>
    </row>
    <row r="275" spans="5:18" ht="14" x14ac:dyDescent="0.25">
      <c r="E275" s="44" t="s">
        <v>24</v>
      </c>
      <c r="F275" s="8">
        <v>0.6</v>
      </c>
      <c r="G275" s="8">
        <v>38.880000000000003</v>
      </c>
      <c r="H275" s="8">
        <v>1.0049999999999999</v>
      </c>
      <c r="I275" s="8">
        <v>1.2929999999999999</v>
      </c>
      <c r="J275" s="41">
        <v>33.200000000000003</v>
      </c>
      <c r="K275" s="8">
        <v>25</v>
      </c>
      <c r="L275" s="8">
        <f t="shared" si="69"/>
        <v>8.2000000000000028</v>
      </c>
      <c r="M275" s="27">
        <f t="shared" si="70"/>
        <v>248.57414006400001</v>
      </c>
      <c r="N275" s="27"/>
      <c r="O275" s="8">
        <v>0.27700000000000002</v>
      </c>
      <c r="P275" s="18">
        <f t="shared" si="71"/>
        <v>68.855036797728005</v>
      </c>
      <c r="Q275" s="8">
        <f>31*16</f>
        <v>496</v>
      </c>
      <c r="R275" s="40">
        <f t="shared" si="72"/>
        <v>34.152098251673088</v>
      </c>
    </row>
    <row r="276" spans="5:18" ht="14" x14ac:dyDescent="0.25">
      <c r="E276" s="44" t="s">
        <v>19</v>
      </c>
      <c r="F276" s="8">
        <v>0.6</v>
      </c>
      <c r="G276" s="8">
        <v>38.880000000000003</v>
      </c>
      <c r="H276" s="8">
        <v>1.0049999999999999</v>
      </c>
      <c r="I276" s="8">
        <v>1.2929999999999999</v>
      </c>
      <c r="J276" s="41">
        <v>33.200000000000003</v>
      </c>
      <c r="K276" s="8">
        <v>25</v>
      </c>
      <c r="L276" s="8">
        <f t="shared" si="69"/>
        <v>8.2000000000000028</v>
      </c>
      <c r="M276" s="27">
        <f t="shared" si="70"/>
        <v>248.57414006400001</v>
      </c>
      <c r="N276" s="27"/>
      <c r="O276" s="8">
        <v>0.27700000000000002</v>
      </c>
      <c r="P276" s="18">
        <f t="shared" si="71"/>
        <v>68.855036797728005</v>
      </c>
      <c r="Q276" s="8">
        <f>31*16</f>
        <v>496</v>
      </c>
      <c r="R276" s="40">
        <f t="shared" si="72"/>
        <v>34.152098251673088</v>
      </c>
    </row>
    <row r="277" spans="5:18" ht="14" x14ac:dyDescent="0.25">
      <c r="E277" s="44" t="s">
        <v>20</v>
      </c>
      <c r="F277" s="8">
        <v>0.6</v>
      </c>
      <c r="G277" s="8">
        <v>38.880000000000003</v>
      </c>
      <c r="H277" s="8">
        <v>1.0049999999999999</v>
      </c>
      <c r="I277" s="8">
        <v>1.2929999999999999</v>
      </c>
      <c r="J277" s="41">
        <v>33.1</v>
      </c>
      <c r="K277" s="8">
        <v>25</v>
      </c>
      <c r="L277" s="8">
        <f t="shared" si="69"/>
        <v>8.1000000000000014</v>
      </c>
      <c r="M277" s="27">
        <f t="shared" si="70"/>
        <v>245.54274811199997</v>
      </c>
      <c r="N277" s="27"/>
      <c r="O277" s="8">
        <v>0.27700000000000002</v>
      </c>
      <c r="P277" s="18">
        <f t="shared" si="71"/>
        <v>68.015341227023995</v>
      </c>
      <c r="Q277" s="8">
        <f>30*16</f>
        <v>480</v>
      </c>
      <c r="R277" s="40">
        <f t="shared" si="72"/>
        <v>32.647363788971518</v>
      </c>
    </row>
    <row r="278" spans="5:18" ht="14" x14ac:dyDescent="0.25">
      <c r="E278" s="44" t="s">
        <v>21</v>
      </c>
      <c r="F278" s="8">
        <v>0.6</v>
      </c>
      <c r="G278" s="8">
        <v>38.880000000000003</v>
      </c>
      <c r="H278" s="8">
        <v>1.0049999999999999</v>
      </c>
      <c r="I278" s="8">
        <v>1.2929999999999999</v>
      </c>
      <c r="J278" s="41">
        <v>32.9</v>
      </c>
      <c r="K278" s="8">
        <v>25</v>
      </c>
      <c r="L278" s="8">
        <f t="shared" si="69"/>
        <v>7.8999999999999986</v>
      </c>
      <c r="M278" s="27">
        <f t="shared" si="70"/>
        <v>239.4799642079999</v>
      </c>
      <c r="N278" s="27"/>
      <c r="O278" s="8">
        <v>0.27700000000000002</v>
      </c>
      <c r="P278" s="18">
        <f t="shared" si="71"/>
        <v>66.335950085615977</v>
      </c>
      <c r="Q278" s="8">
        <f>31*16</f>
        <v>496</v>
      </c>
      <c r="R278" s="40">
        <f t="shared" si="72"/>
        <v>32.902631242465525</v>
      </c>
    </row>
    <row r="279" spans="5:18" ht="14" x14ac:dyDescent="0.25">
      <c r="E279" s="44" t="s">
        <v>22</v>
      </c>
      <c r="F279" s="8">
        <v>0.6</v>
      </c>
      <c r="G279" s="8">
        <v>38.880000000000003</v>
      </c>
      <c r="H279" s="8">
        <v>1.0049999999999999</v>
      </c>
      <c r="I279" s="8">
        <v>1.2929999999999999</v>
      </c>
      <c r="J279" s="41">
        <v>33</v>
      </c>
      <c r="K279" s="8">
        <v>25</v>
      </c>
      <c r="L279" s="8">
        <f t="shared" si="69"/>
        <v>8</v>
      </c>
      <c r="M279" s="27">
        <f t="shared" si="70"/>
        <v>242.51135615999993</v>
      </c>
      <c r="N279" s="27"/>
      <c r="O279" s="8">
        <v>0.27700000000000002</v>
      </c>
      <c r="P279" s="18">
        <f t="shared" si="71"/>
        <v>67.175645656319986</v>
      </c>
      <c r="Q279" s="8">
        <f>30*16</f>
        <v>480</v>
      </c>
      <c r="R279" s="40">
        <f t="shared" si="72"/>
        <v>32.244309915033597</v>
      </c>
    </row>
    <row r="280" spans="5:18" ht="14" x14ac:dyDescent="0.25">
      <c r="E280" s="44" t="s">
        <v>23</v>
      </c>
      <c r="F280" s="8">
        <v>0.6</v>
      </c>
      <c r="G280" s="8">
        <v>38.880000000000003</v>
      </c>
      <c r="H280" s="8">
        <v>1.0049999999999999</v>
      </c>
      <c r="I280" s="8">
        <v>1.2929999999999999</v>
      </c>
      <c r="J280" s="41">
        <v>32.9</v>
      </c>
      <c r="K280" s="8">
        <v>25</v>
      </c>
      <c r="L280" s="8">
        <f t="shared" si="69"/>
        <v>7.8999999999999986</v>
      </c>
      <c r="M280" s="27">
        <f t="shared" si="70"/>
        <v>239.4799642079999</v>
      </c>
      <c r="N280" s="27"/>
      <c r="O280" s="8">
        <v>0.27700000000000002</v>
      </c>
      <c r="P280" s="18">
        <f t="shared" si="71"/>
        <v>66.335950085615977</v>
      </c>
      <c r="Q280" s="8">
        <f>31*16</f>
        <v>496</v>
      </c>
      <c r="R280" s="40">
        <f t="shared" si="72"/>
        <v>32.902631242465525</v>
      </c>
    </row>
    <row r="281" spans="5:18" ht="15" x14ac:dyDescent="0.4">
      <c r="E281" s="314" t="s">
        <v>91</v>
      </c>
      <c r="F281" s="315"/>
      <c r="G281" s="315"/>
      <c r="H281" s="315"/>
      <c r="I281" s="315"/>
      <c r="J281" s="315"/>
      <c r="K281" s="315"/>
      <c r="L281" s="315"/>
      <c r="M281" s="315"/>
      <c r="N281" s="315"/>
      <c r="O281" s="315"/>
      <c r="P281" s="315"/>
      <c r="Q281" s="315"/>
      <c r="R281" s="84">
        <f>SUM(R269:R280)</f>
        <v>431.80505027882487</v>
      </c>
    </row>
    <row r="282" spans="5:18" ht="14" x14ac:dyDescent="0.25">
      <c r="E282" s="44" t="s">
        <v>15</v>
      </c>
      <c r="F282" s="8">
        <v>0.6</v>
      </c>
      <c r="G282" s="8">
        <v>38.880000000000003</v>
      </c>
      <c r="H282" s="8">
        <v>1.0049999999999999</v>
      </c>
      <c r="I282" s="8">
        <v>1.2929999999999999</v>
      </c>
      <c r="J282" s="71">
        <v>33.1</v>
      </c>
      <c r="K282" s="8">
        <v>26</v>
      </c>
      <c r="L282" s="8">
        <f>J282-K282</f>
        <v>7.1000000000000014</v>
      </c>
      <c r="M282" s="27">
        <f>F282*G282*H282*I282*L282</f>
        <v>215.22882859199999</v>
      </c>
      <c r="N282" s="27"/>
      <c r="O282" s="8">
        <v>0.27700000000000002</v>
      </c>
      <c r="P282" s="18">
        <f>M282*O282</f>
        <v>59.618385519984002</v>
      </c>
      <c r="Q282" s="8">
        <f>31*16</f>
        <v>496</v>
      </c>
      <c r="R282" s="40">
        <f>(P282*Q282)/1000</f>
        <v>29.570719217912064</v>
      </c>
    </row>
    <row r="283" spans="5:18" ht="14" x14ac:dyDescent="0.25">
      <c r="E283" s="44" t="s">
        <v>16</v>
      </c>
      <c r="F283" s="8">
        <v>0.6</v>
      </c>
      <c r="G283" s="8">
        <v>38.880000000000003</v>
      </c>
      <c r="H283" s="8">
        <v>1.0049999999999999</v>
      </c>
      <c r="I283" s="8">
        <v>1.2929999999999999</v>
      </c>
      <c r="J283" s="71">
        <v>34</v>
      </c>
      <c r="K283" s="8">
        <v>26</v>
      </c>
      <c r="L283" s="8">
        <f t="shared" ref="L283:L293" si="73">J283-K283</f>
        <v>8</v>
      </c>
      <c r="M283" s="27">
        <f t="shared" ref="M283:M293" si="74">F283*G283*H283*I283*L283</f>
        <v>242.51135615999993</v>
      </c>
      <c r="N283" s="27"/>
      <c r="O283" s="8">
        <v>0.27700000000000002</v>
      </c>
      <c r="P283" s="18">
        <f t="shared" ref="P283:P293" si="75">M283*O283</f>
        <v>67.175645656319986</v>
      </c>
      <c r="Q283" s="8">
        <f>28*16</f>
        <v>448</v>
      </c>
      <c r="R283" s="40">
        <f t="shared" ref="R283:R293" si="76">(P283*Q283)/1000</f>
        <v>30.094689254031351</v>
      </c>
    </row>
    <row r="284" spans="5:18" ht="14" x14ac:dyDescent="0.25">
      <c r="E284" s="44" t="s">
        <v>17</v>
      </c>
      <c r="F284" s="8">
        <v>0.6</v>
      </c>
      <c r="G284" s="8">
        <v>38.880000000000003</v>
      </c>
      <c r="H284" s="8">
        <v>1.0049999999999999</v>
      </c>
      <c r="I284" s="8">
        <v>1.2929999999999999</v>
      </c>
      <c r="J284" s="71">
        <v>35</v>
      </c>
      <c r="K284" s="8">
        <v>26</v>
      </c>
      <c r="L284" s="8">
        <f t="shared" si="73"/>
        <v>9</v>
      </c>
      <c r="M284" s="27">
        <f t="shared" si="74"/>
        <v>272.82527567999995</v>
      </c>
      <c r="N284" s="27"/>
      <c r="O284" s="8">
        <v>0.27700000000000002</v>
      </c>
      <c r="P284" s="18">
        <f t="shared" si="75"/>
        <v>75.572601363359993</v>
      </c>
      <c r="Q284" s="8">
        <f>31*16</f>
        <v>496</v>
      </c>
      <c r="R284" s="40">
        <f t="shared" si="76"/>
        <v>37.484010276226563</v>
      </c>
    </row>
    <row r="285" spans="5:18" ht="14" x14ac:dyDescent="0.25">
      <c r="E285" s="44" t="s">
        <v>18</v>
      </c>
      <c r="F285" s="8">
        <v>0.6</v>
      </c>
      <c r="G285" s="8">
        <v>38.880000000000003</v>
      </c>
      <c r="H285" s="8">
        <v>1.0049999999999999</v>
      </c>
      <c r="I285" s="8">
        <v>1.2929999999999999</v>
      </c>
      <c r="J285" s="71">
        <v>35.5</v>
      </c>
      <c r="K285" s="8">
        <v>26</v>
      </c>
      <c r="L285" s="8">
        <f t="shared" si="73"/>
        <v>9.5</v>
      </c>
      <c r="M285" s="27">
        <f t="shared" si="74"/>
        <v>287.9822354399999</v>
      </c>
      <c r="N285" s="27"/>
      <c r="O285" s="8">
        <v>0.27700000000000002</v>
      </c>
      <c r="P285" s="18">
        <f t="shared" si="75"/>
        <v>79.771079216879983</v>
      </c>
      <c r="Q285" s="8">
        <f>30*16</f>
        <v>480</v>
      </c>
      <c r="R285" s="40">
        <f t="shared" si="76"/>
        <v>38.290118024102391</v>
      </c>
    </row>
    <row r="286" spans="5:18" ht="14" x14ac:dyDescent="0.25">
      <c r="E286" s="44" t="s">
        <v>12</v>
      </c>
      <c r="F286" s="8">
        <v>0.6</v>
      </c>
      <c r="G286" s="8">
        <v>38.880000000000003</v>
      </c>
      <c r="H286" s="8">
        <v>1.0049999999999999</v>
      </c>
      <c r="I286" s="8">
        <v>1.2929999999999999</v>
      </c>
      <c r="J286" s="71">
        <v>35.700000000000003</v>
      </c>
      <c r="K286" s="8">
        <v>26</v>
      </c>
      <c r="L286" s="8">
        <f t="shared" si="73"/>
        <v>9.7000000000000028</v>
      </c>
      <c r="M286" s="27">
        <f t="shared" si="74"/>
        <v>294.04501934400002</v>
      </c>
      <c r="N286" s="27"/>
      <c r="O286" s="8">
        <v>0.27700000000000002</v>
      </c>
      <c r="P286" s="18">
        <f t="shared" si="75"/>
        <v>81.450470358288015</v>
      </c>
      <c r="Q286" s="8">
        <f>31*16</f>
        <v>496</v>
      </c>
      <c r="R286" s="40">
        <f t="shared" si="76"/>
        <v>40.399433297710857</v>
      </c>
    </row>
    <row r="287" spans="5:18" ht="14" x14ac:dyDescent="0.25">
      <c r="E287" s="44" t="s">
        <v>13</v>
      </c>
      <c r="F287" s="8">
        <v>0.6</v>
      </c>
      <c r="G287" s="8">
        <v>38.880000000000003</v>
      </c>
      <c r="H287" s="8">
        <v>1.0049999999999999</v>
      </c>
      <c r="I287" s="8">
        <v>1.2929999999999999</v>
      </c>
      <c r="J287" s="71">
        <v>34.1</v>
      </c>
      <c r="K287" s="8">
        <v>26</v>
      </c>
      <c r="L287" s="8">
        <f t="shared" si="73"/>
        <v>8.1000000000000014</v>
      </c>
      <c r="M287" s="27">
        <f t="shared" si="74"/>
        <v>245.54274811199997</v>
      </c>
      <c r="N287" s="27"/>
      <c r="O287" s="8">
        <v>0.27700000000000002</v>
      </c>
      <c r="P287" s="18">
        <f t="shared" si="75"/>
        <v>68.015341227023995</v>
      </c>
      <c r="Q287" s="8">
        <f>30*16</f>
        <v>480</v>
      </c>
      <c r="R287" s="40">
        <f t="shared" si="76"/>
        <v>32.647363788971518</v>
      </c>
    </row>
    <row r="288" spans="5:18" ht="14" x14ac:dyDescent="0.25">
      <c r="E288" s="44" t="s">
        <v>24</v>
      </c>
      <c r="F288" s="8">
        <v>0.6</v>
      </c>
      <c r="G288" s="8">
        <v>38.880000000000003</v>
      </c>
      <c r="H288" s="8">
        <v>1.0049999999999999</v>
      </c>
      <c r="I288" s="8">
        <v>1.2929999999999999</v>
      </c>
      <c r="J288" s="41">
        <v>33.200000000000003</v>
      </c>
      <c r="K288" s="8">
        <v>26</v>
      </c>
      <c r="L288" s="8">
        <f t="shared" si="73"/>
        <v>7.2000000000000028</v>
      </c>
      <c r="M288" s="27">
        <f t="shared" si="74"/>
        <v>218.26022054400002</v>
      </c>
      <c r="N288" s="27"/>
      <c r="O288" s="8">
        <v>0.27700000000000002</v>
      </c>
      <c r="P288" s="18">
        <f t="shared" si="75"/>
        <v>60.458081090688012</v>
      </c>
      <c r="Q288" s="8">
        <f>31*16</f>
        <v>496</v>
      </c>
      <c r="R288" s="40">
        <f t="shared" si="76"/>
        <v>29.987208220981255</v>
      </c>
    </row>
    <row r="289" spans="5:18" ht="14" x14ac:dyDescent="0.25">
      <c r="E289" s="44" t="s">
        <v>19</v>
      </c>
      <c r="F289" s="8">
        <v>0.6</v>
      </c>
      <c r="G289" s="8">
        <v>38.880000000000003</v>
      </c>
      <c r="H289" s="8">
        <v>1.0049999999999999</v>
      </c>
      <c r="I289" s="8">
        <v>1.2929999999999999</v>
      </c>
      <c r="J289" s="41">
        <v>33.200000000000003</v>
      </c>
      <c r="K289" s="8">
        <v>26</v>
      </c>
      <c r="L289" s="8">
        <f t="shared" si="73"/>
        <v>7.2000000000000028</v>
      </c>
      <c r="M289" s="27">
        <f t="shared" si="74"/>
        <v>218.26022054400002</v>
      </c>
      <c r="N289" s="27"/>
      <c r="O289" s="8">
        <v>0.27700000000000002</v>
      </c>
      <c r="P289" s="18">
        <f t="shared" si="75"/>
        <v>60.458081090688012</v>
      </c>
      <c r="Q289" s="8">
        <f>31*16</f>
        <v>496</v>
      </c>
      <c r="R289" s="40">
        <f t="shared" si="76"/>
        <v>29.987208220981255</v>
      </c>
    </row>
    <row r="290" spans="5:18" ht="14" x14ac:dyDescent="0.25">
      <c r="E290" s="44" t="s">
        <v>20</v>
      </c>
      <c r="F290" s="8">
        <v>0.6</v>
      </c>
      <c r="G290" s="8">
        <v>38.880000000000003</v>
      </c>
      <c r="H290" s="8">
        <v>1.0049999999999999</v>
      </c>
      <c r="I290" s="8">
        <v>1.2929999999999999</v>
      </c>
      <c r="J290" s="41">
        <v>33.1</v>
      </c>
      <c r="K290" s="8">
        <v>26</v>
      </c>
      <c r="L290" s="8">
        <f t="shared" si="73"/>
        <v>7.1000000000000014</v>
      </c>
      <c r="M290" s="27">
        <f t="shared" si="74"/>
        <v>215.22882859199999</v>
      </c>
      <c r="N290" s="27"/>
      <c r="O290" s="8">
        <v>0.27700000000000002</v>
      </c>
      <c r="P290" s="18">
        <f t="shared" si="75"/>
        <v>59.618385519984002</v>
      </c>
      <c r="Q290" s="8">
        <f>30*16</f>
        <v>480</v>
      </c>
      <c r="R290" s="40">
        <f t="shared" si="76"/>
        <v>28.616825049592322</v>
      </c>
    </row>
    <row r="291" spans="5:18" ht="14" x14ac:dyDescent="0.25">
      <c r="E291" s="44" t="s">
        <v>21</v>
      </c>
      <c r="F291" s="8">
        <v>0.6</v>
      </c>
      <c r="G291" s="8">
        <v>38.880000000000003</v>
      </c>
      <c r="H291" s="8">
        <v>1.0049999999999999</v>
      </c>
      <c r="I291" s="8">
        <v>1.2929999999999999</v>
      </c>
      <c r="J291" s="41">
        <v>32.9</v>
      </c>
      <c r="K291" s="8">
        <v>26</v>
      </c>
      <c r="L291" s="8">
        <f t="shared" si="73"/>
        <v>6.8999999999999986</v>
      </c>
      <c r="M291" s="27">
        <f t="shared" si="74"/>
        <v>209.16604468799991</v>
      </c>
      <c r="N291" s="27"/>
      <c r="O291" s="8">
        <v>0.27700000000000002</v>
      </c>
      <c r="P291" s="18">
        <f t="shared" si="75"/>
        <v>57.938994378575984</v>
      </c>
      <c r="Q291" s="8">
        <f>31*16</f>
        <v>496</v>
      </c>
      <c r="R291" s="40">
        <f t="shared" si="76"/>
        <v>28.737741211773688</v>
      </c>
    </row>
    <row r="292" spans="5:18" ht="14" x14ac:dyDescent="0.25">
      <c r="E292" s="44" t="s">
        <v>22</v>
      </c>
      <c r="F292" s="8">
        <v>0.6</v>
      </c>
      <c r="G292" s="8">
        <v>38.880000000000003</v>
      </c>
      <c r="H292" s="8">
        <v>1.0049999999999999</v>
      </c>
      <c r="I292" s="8">
        <v>1.2929999999999999</v>
      </c>
      <c r="J292" s="41">
        <v>33</v>
      </c>
      <c r="K292" s="8">
        <v>26</v>
      </c>
      <c r="L292" s="8">
        <f t="shared" si="73"/>
        <v>7</v>
      </c>
      <c r="M292" s="27">
        <f t="shared" si="74"/>
        <v>212.19743663999995</v>
      </c>
      <c r="N292" s="27"/>
      <c r="O292" s="8">
        <v>0.27700000000000002</v>
      </c>
      <c r="P292" s="18">
        <f t="shared" si="75"/>
        <v>58.778689949279993</v>
      </c>
      <c r="Q292" s="8">
        <f>30*16</f>
        <v>480</v>
      </c>
      <c r="R292" s="40">
        <f t="shared" si="76"/>
        <v>28.213771175654397</v>
      </c>
    </row>
    <row r="293" spans="5:18" ht="14" x14ac:dyDescent="0.25">
      <c r="E293" s="44" t="s">
        <v>23</v>
      </c>
      <c r="F293" s="8">
        <v>0.6</v>
      </c>
      <c r="G293" s="8">
        <v>38.880000000000003</v>
      </c>
      <c r="H293" s="8">
        <v>1.0049999999999999</v>
      </c>
      <c r="I293" s="8">
        <v>1.2929999999999999</v>
      </c>
      <c r="J293" s="41">
        <v>32.9</v>
      </c>
      <c r="K293" s="8">
        <v>26</v>
      </c>
      <c r="L293" s="8">
        <f t="shared" si="73"/>
        <v>6.8999999999999986</v>
      </c>
      <c r="M293" s="27">
        <f t="shared" si="74"/>
        <v>209.16604468799991</v>
      </c>
      <c r="N293" s="27"/>
      <c r="O293" s="8">
        <v>0.27700000000000002</v>
      </c>
      <c r="P293" s="18">
        <f t="shared" si="75"/>
        <v>57.938994378575984</v>
      </c>
      <c r="Q293" s="8">
        <f>31*16</f>
        <v>496</v>
      </c>
      <c r="R293" s="40">
        <f t="shared" si="76"/>
        <v>28.737741211773688</v>
      </c>
    </row>
    <row r="294" spans="5:18" ht="15" x14ac:dyDescent="0.4">
      <c r="E294" s="314" t="s">
        <v>92</v>
      </c>
      <c r="F294" s="315"/>
      <c r="G294" s="315"/>
      <c r="H294" s="315"/>
      <c r="I294" s="315"/>
      <c r="J294" s="315"/>
      <c r="K294" s="315"/>
      <c r="L294" s="315"/>
      <c r="M294" s="315"/>
      <c r="N294" s="315"/>
      <c r="O294" s="315"/>
      <c r="P294" s="315"/>
      <c r="Q294" s="315"/>
      <c r="R294" s="84">
        <f>SUM(R282:R293)</f>
        <v>382.7668289497114</v>
      </c>
    </row>
    <row r="295" spans="5:18" ht="14" x14ac:dyDescent="0.25">
      <c r="E295" s="44" t="s">
        <v>15</v>
      </c>
      <c r="F295" s="8">
        <v>0.6</v>
      </c>
      <c r="G295" s="8">
        <v>38.880000000000003</v>
      </c>
      <c r="H295" s="8">
        <v>1.0049999999999999</v>
      </c>
      <c r="I295" s="8">
        <v>1.2929999999999999</v>
      </c>
      <c r="J295" s="71">
        <v>33.1</v>
      </c>
      <c r="K295" s="8">
        <v>27</v>
      </c>
      <c r="L295" s="8">
        <f>J295-K295</f>
        <v>6.1000000000000014</v>
      </c>
      <c r="M295" s="27">
        <f>F295*G295*H295*I295*L295</f>
        <v>184.914909072</v>
      </c>
      <c r="N295" s="27"/>
      <c r="O295" s="8">
        <v>0.27700000000000002</v>
      </c>
      <c r="P295" s="18">
        <f>M295*O295</f>
        <v>51.221429812944002</v>
      </c>
      <c r="Q295" s="8">
        <f>31*16</f>
        <v>496</v>
      </c>
      <c r="R295" s="40">
        <f>(P295*Q295)/1000</f>
        <v>25.405829187220224</v>
      </c>
    </row>
    <row r="296" spans="5:18" ht="14" x14ac:dyDescent="0.25">
      <c r="E296" s="44" t="s">
        <v>16</v>
      </c>
      <c r="F296" s="8">
        <v>0.6</v>
      </c>
      <c r="G296" s="8">
        <v>38.880000000000003</v>
      </c>
      <c r="H296" s="8">
        <v>1.0049999999999999</v>
      </c>
      <c r="I296" s="8">
        <v>1.2929999999999999</v>
      </c>
      <c r="J296" s="71">
        <v>34</v>
      </c>
      <c r="K296" s="8">
        <v>27</v>
      </c>
      <c r="L296" s="8">
        <f t="shared" ref="L296:L306" si="77">J296-K296</f>
        <v>7</v>
      </c>
      <c r="M296" s="27">
        <f t="shared" ref="M296:M306" si="78">F296*G296*H296*I296*L296</f>
        <v>212.19743663999995</v>
      </c>
      <c r="N296" s="27"/>
      <c r="O296" s="8">
        <v>0.27700000000000002</v>
      </c>
      <c r="P296" s="18">
        <f t="shared" ref="P296:P306" si="79">M296*O296</f>
        <v>58.778689949279993</v>
      </c>
      <c r="Q296" s="8">
        <f>28*16</f>
        <v>448</v>
      </c>
      <c r="R296" s="40">
        <f t="shared" ref="R296:R306" si="80">(P296*Q296)/1000</f>
        <v>26.33285309727744</v>
      </c>
    </row>
    <row r="297" spans="5:18" ht="14" x14ac:dyDescent="0.25">
      <c r="E297" s="44" t="s">
        <v>17</v>
      </c>
      <c r="F297" s="8">
        <v>0.6</v>
      </c>
      <c r="G297" s="8">
        <v>38.880000000000003</v>
      </c>
      <c r="H297" s="8">
        <v>1.0049999999999999</v>
      </c>
      <c r="I297" s="8">
        <v>1.2929999999999999</v>
      </c>
      <c r="J297" s="71">
        <v>35</v>
      </c>
      <c r="K297" s="8">
        <v>27</v>
      </c>
      <c r="L297" s="8">
        <f t="shared" si="77"/>
        <v>8</v>
      </c>
      <c r="M297" s="27">
        <f t="shared" si="78"/>
        <v>242.51135615999993</v>
      </c>
      <c r="N297" s="27"/>
      <c r="O297" s="8">
        <v>0.27700000000000002</v>
      </c>
      <c r="P297" s="18">
        <f t="shared" si="79"/>
        <v>67.175645656319986</v>
      </c>
      <c r="Q297" s="8">
        <f>31*16</f>
        <v>496</v>
      </c>
      <c r="R297" s="40">
        <f t="shared" si="80"/>
        <v>33.319120245534712</v>
      </c>
    </row>
    <row r="298" spans="5:18" ht="14" x14ac:dyDescent="0.25">
      <c r="E298" s="44" t="s">
        <v>18</v>
      </c>
      <c r="F298" s="8">
        <v>0.6</v>
      </c>
      <c r="G298" s="8">
        <v>38.880000000000003</v>
      </c>
      <c r="H298" s="8">
        <v>1.0049999999999999</v>
      </c>
      <c r="I298" s="8">
        <v>1.2929999999999999</v>
      </c>
      <c r="J298" s="71">
        <v>35.5</v>
      </c>
      <c r="K298" s="8">
        <v>27</v>
      </c>
      <c r="L298" s="8">
        <f t="shared" si="77"/>
        <v>8.5</v>
      </c>
      <c r="M298" s="27">
        <f t="shared" si="78"/>
        <v>257.66831591999994</v>
      </c>
      <c r="N298" s="27"/>
      <c r="O298" s="8">
        <v>0.27700000000000002</v>
      </c>
      <c r="P298" s="18">
        <f t="shared" si="79"/>
        <v>71.37412350983999</v>
      </c>
      <c r="Q298" s="8">
        <f>30*16</f>
        <v>480</v>
      </c>
      <c r="R298" s="40">
        <f t="shared" si="80"/>
        <v>34.259579284723195</v>
      </c>
    </row>
    <row r="299" spans="5:18" ht="14" x14ac:dyDescent="0.25">
      <c r="E299" s="44" t="s">
        <v>12</v>
      </c>
      <c r="F299" s="8">
        <v>0.6</v>
      </c>
      <c r="G299" s="8">
        <v>38.880000000000003</v>
      </c>
      <c r="H299" s="8">
        <v>1.0049999999999999</v>
      </c>
      <c r="I299" s="8">
        <v>1.2929999999999999</v>
      </c>
      <c r="J299" s="71">
        <v>35.700000000000003</v>
      </c>
      <c r="K299" s="8">
        <v>27</v>
      </c>
      <c r="L299" s="8">
        <f t="shared" si="77"/>
        <v>8.7000000000000028</v>
      </c>
      <c r="M299" s="27">
        <f t="shared" si="78"/>
        <v>263.73109982400001</v>
      </c>
      <c r="N299" s="27"/>
      <c r="O299" s="8">
        <v>0.27700000000000002</v>
      </c>
      <c r="P299" s="18">
        <f t="shared" si="79"/>
        <v>73.053514651248008</v>
      </c>
      <c r="Q299" s="8">
        <f>31*16</f>
        <v>496</v>
      </c>
      <c r="R299" s="40">
        <f t="shared" si="80"/>
        <v>36.234543267019014</v>
      </c>
    </row>
    <row r="300" spans="5:18" ht="14" x14ac:dyDescent="0.25">
      <c r="E300" s="44" t="s">
        <v>13</v>
      </c>
      <c r="F300" s="8">
        <v>0.6</v>
      </c>
      <c r="G300" s="8">
        <v>38.880000000000003</v>
      </c>
      <c r="H300" s="8">
        <v>1.0049999999999999</v>
      </c>
      <c r="I300" s="8">
        <v>1.2929999999999999</v>
      </c>
      <c r="J300" s="71">
        <v>34.1</v>
      </c>
      <c r="K300" s="8">
        <v>27</v>
      </c>
      <c r="L300" s="8">
        <f t="shared" si="77"/>
        <v>7.1000000000000014</v>
      </c>
      <c r="M300" s="27">
        <f t="shared" si="78"/>
        <v>215.22882859199999</v>
      </c>
      <c r="N300" s="27"/>
      <c r="O300" s="8">
        <v>0.27700000000000002</v>
      </c>
      <c r="P300" s="18">
        <f t="shared" si="79"/>
        <v>59.618385519984002</v>
      </c>
      <c r="Q300" s="8">
        <f>30*16</f>
        <v>480</v>
      </c>
      <c r="R300" s="40">
        <f t="shared" si="80"/>
        <v>28.616825049592322</v>
      </c>
    </row>
    <row r="301" spans="5:18" ht="14" x14ac:dyDescent="0.25">
      <c r="E301" s="44" t="s">
        <v>24</v>
      </c>
      <c r="F301" s="8">
        <v>0.6</v>
      </c>
      <c r="G301" s="8">
        <v>38.880000000000003</v>
      </c>
      <c r="H301" s="8">
        <v>1.0049999999999999</v>
      </c>
      <c r="I301" s="8">
        <v>1.2929999999999999</v>
      </c>
      <c r="J301" s="41">
        <v>33.200000000000003</v>
      </c>
      <c r="K301" s="8">
        <v>27</v>
      </c>
      <c r="L301" s="8">
        <f t="shared" si="77"/>
        <v>6.2000000000000028</v>
      </c>
      <c r="M301" s="27">
        <f t="shared" si="78"/>
        <v>187.94630102400004</v>
      </c>
      <c r="N301" s="27"/>
      <c r="O301" s="8">
        <v>0.27700000000000002</v>
      </c>
      <c r="P301" s="18">
        <f t="shared" si="79"/>
        <v>52.061125383648012</v>
      </c>
      <c r="Q301" s="8">
        <f>31*16</f>
        <v>496</v>
      </c>
      <c r="R301" s="40">
        <f t="shared" si="80"/>
        <v>25.822318190289415</v>
      </c>
    </row>
    <row r="302" spans="5:18" ht="14" x14ac:dyDescent="0.25">
      <c r="E302" s="44" t="s">
        <v>19</v>
      </c>
      <c r="F302" s="8">
        <v>0.6</v>
      </c>
      <c r="G302" s="8">
        <v>38.880000000000003</v>
      </c>
      <c r="H302" s="8">
        <v>1.0049999999999999</v>
      </c>
      <c r="I302" s="8">
        <v>1.2929999999999999</v>
      </c>
      <c r="J302" s="41">
        <v>33.200000000000003</v>
      </c>
      <c r="K302" s="8">
        <v>27</v>
      </c>
      <c r="L302" s="8">
        <f t="shared" si="77"/>
        <v>6.2000000000000028</v>
      </c>
      <c r="M302" s="27">
        <f t="shared" si="78"/>
        <v>187.94630102400004</v>
      </c>
      <c r="N302" s="27"/>
      <c r="O302" s="8">
        <v>0.27700000000000002</v>
      </c>
      <c r="P302" s="18">
        <f t="shared" si="79"/>
        <v>52.061125383648012</v>
      </c>
      <c r="Q302" s="8">
        <f>31*16</f>
        <v>496</v>
      </c>
      <c r="R302" s="40">
        <f t="shared" si="80"/>
        <v>25.822318190289415</v>
      </c>
    </row>
    <row r="303" spans="5:18" ht="14" x14ac:dyDescent="0.25">
      <c r="E303" s="44" t="s">
        <v>20</v>
      </c>
      <c r="F303" s="8">
        <v>0.6</v>
      </c>
      <c r="G303" s="8">
        <v>38.880000000000003</v>
      </c>
      <c r="H303" s="8">
        <v>1.0049999999999999</v>
      </c>
      <c r="I303" s="8">
        <v>1.2929999999999999</v>
      </c>
      <c r="J303" s="41">
        <v>33.1</v>
      </c>
      <c r="K303" s="8">
        <v>27</v>
      </c>
      <c r="L303" s="8">
        <f t="shared" si="77"/>
        <v>6.1000000000000014</v>
      </c>
      <c r="M303" s="27">
        <f t="shared" si="78"/>
        <v>184.914909072</v>
      </c>
      <c r="N303" s="27"/>
      <c r="O303" s="8">
        <v>0.27700000000000002</v>
      </c>
      <c r="P303" s="18">
        <f t="shared" si="79"/>
        <v>51.221429812944002</v>
      </c>
      <c r="Q303" s="8">
        <f>30*16</f>
        <v>480</v>
      </c>
      <c r="R303" s="40">
        <f t="shared" si="80"/>
        <v>24.586286310213119</v>
      </c>
    </row>
    <row r="304" spans="5:18" ht="14" x14ac:dyDescent="0.25">
      <c r="E304" s="44" t="s">
        <v>21</v>
      </c>
      <c r="F304" s="8">
        <v>0.6</v>
      </c>
      <c r="G304" s="8">
        <v>38.880000000000003</v>
      </c>
      <c r="H304" s="8">
        <v>1.0049999999999999</v>
      </c>
      <c r="I304" s="8">
        <v>1.2929999999999999</v>
      </c>
      <c r="J304" s="41">
        <v>32.9</v>
      </c>
      <c r="K304" s="8">
        <v>27</v>
      </c>
      <c r="L304" s="8">
        <f t="shared" si="77"/>
        <v>5.8999999999999986</v>
      </c>
      <c r="M304" s="27">
        <f t="shared" si="78"/>
        <v>178.8521251679999</v>
      </c>
      <c r="N304" s="27"/>
      <c r="O304" s="8">
        <v>0.27700000000000002</v>
      </c>
      <c r="P304" s="18">
        <f t="shared" si="79"/>
        <v>49.542038671535977</v>
      </c>
      <c r="Q304" s="8">
        <f>31*16</f>
        <v>496</v>
      </c>
      <c r="R304" s="40">
        <f t="shared" si="80"/>
        <v>24.572851181081845</v>
      </c>
    </row>
    <row r="305" spans="5:18" ht="14" x14ac:dyDescent="0.25">
      <c r="E305" s="44" t="s">
        <v>22</v>
      </c>
      <c r="F305" s="8">
        <v>0.6</v>
      </c>
      <c r="G305" s="8">
        <v>38.880000000000003</v>
      </c>
      <c r="H305" s="8">
        <v>1.0049999999999999</v>
      </c>
      <c r="I305" s="8">
        <v>1.2929999999999999</v>
      </c>
      <c r="J305" s="41">
        <v>33</v>
      </c>
      <c r="K305" s="8">
        <v>27</v>
      </c>
      <c r="L305" s="8">
        <f t="shared" si="77"/>
        <v>6</v>
      </c>
      <c r="M305" s="27">
        <f t="shared" si="78"/>
        <v>181.88351711999996</v>
      </c>
      <c r="N305" s="27"/>
      <c r="O305" s="8">
        <v>0.27700000000000002</v>
      </c>
      <c r="P305" s="18">
        <f t="shared" si="79"/>
        <v>50.381734242239993</v>
      </c>
      <c r="Q305" s="8">
        <f>30*16</f>
        <v>480</v>
      </c>
      <c r="R305" s="40">
        <f t="shared" si="80"/>
        <v>24.183232436275198</v>
      </c>
    </row>
    <row r="306" spans="5:18" ht="14" x14ac:dyDescent="0.25">
      <c r="E306" s="44" t="s">
        <v>23</v>
      </c>
      <c r="F306" s="8">
        <v>0.6</v>
      </c>
      <c r="G306" s="8">
        <v>38.880000000000003</v>
      </c>
      <c r="H306" s="8">
        <v>1.0049999999999999</v>
      </c>
      <c r="I306" s="8">
        <v>1.2929999999999999</v>
      </c>
      <c r="J306" s="41">
        <v>32.9</v>
      </c>
      <c r="K306" s="8">
        <v>27</v>
      </c>
      <c r="L306" s="8">
        <f t="shared" si="77"/>
        <v>5.8999999999999986</v>
      </c>
      <c r="M306" s="27">
        <f t="shared" si="78"/>
        <v>178.8521251679999</v>
      </c>
      <c r="N306" s="27"/>
      <c r="O306" s="8">
        <v>0.27700000000000002</v>
      </c>
      <c r="P306" s="18">
        <f t="shared" si="79"/>
        <v>49.542038671535977</v>
      </c>
      <c r="Q306" s="8">
        <f>31*16</f>
        <v>496</v>
      </c>
      <c r="R306" s="40">
        <f t="shared" si="80"/>
        <v>24.572851181081845</v>
      </c>
    </row>
    <row r="307" spans="5:18" ht="15" x14ac:dyDescent="0.4">
      <c r="E307" s="314" t="s">
        <v>93</v>
      </c>
      <c r="F307" s="315"/>
      <c r="G307" s="315"/>
      <c r="H307" s="315"/>
      <c r="I307" s="315"/>
      <c r="J307" s="315"/>
      <c r="K307" s="315"/>
      <c r="L307" s="315"/>
      <c r="M307" s="315"/>
      <c r="N307" s="315"/>
      <c r="O307" s="315"/>
      <c r="P307" s="315"/>
      <c r="Q307" s="315"/>
      <c r="R307" s="84">
        <f>SUM(R295:R306)</f>
        <v>333.7286076205977</v>
      </c>
    </row>
    <row r="308" spans="5:18" ht="14" x14ac:dyDescent="0.25">
      <c r="E308" s="44" t="s">
        <v>15</v>
      </c>
      <c r="F308" s="8">
        <v>0.6</v>
      </c>
      <c r="G308" s="8">
        <v>38.880000000000003</v>
      </c>
      <c r="H308" s="8">
        <v>1.0049999999999999</v>
      </c>
      <c r="I308" s="8">
        <v>1.2929999999999999</v>
      </c>
      <c r="J308" s="71">
        <v>33.1</v>
      </c>
      <c r="K308" s="8">
        <v>28</v>
      </c>
      <c r="L308" s="8">
        <f>J308-K308</f>
        <v>5.1000000000000014</v>
      </c>
      <c r="M308" s="27">
        <f>F308*G308*H308*I308*L308</f>
        <v>154.60098955199999</v>
      </c>
      <c r="N308" s="27"/>
      <c r="O308" s="8">
        <v>0.27700000000000002</v>
      </c>
      <c r="P308" s="18">
        <f>M308*O308</f>
        <v>42.824474105904002</v>
      </c>
      <c r="Q308" s="8">
        <f>31*16</f>
        <v>496</v>
      </c>
      <c r="R308" s="40">
        <f>(P308*Q308)/1000</f>
        <v>21.240939156528384</v>
      </c>
    </row>
    <row r="309" spans="5:18" ht="14" x14ac:dyDescent="0.25">
      <c r="E309" s="44" t="s">
        <v>16</v>
      </c>
      <c r="F309" s="8">
        <v>0.6</v>
      </c>
      <c r="G309" s="8">
        <v>38.880000000000003</v>
      </c>
      <c r="H309" s="8">
        <v>1.0049999999999999</v>
      </c>
      <c r="I309" s="8">
        <v>1.2929999999999999</v>
      </c>
      <c r="J309" s="71">
        <v>34</v>
      </c>
      <c r="K309" s="8">
        <v>28</v>
      </c>
      <c r="L309" s="8">
        <f t="shared" ref="L309:L319" si="81">J309-K309</f>
        <v>6</v>
      </c>
      <c r="M309" s="27">
        <f t="shared" ref="M309:M319" si="82">F309*G309*H309*I309*L309</f>
        <v>181.88351711999996</v>
      </c>
      <c r="N309" s="27"/>
      <c r="O309" s="8">
        <v>0.27700000000000002</v>
      </c>
      <c r="P309" s="18">
        <f t="shared" ref="P309:P319" si="83">M309*O309</f>
        <v>50.381734242239993</v>
      </c>
      <c r="Q309" s="8">
        <f>28*16</f>
        <v>448</v>
      </c>
      <c r="R309" s="40">
        <f t="shared" ref="R309:R319" si="84">(P309*Q309)/1000</f>
        <v>22.571016940523517</v>
      </c>
    </row>
    <row r="310" spans="5:18" ht="14" x14ac:dyDescent="0.25">
      <c r="E310" s="44" t="s">
        <v>17</v>
      </c>
      <c r="F310" s="8">
        <v>0.6</v>
      </c>
      <c r="G310" s="8">
        <v>38.880000000000003</v>
      </c>
      <c r="H310" s="8">
        <v>1.0049999999999999</v>
      </c>
      <c r="I310" s="8">
        <v>1.2929999999999999</v>
      </c>
      <c r="J310" s="71">
        <v>35</v>
      </c>
      <c r="K310" s="8">
        <v>28</v>
      </c>
      <c r="L310" s="8">
        <f t="shared" si="81"/>
        <v>7</v>
      </c>
      <c r="M310" s="27">
        <f t="shared" si="82"/>
        <v>212.19743663999995</v>
      </c>
      <c r="N310" s="27"/>
      <c r="O310" s="8">
        <v>0.27700000000000002</v>
      </c>
      <c r="P310" s="18">
        <f t="shared" si="83"/>
        <v>58.778689949279993</v>
      </c>
      <c r="Q310" s="8">
        <f>31*16</f>
        <v>496</v>
      </c>
      <c r="R310" s="40">
        <f t="shared" si="84"/>
        <v>29.154230214842876</v>
      </c>
    </row>
    <row r="311" spans="5:18" ht="14" x14ac:dyDescent="0.25">
      <c r="E311" s="44" t="s">
        <v>18</v>
      </c>
      <c r="F311" s="8">
        <v>0.6</v>
      </c>
      <c r="G311" s="8">
        <v>38.880000000000003</v>
      </c>
      <c r="H311" s="8">
        <v>1.0049999999999999</v>
      </c>
      <c r="I311" s="8">
        <v>1.2929999999999999</v>
      </c>
      <c r="J311" s="71">
        <v>35.5</v>
      </c>
      <c r="K311" s="8">
        <v>28</v>
      </c>
      <c r="L311" s="8">
        <f t="shared" si="81"/>
        <v>7.5</v>
      </c>
      <c r="M311" s="27">
        <f t="shared" si="82"/>
        <v>227.35439639999993</v>
      </c>
      <c r="N311" s="27"/>
      <c r="O311" s="8">
        <v>0.27700000000000002</v>
      </c>
      <c r="P311" s="18">
        <f t="shared" si="83"/>
        <v>62.977167802799983</v>
      </c>
      <c r="Q311" s="8">
        <f>30*16</f>
        <v>480</v>
      </c>
      <c r="R311" s="40">
        <f t="shared" si="84"/>
        <v>30.229040545343992</v>
      </c>
    </row>
    <row r="312" spans="5:18" ht="14" x14ac:dyDescent="0.25">
      <c r="E312" s="44" t="s">
        <v>12</v>
      </c>
      <c r="F312" s="8">
        <v>0.6</v>
      </c>
      <c r="G312" s="8">
        <v>38.880000000000003</v>
      </c>
      <c r="H312" s="8">
        <v>1.0049999999999999</v>
      </c>
      <c r="I312" s="8">
        <v>1.2929999999999999</v>
      </c>
      <c r="J312" s="71">
        <v>35.700000000000003</v>
      </c>
      <c r="K312" s="8">
        <v>28</v>
      </c>
      <c r="L312" s="8">
        <f t="shared" si="81"/>
        <v>7.7000000000000028</v>
      </c>
      <c r="M312" s="27">
        <f t="shared" si="82"/>
        <v>233.41718030400003</v>
      </c>
      <c r="N312" s="27"/>
      <c r="O312" s="8">
        <v>0.27700000000000002</v>
      </c>
      <c r="P312" s="18">
        <f t="shared" si="83"/>
        <v>64.656558944208015</v>
      </c>
      <c r="Q312" s="8">
        <f>31*16</f>
        <v>496</v>
      </c>
      <c r="R312" s="40">
        <f t="shared" si="84"/>
        <v>32.069653236327177</v>
      </c>
    </row>
    <row r="313" spans="5:18" ht="14" x14ac:dyDescent="0.25">
      <c r="E313" s="44" t="s">
        <v>13</v>
      </c>
      <c r="F313" s="8">
        <v>0.6</v>
      </c>
      <c r="G313" s="8">
        <v>38.880000000000003</v>
      </c>
      <c r="H313" s="8">
        <v>1.0049999999999999</v>
      </c>
      <c r="I313" s="8">
        <v>1.2929999999999999</v>
      </c>
      <c r="J313" s="71">
        <v>34.1</v>
      </c>
      <c r="K313" s="8">
        <v>28</v>
      </c>
      <c r="L313" s="8">
        <f t="shared" si="81"/>
        <v>6.1000000000000014</v>
      </c>
      <c r="M313" s="27">
        <f t="shared" si="82"/>
        <v>184.914909072</v>
      </c>
      <c r="N313" s="27"/>
      <c r="O313" s="8">
        <v>0.27700000000000002</v>
      </c>
      <c r="P313" s="18">
        <f t="shared" si="83"/>
        <v>51.221429812944002</v>
      </c>
      <c r="Q313" s="8">
        <f>30*16</f>
        <v>480</v>
      </c>
      <c r="R313" s="40">
        <f t="shared" si="84"/>
        <v>24.586286310213119</v>
      </c>
    </row>
    <row r="314" spans="5:18" ht="14" x14ac:dyDescent="0.25">
      <c r="E314" s="44" t="s">
        <v>24</v>
      </c>
      <c r="F314" s="8">
        <v>0.6</v>
      </c>
      <c r="G314" s="8">
        <v>38.880000000000003</v>
      </c>
      <c r="H314" s="8">
        <v>1.0049999999999999</v>
      </c>
      <c r="I314" s="8">
        <v>1.2929999999999999</v>
      </c>
      <c r="J314" s="41">
        <v>33.200000000000003</v>
      </c>
      <c r="K314" s="8">
        <v>28</v>
      </c>
      <c r="L314" s="8">
        <f t="shared" si="81"/>
        <v>5.2000000000000028</v>
      </c>
      <c r="M314" s="27">
        <f t="shared" si="82"/>
        <v>157.63238150400005</v>
      </c>
      <c r="N314" s="27"/>
      <c r="O314" s="8">
        <v>0.27700000000000002</v>
      </c>
      <c r="P314" s="18">
        <f t="shared" si="83"/>
        <v>43.664169676608019</v>
      </c>
      <c r="Q314" s="8">
        <f>31*16</f>
        <v>496</v>
      </c>
      <c r="R314" s="40">
        <f t="shared" si="84"/>
        <v>21.657428159597576</v>
      </c>
    </row>
    <row r="315" spans="5:18" ht="14" x14ac:dyDescent="0.25">
      <c r="E315" s="44" t="s">
        <v>19</v>
      </c>
      <c r="F315" s="8">
        <v>0.6</v>
      </c>
      <c r="G315" s="8">
        <v>38.880000000000003</v>
      </c>
      <c r="H315" s="8">
        <v>1.0049999999999999</v>
      </c>
      <c r="I315" s="8">
        <v>1.2929999999999999</v>
      </c>
      <c r="J315" s="41">
        <v>33.200000000000003</v>
      </c>
      <c r="K315" s="8">
        <v>28</v>
      </c>
      <c r="L315" s="8">
        <f t="shared" si="81"/>
        <v>5.2000000000000028</v>
      </c>
      <c r="M315" s="27">
        <f t="shared" si="82"/>
        <v>157.63238150400005</v>
      </c>
      <c r="N315" s="27"/>
      <c r="O315" s="8">
        <v>0.27700000000000002</v>
      </c>
      <c r="P315" s="18">
        <f t="shared" si="83"/>
        <v>43.664169676608019</v>
      </c>
      <c r="Q315" s="8">
        <f>31*16</f>
        <v>496</v>
      </c>
      <c r="R315" s="40">
        <f t="shared" si="84"/>
        <v>21.657428159597576</v>
      </c>
    </row>
    <row r="316" spans="5:18" ht="14" x14ac:dyDescent="0.25">
      <c r="E316" s="44" t="s">
        <v>20</v>
      </c>
      <c r="F316" s="8">
        <v>0.6</v>
      </c>
      <c r="G316" s="8">
        <v>38.880000000000003</v>
      </c>
      <c r="H316" s="8">
        <v>1.0049999999999999</v>
      </c>
      <c r="I316" s="8">
        <v>1.2929999999999999</v>
      </c>
      <c r="J316" s="41">
        <v>33.1</v>
      </c>
      <c r="K316" s="8">
        <v>28</v>
      </c>
      <c r="L316" s="8">
        <f t="shared" si="81"/>
        <v>5.1000000000000014</v>
      </c>
      <c r="M316" s="27">
        <f t="shared" si="82"/>
        <v>154.60098955199999</v>
      </c>
      <c r="N316" s="27"/>
      <c r="O316" s="8">
        <v>0.27700000000000002</v>
      </c>
      <c r="P316" s="18">
        <f t="shared" si="83"/>
        <v>42.824474105904002</v>
      </c>
      <c r="Q316" s="8">
        <f>30*16</f>
        <v>480</v>
      </c>
      <c r="R316" s="40">
        <f t="shared" si="84"/>
        <v>20.555747570833923</v>
      </c>
    </row>
    <row r="317" spans="5:18" ht="14" x14ac:dyDescent="0.25">
      <c r="E317" s="44" t="s">
        <v>21</v>
      </c>
      <c r="F317" s="8">
        <v>0.6</v>
      </c>
      <c r="G317" s="8">
        <v>38.880000000000003</v>
      </c>
      <c r="H317" s="8">
        <v>1.0049999999999999</v>
      </c>
      <c r="I317" s="8">
        <v>1.2929999999999999</v>
      </c>
      <c r="J317" s="41">
        <v>32.9</v>
      </c>
      <c r="K317" s="8">
        <v>28</v>
      </c>
      <c r="L317" s="8">
        <f t="shared" si="81"/>
        <v>4.8999999999999986</v>
      </c>
      <c r="M317" s="27">
        <f t="shared" si="82"/>
        <v>148.53820564799992</v>
      </c>
      <c r="N317" s="27"/>
      <c r="O317" s="8">
        <v>0.27700000000000002</v>
      </c>
      <c r="P317" s="18">
        <f t="shared" si="83"/>
        <v>41.145082964495984</v>
      </c>
      <c r="Q317" s="8">
        <f>31*16</f>
        <v>496</v>
      </c>
      <c r="R317" s="40">
        <f t="shared" si="84"/>
        <v>20.407961150390008</v>
      </c>
    </row>
    <row r="318" spans="5:18" ht="14" x14ac:dyDescent="0.25">
      <c r="E318" s="44" t="s">
        <v>22</v>
      </c>
      <c r="F318" s="8">
        <v>0.6</v>
      </c>
      <c r="G318" s="8">
        <v>38.880000000000003</v>
      </c>
      <c r="H318" s="8">
        <v>1.0049999999999999</v>
      </c>
      <c r="I318" s="8">
        <v>1.2929999999999999</v>
      </c>
      <c r="J318" s="41">
        <v>33</v>
      </c>
      <c r="K318" s="8">
        <v>28</v>
      </c>
      <c r="L318" s="8">
        <f t="shared" si="81"/>
        <v>5</v>
      </c>
      <c r="M318" s="27">
        <f t="shared" si="82"/>
        <v>151.56959759999995</v>
      </c>
      <c r="N318" s="27"/>
      <c r="O318" s="8">
        <v>0.27700000000000002</v>
      </c>
      <c r="P318" s="18">
        <f t="shared" si="83"/>
        <v>41.984778535199993</v>
      </c>
      <c r="Q318" s="8">
        <f>30*16</f>
        <v>480</v>
      </c>
      <c r="R318" s="40">
        <f t="shared" si="84"/>
        <v>20.152693696895998</v>
      </c>
    </row>
    <row r="319" spans="5:18" ht="14" x14ac:dyDescent="0.25">
      <c r="E319" s="44" t="s">
        <v>23</v>
      </c>
      <c r="F319" s="8">
        <v>0.6</v>
      </c>
      <c r="G319" s="8">
        <v>38.880000000000003</v>
      </c>
      <c r="H319" s="8">
        <v>1.0049999999999999</v>
      </c>
      <c r="I319" s="8">
        <v>1.2929999999999999</v>
      </c>
      <c r="J319" s="41">
        <v>32.9</v>
      </c>
      <c r="K319" s="8">
        <v>28</v>
      </c>
      <c r="L319" s="8">
        <f t="shared" si="81"/>
        <v>4.8999999999999986</v>
      </c>
      <c r="M319" s="27">
        <f t="shared" si="82"/>
        <v>148.53820564799992</v>
      </c>
      <c r="N319" s="27"/>
      <c r="O319" s="8">
        <v>0.27700000000000002</v>
      </c>
      <c r="P319" s="18">
        <f t="shared" si="83"/>
        <v>41.145082964495984</v>
      </c>
      <c r="Q319" s="8">
        <f>31*16</f>
        <v>496</v>
      </c>
      <c r="R319" s="40">
        <f t="shared" si="84"/>
        <v>20.407961150390008</v>
      </c>
    </row>
    <row r="320" spans="5:18" ht="15.5" thickBot="1" x14ac:dyDescent="0.45">
      <c r="E320" s="312" t="s">
        <v>94</v>
      </c>
      <c r="F320" s="313"/>
      <c r="G320" s="313"/>
      <c r="H320" s="313"/>
      <c r="I320" s="313"/>
      <c r="J320" s="313"/>
      <c r="K320" s="313"/>
      <c r="L320" s="313"/>
      <c r="M320" s="313"/>
      <c r="N320" s="313"/>
      <c r="O320" s="313"/>
      <c r="P320" s="313"/>
      <c r="Q320" s="313"/>
      <c r="R320" s="74">
        <f>SUM(R308:R319)</f>
        <v>284.69038629148417</v>
      </c>
    </row>
    <row r="323" spans="5:18" ht="13.5" thickBot="1" x14ac:dyDescent="0.3">
      <c r="Q323" s="384"/>
      <c r="R323" s="384"/>
    </row>
    <row r="324" spans="5:18" x14ac:dyDescent="0.3">
      <c r="E324" s="295" t="s">
        <v>111</v>
      </c>
      <c r="F324" s="296"/>
      <c r="G324" s="296"/>
      <c r="H324" s="296"/>
      <c r="I324" s="296"/>
      <c r="J324" s="296"/>
      <c r="K324" s="296"/>
      <c r="L324" s="296"/>
      <c r="M324" s="296"/>
      <c r="N324" s="316"/>
      <c r="O324" s="297"/>
      <c r="Q324" s="384"/>
      <c r="R324" s="384"/>
    </row>
    <row r="325" spans="5:18" ht="13" customHeight="1" x14ac:dyDescent="0.25">
      <c r="E325" s="2" t="s">
        <v>0</v>
      </c>
      <c r="F325" s="5" t="s">
        <v>104</v>
      </c>
      <c r="G325" s="5" t="s">
        <v>105</v>
      </c>
      <c r="H325" s="5" t="s">
        <v>64</v>
      </c>
      <c r="I325" s="5" t="s">
        <v>106</v>
      </c>
      <c r="J325" s="5" t="s">
        <v>107</v>
      </c>
      <c r="K325" s="5" t="s">
        <v>108</v>
      </c>
      <c r="L325" s="5" t="s">
        <v>110</v>
      </c>
      <c r="M325" s="5" t="s">
        <v>86</v>
      </c>
      <c r="N325" s="101"/>
      <c r="O325" s="87" t="s">
        <v>109</v>
      </c>
      <c r="Q325" s="384"/>
      <c r="R325" s="384"/>
    </row>
    <row r="326" spans="5:18" x14ac:dyDescent="0.25">
      <c r="E326" s="44" t="s">
        <v>15</v>
      </c>
      <c r="F326" s="5">
        <v>4</v>
      </c>
      <c r="G326" s="5">
        <v>75</v>
      </c>
      <c r="H326" s="5">
        <v>1</v>
      </c>
      <c r="I326" s="5">
        <f>F326*G326*H326</f>
        <v>300</v>
      </c>
      <c r="J326" s="5">
        <v>30</v>
      </c>
      <c r="K326" s="8">
        <f>F326*J326</f>
        <v>120</v>
      </c>
      <c r="L326" s="8">
        <f>I326+K326</f>
        <v>420</v>
      </c>
      <c r="M326" s="8">
        <f>31*16</f>
        <v>496</v>
      </c>
      <c r="N326" s="102"/>
      <c r="O326" s="87">
        <f>(L326*M326)/1000</f>
        <v>208.32</v>
      </c>
    </row>
    <row r="327" spans="5:18" x14ac:dyDescent="0.25">
      <c r="E327" s="44" t="s">
        <v>16</v>
      </c>
      <c r="F327" s="5">
        <v>4</v>
      </c>
      <c r="G327" s="5">
        <v>75</v>
      </c>
      <c r="H327" s="5">
        <v>1</v>
      </c>
      <c r="I327" s="5">
        <f t="shared" ref="I327:I337" si="85">F327*G327*H327</f>
        <v>300</v>
      </c>
      <c r="J327" s="5">
        <v>30</v>
      </c>
      <c r="K327" s="8">
        <f t="shared" ref="K327:K337" si="86">F327*J327</f>
        <v>120</v>
      </c>
      <c r="L327" s="8">
        <f t="shared" ref="L327:L337" si="87">I327+K327</f>
        <v>420</v>
      </c>
      <c r="M327" s="8">
        <f>28*16</f>
        <v>448</v>
      </c>
      <c r="N327" s="102"/>
      <c r="O327" s="87">
        <f t="shared" ref="O327:O337" si="88">(L327*M327)/1000</f>
        <v>188.16</v>
      </c>
    </row>
    <row r="328" spans="5:18" x14ac:dyDescent="0.25">
      <c r="E328" s="44" t="s">
        <v>17</v>
      </c>
      <c r="F328" s="5">
        <v>4</v>
      </c>
      <c r="G328" s="5">
        <v>75</v>
      </c>
      <c r="H328" s="5">
        <v>1</v>
      </c>
      <c r="I328" s="5">
        <f t="shared" si="85"/>
        <v>300</v>
      </c>
      <c r="J328" s="5">
        <v>30</v>
      </c>
      <c r="K328" s="8">
        <f t="shared" si="86"/>
        <v>120</v>
      </c>
      <c r="L328" s="8">
        <f t="shared" si="87"/>
        <v>420</v>
      </c>
      <c r="M328" s="8">
        <f>31*16</f>
        <v>496</v>
      </c>
      <c r="N328" s="102"/>
      <c r="O328" s="87">
        <f t="shared" si="88"/>
        <v>208.32</v>
      </c>
    </row>
    <row r="329" spans="5:18" x14ac:dyDescent="0.25">
      <c r="E329" s="44" t="s">
        <v>18</v>
      </c>
      <c r="F329" s="5">
        <v>4</v>
      </c>
      <c r="G329" s="5">
        <v>75</v>
      </c>
      <c r="H329" s="5">
        <v>1</v>
      </c>
      <c r="I329" s="5">
        <f t="shared" si="85"/>
        <v>300</v>
      </c>
      <c r="J329" s="5">
        <v>30</v>
      </c>
      <c r="K329" s="8">
        <f t="shared" si="86"/>
        <v>120</v>
      </c>
      <c r="L329" s="8">
        <f t="shared" si="87"/>
        <v>420</v>
      </c>
      <c r="M329" s="8">
        <f>30*16</f>
        <v>480</v>
      </c>
      <c r="N329" s="102"/>
      <c r="O329" s="87">
        <f t="shared" si="88"/>
        <v>201.6</v>
      </c>
    </row>
    <row r="330" spans="5:18" x14ac:dyDescent="0.25">
      <c r="E330" s="44" t="s">
        <v>12</v>
      </c>
      <c r="F330" s="5">
        <v>4</v>
      </c>
      <c r="G330" s="5">
        <v>75</v>
      </c>
      <c r="H330" s="5">
        <v>1</v>
      </c>
      <c r="I330" s="5">
        <f t="shared" si="85"/>
        <v>300</v>
      </c>
      <c r="J330" s="5">
        <v>30</v>
      </c>
      <c r="K330" s="8">
        <f t="shared" si="86"/>
        <v>120</v>
      </c>
      <c r="L330" s="8">
        <f t="shared" si="87"/>
        <v>420</v>
      </c>
      <c r="M330" s="8">
        <f>31*16</f>
        <v>496</v>
      </c>
      <c r="N330" s="102"/>
      <c r="O330" s="87">
        <f t="shared" si="88"/>
        <v>208.32</v>
      </c>
    </row>
    <row r="331" spans="5:18" x14ac:dyDescent="0.25">
      <c r="E331" s="44" t="s">
        <v>13</v>
      </c>
      <c r="F331" s="5">
        <v>4</v>
      </c>
      <c r="G331" s="5">
        <v>75</v>
      </c>
      <c r="H331" s="5">
        <v>1</v>
      </c>
      <c r="I331" s="5">
        <f t="shared" si="85"/>
        <v>300</v>
      </c>
      <c r="J331" s="5">
        <v>30</v>
      </c>
      <c r="K331" s="8">
        <f t="shared" si="86"/>
        <v>120</v>
      </c>
      <c r="L331" s="8">
        <f t="shared" si="87"/>
        <v>420</v>
      </c>
      <c r="M331" s="8">
        <f>30*16</f>
        <v>480</v>
      </c>
      <c r="N331" s="102"/>
      <c r="O331" s="87">
        <f t="shared" si="88"/>
        <v>201.6</v>
      </c>
    </row>
    <row r="332" spans="5:18" x14ac:dyDescent="0.25">
      <c r="E332" s="44" t="s">
        <v>24</v>
      </c>
      <c r="F332" s="5">
        <v>4</v>
      </c>
      <c r="G332" s="5">
        <v>75</v>
      </c>
      <c r="H332" s="5">
        <v>1</v>
      </c>
      <c r="I332" s="5">
        <f t="shared" si="85"/>
        <v>300</v>
      </c>
      <c r="J332" s="5">
        <v>30</v>
      </c>
      <c r="K332" s="8">
        <f t="shared" si="86"/>
        <v>120</v>
      </c>
      <c r="L332" s="8">
        <f t="shared" si="87"/>
        <v>420</v>
      </c>
      <c r="M332" s="8">
        <f>31*16</f>
        <v>496</v>
      </c>
      <c r="N332" s="102"/>
      <c r="O332" s="87">
        <f t="shared" si="88"/>
        <v>208.32</v>
      </c>
    </row>
    <row r="333" spans="5:18" x14ac:dyDescent="0.25">
      <c r="E333" s="44" t="s">
        <v>19</v>
      </c>
      <c r="F333" s="5">
        <v>4</v>
      </c>
      <c r="G333" s="5">
        <v>75</v>
      </c>
      <c r="H333" s="5">
        <v>1</v>
      </c>
      <c r="I333" s="5">
        <f t="shared" si="85"/>
        <v>300</v>
      </c>
      <c r="J333" s="5">
        <v>30</v>
      </c>
      <c r="K333" s="8">
        <f t="shared" si="86"/>
        <v>120</v>
      </c>
      <c r="L333" s="8">
        <f t="shared" si="87"/>
        <v>420</v>
      </c>
      <c r="M333" s="8">
        <f>31*16</f>
        <v>496</v>
      </c>
      <c r="N333" s="102"/>
      <c r="O333" s="87">
        <f t="shared" si="88"/>
        <v>208.32</v>
      </c>
    </row>
    <row r="334" spans="5:18" x14ac:dyDescent="0.25">
      <c r="E334" s="44" t="s">
        <v>20</v>
      </c>
      <c r="F334" s="5">
        <v>4</v>
      </c>
      <c r="G334" s="5">
        <v>75</v>
      </c>
      <c r="H334" s="5">
        <v>1</v>
      </c>
      <c r="I334" s="5">
        <f t="shared" si="85"/>
        <v>300</v>
      </c>
      <c r="J334" s="5">
        <v>30</v>
      </c>
      <c r="K334" s="8">
        <f t="shared" si="86"/>
        <v>120</v>
      </c>
      <c r="L334" s="8">
        <f t="shared" si="87"/>
        <v>420</v>
      </c>
      <c r="M334" s="8">
        <f>30*16</f>
        <v>480</v>
      </c>
      <c r="N334" s="102"/>
      <c r="O334" s="87">
        <f t="shared" si="88"/>
        <v>201.6</v>
      </c>
    </row>
    <row r="335" spans="5:18" x14ac:dyDescent="0.25">
      <c r="E335" s="44" t="s">
        <v>21</v>
      </c>
      <c r="F335" s="5">
        <v>4</v>
      </c>
      <c r="G335" s="5">
        <v>75</v>
      </c>
      <c r="H335" s="5">
        <v>1</v>
      </c>
      <c r="I335" s="5">
        <f t="shared" si="85"/>
        <v>300</v>
      </c>
      <c r="J335" s="5">
        <v>30</v>
      </c>
      <c r="K335" s="8">
        <f t="shared" si="86"/>
        <v>120</v>
      </c>
      <c r="L335" s="8">
        <f t="shared" si="87"/>
        <v>420</v>
      </c>
      <c r="M335" s="8">
        <f>31*16</f>
        <v>496</v>
      </c>
      <c r="N335" s="102"/>
      <c r="O335" s="87">
        <f t="shared" si="88"/>
        <v>208.32</v>
      </c>
    </row>
    <row r="336" spans="5:18" x14ac:dyDescent="0.25">
      <c r="E336" s="44" t="s">
        <v>22</v>
      </c>
      <c r="F336" s="5">
        <v>4</v>
      </c>
      <c r="G336" s="5">
        <v>75</v>
      </c>
      <c r="H336" s="5">
        <v>1</v>
      </c>
      <c r="I336" s="5">
        <f t="shared" si="85"/>
        <v>300</v>
      </c>
      <c r="J336" s="5">
        <v>30</v>
      </c>
      <c r="K336" s="8">
        <f t="shared" si="86"/>
        <v>120</v>
      </c>
      <c r="L336" s="8">
        <f t="shared" si="87"/>
        <v>420</v>
      </c>
      <c r="M336" s="8">
        <f>30*16</f>
        <v>480</v>
      </c>
      <c r="N336" s="102"/>
      <c r="O336" s="87">
        <f t="shared" si="88"/>
        <v>201.6</v>
      </c>
    </row>
    <row r="337" spans="5:15" x14ac:dyDescent="0.25">
      <c r="E337" s="44" t="s">
        <v>23</v>
      </c>
      <c r="F337" s="5">
        <v>4</v>
      </c>
      <c r="G337" s="5">
        <v>75</v>
      </c>
      <c r="H337" s="5">
        <v>1</v>
      </c>
      <c r="I337" s="5">
        <f t="shared" si="85"/>
        <v>300</v>
      </c>
      <c r="J337" s="5">
        <v>30</v>
      </c>
      <c r="K337" s="8">
        <f t="shared" si="86"/>
        <v>120</v>
      </c>
      <c r="L337" s="8">
        <f t="shared" si="87"/>
        <v>420</v>
      </c>
      <c r="M337" s="8">
        <f>31*16</f>
        <v>496</v>
      </c>
      <c r="N337" s="102"/>
      <c r="O337" s="87">
        <f t="shared" si="88"/>
        <v>208.32</v>
      </c>
    </row>
    <row r="338" spans="5:15" ht="13.5" thickBot="1" x14ac:dyDescent="0.35">
      <c r="E338" s="312" t="s">
        <v>111</v>
      </c>
      <c r="F338" s="313"/>
      <c r="G338" s="313"/>
      <c r="H338" s="313"/>
      <c r="I338" s="313"/>
      <c r="J338" s="313"/>
      <c r="K338" s="313"/>
      <c r="L338" s="313"/>
      <c r="M338" s="313"/>
      <c r="N338" s="103"/>
      <c r="O338" s="100">
        <f>SUM(O326:O337)</f>
        <v>2452.7999999999997</v>
      </c>
    </row>
    <row r="340" spans="5:15" ht="13.5" thickBot="1" x14ac:dyDescent="0.3"/>
    <row r="341" spans="5:15" x14ac:dyDescent="0.3">
      <c r="E341" s="289" t="s">
        <v>118</v>
      </c>
      <c r="F341" s="290"/>
      <c r="G341" s="290"/>
      <c r="H341" s="290"/>
      <c r="I341" s="290"/>
      <c r="J341" s="290"/>
      <c r="K341" s="291"/>
    </row>
    <row r="342" spans="5:15" ht="15.5" x14ac:dyDescent="0.4">
      <c r="E342" s="49" t="s">
        <v>112</v>
      </c>
      <c r="F342" s="18" t="s">
        <v>113</v>
      </c>
      <c r="G342" s="18" t="s">
        <v>114</v>
      </c>
      <c r="H342" s="18" t="s">
        <v>115</v>
      </c>
      <c r="I342" s="18" t="s">
        <v>64</v>
      </c>
      <c r="J342" s="18" t="s">
        <v>116</v>
      </c>
      <c r="K342" s="86" t="s">
        <v>117</v>
      </c>
    </row>
    <row r="343" spans="5:15" x14ac:dyDescent="0.25">
      <c r="E343" s="49">
        <v>3</v>
      </c>
      <c r="F343" s="18">
        <v>60</v>
      </c>
      <c r="G343" s="18">
        <v>1.24</v>
      </c>
      <c r="H343" s="18">
        <v>0.66</v>
      </c>
      <c r="I343" s="18">
        <v>0.8</v>
      </c>
      <c r="J343" s="18">
        <f>6*365</f>
        <v>2190</v>
      </c>
      <c r="K343" s="35">
        <f>(E343*F343*G343*H343*I343*J343)/1000</f>
        <v>258.09062399999999</v>
      </c>
    </row>
    <row r="344" spans="5:15" ht="13.5" thickBot="1" x14ac:dyDescent="0.35">
      <c r="E344" s="327" t="s">
        <v>118</v>
      </c>
      <c r="F344" s="328"/>
      <c r="G344" s="328"/>
      <c r="H344" s="328"/>
      <c r="I344" s="328"/>
      <c r="J344" s="328"/>
      <c r="K344" s="74">
        <f>K343</f>
        <v>258.09062399999999</v>
      </c>
    </row>
    <row r="346" spans="5:15" ht="13.5" thickBot="1" x14ac:dyDescent="0.3"/>
    <row r="347" spans="5:15" x14ac:dyDescent="0.3">
      <c r="E347" s="295" t="s">
        <v>124</v>
      </c>
      <c r="F347" s="296"/>
      <c r="G347" s="296"/>
      <c r="H347" s="297"/>
    </row>
    <row r="348" spans="5:15" x14ac:dyDescent="0.25">
      <c r="E348" s="44" t="s">
        <v>119</v>
      </c>
      <c r="F348" s="8" t="s">
        <v>120</v>
      </c>
      <c r="G348" s="8" t="s">
        <v>121</v>
      </c>
      <c r="H348" s="87" t="s">
        <v>122</v>
      </c>
    </row>
    <row r="349" spans="5:15" x14ac:dyDescent="0.25">
      <c r="E349" s="44">
        <v>36</v>
      </c>
      <c r="F349" s="8">
        <v>5</v>
      </c>
      <c r="G349" s="8">
        <f>F349*365</f>
        <v>1825</v>
      </c>
      <c r="H349" s="85">
        <f>(E349*G349)/1000</f>
        <v>65.7</v>
      </c>
    </row>
    <row r="350" spans="5:15" ht="13.5" thickBot="1" x14ac:dyDescent="0.35">
      <c r="E350" s="312" t="s">
        <v>123</v>
      </c>
      <c r="F350" s="313"/>
      <c r="G350" s="313"/>
      <c r="H350" s="88">
        <f>H349</f>
        <v>65.7</v>
      </c>
    </row>
    <row r="353" spans="5:12" ht="13.5" thickBot="1" x14ac:dyDescent="0.3"/>
    <row r="354" spans="5:12" x14ac:dyDescent="0.25">
      <c r="E354" s="93" t="s">
        <v>125</v>
      </c>
      <c r="F354" s="90" t="s">
        <v>126</v>
      </c>
      <c r="G354" s="90" t="s">
        <v>127</v>
      </c>
      <c r="H354" s="90" t="s">
        <v>87</v>
      </c>
      <c r="I354" s="90" t="s">
        <v>128</v>
      </c>
      <c r="J354" s="90" t="s">
        <v>129</v>
      </c>
      <c r="K354" s="90" t="s">
        <v>130</v>
      </c>
      <c r="L354" s="91" t="s">
        <v>134</v>
      </c>
    </row>
    <row r="355" spans="5:12" x14ac:dyDescent="0.25">
      <c r="E355" s="94">
        <v>22</v>
      </c>
      <c r="F355" s="27">
        <f>R122</f>
        <v>154.13198400000007</v>
      </c>
      <c r="G355" s="27">
        <f>K$224</f>
        <v>267.49251074304004</v>
      </c>
      <c r="H355" s="27">
        <f>R242</f>
        <v>578.91971426616556</v>
      </c>
      <c r="I355" s="8">
        <f>O$338</f>
        <v>2452.7999999999997</v>
      </c>
      <c r="J355" s="27">
        <f>K$344</f>
        <v>258.09062399999999</v>
      </c>
      <c r="K355" s="8">
        <f>H$350</f>
        <v>65.7</v>
      </c>
      <c r="L355" s="51">
        <f>F355+G355+H355+I355+J355+K355</f>
        <v>3777.1348330092051</v>
      </c>
    </row>
    <row r="356" spans="5:12" x14ac:dyDescent="0.25">
      <c r="E356" s="94">
        <v>23</v>
      </c>
      <c r="F356" s="27">
        <f>R136</f>
        <v>125.74958400000007</v>
      </c>
      <c r="G356" s="27">
        <f t="shared" ref="G356:G361" si="89">K$224</f>
        <v>267.49251074304004</v>
      </c>
      <c r="H356" s="27">
        <f>R255</f>
        <v>529.88149293705203</v>
      </c>
      <c r="I356" s="8">
        <f t="shared" ref="I356:I361" si="90">O$338</f>
        <v>2452.7999999999997</v>
      </c>
      <c r="J356" s="27">
        <f t="shared" ref="J356:J361" si="91">K$344</f>
        <v>258.09062399999999</v>
      </c>
      <c r="K356" s="8">
        <f t="shared" ref="K356:K361" si="92">H$350</f>
        <v>65.7</v>
      </c>
      <c r="L356" s="51">
        <f t="shared" ref="L356:L361" si="93">F356+G356+H356+I356+J356+K356</f>
        <v>3699.7142116800919</v>
      </c>
    </row>
    <row r="357" spans="5:12" x14ac:dyDescent="0.25">
      <c r="E357" s="94">
        <v>24</v>
      </c>
      <c r="F357" s="27">
        <f>R150</f>
        <v>97.367184000000051</v>
      </c>
      <c r="G357" s="27">
        <f t="shared" si="89"/>
        <v>267.49251074304004</v>
      </c>
      <c r="H357" s="27">
        <f>R268</f>
        <v>480.8432716079385</v>
      </c>
      <c r="I357" s="8">
        <f t="shared" si="90"/>
        <v>2452.7999999999997</v>
      </c>
      <c r="J357" s="27">
        <f t="shared" si="91"/>
        <v>258.09062399999999</v>
      </c>
      <c r="K357" s="8">
        <f t="shared" si="92"/>
        <v>65.7</v>
      </c>
      <c r="L357" s="51">
        <f t="shared" si="93"/>
        <v>3622.2935903509783</v>
      </c>
    </row>
    <row r="358" spans="5:12" x14ac:dyDescent="0.25">
      <c r="E358" s="94">
        <v>25</v>
      </c>
      <c r="F358" s="27">
        <f>R164</f>
        <v>68.984784000000062</v>
      </c>
      <c r="G358" s="27">
        <f t="shared" si="89"/>
        <v>267.49251074304004</v>
      </c>
      <c r="H358" s="27">
        <f>R281</f>
        <v>431.80505027882487</v>
      </c>
      <c r="I358" s="8">
        <f t="shared" si="90"/>
        <v>2452.7999999999997</v>
      </c>
      <c r="J358" s="27">
        <f t="shared" si="91"/>
        <v>258.09062399999999</v>
      </c>
      <c r="K358" s="8">
        <f t="shared" si="92"/>
        <v>65.7</v>
      </c>
      <c r="L358" s="51">
        <f t="shared" si="93"/>
        <v>3544.8729690218647</v>
      </c>
    </row>
    <row r="359" spans="5:12" x14ac:dyDescent="0.25">
      <c r="E359" s="94">
        <v>26</v>
      </c>
      <c r="F359" s="27">
        <f>R178</f>
        <v>40.602384000000058</v>
      </c>
      <c r="G359" s="27">
        <f t="shared" si="89"/>
        <v>267.49251074304004</v>
      </c>
      <c r="H359" s="27">
        <f>R294</f>
        <v>382.7668289497114</v>
      </c>
      <c r="I359" s="8">
        <f t="shared" si="90"/>
        <v>2452.7999999999997</v>
      </c>
      <c r="J359" s="27">
        <f t="shared" si="91"/>
        <v>258.09062399999999</v>
      </c>
      <c r="K359" s="8">
        <f t="shared" si="92"/>
        <v>65.7</v>
      </c>
      <c r="L359" s="51">
        <f t="shared" si="93"/>
        <v>3467.4523476927511</v>
      </c>
    </row>
    <row r="360" spans="5:12" x14ac:dyDescent="0.25">
      <c r="E360" s="94">
        <v>27</v>
      </c>
      <c r="F360" s="27">
        <f>R192</f>
        <v>12.219984000000052</v>
      </c>
      <c r="G360" s="27">
        <f t="shared" si="89"/>
        <v>267.49251074304004</v>
      </c>
      <c r="H360" s="27">
        <f>R307</f>
        <v>333.7286076205977</v>
      </c>
      <c r="I360" s="8">
        <f t="shared" si="90"/>
        <v>2452.7999999999997</v>
      </c>
      <c r="J360" s="27">
        <f t="shared" si="91"/>
        <v>258.09062399999999</v>
      </c>
      <c r="K360" s="8">
        <f t="shared" si="92"/>
        <v>65.7</v>
      </c>
      <c r="L360" s="51">
        <f t="shared" si="93"/>
        <v>3390.0317263636375</v>
      </c>
    </row>
    <row r="361" spans="5:12" ht="13.5" thickBot="1" x14ac:dyDescent="0.3">
      <c r="E361" s="95">
        <v>28</v>
      </c>
      <c r="F361" s="89">
        <f>R206</f>
        <v>-16.162415999999943</v>
      </c>
      <c r="G361" s="89">
        <f t="shared" si="89"/>
        <v>267.49251074304004</v>
      </c>
      <c r="H361" s="89">
        <f>R320</f>
        <v>284.69038629148417</v>
      </c>
      <c r="I361" s="21">
        <f t="shared" si="90"/>
        <v>2452.7999999999997</v>
      </c>
      <c r="J361" s="89">
        <f t="shared" si="91"/>
        <v>258.09062399999999</v>
      </c>
      <c r="K361" s="21">
        <f t="shared" si="92"/>
        <v>65.7</v>
      </c>
      <c r="L361" s="92">
        <f t="shared" si="93"/>
        <v>3312.6111050345239</v>
      </c>
    </row>
    <row r="362" spans="5:12" x14ac:dyDescent="0.25">
      <c r="E362" s="32"/>
      <c r="F362" s="32"/>
      <c r="G362" s="32"/>
      <c r="H362" s="32"/>
      <c r="I362" s="32"/>
      <c r="J362" s="32"/>
      <c r="K362" s="32"/>
    </row>
    <row r="363" spans="5:12" x14ac:dyDescent="0.25">
      <c r="E363" s="32"/>
      <c r="F363" s="32"/>
      <c r="G363" s="32"/>
      <c r="H363" s="32"/>
      <c r="I363" s="32"/>
      <c r="J363" s="32"/>
      <c r="K363" s="32"/>
    </row>
    <row r="364" spans="5:12" x14ac:dyDescent="0.25">
      <c r="E364" s="32"/>
      <c r="F364" s="32"/>
      <c r="G364" s="32"/>
      <c r="H364" s="32"/>
      <c r="I364" s="32"/>
      <c r="J364" s="32"/>
      <c r="K364" s="32"/>
    </row>
    <row r="365" spans="5:12" x14ac:dyDescent="0.25">
      <c r="E365" s="32"/>
      <c r="F365" s="32"/>
      <c r="G365" s="32"/>
      <c r="H365" s="32"/>
      <c r="I365" s="32"/>
      <c r="J365" s="32"/>
      <c r="K365" s="32"/>
    </row>
    <row r="366" spans="5:12" x14ac:dyDescent="0.25">
      <c r="E366" s="32"/>
      <c r="F366" s="32"/>
      <c r="G366" s="32"/>
      <c r="H366" s="32"/>
      <c r="I366" s="32"/>
      <c r="J366" s="32"/>
      <c r="K366" s="32"/>
    </row>
    <row r="367" spans="5:12" x14ac:dyDescent="0.25">
      <c r="E367" s="32"/>
      <c r="F367" s="32"/>
      <c r="G367" s="32"/>
      <c r="H367" s="32"/>
      <c r="I367" s="32"/>
      <c r="J367" s="32"/>
      <c r="K367" s="32"/>
    </row>
    <row r="368" spans="5:12" x14ac:dyDescent="0.25">
      <c r="E368" s="32"/>
      <c r="F368" s="32"/>
      <c r="G368" s="32"/>
      <c r="H368" s="32"/>
      <c r="I368" s="32"/>
      <c r="J368" s="32"/>
      <c r="K368" s="32"/>
    </row>
    <row r="369" spans="5:11" x14ac:dyDescent="0.25">
      <c r="E369" s="32"/>
      <c r="F369" s="32"/>
      <c r="G369" s="32"/>
      <c r="H369" s="32"/>
      <c r="I369" s="32"/>
      <c r="J369" s="32"/>
      <c r="K369" s="32"/>
    </row>
  </sheetData>
  <mergeCells count="43">
    <mergeCell ref="F89:N89"/>
    <mergeCell ref="E3:AI3"/>
    <mergeCell ref="E61:AH61"/>
    <mergeCell ref="F17:N17"/>
    <mergeCell ref="E46:AH46"/>
    <mergeCell ref="E255:Q255"/>
    <mergeCell ref="E164:Q164"/>
    <mergeCell ref="E103:N103"/>
    <mergeCell ref="B107:C108"/>
    <mergeCell ref="E107:R107"/>
    <mergeCell ref="E108:R108"/>
    <mergeCell ref="E122:Q122"/>
    <mergeCell ref="E123:R123"/>
    <mergeCell ref="E136:Q136"/>
    <mergeCell ref="E137:R137"/>
    <mergeCell ref="E150:Q150"/>
    <mergeCell ref="E151:R151"/>
    <mergeCell ref="E104:AH104"/>
    <mergeCell ref="E344:J344"/>
    <mergeCell ref="E347:H347"/>
    <mergeCell ref="E350:G350"/>
    <mergeCell ref="E281:Q281"/>
    <mergeCell ref="E294:Q294"/>
    <mergeCell ref="E307:Q307"/>
    <mergeCell ref="E320:Q320"/>
    <mergeCell ref="Q323:R325"/>
    <mergeCell ref="E324:O324"/>
    <mergeCell ref="AP5:AR5"/>
    <mergeCell ref="AP47:AR47"/>
    <mergeCell ref="AP77:AR77"/>
    <mergeCell ref="E338:M338"/>
    <mergeCell ref="E341:K341"/>
    <mergeCell ref="E268:Q268"/>
    <mergeCell ref="E165:R165"/>
    <mergeCell ref="E178:Q178"/>
    <mergeCell ref="E179:R179"/>
    <mergeCell ref="E192:Q192"/>
    <mergeCell ref="E193:R193"/>
    <mergeCell ref="E206:Q206"/>
    <mergeCell ref="E210:K210"/>
    <mergeCell ref="E224:J224"/>
    <mergeCell ref="E228:R228"/>
    <mergeCell ref="E242:Q24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0F238-6A6F-4BF8-AC1C-D2E6B3D8F5D8}">
  <dimension ref="B2:AQ369"/>
  <sheetViews>
    <sheetView topLeftCell="A336" zoomScale="60" zoomScaleNormal="60" workbookViewId="0">
      <selection activeCell="H218" sqref="H218:H221"/>
    </sheetView>
  </sheetViews>
  <sheetFormatPr defaultRowHeight="13" x14ac:dyDescent="0.25"/>
  <cols>
    <col min="2" max="2" width="15.26953125" customWidth="1"/>
    <col min="3" max="3" width="17.1796875" customWidth="1"/>
    <col min="5" max="5" width="12.81640625" customWidth="1"/>
    <col min="6" max="6" width="11.54296875" customWidth="1"/>
    <col min="7" max="7" width="13.1796875" style="1" customWidth="1"/>
    <col min="8" max="8" width="10.1796875" customWidth="1"/>
    <col min="9" max="9" width="17.81640625" customWidth="1"/>
    <col min="10" max="10" width="14.1796875" customWidth="1"/>
    <col min="11" max="11" width="11.453125" customWidth="1"/>
    <col min="12" max="12" width="14.81640625" customWidth="1"/>
    <col min="13" max="14" width="12.1796875" customWidth="1"/>
    <col min="15" max="15" width="15.54296875" style="32" customWidth="1"/>
    <col min="16" max="16" width="17.1796875" style="1" customWidth="1"/>
    <col min="17" max="17" width="28.1796875" style="1" customWidth="1"/>
    <col min="18" max="18" width="18.54296875" customWidth="1"/>
    <col min="19" max="19" width="18.81640625" customWidth="1"/>
    <col min="20" max="20" width="11.54296875" customWidth="1"/>
    <col min="21" max="21" width="9.7265625" customWidth="1"/>
    <col min="24" max="24" width="12" customWidth="1"/>
    <col min="28" max="28" width="11.26953125" customWidth="1"/>
    <col min="29" max="29" width="10.453125" customWidth="1"/>
    <col min="30" max="30" width="17.81640625" customWidth="1"/>
    <col min="31" max="31" width="15" customWidth="1"/>
    <col min="35" max="35" width="11" customWidth="1"/>
    <col min="36" max="36" width="8.7265625" style="32"/>
    <col min="37" max="38" width="8.7265625" style="39"/>
    <col min="41" max="41" width="22.453125" customWidth="1"/>
    <col min="42" max="42" width="14.81640625" customWidth="1"/>
    <col min="43" max="43" width="11.81640625" customWidth="1"/>
  </cols>
  <sheetData>
    <row r="2" spans="2:43" ht="13.5" thickBot="1" x14ac:dyDescent="0.3"/>
    <row r="3" spans="2:43" x14ac:dyDescent="0.3">
      <c r="E3" s="376" t="s">
        <v>9</v>
      </c>
      <c r="F3" s="377"/>
      <c r="G3" s="377"/>
      <c r="H3" s="377"/>
      <c r="I3" s="377"/>
      <c r="J3" s="377"/>
      <c r="K3" s="377"/>
      <c r="L3" s="377"/>
      <c r="M3" s="377"/>
      <c r="N3" s="377"/>
      <c r="O3" s="377"/>
      <c r="P3" s="377"/>
      <c r="Q3" s="377"/>
      <c r="R3" s="377"/>
      <c r="S3" s="377"/>
      <c r="T3" s="377"/>
      <c r="U3" s="377"/>
      <c r="V3" s="377"/>
      <c r="W3" s="377"/>
      <c r="X3" s="377"/>
      <c r="Y3" s="377"/>
      <c r="Z3" s="377"/>
      <c r="AA3" s="377"/>
      <c r="AB3" s="377"/>
      <c r="AC3" s="377"/>
      <c r="AD3" s="377"/>
      <c r="AE3" s="377"/>
      <c r="AF3" s="377"/>
      <c r="AG3" s="377"/>
      <c r="AH3" s="377"/>
      <c r="AI3" s="378"/>
    </row>
    <row r="4" spans="2:43" ht="15" customHeight="1" thickBot="1" x14ac:dyDescent="0.45">
      <c r="E4" s="2" t="s">
        <v>0</v>
      </c>
      <c r="F4" s="3"/>
      <c r="G4" s="5"/>
      <c r="H4" s="4"/>
      <c r="I4" s="4"/>
      <c r="J4" s="4"/>
      <c r="K4" s="4"/>
      <c r="L4" s="4"/>
      <c r="M4" s="3" t="s">
        <v>138</v>
      </c>
      <c r="N4" s="3" t="s">
        <v>137</v>
      </c>
      <c r="O4" s="8" t="s">
        <v>2</v>
      </c>
      <c r="P4" s="4" t="s">
        <v>10</v>
      </c>
      <c r="Q4" s="4" t="s">
        <v>11</v>
      </c>
      <c r="R4" s="4"/>
      <c r="S4" s="4"/>
      <c r="T4" s="4" t="s">
        <v>3</v>
      </c>
      <c r="U4" s="4"/>
      <c r="V4" s="4"/>
      <c r="W4" s="4"/>
      <c r="X4" s="4" t="s">
        <v>3</v>
      </c>
      <c r="Y4" s="4"/>
      <c r="Z4" s="4"/>
      <c r="AA4" s="4"/>
      <c r="AB4" s="4" t="s">
        <v>3</v>
      </c>
      <c r="AC4" s="4"/>
      <c r="AD4" s="4" t="s">
        <v>4</v>
      </c>
      <c r="AE4" s="4" t="s">
        <v>5</v>
      </c>
      <c r="AF4" s="4" t="s">
        <v>6</v>
      </c>
      <c r="AG4" s="4"/>
      <c r="AH4" s="4" t="s">
        <v>7</v>
      </c>
      <c r="AI4" s="6" t="s">
        <v>8</v>
      </c>
    </row>
    <row r="5" spans="2:43" ht="15" customHeight="1" x14ac:dyDescent="0.3">
      <c r="B5" s="54"/>
      <c r="C5" s="54"/>
      <c r="E5" s="2" t="s">
        <v>15</v>
      </c>
      <c r="F5" s="7">
        <v>22</v>
      </c>
      <c r="G5" s="54">
        <v>34.400654639999999</v>
      </c>
      <c r="H5" s="5">
        <v>420</v>
      </c>
      <c r="I5" s="5">
        <v>118.8</v>
      </c>
      <c r="J5" s="5">
        <v>36</v>
      </c>
      <c r="K5" s="8">
        <v>191.96</v>
      </c>
      <c r="L5" s="8">
        <v>8.4700000000000006</v>
      </c>
      <c r="M5" s="9">
        <f>(F5-((G5+H5+I5+J5)/(K5+L5)))</f>
        <v>18.960531583894628</v>
      </c>
      <c r="N5" s="9">
        <v>19</v>
      </c>
      <c r="O5" s="1">
        <v>236.1</v>
      </c>
      <c r="P5" s="4"/>
      <c r="Q5" s="4"/>
      <c r="R5" s="4"/>
      <c r="S5" s="4"/>
      <c r="T5" s="4"/>
      <c r="U5" s="4"/>
      <c r="V5" s="4"/>
      <c r="W5" s="4"/>
      <c r="X5" s="4"/>
      <c r="Y5" s="4"/>
      <c r="Z5" s="4"/>
      <c r="AA5" s="4"/>
      <c r="AB5" s="4"/>
      <c r="AC5" s="4"/>
      <c r="AD5" s="4"/>
      <c r="AE5" s="4"/>
      <c r="AF5" s="4"/>
      <c r="AG5" s="4"/>
      <c r="AH5" s="4"/>
      <c r="AI5" s="6"/>
      <c r="AO5" s="295" t="s">
        <v>202</v>
      </c>
      <c r="AP5" s="296"/>
      <c r="AQ5" s="297"/>
    </row>
    <row r="6" spans="2:43" ht="15" customHeight="1" x14ac:dyDescent="0.25">
      <c r="B6" s="54"/>
      <c r="C6" s="54"/>
      <c r="E6" s="2" t="s">
        <v>16</v>
      </c>
      <c r="F6" s="7">
        <v>22</v>
      </c>
      <c r="G6" s="54">
        <v>37.843264800000007</v>
      </c>
      <c r="H6" s="5">
        <v>420</v>
      </c>
      <c r="I6" s="5">
        <v>118.8</v>
      </c>
      <c r="J6" s="5">
        <v>36</v>
      </c>
      <c r="K6" s="8">
        <v>191.96</v>
      </c>
      <c r="L6" s="8">
        <v>8.4700000000000006</v>
      </c>
      <c r="M6" s="9">
        <f t="shared" ref="M6:M16" si="0">(F6-((G6+H6+I6+J6)/(K6+L6)))</f>
        <v>18.943355461757221</v>
      </c>
      <c r="N6" s="9">
        <v>19</v>
      </c>
      <c r="O6" s="1">
        <v>218.8</v>
      </c>
      <c r="P6" s="4"/>
      <c r="Q6" s="4"/>
      <c r="R6" s="4"/>
      <c r="S6" s="4"/>
      <c r="T6" s="4"/>
      <c r="U6" s="4"/>
      <c r="V6" s="4"/>
      <c r="W6" s="4"/>
      <c r="X6" s="4"/>
      <c r="Y6" s="4"/>
      <c r="Z6" s="4"/>
      <c r="AA6" s="4"/>
      <c r="AB6" s="4"/>
      <c r="AC6" s="4"/>
      <c r="AD6" s="4"/>
      <c r="AE6" s="4"/>
      <c r="AF6" s="4"/>
      <c r="AG6" s="4"/>
      <c r="AH6" s="4"/>
      <c r="AI6" s="6"/>
      <c r="AO6" s="76" t="s">
        <v>195</v>
      </c>
      <c r="AP6" s="27" t="s">
        <v>196</v>
      </c>
      <c r="AQ6" s="86" t="s">
        <v>201</v>
      </c>
    </row>
    <row r="7" spans="2:43" ht="15" customHeight="1" x14ac:dyDescent="0.25">
      <c r="B7" s="54"/>
      <c r="C7" s="54"/>
      <c r="E7" s="2" t="s">
        <v>17</v>
      </c>
      <c r="F7" s="7">
        <v>22</v>
      </c>
      <c r="G7" s="54">
        <v>40.137126480000006</v>
      </c>
      <c r="H7" s="5">
        <v>420</v>
      </c>
      <c r="I7" s="5">
        <v>118.8</v>
      </c>
      <c r="J7" s="5">
        <v>36</v>
      </c>
      <c r="K7" s="8">
        <v>191.96</v>
      </c>
      <c r="L7" s="8">
        <v>8.4700000000000006</v>
      </c>
      <c r="M7" s="9">
        <f t="shared" si="0"/>
        <v>18.931910759467147</v>
      </c>
      <c r="N7" s="9">
        <v>19</v>
      </c>
      <c r="O7" s="1">
        <v>279.5</v>
      </c>
      <c r="P7" s="4"/>
      <c r="Q7" s="4"/>
      <c r="R7" s="4"/>
      <c r="S7" s="4"/>
      <c r="T7" s="4"/>
      <c r="U7" s="4"/>
      <c r="V7" s="4"/>
      <c r="W7" s="4"/>
      <c r="X7" s="4"/>
      <c r="Y7" s="4"/>
      <c r="Z7" s="4"/>
      <c r="AA7" s="4"/>
      <c r="AB7" s="4"/>
      <c r="AC7" s="4"/>
      <c r="AD7" s="4"/>
      <c r="AE7" s="4"/>
      <c r="AF7" s="4"/>
      <c r="AG7" s="4"/>
      <c r="AH7" s="4"/>
      <c r="AI7" s="6"/>
      <c r="AO7" s="76">
        <v>22</v>
      </c>
      <c r="AP7" s="27">
        <v>16</v>
      </c>
      <c r="AQ7" s="145">
        <f>AP7/AP10</f>
        <v>0.34782608695652173</v>
      </c>
    </row>
    <row r="8" spans="2:43" ht="15" customHeight="1" x14ac:dyDescent="0.25">
      <c r="B8" s="54"/>
      <c r="C8" s="54"/>
      <c r="E8" s="2" t="s">
        <v>18</v>
      </c>
      <c r="F8" s="7">
        <v>22</v>
      </c>
      <c r="G8" s="54">
        <v>44.721214560000007</v>
      </c>
      <c r="H8" s="5">
        <v>420</v>
      </c>
      <c r="I8" s="5">
        <v>118.8</v>
      </c>
      <c r="J8" s="5">
        <v>36</v>
      </c>
      <c r="K8" s="8">
        <v>191.96</v>
      </c>
      <c r="L8" s="8">
        <v>8.4700000000000006</v>
      </c>
      <c r="M8" s="9">
        <f t="shared" si="0"/>
        <v>18.909039492291573</v>
      </c>
      <c r="N8" s="9">
        <v>19</v>
      </c>
      <c r="O8" s="1">
        <v>321.10000000000002</v>
      </c>
      <c r="P8" s="4"/>
      <c r="Q8" s="4"/>
      <c r="R8" s="4"/>
      <c r="S8" s="4"/>
      <c r="T8" s="4"/>
      <c r="U8" s="4"/>
      <c r="V8" s="4"/>
      <c r="W8" s="4"/>
      <c r="X8" s="4"/>
      <c r="Y8" s="4"/>
      <c r="Z8" s="4"/>
      <c r="AA8" s="4"/>
      <c r="AB8" s="4"/>
      <c r="AC8" s="4"/>
      <c r="AD8" s="4"/>
      <c r="AE8" s="4"/>
      <c r="AF8" s="4"/>
      <c r="AG8" s="4"/>
      <c r="AH8" s="4"/>
      <c r="AI8" s="6"/>
      <c r="AO8" s="76">
        <v>23</v>
      </c>
      <c r="AP8" s="27">
        <v>10</v>
      </c>
      <c r="AQ8" s="145">
        <f>AP8/AP10</f>
        <v>0.21739130434782608</v>
      </c>
    </row>
    <row r="9" spans="2:43" ht="15" customHeight="1" x14ac:dyDescent="0.25">
      <c r="B9" s="54"/>
      <c r="C9" s="54"/>
      <c r="E9" s="2" t="s">
        <v>12</v>
      </c>
      <c r="F9" s="7">
        <v>22</v>
      </c>
      <c r="G9" s="54">
        <v>59.629497840000013</v>
      </c>
      <c r="H9" s="5">
        <v>420</v>
      </c>
      <c r="I9" s="5">
        <v>118.8</v>
      </c>
      <c r="J9" s="5">
        <v>36</v>
      </c>
      <c r="K9" s="8">
        <v>191.96</v>
      </c>
      <c r="L9" s="8">
        <v>8.4700000000000006</v>
      </c>
      <c r="M9" s="9">
        <f t="shared" si="0"/>
        <v>18.834657996108369</v>
      </c>
      <c r="N9" s="9">
        <v>19</v>
      </c>
      <c r="O9" s="1">
        <v>350.7</v>
      </c>
      <c r="P9" s="4"/>
      <c r="Q9" s="4"/>
      <c r="R9" s="4"/>
      <c r="S9" s="4"/>
      <c r="T9" s="4"/>
      <c r="U9" s="4"/>
      <c r="V9" s="4"/>
      <c r="W9" s="4"/>
      <c r="X9" s="4"/>
      <c r="Y9" s="4"/>
      <c r="Z9" s="4"/>
      <c r="AA9" s="4"/>
      <c r="AB9" s="4"/>
      <c r="AC9" s="4"/>
      <c r="AD9" s="4"/>
      <c r="AE9" s="4"/>
      <c r="AF9" s="4"/>
      <c r="AG9" s="4"/>
      <c r="AH9" s="4"/>
      <c r="AI9" s="6"/>
      <c r="AO9" s="76">
        <v>24</v>
      </c>
      <c r="AP9" s="27">
        <v>20</v>
      </c>
      <c r="AQ9" s="145">
        <f>AP9/AP10</f>
        <v>0.43478260869565216</v>
      </c>
    </row>
    <row r="10" spans="2:43" ht="15" customHeight="1" thickBot="1" x14ac:dyDescent="0.3">
      <c r="B10" s="54"/>
      <c r="C10" s="54"/>
      <c r="E10" s="2" t="s">
        <v>13</v>
      </c>
      <c r="F10" s="7">
        <v>22</v>
      </c>
      <c r="G10" s="54">
        <v>75.686529600000014</v>
      </c>
      <c r="H10" s="5">
        <v>420</v>
      </c>
      <c r="I10" s="5">
        <v>118.8</v>
      </c>
      <c r="J10" s="5">
        <v>36</v>
      </c>
      <c r="K10" s="8">
        <v>191.96</v>
      </c>
      <c r="L10" s="8">
        <v>8.4700000000000006</v>
      </c>
      <c r="M10" s="9">
        <f t="shared" si="0"/>
        <v>18.754545080077833</v>
      </c>
      <c r="N10" s="9">
        <v>19</v>
      </c>
      <c r="O10" s="1">
        <v>312.10000000000002</v>
      </c>
      <c r="P10" s="4"/>
      <c r="Q10" s="4"/>
      <c r="R10" s="4"/>
      <c r="S10" s="4"/>
      <c r="T10" s="4"/>
      <c r="U10" s="4"/>
      <c r="V10" s="4"/>
      <c r="W10" s="4"/>
      <c r="X10" s="4"/>
      <c r="Y10" s="4"/>
      <c r="Z10" s="4"/>
      <c r="AA10" s="4"/>
      <c r="AB10" s="4"/>
      <c r="AC10" s="4"/>
      <c r="AD10" s="4"/>
      <c r="AE10" s="4"/>
      <c r="AF10" s="4"/>
      <c r="AG10" s="4"/>
      <c r="AH10" s="4"/>
      <c r="AI10" s="6"/>
      <c r="AO10" s="142"/>
      <c r="AP10" s="89">
        <f>AP7+AP8+AP9</f>
        <v>46</v>
      </c>
      <c r="AQ10" s="140"/>
    </row>
    <row r="11" spans="2:43" x14ac:dyDescent="0.25">
      <c r="B11" s="54"/>
      <c r="C11" s="54"/>
      <c r="E11" s="2" t="s">
        <v>1</v>
      </c>
      <c r="F11" s="7">
        <v>22</v>
      </c>
      <c r="G11" s="54">
        <v>63.072108000000007</v>
      </c>
      <c r="H11" s="5">
        <v>420</v>
      </c>
      <c r="I11" s="5">
        <v>118.8</v>
      </c>
      <c r="J11" s="5">
        <v>36</v>
      </c>
      <c r="K11" s="8">
        <v>191.96</v>
      </c>
      <c r="L11" s="8">
        <v>8.4700000000000006</v>
      </c>
      <c r="M11" s="9">
        <f t="shared" si="0"/>
        <v>18.817481873970962</v>
      </c>
      <c r="N11" s="9">
        <v>19</v>
      </c>
      <c r="O11" s="1">
        <v>289.60000000000002</v>
      </c>
      <c r="P11" s="8"/>
      <c r="Q11" s="8"/>
      <c r="R11" s="4"/>
      <c r="S11" s="4"/>
      <c r="T11" s="4"/>
      <c r="U11" s="4"/>
      <c r="V11" s="4"/>
      <c r="W11" s="4"/>
      <c r="X11" s="4"/>
      <c r="Y11" s="4"/>
      <c r="Z11" s="4"/>
      <c r="AA11" s="4"/>
      <c r="AB11" s="4"/>
      <c r="AC11" s="4"/>
      <c r="AD11" s="4"/>
      <c r="AE11" s="4"/>
      <c r="AF11" s="4"/>
      <c r="AG11" s="4"/>
      <c r="AH11" s="4"/>
      <c r="AI11" s="6"/>
    </row>
    <row r="12" spans="2:43" x14ac:dyDescent="0.25">
      <c r="B12" s="54"/>
      <c r="C12" s="54"/>
      <c r="E12" s="2" t="s">
        <v>19</v>
      </c>
      <c r="F12" s="7">
        <v>22</v>
      </c>
      <c r="G12" s="54">
        <v>47.015076240000013</v>
      </c>
      <c r="H12" s="5">
        <v>420</v>
      </c>
      <c r="I12" s="5">
        <v>118.8</v>
      </c>
      <c r="J12" s="5">
        <v>36</v>
      </c>
      <c r="K12" s="8">
        <v>191.96</v>
      </c>
      <c r="L12" s="8">
        <v>8.4700000000000006</v>
      </c>
      <c r="M12" s="9">
        <f t="shared" si="0"/>
        <v>18.897594790001499</v>
      </c>
      <c r="N12" s="9">
        <v>19</v>
      </c>
      <c r="O12" s="1">
        <v>302.8</v>
      </c>
      <c r="P12" s="8"/>
      <c r="Q12" s="8"/>
      <c r="R12" s="4"/>
      <c r="S12" s="4"/>
      <c r="T12" s="4"/>
      <c r="U12" s="4"/>
      <c r="V12" s="4"/>
      <c r="W12" s="4"/>
      <c r="X12" s="4"/>
      <c r="Y12" s="4"/>
      <c r="Z12" s="4"/>
      <c r="AA12" s="4"/>
      <c r="AB12" s="4"/>
      <c r="AC12" s="4"/>
      <c r="AD12" s="4"/>
      <c r="AE12" s="4"/>
      <c r="AF12" s="4"/>
      <c r="AG12" s="4"/>
      <c r="AH12" s="4"/>
      <c r="AI12" s="6"/>
    </row>
    <row r="13" spans="2:43" x14ac:dyDescent="0.25">
      <c r="B13" s="54"/>
      <c r="C13" s="54"/>
      <c r="E13" s="2" t="s">
        <v>20</v>
      </c>
      <c r="F13" s="7">
        <v>22</v>
      </c>
      <c r="G13" s="54">
        <v>41.282239680000004</v>
      </c>
      <c r="H13" s="5">
        <v>420</v>
      </c>
      <c r="I13" s="5">
        <v>118.8</v>
      </c>
      <c r="J13" s="5">
        <v>36</v>
      </c>
      <c r="K13" s="8">
        <v>191.96</v>
      </c>
      <c r="L13" s="8">
        <v>8.4700000000000006</v>
      </c>
      <c r="M13" s="9">
        <f t="shared" si="0"/>
        <v>18.926197477024399</v>
      </c>
      <c r="N13" s="9">
        <v>19</v>
      </c>
      <c r="O13" s="1">
        <v>268.10000000000002</v>
      </c>
      <c r="P13" s="8"/>
      <c r="Q13" s="8"/>
      <c r="R13" s="4"/>
      <c r="S13" s="4"/>
      <c r="T13" s="4"/>
      <c r="U13" s="4"/>
      <c r="V13" s="4"/>
      <c r="W13" s="4"/>
      <c r="X13" s="4"/>
      <c r="Y13" s="4"/>
      <c r="Z13" s="4"/>
      <c r="AA13" s="4"/>
      <c r="AB13" s="4"/>
      <c r="AC13" s="4"/>
      <c r="AD13" s="4"/>
      <c r="AE13" s="4"/>
      <c r="AF13" s="4"/>
      <c r="AG13" s="4"/>
      <c r="AH13" s="4"/>
      <c r="AI13" s="6"/>
    </row>
    <row r="14" spans="2:43" x14ac:dyDescent="0.25">
      <c r="B14" s="54"/>
      <c r="C14" s="54"/>
      <c r="E14" s="2" t="s">
        <v>21</v>
      </c>
      <c r="F14" s="7">
        <v>22</v>
      </c>
      <c r="G14" s="54">
        <v>37.843264800000007</v>
      </c>
      <c r="H14" s="5">
        <v>420</v>
      </c>
      <c r="I14" s="5">
        <v>118.8</v>
      </c>
      <c r="J14" s="5">
        <v>36</v>
      </c>
      <c r="K14" s="8">
        <v>191.96</v>
      </c>
      <c r="L14" s="8">
        <v>8.4700000000000006</v>
      </c>
      <c r="M14" s="9">
        <f t="shared" si="0"/>
        <v>18.943355461757221</v>
      </c>
      <c r="N14" s="9">
        <v>19</v>
      </c>
      <c r="O14" s="1">
        <v>272.39999999999998</v>
      </c>
      <c r="P14" s="8"/>
      <c r="Q14" s="8"/>
      <c r="R14" s="4"/>
      <c r="S14" s="4"/>
      <c r="T14" s="4"/>
      <c r="U14" s="4"/>
      <c r="V14" s="4"/>
      <c r="W14" s="4"/>
      <c r="X14" s="4"/>
      <c r="Y14" s="4"/>
      <c r="Z14" s="4"/>
      <c r="AA14" s="4"/>
      <c r="AB14" s="4"/>
      <c r="AC14" s="4"/>
      <c r="AD14" s="4"/>
      <c r="AE14" s="4"/>
      <c r="AF14" s="4"/>
      <c r="AG14" s="4"/>
      <c r="AH14" s="4"/>
      <c r="AI14" s="6"/>
    </row>
    <row r="15" spans="2:43" x14ac:dyDescent="0.25">
      <c r="B15" s="54"/>
      <c r="C15" s="54"/>
      <c r="E15" s="2" t="s">
        <v>22</v>
      </c>
      <c r="F15" s="7">
        <v>22</v>
      </c>
      <c r="G15" s="54">
        <v>34.400654639999999</v>
      </c>
      <c r="H15" s="5">
        <v>420</v>
      </c>
      <c r="I15" s="5">
        <v>118.8</v>
      </c>
      <c r="J15" s="5">
        <v>36</v>
      </c>
      <c r="K15" s="8">
        <v>191.96</v>
      </c>
      <c r="L15" s="8">
        <v>8.4700000000000006</v>
      </c>
      <c r="M15" s="9">
        <f t="shared" si="0"/>
        <v>18.960531583894628</v>
      </c>
      <c r="N15" s="9">
        <v>19</v>
      </c>
      <c r="O15" s="1">
        <v>270.10000000000002</v>
      </c>
      <c r="P15" s="8"/>
      <c r="Q15" s="8"/>
      <c r="R15" s="4"/>
      <c r="S15" s="4"/>
      <c r="T15" s="4"/>
      <c r="U15" s="4"/>
      <c r="V15" s="4"/>
      <c r="W15" s="4"/>
      <c r="X15" s="4"/>
      <c r="Y15" s="4"/>
      <c r="Z15" s="4"/>
      <c r="AA15" s="4"/>
      <c r="AB15" s="4"/>
      <c r="AC15" s="4"/>
      <c r="AD15" s="4"/>
      <c r="AE15" s="4"/>
      <c r="AF15" s="4"/>
      <c r="AG15" s="4"/>
      <c r="AH15" s="4"/>
      <c r="AI15" s="6"/>
      <c r="AO15" s="82"/>
      <c r="AP15" s="82"/>
      <c r="AQ15" s="54"/>
    </row>
    <row r="16" spans="2:43" x14ac:dyDescent="0.25">
      <c r="B16" s="54"/>
      <c r="C16" s="54"/>
      <c r="E16" s="2" t="s">
        <v>23</v>
      </c>
      <c r="F16" s="7">
        <v>22</v>
      </c>
      <c r="G16" s="54">
        <v>33.255541440000002</v>
      </c>
      <c r="H16" s="5">
        <v>420</v>
      </c>
      <c r="I16" s="5">
        <v>118.8</v>
      </c>
      <c r="J16" s="5">
        <v>36</v>
      </c>
      <c r="K16" s="8">
        <v>191.96</v>
      </c>
      <c r="L16" s="8">
        <v>8.4700000000000006</v>
      </c>
      <c r="M16" s="9">
        <f t="shared" si="0"/>
        <v>18.966244866337377</v>
      </c>
      <c r="N16" s="9">
        <v>19</v>
      </c>
      <c r="O16" s="1">
        <v>244.4</v>
      </c>
      <c r="P16" s="8"/>
      <c r="Q16" s="8"/>
      <c r="R16" s="4"/>
      <c r="S16" s="4"/>
      <c r="T16" s="4"/>
      <c r="U16" s="4"/>
      <c r="V16" s="4"/>
      <c r="W16" s="4"/>
      <c r="X16" s="4"/>
      <c r="Y16" s="4"/>
      <c r="Z16" s="4"/>
      <c r="AA16" s="4"/>
      <c r="AB16" s="4"/>
      <c r="AC16" s="4"/>
      <c r="AD16" s="4"/>
      <c r="AE16" s="4"/>
      <c r="AF16" s="4"/>
      <c r="AG16" s="4"/>
      <c r="AH16" s="4"/>
      <c r="AI16" s="6"/>
      <c r="AO16" s="82"/>
      <c r="AP16" s="82"/>
      <c r="AQ16" s="54"/>
    </row>
    <row r="17" spans="5:43" ht="14.15" customHeight="1" x14ac:dyDescent="0.3">
      <c r="E17" s="423" t="s">
        <v>3</v>
      </c>
      <c r="F17" s="424"/>
      <c r="G17" s="424"/>
      <c r="H17" s="424"/>
      <c r="I17" s="424"/>
      <c r="J17" s="424"/>
      <c r="K17" s="424"/>
      <c r="L17" s="424"/>
      <c r="M17" s="424"/>
      <c r="N17" s="425"/>
      <c r="O17" s="11">
        <f>SUM(O5:O16)</f>
        <v>3365.7000000000003</v>
      </c>
      <c r="P17" s="28">
        <f>16/24</f>
        <v>0.66666666666666663</v>
      </c>
      <c r="Q17" s="34">
        <f>24/1000</f>
        <v>2.4E-2</v>
      </c>
      <c r="R17" s="8">
        <v>3.59</v>
      </c>
      <c r="S17" s="8">
        <v>12.96</v>
      </c>
      <c r="T17" s="5">
        <f>O17</f>
        <v>3365.7000000000003</v>
      </c>
      <c r="U17" s="15">
        <f>P17*Q17*R17*S17*T17</f>
        <v>2505.5024716800003</v>
      </c>
      <c r="V17" s="5">
        <v>3.94</v>
      </c>
      <c r="W17" s="5">
        <v>12.96</v>
      </c>
      <c r="X17" s="5">
        <f>O17</f>
        <v>3365.7000000000003</v>
      </c>
      <c r="Y17" s="16">
        <f>(P17*Q17*V17*W17*X17)</f>
        <v>2749.7715148800003</v>
      </c>
      <c r="Z17" s="8">
        <v>2.13</v>
      </c>
      <c r="AA17" s="8">
        <v>41.904000000000003</v>
      </c>
      <c r="AB17" s="8">
        <f>O17</f>
        <v>3365.7000000000003</v>
      </c>
      <c r="AC17" s="17">
        <f>(P17*Q17*Z17*AA17*AB17)</f>
        <v>4806.5168586240006</v>
      </c>
      <c r="AD17" s="96">
        <f>L355</f>
        <v>3633.9463530846701</v>
      </c>
      <c r="AE17" s="18">
        <f>U17+Y17+AC17+AD17</f>
        <v>13695.737198268671</v>
      </c>
      <c r="AF17" s="4">
        <f>AE17*0.1</f>
        <v>1369.5737198268671</v>
      </c>
      <c r="AG17" s="19">
        <f>AE17+AF17</f>
        <v>15065.310918095538</v>
      </c>
      <c r="AH17" s="8">
        <v>3.1</v>
      </c>
      <c r="AI17" s="20">
        <f>ROUND((AG17/AH17),0)</f>
        <v>4860</v>
      </c>
      <c r="AJ17" s="39">
        <v>22</v>
      </c>
      <c r="AO17" s="82"/>
      <c r="AP17" s="82"/>
      <c r="AQ17" s="54"/>
    </row>
    <row r="18" spans="5:43" ht="15.5" x14ac:dyDescent="0.4">
      <c r="E18" s="2" t="s">
        <v>0</v>
      </c>
      <c r="F18" s="3"/>
      <c r="G18" s="5"/>
      <c r="H18" s="4"/>
      <c r="I18" s="4"/>
      <c r="J18" s="4"/>
      <c r="K18" s="4"/>
      <c r="L18" s="4"/>
      <c r="M18" s="3" t="s">
        <v>138</v>
      </c>
      <c r="N18" s="3" t="s">
        <v>137</v>
      </c>
      <c r="O18" s="8" t="s">
        <v>2</v>
      </c>
      <c r="P18" s="5"/>
      <c r="Q18" s="5"/>
      <c r="R18" s="4"/>
      <c r="S18" s="4"/>
      <c r="T18" s="4"/>
      <c r="U18" s="4"/>
      <c r="V18" s="4"/>
      <c r="W18" s="4"/>
      <c r="X18" s="4"/>
      <c r="Y18" s="4"/>
      <c r="Z18" s="4"/>
      <c r="AA18" s="4"/>
      <c r="AB18" s="4"/>
      <c r="AC18" s="4"/>
      <c r="AD18" s="4"/>
      <c r="AE18" s="4"/>
      <c r="AF18" s="4"/>
      <c r="AG18" s="4"/>
      <c r="AH18" s="4"/>
      <c r="AI18" s="6"/>
      <c r="AO18" s="53"/>
      <c r="AP18" s="54"/>
      <c r="AQ18" s="54"/>
    </row>
    <row r="19" spans="5:43" x14ac:dyDescent="0.25">
      <c r="E19" s="2" t="s">
        <v>15</v>
      </c>
      <c r="F19" s="7">
        <v>23</v>
      </c>
      <c r="G19" s="54">
        <v>34.400654639999999</v>
      </c>
      <c r="H19" s="5">
        <v>420</v>
      </c>
      <c r="I19" s="5">
        <v>118.8</v>
      </c>
      <c r="J19" s="5">
        <v>36</v>
      </c>
      <c r="K19" s="8">
        <v>191.96</v>
      </c>
      <c r="L19" s="8">
        <v>8.4700000000000006</v>
      </c>
      <c r="M19" s="9">
        <f>(F19-((G19+H19+I19+J19)/(K19+L19)))</f>
        <v>19.960531583894628</v>
      </c>
      <c r="N19" s="9">
        <v>20</v>
      </c>
      <c r="O19" s="1">
        <v>205.1</v>
      </c>
      <c r="P19" s="5"/>
      <c r="Q19" s="5"/>
      <c r="R19" s="4"/>
      <c r="S19" s="4"/>
      <c r="T19" s="4"/>
      <c r="U19" s="4"/>
      <c r="V19" s="4"/>
      <c r="W19" s="4"/>
      <c r="X19" s="4"/>
      <c r="Y19" s="4"/>
      <c r="Z19" s="4"/>
      <c r="AA19" s="4"/>
      <c r="AB19" s="4"/>
      <c r="AC19" s="4"/>
      <c r="AD19" s="4"/>
      <c r="AE19" s="4"/>
      <c r="AF19" s="4"/>
      <c r="AG19" s="4"/>
      <c r="AH19" s="4"/>
      <c r="AI19" s="6"/>
    </row>
    <row r="20" spans="5:43" x14ac:dyDescent="0.25">
      <c r="E20" s="2" t="s">
        <v>16</v>
      </c>
      <c r="F20" s="7">
        <v>23</v>
      </c>
      <c r="G20" s="54">
        <v>37.843264800000007</v>
      </c>
      <c r="H20" s="5">
        <v>420</v>
      </c>
      <c r="I20" s="5">
        <v>118.8</v>
      </c>
      <c r="J20" s="5">
        <v>36</v>
      </c>
      <c r="K20" s="8">
        <v>191.96</v>
      </c>
      <c r="L20" s="8">
        <v>8.4700000000000006</v>
      </c>
      <c r="M20" s="9">
        <f t="shared" ref="M20:M30" si="1">(F20-((G20+H20+I20+J20)/(K20+L20)))</f>
        <v>19.943355461757221</v>
      </c>
      <c r="N20" s="9">
        <v>20</v>
      </c>
      <c r="O20" s="1">
        <v>190.8</v>
      </c>
      <c r="P20" s="5"/>
      <c r="Q20" s="5"/>
      <c r="R20" s="4"/>
      <c r="S20" s="4"/>
      <c r="T20" s="4"/>
      <c r="U20" s="4"/>
      <c r="V20" s="4"/>
      <c r="W20" s="4"/>
      <c r="X20" s="4"/>
      <c r="Y20" s="4"/>
      <c r="Z20" s="4"/>
      <c r="AA20" s="4"/>
      <c r="AB20" s="4"/>
      <c r="AC20" s="4"/>
      <c r="AD20" s="4"/>
      <c r="AE20" s="4"/>
      <c r="AF20" s="4"/>
      <c r="AG20" s="4"/>
      <c r="AH20" s="4"/>
      <c r="AI20" s="6"/>
    </row>
    <row r="21" spans="5:43" x14ac:dyDescent="0.25">
      <c r="E21" s="2" t="s">
        <v>17</v>
      </c>
      <c r="F21" s="7">
        <v>23</v>
      </c>
      <c r="G21" s="54">
        <v>40.137126480000006</v>
      </c>
      <c r="H21" s="5">
        <v>420</v>
      </c>
      <c r="I21" s="5">
        <v>118.8</v>
      </c>
      <c r="J21" s="5">
        <v>36</v>
      </c>
      <c r="K21" s="8">
        <v>191.96</v>
      </c>
      <c r="L21" s="8">
        <v>8.4700000000000006</v>
      </c>
      <c r="M21" s="9">
        <f t="shared" si="1"/>
        <v>19.931910759467147</v>
      </c>
      <c r="N21" s="9">
        <v>20</v>
      </c>
      <c r="O21" s="1">
        <v>248.5</v>
      </c>
      <c r="P21" s="5"/>
      <c r="Q21" s="5"/>
      <c r="R21" s="4"/>
      <c r="S21" s="4"/>
      <c r="T21" s="4"/>
      <c r="U21" s="4"/>
      <c r="V21" s="4"/>
      <c r="W21" s="4"/>
      <c r="X21" s="4"/>
      <c r="Y21" s="4"/>
      <c r="Z21" s="4"/>
      <c r="AA21" s="4"/>
      <c r="AB21" s="4"/>
      <c r="AC21" s="4"/>
      <c r="AD21" s="4"/>
      <c r="AE21" s="4"/>
      <c r="AF21" s="4"/>
      <c r="AG21" s="4"/>
      <c r="AH21" s="4"/>
      <c r="AI21" s="6"/>
    </row>
    <row r="22" spans="5:43" x14ac:dyDescent="0.25">
      <c r="E22" s="2" t="s">
        <v>18</v>
      </c>
      <c r="F22" s="7">
        <v>23</v>
      </c>
      <c r="G22" s="54">
        <v>44.721214560000007</v>
      </c>
      <c r="H22" s="5">
        <v>420</v>
      </c>
      <c r="I22" s="5">
        <v>118.8</v>
      </c>
      <c r="J22" s="5">
        <v>36</v>
      </c>
      <c r="K22" s="8">
        <v>191.96</v>
      </c>
      <c r="L22" s="8">
        <v>8.4700000000000006</v>
      </c>
      <c r="M22" s="9">
        <f t="shared" si="1"/>
        <v>19.909039492291573</v>
      </c>
      <c r="N22" s="9">
        <v>20</v>
      </c>
      <c r="O22" s="1">
        <v>291.10000000000002</v>
      </c>
      <c r="P22" s="5"/>
      <c r="Q22" s="5"/>
      <c r="R22" s="4"/>
      <c r="S22" s="4"/>
      <c r="T22" s="4"/>
      <c r="U22" s="4"/>
      <c r="V22" s="4"/>
      <c r="W22" s="4"/>
      <c r="X22" s="4"/>
      <c r="Y22" s="4"/>
      <c r="Z22" s="4"/>
      <c r="AA22" s="4"/>
      <c r="AB22" s="4"/>
      <c r="AC22" s="4"/>
      <c r="AD22" s="4"/>
      <c r="AE22" s="4"/>
      <c r="AF22" s="4"/>
      <c r="AG22" s="4"/>
      <c r="AH22" s="4"/>
      <c r="AI22" s="6"/>
    </row>
    <row r="23" spans="5:43" x14ac:dyDescent="0.25">
      <c r="E23" s="2" t="s">
        <v>12</v>
      </c>
      <c r="F23" s="7">
        <v>23</v>
      </c>
      <c r="G23" s="54">
        <v>59.629497840000013</v>
      </c>
      <c r="H23" s="5">
        <v>420</v>
      </c>
      <c r="I23" s="5">
        <v>118.8</v>
      </c>
      <c r="J23" s="5">
        <v>36</v>
      </c>
      <c r="K23" s="8">
        <v>191.96</v>
      </c>
      <c r="L23" s="8">
        <v>8.4700000000000006</v>
      </c>
      <c r="M23" s="9">
        <f t="shared" si="1"/>
        <v>19.834657996108369</v>
      </c>
      <c r="N23" s="9">
        <v>20</v>
      </c>
      <c r="O23" s="1">
        <v>319.7</v>
      </c>
      <c r="P23" s="5"/>
      <c r="Q23" s="5"/>
      <c r="R23" s="4"/>
      <c r="S23" s="4"/>
      <c r="T23" s="4"/>
      <c r="U23" s="4"/>
      <c r="V23" s="4"/>
      <c r="W23" s="4"/>
      <c r="X23" s="4"/>
      <c r="Y23" s="4"/>
      <c r="Z23" s="4"/>
      <c r="AA23" s="4"/>
      <c r="AB23" s="4"/>
      <c r="AC23" s="4"/>
      <c r="AD23" s="4"/>
      <c r="AE23" s="4"/>
      <c r="AF23" s="4"/>
      <c r="AG23" s="4"/>
      <c r="AH23" s="4"/>
      <c r="AI23" s="6"/>
    </row>
    <row r="24" spans="5:43" x14ac:dyDescent="0.25">
      <c r="E24" s="2" t="s">
        <v>13</v>
      </c>
      <c r="F24" s="7">
        <v>23</v>
      </c>
      <c r="G24" s="54">
        <v>75.686529600000014</v>
      </c>
      <c r="H24" s="5">
        <v>420</v>
      </c>
      <c r="I24" s="5">
        <v>118.8</v>
      </c>
      <c r="J24" s="5">
        <v>36</v>
      </c>
      <c r="K24" s="8">
        <v>191.96</v>
      </c>
      <c r="L24" s="8">
        <v>8.4700000000000006</v>
      </c>
      <c r="M24" s="9">
        <f t="shared" si="1"/>
        <v>19.754545080077833</v>
      </c>
      <c r="N24" s="9">
        <v>20</v>
      </c>
      <c r="O24" s="1">
        <v>282.10000000000002</v>
      </c>
      <c r="P24" s="5"/>
      <c r="Q24" s="5"/>
      <c r="R24" s="4"/>
      <c r="S24" s="4"/>
      <c r="T24" s="4"/>
      <c r="U24" s="4"/>
      <c r="V24" s="4"/>
      <c r="W24" s="4"/>
      <c r="X24" s="4"/>
      <c r="Y24" s="4"/>
      <c r="Z24" s="4"/>
      <c r="AA24" s="4"/>
      <c r="AB24" s="4"/>
      <c r="AC24" s="4"/>
      <c r="AD24" s="4"/>
      <c r="AE24" s="4"/>
      <c r="AF24" s="4"/>
      <c r="AG24" s="4"/>
      <c r="AH24" s="4"/>
      <c r="AI24" s="6"/>
    </row>
    <row r="25" spans="5:43" x14ac:dyDescent="0.25">
      <c r="E25" s="2" t="s">
        <v>1</v>
      </c>
      <c r="F25" s="7">
        <v>23</v>
      </c>
      <c r="G25" s="54">
        <v>63.072108000000007</v>
      </c>
      <c r="H25" s="5">
        <v>420</v>
      </c>
      <c r="I25" s="5">
        <v>118.8</v>
      </c>
      <c r="J25" s="5">
        <v>36</v>
      </c>
      <c r="K25" s="8">
        <v>191.96</v>
      </c>
      <c r="L25" s="8">
        <v>8.4700000000000006</v>
      </c>
      <c r="M25" s="9">
        <f t="shared" si="1"/>
        <v>19.817481873970962</v>
      </c>
      <c r="N25" s="9">
        <v>20</v>
      </c>
      <c r="O25" s="1">
        <v>258.60000000000002</v>
      </c>
      <c r="P25" s="29"/>
      <c r="Q25" s="29"/>
      <c r="R25" s="4"/>
      <c r="S25" s="4"/>
      <c r="T25" s="4"/>
      <c r="U25" s="4"/>
      <c r="V25" s="4"/>
      <c r="W25" s="4"/>
      <c r="X25" s="4"/>
      <c r="Y25" s="4"/>
      <c r="Z25" s="4"/>
      <c r="AA25" s="4"/>
      <c r="AB25" s="4"/>
      <c r="AC25" s="4"/>
      <c r="AD25" s="4"/>
      <c r="AE25" s="4"/>
      <c r="AF25" s="4"/>
      <c r="AG25" s="4"/>
      <c r="AH25" s="4"/>
      <c r="AI25" s="6"/>
    </row>
    <row r="26" spans="5:43" x14ac:dyDescent="0.25">
      <c r="E26" s="2" t="s">
        <v>19</v>
      </c>
      <c r="F26" s="7">
        <v>23</v>
      </c>
      <c r="G26" s="54">
        <v>47.015076240000013</v>
      </c>
      <c r="H26" s="5">
        <v>420</v>
      </c>
      <c r="I26" s="5">
        <v>118.8</v>
      </c>
      <c r="J26" s="5">
        <v>36</v>
      </c>
      <c r="K26" s="8">
        <v>191.96</v>
      </c>
      <c r="L26" s="8">
        <v>8.4700000000000006</v>
      </c>
      <c r="M26" s="9">
        <f t="shared" si="1"/>
        <v>19.897594790001499</v>
      </c>
      <c r="N26" s="9">
        <v>20</v>
      </c>
      <c r="O26" s="1">
        <v>271.8</v>
      </c>
      <c r="P26" s="29"/>
      <c r="Q26" s="29"/>
      <c r="R26" s="4"/>
      <c r="S26" s="4"/>
      <c r="T26" s="4"/>
      <c r="U26" s="4"/>
      <c r="V26" s="4"/>
      <c r="W26" s="4"/>
      <c r="X26" s="4"/>
      <c r="Y26" s="4"/>
      <c r="Z26" s="4"/>
      <c r="AA26" s="4"/>
      <c r="AB26" s="4"/>
      <c r="AC26" s="4"/>
      <c r="AD26" s="4"/>
      <c r="AE26" s="4"/>
      <c r="AF26" s="4"/>
      <c r="AG26" s="4"/>
      <c r="AH26" s="4"/>
      <c r="AI26" s="6"/>
    </row>
    <row r="27" spans="5:43" x14ac:dyDescent="0.25">
      <c r="E27" s="2" t="s">
        <v>20</v>
      </c>
      <c r="F27" s="7">
        <v>23</v>
      </c>
      <c r="G27" s="54">
        <v>41.282239680000004</v>
      </c>
      <c r="H27" s="5">
        <v>420</v>
      </c>
      <c r="I27" s="5">
        <v>118.8</v>
      </c>
      <c r="J27" s="5">
        <v>36</v>
      </c>
      <c r="K27" s="8">
        <v>191.96</v>
      </c>
      <c r="L27" s="8">
        <v>8.4700000000000006</v>
      </c>
      <c r="M27" s="9">
        <f t="shared" si="1"/>
        <v>19.926197477024399</v>
      </c>
      <c r="N27" s="9">
        <v>20</v>
      </c>
      <c r="O27" s="1">
        <v>238.1</v>
      </c>
      <c r="P27" s="29"/>
      <c r="Q27" s="29"/>
      <c r="R27" s="4"/>
      <c r="S27" s="4"/>
      <c r="T27" s="4"/>
      <c r="U27" s="4"/>
      <c r="V27" s="4"/>
      <c r="W27" s="4"/>
      <c r="X27" s="4"/>
      <c r="Y27" s="4"/>
      <c r="Z27" s="4"/>
      <c r="AA27" s="4"/>
      <c r="AB27" s="4"/>
      <c r="AC27" s="4"/>
      <c r="AD27" s="4"/>
      <c r="AE27" s="4"/>
      <c r="AF27" s="4"/>
      <c r="AG27" s="4"/>
      <c r="AH27" s="4"/>
      <c r="AI27" s="6"/>
    </row>
    <row r="28" spans="5:43" x14ac:dyDescent="0.25">
      <c r="E28" s="2" t="s">
        <v>21</v>
      </c>
      <c r="F28" s="7">
        <v>23</v>
      </c>
      <c r="G28" s="54">
        <v>37.843264800000007</v>
      </c>
      <c r="H28" s="5">
        <v>420</v>
      </c>
      <c r="I28" s="5">
        <v>118.8</v>
      </c>
      <c r="J28" s="5">
        <v>36</v>
      </c>
      <c r="K28" s="8">
        <v>191.96</v>
      </c>
      <c r="L28" s="8">
        <v>8.4700000000000006</v>
      </c>
      <c r="M28" s="9">
        <f t="shared" si="1"/>
        <v>19.943355461757221</v>
      </c>
      <c r="N28" s="9">
        <v>20</v>
      </c>
      <c r="O28" s="1">
        <v>241.4</v>
      </c>
      <c r="P28" s="29"/>
      <c r="Q28" s="29"/>
      <c r="R28" s="4"/>
      <c r="S28" s="4"/>
      <c r="T28" s="4"/>
      <c r="U28" s="4"/>
      <c r="V28" s="4"/>
      <c r="W28" s="4"/>
      <c r="X28" s="4"/>
      <c r="Y28" s="4"/>
      <c r="Z28" s="4"/>
      <c r="AA28" s="4"/>
      <c r="AB28" s="4"/>
      <c r="AC28" s="4"/>
      <c r="AD28" s="4"/>
      <c r="AE28" s="4"/>
      <c r="AF28" s="4"/>
      <c r="AG28" s="4"/>
      <c r="AH28" s="4"/>
      <c r="AI28" s="6"/>
    </row>
    <row r="29" spans="5:43" x14ac:dyDescent="0.25">
      <c r="E29" s="2" t="s">
        <v>22</v>
      </c>
      <c r="F29" s="7">
        <v>23</v>
      </c>
      <c r="G29" s="54">
        <v>34.400654639999999</v>
      </c>
      <c r="H29" s="5">
        <v>420</v>
      </c>
      <c r="I29" s="5">
        <v>118.8</v>
      </c>
      <c r="J29" s="5">
        <v>36</v>
      </c>
      <c r="K29" s="8">
        <v>191.96</v>
      </c>
      <c r="L29" s="8">
        <v>8.4700000000000006</v>
      </c>
      <c r="M29" s="9">
        <f t="shared" si="1"/>
        <v>19.960531583894628</v>
      </c>
      <c r="N29" s="9">
        <v>20</v>
      </c>
      <c r="O29" s="1">
        <v>240.1</v>
      </c>
      <c r="P29" s="29"/>
      <c r="Q29" s="29"/>
      <c r="R29" s="4"/>
      <c r="S29" s="4"/>
      <c r="T29" s="4"/>
      <c r="U29" s="4"/>
      <c r="V29" s="4"/>
      <c r="W29" s="4"/>
      <c r="X29" s="4"/>
      <c r="Y29" s="4"/>
      <c r="Z29" s="4"/>
      <c r="AA29" s="4"/>
      <c r="AB29" s="4"/>
      <c r="AC29" s="4"/>
      <c r="AD29" s="4"/>
      <c r="AE29" s="4"/>
      <c r="AF29" s="4"/>
      <c r="AG29" s="4"/>
      <c r="AH29" s="4"/>
      <c r="AI29" s="6"/>
    </row>
    <row r="30" spans="5:43" x14ac:dyDescent="0.25">
      <c r="E30" s="2" t="s">
        <v>23</v>
      </c>
      <c r="F30" s="7">
        <v>23</v>
      </c>
      <c r="G30" s="54">
        <v>33.255541440000002</v>
      </c>
      <c r="H30" s="5">
        <v>420</v>
      </c>
      <c r="I30" s="5">
        <v>118.8</v>
      </c>
      <c r="J30" s="5">
        <v>36</v>
      </c>
      <c r="K30" s="8">
        <v>191.96</v>
      </c>
      <c r="L30" s="8">
        <v>8.4700000000000006</v>
      </c>
      <c r="M30" s="9">
        <f t="shared" si="1"/>
        <v>19.966244866337377</v>
      </c>
      <c r="N30" s="9">
        <v>20</v>
      </c>
      <c r="O30" s="1">
        <v>213.4</v>
      </c>
      <c r="P30" s="29"/>
      <c r="Q30" s="29"/>
      <c r="R30" s="4"/>
      <c r="S30" s="4"/>
      <c r="T30" s="4"/>
      <c r="U30" s="4"/>
      <c r="V30" s="4"/>
      <c r="W30" s="4"/>
      <c r="X30" s="4"/>
      <c r="Y30" s="4"/>
      <c r="Z30" s="4"/>
      <c r="AA30" s="4"/>
      <c r="AB30" s="4"/>
      <c r="AC30" s="4"/>
      <c r="AD30" s="4"/>
      <c r="AE30" s="4"/>
      <c r="AF30" s="4"/>
      <c r="AG30" s="4"/>
      <c r="AH30" s="4"/>
      <c r="AI30" s="6"/>
    </row>
    <row r="31" spans="5:43" x14ac:dyDescent="0.3">
      <c r="E31" s="423" t="s">
        <v>3</v>
      </c>
      <c r="F31" s="424"/>
      <c r="G31" s="424"/>
      <c r="H31" s="424"/>
      <c r="I31" s="424"/>
      <c r="J31" s="424"/>
      <c r="K31" s="424"/>
      <c r="L31" s="424"/>
      <c r="M31" s="424"/>
      <c r="N31" s="425"/>
      <c r="O31" s="11">
        <f>SUM(O19:O30)</f>
        <v>3000.7000000000003</v>
      </c>
      <c r="P31" s="28">
        <f>16/24</f>
        <v>0.66666666666666663</v>
      </c>
      <c r="Q31" s="28">
        <f>24/1000</f>
        <v>2.4E-2</v>
      </c>
      <c r="R31" s="8">
        <v>3.59</v>
      </c>
      <c r="S31" s="8">
        <v>12.96</v>
      </c>
      <c r="T31" s="5">
        <f>O31</f>
        <v>3000.7000000000003</v>
      </c>
      <c r="U31" s="15">
        <f>P31*Q31*R31*S31*T31</f>
        <v>2233.7882956800004</v>
      </c>
      <c r="V31" s="5">
        <v>3.94</v>
      </c>
      <c r="W31" s="5">
        <v>12.96</v>
      </c>
      <c r="X31" s="5">
        <f>O31</f>
        <v>3000.7000000000003</v>
      </c>
      <c r="Y31" s="16">
        <f>(P31*Q31*V31*W31*X31)</f>
        <v>2451.5670988800002</v>
      </c>
      <c r="Z31" s="8">
        <v>2.13</v>
      </c>
      <c r="AA31" s="8">
        <v>41.904000000000003</v>
      </c>
      <c r="AB31" s="8">
        <f>O31</f>
        <v>3000.7000000000003</v>
      </c>
      <c r="AC31" s="17">
        <f>(P31*Q31*Z31*AA31*AB31)</f>
        <v>4285.2646218240006</v>
      </c>
      <c r="AD31" s="96">
        <f>L356</f>
        <v>3556.5257317555565</v>
      </c>
      <c r="AE31" s="18">
        <f>U31+Y31+AC31+AD31</f>
        <v>12527.145748139557</v>
      </c>
      <c r="AF31" s="4">
        <f>AE31*0.1</f>
        <v>1252.7145748139558</v>
      </c>
      <c r="AG31" s="19">
        <f>AE31+AF31</f>
        <v>13779.860322953513</v>
      </c>
      <c r="AH31" s="8">
        <v>3.1</v>
      </c>
      <c r="AI31" s="20">
        <f>ROUND((AG31/AH31),0)</f>
        <v>4445</v>
      </c>
      <c r="AJ31" s="39">
        <v>23</v>
      </c>
    </row>
    <row r="32" spans="5:43" ht="15.5" x14ac:dyDescent="0.4">
      <c r="E32" s="2" t="s">
        <v>0</v>
      </c>
      <c r="F32" s="3"/>
      <c r="G32" s="5"/>
      <c r="H32" s="4"/>
      <c r="I32" s="4"/>
      <c r="J32" s="4"/>
      <c r="K32" s="4"/>
      <c r="L32" s="4"/>
      <c r="M32" s="3" t="s">
        <v>138</v>
      </c>
      <c r="N32" s="3" t="s">
        <v>137</v>
      </c>
      <c r="O32" s="8" t="s">
        <v>2</v>
      </c>
      <c r="P32" s="5"/>
      <c r="Q32" s="5"/>
      <c r="R32" s="4"/>
      <c r="S32" s="4"/>
      <c r="T32" s="4"/>
      <c r="U32" s="4"/>
      <c r="V32" s="4"/>
      <c r="W32" s="4"/>
      <c r="X32" s="4"/>
      <c r="Y32" s="4"/>
      <c r="Z32" s="4"/>
      <c r="AA32" s="4"/>
      <c r="AB32" s="4"/>
      <c r="AC32" s="4"/>
      <c r="AD32" s="4"/>
      <c r="AE32" s="4"/>
      <c r="AF32" s="4"/>
      <c r="AG32" s="4"/>
      <c r="AH32" s="4"/>
      <c r="AI32" s="6"/>
    </row>
    <row r="33" spans="5:43" x14ac:dyDescent="0.25">
      <c r="E33" s="2" t="s">
        <v>15</v>
      </c>
      <c r="F33" s="33">
        <v>24</v>
      </c>
      <c r="G33" s="54">
        <v>34.400654639999999</v>
      </c>
      <c r="H33" s="5">
        <v>420</v>
      </c>
      <c r="I33" s="5">
        <v>118.8</v>
      </c>
      <c r="J33" s="5">
        <v>36</v>
      </c>
      <c r="K33" s="8">
        <v>191.96</v>
      </c>
      <c r="L33" s="8">
        <v>8.4700000000000006</v>
      </c>
      <c r="M33" s="9">
        <f>(F33-((G33+H33+I33+J33)/(K33+L33)))</f>
        <v>20.960531583894628</v>
      </c>
      <c r="N33" s="9">
        <v>21</v>
      </c>
      <c r="O33" s="1">
        <v>174.1</v>
      </c>
      <c r="P33" s="5"/>
      <c r="Q33" s="5"/>
      <c r="R33" s="4"/>
      <c r="S33" s="4"/>
      <c r="T33" s="4"/>
      <c r="U33" s="4"/>
      <c r="V33" s="4"/>
      <c r="W33" s="4"/>
      <c r="X33" s="4"/>
      <c r="Y33" s="4"/>
      <c r="Z33" s="4"/>
      <c r="AA33" s="4"/>
      <c r="AB33" s="4"/>
      <c r="AC33" s="4"/>
      <c r="AD33" s="4"/>
      <c r="AE33" s="4"/>
      <c r="AF33" s="4"/>
      <c r="AG33" s="4"/>
      <c r="AH33" s="4"/>
      <c r="AI33" s="6"/>
    </row>
    <row r="34" spans="5:43" x14ac:dyDescent="0.25">
      <c r="E34" s="2" t="s">
        <v>16</v>
      </c>
      <c r="F34" s="33">
        <v>24</v>
      </c>
      <c r="G34" s="54">
        <v>37.843264800000007</v>
      </c>
      <c r="H34" s="5">
        <v>420</v>
      </c>
      <c r="I34" s="5">
        <v>118.8</v>
      </c>
      <c r="J34" s="5">
        <v>36</v>
      </c>
      <c r="K34" s="8">
        <v>191.96</v>
      </c>
      <c r="L34" s="8">
        <v>8.4700000000000006</v>
      </c>
      <c r="M34" s="9">
        <f t="shared" ref="M34:M44" si="2">(F34-((G34+H34+I34+J34)/(K34+L34)))</f>
        <v>20.943355461757221</v>
      </c>
      <c r="N34" s="9">
        <v>21</v>
      </c>
      <c r="O34" s="1">
        <v>162.80000000000001</v>
      </c>
      <c r="P34" s="5"/>
      <c r="Q34" s="5"/>
      <c r="R34" s="4"/>
      <c r="S34" s="4"/>
      <c r="T34" s="4"/>
      <c r="U34" s="4"/>
      <c r="V34" s="4"/>
      <c r="W34" s="4"/>
      <c r="X34" s="4"/>
      <c r="Y34" s="4"/>
      <c r="Z34" s="4"/>
      <c r="AA34" s="4"/>
      <c r="AB34" s="4"/>
      <c r="AC34" s="4"/>
      <c r="AD34" s="4"/>
      <c r="AE34" s="4"/>
      <c r="AF34" s="4"/>
      <c r="AG34" s="4"/>
      <c r="AH34" s="4"/>
      <c r="AI34" s="6"/>
    </row>
    <row r="35" spans="5:43" x14ac:dyDescent="0.25">
      <c r="E35" s="2" t="s">
        <v>17</v>
      </c>
      <c r="F35" s="33">
        <v>24</v>
      </c>
      <c r="G35" s="54">
        <v>40.137126480000006</v>
      </c>
      <c r="H35" s="5">
        <v>420</v>
      </c>
      <c r="I35" s="5">
        <v>118.8</v>
      </c>
      <c r="J35" s="5">
        <v>36</v>
      </c>
      <c r="K35" s="8">
        <v>191.96</v>
      </c>
      <c r="L35" s="8">
        <v>8.4700000000000006</v>
      </c>
      <c r="M35" s="9">
        <f t="shared" si="2"/>
        <v>20.931910759467147</v>
      </c>
      <c r="N35" s="9">
        <v>21</v>
      </c>
      <c r="O35" s="1">
        <v>217.5</v>
      </c>
      <c r="P35" s="5"/>
      <c r="Q35" s="5"/>
      <c r="R35" s="4"/>
      <c r="S35" s="4"/>
      <c r="T35" s="4"/>
      <c r="U35" s="4"/>
      <c r="V35" s="4"/>
      <c r="W35" s="4"/>
      <c r="X35" s="4"/>
      <c r="Y35" s="4"/>
      <c r="Z35" s="4"/>
      <c r="AA35" s="4"/>
      <c r="AB35" s="4"/>
      <c r="AC35" s="4"/>
      <c r="AD35" s="4"/>
      <c r="AE35" s="4"/>
      <c r="AF35" s="4"/>
      <c r="AG35" s="4"/>
      <c r="AH35" s="4"/>
      <c r="AI35" s="6"/>
    </row>
    <row r="36" spans="5:43" x14ac:dyDescent="0.25">
      <c r="E36" s="2" t="s">
        <v>18</v>
      </c>
      <c r="F36" s="33">
        <v>24</v>
      </c>
      <c r="G36" s="54">
        <v>44.721214560000007</v>
      </c>
      <c r="H36" s="5">
        <v>420</v>
      </c>
      <c r="I36" s="5">
        <v>118.8</v>
      </c>
      <c r="J36" s="5">
        <v>36</v>
      </c>
      <c r="K36" s="8">
        <v>191.96</v>
      </c>
      <c r="L36" s="8">
        <v>8.4700000000000006</v>
      </c>
      <c r="M36" s="9">
        <f t="shared" si="2"/>
        <v>20.909039492291573</v>
      </c>
      <c r="N36" s="9">
        <v>21</v>
      </c>
      <c r="O36" s="1">
        <v>261.10000000000002</v>
      </c>
      <c r="P36" s="5"/>
      <c r="Q36" s="5"/>
      <c r="R36" s="4"/>
      <c r="S36" s="4"/>
      <c r="T36" s="4"/>
      <c r="U36" s="4"/>
      <c r="V36" s="4"/>
      <c r="W36" s="4"/>
      <c r="X36" s="4"/>
      <c r="Y36" s="4"/>
      <c r="Z36" s="4"/>
      <c r="AA36" s="4"/>
      <c r="AB36" s="4"/>
      <c r="AC36" s="4"/>
      <c r="AD36" s="4"/>
      <c r="AE36" s="4"/>
      <c r="AF36" s="4"/>
      <c r="AG36" s="4"/>
      <c r="AH36" s="4"/>
      <c r="AI36" s="6"/>
    </row>
    <row r="37" spans="5:43" x14ac:dyDescent="0.25">
      <c r="E37" s="2" t="s">
        <v>12</v>
      </c>
      <c r="F37" s="33">
        <v>24</v>
      </c>
      <c r="G37" s="54">
        <v>59.629497840000013</v>
      </c>
      <c r="H37" s="5">
        <v>420</v>
      </c>
      <c r="I37" s="5">
        <v>118.8</v>
      </c>
      <c r="J37" s="5">
        <v>36</v>
      </c>
      <c r="K37" s="8">
        <v>191.96</v>
      </c>
      <c r="L37" s="8">
        <v>8.4700000000000006</v>
      </c>
      <c r="M37" s="9">
        <f t="shared" si="2"/>
        <v>20.834657996108369</v>
      </c>
      <c r="N37" s="9">
        <v>21</v>
      </c>
      <c r="O37" s="1">
        <v>288.7</v>
      </c>
      <c r="P37" s="5"/>
      <c r="Q37" s="5"/>
      <c r="R37" s="4"/>
      <c r="S37" s="4"/>
      <c r="T37" s="4"/>
      <c r="U37" s="4"/>
      <c r="V37" s="4"/>
      <c r="W37" s="4"/>
      <c r="X37" s="4"/>
      <c r="Y37" s="4"/>
      <c r="Z37" s="4"/>
      <c r="AA37" s="4"/>
      <c r="AB37" s="4"/>
      <c r="AC37" s="4"/>
      <c r="AD37" s="4"/>
      <c r="AE37" s="4"/>
      <c r="AF37" s="4"/>
      <c r="AG37" s="4"/>
      <c r="AH37" s="4"/>
      <c r="AI37" s="6"/>
    </row>
    <row r="38" spans="5:43" x14ac:dyDescent="0.25">
      <c r="E38" s="2" t="s">
        <v>13</v>
      </c>
      <c r="F38" s="33">
        <v>24</v>
      </c>
      <c r="G38" s="54">
        <v>75.686529600000014</v>
      </c>
      <c r="H38" s="5">
        <v>420</v>
      </c>
      <c r="I38" s="5">
        <v>118.8</v>
      </c>
      <c r="J38" s="5">
        <v>36</v>
      </c>
      <c r="K38" s="8">
        <v>191.96</v>
      </c>
      <c r="L38" s="8">
        <v>8.4700000000000006</v>
      </c>
      <c r="M38" s="9">
        <f t="shared" si="2"/>
        <v>20.754545080077833</v>
      </c>
      <c r="N38" s="9">
        <v>21</v>
      </c>
      <c r="O38" s="1">
        <v>252.1</v>
      </c>
      <c r="P38" s="5"/>
      <c r="Q38" s="5"/>
      <c r="R38" s="4"/>
      <c r="S38" s="4"/>
      <c r="T38" s="4"/>
      <c r="U38" s="4"/>
      <c r="V38" s="4"/>
      <c r="W38" s="4"/>
      <c r="X38" s="4"/>
      <c r="Y38" s="4"/>
      <c r="Z38" s="4"/>
      <c r="AA38" s="4"/>
      <c r="AB38" s="4"/>
      <c r="AC38" s="4"/>
      <c r="AD38" s="4"/>
      <c r="AE38" s="4"/>
      <c r="AF38" s="4"/>
      <c r="AG38" s="4"/>
      <c r="AH38" s="4"/>
      <c r="AI38" s="6"/>
    </row>
    <row r="39" spans="5:43" x14ac:dyDescent="0.25">
      <c r="E39" s="2" t="s">
        <v>24</v>
      </c>
      <c r="F39" s="33">
        <v>24</v>
      </c>
      <c r="G39" s="54">
        <v>63.072108000000007</v>
      </c>
      <c r="H39" s="5">
        <v>420</v>
      </c>
      <c r="I39" s="5">
        <v>118.8</v>
      </c>
      <c r="J39" s="5">
        <v>36</v>
      </c>
      <c r="K39" s="8">
        <v>191.96</v>
      </c>
      <c r="L39" s="8">
        <v>8.4700000000000006</v>
      </c>
      <c r="M39" s="9">
        <f t="shared" si="2"/>
        <v>20.817481873970962</v>
      </c>
      <c r="N39" s="9">
        <v>21</v>
      </c>
      <c r="O39" s="1">
        <v>227.6</v>
      </c>
      <c r="P39" s="5"/>
      <c r="Q39" s="5"/>
      <c r="R39" s="4"/>
      <c r="S39" s="4"/>
      <c r="T39" s="4"/>
      <c r="U39" s="4"/>
      <c r="V39" s="4"/>
      <c r="W39" s="4"/>
      <c r="X39" s="4"/>
      <c r="Y39" s="4"/>
      <c r="Z39" s="4"/>
      <c r="AA39" s="4"/>
      <c r="AB39" s="4"/>
      <c r="AC39" s="4"/>
      <c r="AD39" s="4"/>
      <c r="AE39" s="4"/>
      <c r="AF39" s="4"/>
      <c r="AG39" s="4"/>
      <c r="AH39" s="4"/>
      <c r="AI39" s="6"/>
    </row>
    <row r="40" spans="5:43" x14ac:dyDescent="0.25">
      <c r="E40" s="2" t="s">
        <v>19</v>
      </c>
      <c r="F40" s="33">
        <v>24</v>
      </c>
      <c r="G40" s="54">
        <v>47.015076240000013</v>
      </c>
      <c r="H40" s="5">
        <v>420</v>
      </c>
      <c r="I40" s="5">
        <v>118.8</v>
      </c>
      <c r="J40" s="5">
        <v>36</v>
      </c>
      <c r="K40" s="8">
        <v>191.96</v>
      </c>
      <c r="L40" s="8">
        <v>8.4700000000000006</v>
      </c>
      <c r="M40" s="9">
        <f t="shared" si="2"/>
        <v>20.897594790001499</v>
      </c>
      <c r="N40" s="9">
        <v>21</v>
      </c>
      <c r="O40" s="1">
        <v>240.8</v>
      </c>
      <c r="P40" s="5"/>
      <c r="Q40" s="5"/>
      <c r="R40" s="4"/>
      <c r="S40" s="4"/>
      <c r="T40" s="4"/>
      <c r="U40" s="4"/>
      <c r="V40" s="4"/>
      <c r="W40" s="4"/>
      <c r="X40" s="4"/>
      <c r="Y40" s="4"/>
      <c r="Z40" s="4"/>
      <c r="AA40" s="4"/>
      <c r="AB40" s="4"/>
      <c r="AC40" s="4"/>
      <c r="AD40" s="4"/>
      <c r="AE40" s="4"/>
      <c r="AF40" s="4"/>
      <c r="AG40" s="4"/>
      <c r="AH40" s="4"/>
      <c r="AI40" s="6"/>
    </row>
    <row r="41" spans="5:43" x14ac:dyDescent="0.25">
      <c r="E41" s="2" t="s">
        <v>20</v>
      </c>
      <c r="F41" s="33">
        <v>24</v>
      </c>
      <c r="G41" s="54">
        <v>41.282239680000004</v>
      </c>
      <c r="H41" s="5">
        <v>420</v>
      </c>
      <c r="I41" s="5">
        <v>118.8</v>
      </c>
      <c r="J41" s="5">
        <v>36</v>
      </c>
      <c r="K41" s="8">
        <v>191.96</v>
      </c>
      <c r="L41" s="8">
        <v>8.4700000000000006</v>
      </c>
      <c r="M41" s="9">
        <f t="shared" si="2"/>
        <v>20.926197477024399</v>
      </c>
      <c r="N41" s="9">
        <v>21</v>
      </c>
      <c r="O41" s="1">
        <v>208.1</v>
      </c>
      <c r="P41" s="5"/>
      <c r="Q41" s="5"/>
      <c r="R41" s="4"/>
      <c r="S41" s="4"/>
      <c r="T41" s="4"/>
      <c r="U41" s="4"/>
      <c r="V41" s="4"/>
      <c r="W41" s="4"/>
      <c r="X41" s="4"/>
      <c r="Y41" s="4"/>
      <c r="Z41" s="4"/>
      <c r="AA41" s="4"/>
      <c r="AB41" s="4"/>
      <c r="AC41" s="4"/>
      <c r="AD41" s="4"/>
      <c r="AE41" s="4"/>
      <c r="AF41" s="4"/>
      <c r="AG41" s="4"/>
      <c r="AH41" s="4"/>
      <c r="AI41" s="6"/>
    </row>
    <row r="42" spans="5:43" x14ac:dyDescent="0.25">
      <c r="E42" s="2" t="s">
        <v>21</v>
      </c>
      <c r="F42" s="33">
        <v>24</v>
      </c>
      <c r="G42" s="54">
        <v>37.843264800000007</v>
      </c>
      <c r="H42" s="5">
        <v>420</v>
      </c>
      <c r="I42" s="5">
        <v>118.8</v>
      </c>
      <c r="J42" s="5">
        <v>36</v>
      </c>
      <c r="K42" s="8">
        <v>191.96</v>
      </c>
      <c r="L42" s="8">
        <v>8.4700000000000006</v>
      </c>
      <c r="M42" s="9">
        <f t="shared" si="2"/>
        <v>20.943355461757221</v>
      </c>
      <c r="N42" s="9">
        <v>21</v>
      </c>
      <c r="O42" s="1">
        <v>210.4</v>
      </c>
      <c r="P42" s="5"/>
      <c r="Q42" s="5"/>
      <c r="R42" s="4"/>
      <c r="S42" s="4"/>
      <c r="T42" s="4"/>
      <c r="U42" s="4"/>
      <c r="V42" s="4"/>
      <c r="W42" s="4"/>
      <c r="X42" s="4"/>
      <c r="Y42" s="4"/>
      <c r="Z42" s="4"/>
      <c r="AA42" s="4"/>
      <c r="AB42" s="4"/>
      <c r="AC42" s="4"/>
      <c r="AD42" s="4"/>
      <c r="AE42" s="4"/>
      <c r="AF42" s="4"/>
      <c r="AG42" s="4"/>
      <c r="AH42" s="4"/>
      <c r="AI42" s="6"/>
    </row>
    <row r="43" spans="5:43" x14ac:dyDescent="0.25">
      <c r="E43" s="2" t="s">
        <v>22</v>
      </c>
      <c r="F43" s="33">
        <v>24</v>
      </c>
      <c r="G43" s="54">
        <v>34.400654639999999</v>
      </c>
      <c r="H43" s="5">
        <v>420</v>
      </c>
      <c r="I43" s="5">
        <v>118.8</v>
      </c>
      <c r="J43" s="5">
        <v>36</v>
      </c>
      <c r="K43" s="8">
        <v>191.96</v>
      </c>
      <c r="L43" s="8">
        <v>8.4700000000000006</v>
      </c>
      <c r="M43" s="9">
        <f t="shared" si="2"/>
        <v>20.960531583894628</v>
      </c>
      <c r="N43" s="9">
        <v>21</v>
      </c>
      <c r="O43" s="1">
        <v>210.1</v>
      </c>
      <c r="P43" s="5"/>
      <c r="Q43" s="5"/>
      <c r="R43" s="4"/>
      <c r="S43" s="4"/>
      <c r="T43" s="4"/>
      <c r="U43" s="4"/>
      <c r="V43" s="4"/>
      <c r="W43" s="4"/>
      <c r="X43" s="4"/>
      <c r="Y43" s="4"/>
      <c r="Z43" s="4"/>
      <c r="AA43" s="4"/>
      <c r="AB43" s="4"/>
      <c r="AC43" s="4"/>
      <c r="AD43" s="4"/>
      <c r="AE43" s="4"/>
      <c r="AF43" s="4"/>
      <c r="AG43" s="4"/>
      <c r="AH43" s="4"/>
      <c r="AI43" s="6"/>
    </row>
    <row r="44" spans="5:43" x14ac:dyDescent="0.25">
      <c r="E44" s="2" t="s">
        <v>23</v>
      </c>
      <c r="F44" s="33">
        <v>24</v>
      </c>
      <c r="G44" s="54">
        <v>33.255541440000002</v>
      </c>
      <c r="H44" s="5">
        <v>420</v>
      </c>
      <c r="I44" s="5">
        <v>118.8</v>
      </c>
      <c r="J44" s="5">
        <v>36</v>
      </c>
      <c r="K44" s="8">
        <v>191.96</v>
      </c>
      <c r="L44" s="8">
        <v>8.4700000000000006</v>
      </c>
      <c r="M44" s="9">
        <f t="shared" si="2"/>
        <v>20.966244866337377</v>
      </c>
      <c r="N44" s="9">
        <v>21</v>
      </c>
      <c r="O44" s="1">
        <v>182.4</v>
      </c>
      <c r="P44" s="5"/>
      <c r="Q44" s="5"/>
      <c r="R44" s="4"/>
      <c r="S44" s="4"/>
      <c r="T44" s="4"/>
      <c r="U44" s="4"/>
      <c r="V44" s="4"/>
      <c r="W44" s="4"/>
      <c r="X44" s="4"/>
      <c r="Y44" s="4"/>
      <c r="Z44" s="4"/>
      <c r="AA44" s="4"/>
      <c r="AB44" s="4"/>
      <c r="AC44" s="4"/>
      <c r="AD44" s="4"/>
      <c r="AE44" s="4"/>
      <c r="AF44" s="4"/>
      <c r="AG44" s="4"/>
      <c r="AH44" s="4"/>
      <c r="AI44" s="6"/>
    </row>
    <row r="45" spans="5:43" x14ac:dyDescent="0.3">
      <c r="E45" s="423" t="s">
        <v>3</v>
      </c>
      <c r="F45" s="424"/>
      <c r="G45" s="424"/>
      <c r="H45" s="424"/>
      <c r="I45" s="424"/>
      <c r="J45" s="424"/>
      <c r="K45" s="424"/>
      <c r="L45" s="424"/>
      <c r="M45" s="424"/>
      <c r="N45" s="425"/>
      <c r="O45" s="11">
        <f>SUM(O33:O44)</f>
        <v>2635.7</v>
      </c>
      <c r="P45" s="28">
        <f>16/24</f>
        <v>0.66666666666666663</v>
      </c>
      <c r="Q45" s="28">
        <f>24/1000</f>
        <v>2.4E-2</v>
      </c>
      <c r="R45" s="8">
        <v>3.59</v>
      </c>
      <c r="S45" s="8">
        <v>12.96</v>
      </c>
      <c r="T45" s="5">
        <f>O45</f>
        <v>2635.7</v>
      </c>
      <c r="U45" s="15">
        <f>P45*Q45*R45*S45*T45</f>
        <v>1962.07411968</v>
      </c>
      <c r="V45" s="5">
        <v>3.94</v>
      </c>
      <c r="W45" s="5">
        <v>12.96</v>
      </c>
      <c r="X45" s="5">
        <f>O45</f>
        <v>2635.7</v>
      </c>
      <c r="Y45" s="16">
        <f>(P45*Q45*V45*W45*X45)</f>
        <v>2153.3626828799997</v>
      </c>
      <c r="Z45" s="8">
        <v>2.13</v>
      </c>
      <c r="AA45" s="8">
        <v>41.904000000000003</v>
      </c>
      <c r="AB45" s="8">
        <f>O45</f>
        <v>2635.7</v>
      </c>
      <c r="AC45" s="17">
        <f>(P45*Q45*Z45*AA45*AB45)</f>
        <v>3764.0123850239997</v>
      </c>
      <c r="AD45" s="96">
        <f>L357</f>
        <v>3479.1051104264429</v>
      </c>
      <c r="AE45" s="18">
        <f>U45+Y45+AC45+AD45</f>
        <v>11358.554298010442</v>
      </c>
      <c r="AF45" s="4">
        <f>AE45*0.1</f>
        <v>1135.8554298010442</v>
      </c>
      <c r="AG45" s="19">
        <f>AE45+AF45</f>
        <v>12494.409727811486</v>
      </c>
      <c r="AH45" s="8">
        <v>3.1</v>
      </c>
      <c r="AI45" s="20">
        <f>ROUND((AG45/AH45),0)</f>
        <v>4030</v>
      </c>
      <c r="AJ45" s="39">
        <v>24</v>
      </c>
      <c r="AK45" s="122"/>
      <c r="AL45" s="122"/>
    </row>
    <row r="46" spans="5:43" ht="13.5" thickBot="1" x14ac:dyDescent="0.35">
      <c r="E46" s="385" t="s">
        <v>223</v>
      </c>
      <c r="F46" s="386"/>
      <c r="G46" s="386"/>
      <c r="H46" s="386"/>
      <c r="I46" s="386"/>
      <c r="J46" s="386"/>
      <c r="K46" s="386"/>
      <c r="L46" s="386"/>
      <c r="M46" s="386"/>
      <c r="N46" s="386"/>
      <c r="O46" s="386"/>
      <c r="P46" s="386"/>
      <c r="Q46" s="386"/>
      <c r="R46" s="386"/>
      <c r="S46" s="386"/>
      <c r="T46" s="386"/>
      <c r="U46" s="386"/>
      <c r="V46" s="386"/>
      <c r="W46" s="386"/>
      <c r="X46" s="386"/>
      <c r="Y46" s="386"/>
      <c r="Z46" s="386"/>
      <c r="AA46" s="386"/>
      <c r="AB46" s="386"/>
      <c r="AC46" s="386"/>
      <c r="AD46" s="386"/>
      <c r="AE46" s="386"/>
      <c r="AF46" s="386"/>
      <c r="AG46" s="386"/>
      <c r="AH46" s="387"/>
      <c r="AI46" s="150">
        <f>(AI17*AQ7+AI31*AQ8+AI45*AQ9)</f>
        <v>4408.913043478261</v>
      </c>
      <c r="AJ46" s="39"/>
      <c r="AK46" s="122"/>
      <c r="AL46" s="122"/>
    </row>
    <row r="47" spans="5:43" ht="15.5" x14ac:dyDescent="0.4">
      <c r="E47" s="2" t="s">
        <v>0</v>
      </c>
      <c r="F47" s="4"/>
      <c r="G47" s="5"/>
      <c r="H47" s="4"/>
      <c r="I47" s="4"/>
      <c r="J47" s="4"/>
      <c r="K47" s="4"/>
      <c r="L47" s="4"/>
      <c r="M47" s="3" t="s">
        <v>138</v>
      </c>
      <c r="N47" s="3" t="s">
        <v>137</v>
      </c>
      <c r="O47" s="8" t="s">
        <v>2</v>
      </c>
      <c r="P47" s="5"/>
      <c r="Q47" s="5"/>
      <c r="R47" s="4"/>
      <c r="S47" s="4"/>
      <c r="T47" s="4"/>
      <c r="U47" s="4"/>
      <c r="V47" s="4"/>
      <c r="W47" s="4"/>
      <c r="X47" s="4"/>
      <c r="Y47" s="4"/>
      <c r="Z47" s="4"/>
      <c r="AA47" s="4"/>
      <c r="AB47" s="4"/>
      <c r="AC47" s="4"/>
      <c r="AD47" s="4"/>
      <c r="AE47" s="4"/>
      <c r="AF47" s="4"/>
      <c r="AG47" s="4"/>
      <c r="AH47" s="4"/>
      <c r="AI47" s="6"/>
      <c r="AO47" s="295" t="s">
        <v>203</v>
      </c>
      <c r="AP47" s="296"/>
      <c r="AQ47" s="297"/>
    </row>
    <row r="48" spans="5:43" x14ac:dyDescent="0.3">
      <c r="E48" s="2" t="s">
        <v>15</v>
      </c>
      <c r="F48" s="7">
        <v>25</v>
      </c>
      <c r="G48" s="54">
        <v>34.400654639999999</v>
      </c>
      <c r="H48" s="5">
        <v>420</v>
      </c>
      <c r="I48" s="5">
        <v>118.8</v>
      </c>
      <c r="J48" s="5">
        <v>36</v>
      </c>
      <c r="K48" s="8">
        <v>191.96</v>
      </c>
      <c r="L48" s="8">
        <v>8.4700000000000006</v>
      </c>
      <c r="M48" s="9">
        <f>(F48-((G48+H48+I48+J48)/(K48+L48)))</f>
        <v>21.960531583894628</v>
      </c>
      <c r="N48" s="9">
        <v>22</v>
      </c>
      <c r="O48" s="1">
        <v>143.30000000000001</v>
      </c>
      <c r="P48" s="5"/>
      <c r="Q48" s="5"/>
      <c r="R48" s="4"/>
      <c r="S48" s="4"/>
      <c r="T48" s="4"/>
      <c r="U48" s="4"/>
      <c r="V48" s="4"/>
      <c r="W48" s="4"/>
      <c r="X48" s="4"/>
      <c r="Y48" s="4"/>
      <c r="Z48" s="4"/>
      <c r="AA48" s="4"/>
      <c r="AB48" s="4"/>
      <c r="AC48" s="4"/>
      <c r="AD48" s="4"/>
      <c r="AE48" s="4"/>
      <c r="AF48" s="4"/>
      <c r="AG48" s="4"/>
      <c r="AH48" s="4"/>
      <c r="AI48" s="6"/>
      <c r="AN48" s="141"/>
      <c r="AO48" s="76" t="s">
        <v>195</v>
      </c>
      <c r="AP48" s="27" t="s">
        <v>196</v>
      </c>
      <c r="AQ48" s="86" t="s">
        <v>201</v>
      </c>
    </row>
    <row r="49" spans="5:43" x14ac:dyDescent="0.25">
      <c r="E49" s="2" t="s">
        <v>16</v>
      </c>
      <c r="F49" s="7">
        <v>25</v>
      </c>
      <c r="G49" s="54">
        <v>37.843264800000007</v>
      </c>
      <c r="H49" s="5">
        <v>420</v>
      </c>
      <c r="I49" s="5">
        <v>118.8</v>
      </c>
      <c r="J49" s="5">
        <v>36</v>
      </c>
      <c r="K49" s="8">
        <v>191.96</v>
      </c>
      <c r="L49" s="8">
        <v>8.4700000000000006</v>
      </c>
      <c r="M49" s="9">
        <f t="shared" ref="M49:M59" si="3">(F49-((G49+H49+I49+J49)/(K49+L49)))</f>
        <v>21.943355461757221</v>
      </c>
      <c r="N49" s="9">
        <v>22</v>
      </c>
      <c r="O49" s="1">
        <v>134.9</v>
      </c>
      <c r="P49" s="5"/>
      <c r="Q49" s="5"/>
      <c r="R49" s="4"/>
      <c r="S49" s="4"/>
      <c r="T49" s="4"/>
      <c r="U49" s="4"/>
      <c r="V49" s="4"/>
      <c r="W49" s="4"/>
      <c r="X49" s="4"/>
      <c r="Y49" s="4"/>
      <c r="Z49" s="4"/>
      <c r="AA49" s="4"/>
      <c r="AB49" s="4"/>
      <c r="AC49" s="4"/>
      <c r="AD49" s="4"/>
      <c r="AE49" s="4"/>
      <c r="AF49" s="4"/>
      <c r="AG49" s="4"/>
      <c r="AH49" s="4"/>
      <c r="AI49" s="6"/>
      <c r="AO49" s="76">
        <v>25</v>
      </c>
      <c r="AP49" s="27">
        <v>12</v>
      </c>
      <c r="AQ49" s="35">
        <v>100</v>
      </c>
    </row>
    <row r="50" spans="5:43" x14ac:dyDescent="0.25">
      <c r="E50" s="2" t="s">
        <v>17</v>
      </c>
      <c r="F50" s="7">
        <v>25</v>
      </c>
      <c r="G50" s="54">
        <v>40.137126480000006</v>
      </c>
      <c r="H50" s="5">
        <v>420</v>
      </c>
      <c r="I50" s="5">
        <v>118.8</v>
      </c>
      <c r="J50" s="5">
        <v>36</v>
      </c>
      <c r="K50" s="8">
        <v>191.96</v>
      </c>
      <c r="L50" s="8">
        <v>8.4700000000000006</v>
      </c>
      <c r="M50" s="9">
        <f t="shared" si="3"/>
        <v>21.931910759467147</v>
      </c>
      <c r="N50" s="9">
        <v>22</v>
      </c>
      <c r="O50" s="1">
        <v>186.6</v>
      </c>
      <c r="P50" s="5"/>
      <c r="Q50" s="5"/>
      <c r="R50" s="4"/>
      <c r="S50" s="4"/>
      <c r="T50" s="4"/>
      <c r="U50" s="4"/>
      <c r="V50" s="4"/>
      <c r="W50" s="4"/>
      <c r="X50" s="4"/>
      <c r="Y50" s="4"/>
      <c r="Z50" s="4"/>
      <c r="AA50" s="4"/>
      <c r="AB50" s="4"/>
      <c r="AC50" s="4"/>
      <c r="AD50" s="4"/>
      <c r="AE50" s="4"/>
      <c r="AF50" s="4"/>
      <c r="AG50" s="4"/>
      <c r="AH50" s="4"/>
      <c r="AI50" s="6"/>
    </row>
    <row r="51" spans="5:43" x14ac:dyDescent="0.25">
      <c r="E51" s="2" t="s">
        <v>18</v>
      </c>
      <c r="F51" s="7">
        <v>25</v>
      </c>
      <c r="G51" s="54">
        <v>44.721214560000007</v>
      </c>
      <c r="H51" s="5">
        <v>420</v>
      </c>
      <c r="I51" s="5">
        <v>118.8</v>
      </c>
      <c r="J51" s="5">
        <v>36</v>
      </c>
      <c r="K51" s="8">
        <v>191.96</v>
      </c>
      <c r="L51" s="8">
        <v>8.4700000000000006</v>
      </c>
      <c r="M51" s="9">
        <f t="shared" si="3"/>
        <v>21.909039492291573</v>
      </c>
      <c r="N51" s="9">
        <v>22</v>
      </c>
      <c r="O51" s="1">
        <v>231.1</v>
      </c>
      <c r="P51" s="5"/>
      <c r="Q51" s="5"/>
      <c r="R51" s="4"/>
      <c r="S51" s="4"/>
      <c r="T51" s="4"/>
      <c r="U51" s="4"/>
      <c r="V51" s="4"/>
      <c r="W51" s="4"/>
      <c r="X51" s="4"/>
      <c r="Y51" s="4"/>
      <c r="Z51" s="4"/>
      <c r="AA51" s="4"/>
      <c r="AB51" s="4"/>
      <c r="AC51" s="4"/>
      <c r="AD51" s="4"/>
      <c r="AE51" s="4"/>
      <c r="AF51" s="4"/>
      <c r="AG51" s="4"/>
      <c r="AH51" s="4"/>
      <c r="AI51" s="6"/>
      <c r="AO51" s="82"/>
      <c r="AP51" s="82"/>
      <c r="AQ51" s="54"/>
    </row>
    <row r="52" spans="5:43" x14ac:dyDescent="0.25">
      <c r="E52" s="2" t="s">
        <v>12</v>
      </c>
      <c r="F52" s="7">
        <v>25</v>
      </c>
      <c r="G52" s="54">
        <v>59.629497840000013</v>
      </c>
      <c r="H52" s="5">
        <v>420</v>
      </c>
      <c r="I52" s="5">
        <v>118.8</v>
      </c>
      <c r="J52" s="5">
        <v>36</v>
      </c>
      <c r="K52" s="8">
        <v>191.96</v>
      </c>
      <c r="L52" s="8">
        <v>8.4700000000000006</v>
      </c>
      <c r="M52" s="9">
        <f t="shared" si="3"/>
        <v>21.834657996108369</v>
      </c>
      <c r="N52" s="9">
        <v>22</v>
      </c>
      <c r="O52" s="1">
        <v>257.7</v>
      </c>
      <c r="P52" s="5"/>
      <c r="Q52" s="5"/>
      <c r="R52" s="4"/>
      <c r="S52" s="4"/>
      <c r="T52" s="4"/>
      <c r="U52" s="4"/>
      <c r="V52" s="4"/>
      <c r="W52" s="4"/>
      <c r="X52" s="4"/>
      <c r="Y52" s="4"/>
      <c r="Z52" s="4"/>
      <c r="AA52" s="4"/>
      <c r="AB52" s="4"/>
      <c r="AC52" s="4"/>
      <c r="AD52" s="4"/>
      <c r="AE52" s="4"/>
      <c r="AF52" s="4"/>
      <c r="AG52" s="4"/>
      <c r="AH52" s="4"/>
      <c r="AI52" s="6"/>
      <c r="AO52" s="82"/>
      <c r="AP52" s="82"/>
      <c r="AQ52" s="54"/>
    </row>
    <row r="53" spans="5:43" x14ac:dyDescent="0.25">
      <c r="E53" s="2" t="s">
        <v>13</v>
      </c>
      <c r="F53" s="7">
        <v>25</v>
      </c>
      <c r="G53" s="54">
        <v>75.686529600000014</v>
      </c>
      <c r="H53" s="5">
        <v>420</v>
      </c>
      <c r="I53" s="5">
        <v>118.8</v>
      </c>
      <c r="J53" s="5">
        <v>36</v>
      </c>
      <c r="K53" s="8">
        <v>191.96</v>
      </c>
      <c r="L53" s="8">
        <v>8.4700000000000006</v>
      </c>
      <c r="M53" s="9">
        <f t="shared" si="3"/>
        <v>21.754545080077833</v>
      </c>
      <c r="N53" s="9">
        <v>22</v>
      </c>
      <c r="O53" s="1">
        <v>222.1</v>
      </c>
      <c r="P53" s="5"/>
      <c r="Q53" s="5"/>
      <c r="R53" s="4"/>
      <c r="S53" s="4"/>
      <c r="T53" s="4"/>
      <c r="U53" s="4"/>
      <c r="V53" s="4"/>
      <c r="W53" s="4"/>
      <c r="X53" s="4"/>
      <c r="Y53" s="4"/>
      <c r="Z53" s="4"/>
      <c r="AA53" s="4"/>
      <c r="AB53" s="4"/>
      <c r="AC53" s="4"/>
      <c r="AD53" s="4"/>
      <c r="AE53" s="4"/>
      <c r="AF53" s="4"/>
      <c r="AG53" s="4"/>
      <c r="AH53" s="4"/>
      <c r="AI53" s="6"/>
      <c r="AL53" s="173">
        <f>AI46-AI61</f>
        <v>792.91304347826099</v>
      </c>
      <c r="AO53" s="82"/>
      <c r="AP53" s="82"/>
      <c r="AQ53" s="54"/>
    </row>
    <row r="54" spans="5:43" x14ac:dyDescent="0.25">
      <c r="E54" s="2" t="s">
        <v>24</v>
      </c>
      <c r="F54" s="7">
        <v>25</v>
      </c>
      <c r="G54" s="54">
        <v>63.072108000000007</v>
      </c>
      <c r="H54" s="5">
        <v>420</v>
      </c>
      <c r="I54" s="5">
        <v>118.8</v>
      </c>
      <c r="J54" s="5">
        <v>36</v>
      </c>
      <c r="K54" s="8">
        <v>191.96</v>
      </c>
      <c r="L54" s="8">
        <v>8.4700000000000006</v>
      </c>
      <c r="M54" s="9">
        <f t="shared" si="3"/>
        <v>21.817481873970962</v>
      </c>
      <c r="N54" s="9">
        <v>22</v>
      </c>
      <c r="O54" s="1">
        <v>196.6</v>
      </c>
      <c r="P54" s="5"/>
      <c r="Q54" s="5"/>
      <c r="R54" s="4"/>
      <c r="S54" s="4"/>
      <c r="T54" s="4"/>
      <c r="U54" s="4"/>
      <c r="V54" s="4"/>
      <c r="W54" s="4"/>
      <c r="X54" s="4"/>
      <c r="Y54" s="4"/>
      <c r="Z54" s="4"/>
      <c r="AA54" s="4"/>
      <c r="AB54" s="4"/>
      <c r="AC54" s="4"/>
      <c r="AD54" s="4"/>
      <c r="AE54" s="4"/>
      <c r="AF54" s="4"/>
      <c r="AG54" s="4"/>
      <c r="AH54" s="4"/>
      <c r="AI54" s="6"/>
      <c r="AO54" s="82"/>
      <c r="AP54" s="82"/>
      <c r="AQ54" s="54"/>
    </row>
    <row r="55" spans="5:43" x14ac:dyDescent="0.25">
      <c r="E55" s="2" t="s">
        <v>19</v>
      </c>
      <c r="F55" s="7">
        <v>25</v>
      </c>
      <c r="G55" s="54">
        <v>47.015076240000013</v>
      </c>
      <c r="H55" s="5">
        <v>420</v>
      </c>
      <c r="I55" s="5">
        <v>118.8</v>
      </c>
      <c r="J55" s="5">
        <v>36</v>
      </c>
      <c r="K55" s="8">
        <v>191.96</v>
      </c>
      <c r="L55" s="8">
        <v>8.4700000000000006</v>
      </c>
      <c r="M55" s="9">
        <f t="shared" si="3"/>
        <v>21.897594790001499</v>
      </c>
      <c r="N55" s="9">
        <v>22</v>
      </c>
      <c r="O55" s="1">
        <v>209.8</v>
      </c>
      <c r="P55" s="5"/>
      <c r="Q55" s="5"/>
      <c r="R55" s="4"/>
      <c r="S55" s="4"/>
      <c r="T55" s="4"/>
      <c r="U55" s="4"/>
      <c r="V55" s="4"/>
      <c r="W55" s="4"/>
      <c r="X55" s="4"/>
      <c r="Y55" s="4"/>
      <c r="Z55" s="4"/>
      <c r="AA55" s="4"/>
      <c r="AB55" s="4"/>
      <c r="AC55" s="4"/>
      <c r="AD55" s="4"/>
      <c r="AE55" s="4"/>
      <c r="AF55" s="4"/>
      <c r="AG55" s="4"/>
      <c r="AH55" s="4"/>
      <c r="AI55" s="6"/>
    </row>
    <row r="56" spans="5:43" x14ac:dyDescent="0.25">
      <c r="E56" s="2" t="s">
        <v>20</v>
      </c>
      <c r="F56" s="7">
        <v>25</v>
      </c>
      <c r="G56" s="54">
        <v>41.282239680000004</v>
      </c>
      <c r="H56" s="5">
        <v>420</v>
      </c>
      <c r="I56" s="5">
        <v>118.8</v>
      </c>
      <c r="J56" s="5">
        <v>36</v>
      </c>
      <c r="K56" s="8">
        <v>191.96</v>
      </c>
      <c r="L56" s="8">
        <v>8.4700000000000006</v>
      </c>
      <c r="M56" s="9">
        <f t="shared" si="3"/>
        <v>21.926197477024399</v>
      </c>
      <c r="N56" s="9">
        <v>22</v>
      </c>
      <c r="O56" s="1">
        <v>178.1</v>
      </c>
      <c r="P56" s="5"/>
      <c r="Q56" s="5"/>
      <c r="R56" s="4"/>
      <c r="S56" s="4"/>
      <c r="T56" s="4"/>
      <c r="U56" s="4"/>
      <c r="V56" s="4"/>
      <c r="W56" s="4"/>
      <c r="X56" s="4"/>
      <c r="Y56" s="4"/>
      <c r="Z56" s="4"/>
      <c r="AA56" s="4"/>
      <c r="AB56" s="4"/>
      <c r="AC56" s="4"/>
      <c r="AD56" s="4"/>
      <c r="AE56" s="4"/>
      <c r="AF56" s="4"/>
      <c r="AG56" s="4"/>
      <c r="AH56" s="4"/>
      <c r="AI56" s="6"/>
    </row>
    <row r="57" spans="5:43" x14ac:dyDescent="0.25">
      <c r="E57" s="2" t="s">
        <v>21</v>
      </c>
      <c r="F57" s="7">
        <v>25</v>
      </c>
      <c r="G57" s="54">
        <v>37.843264800000007</v>
      </c>
      <c r="H57" s="5">
        <v>420</v>
      </c>
      <c r="I57" s="5">
        <v>118.8</v>
      </c>
      <c r="J57" s="5">
        <v>36</v>
      </c>
      <c r="K57" s="8">
        <v>191.96</v>
      </c>
      <c r="L57" s="8">
        <v>8.4700000000000006</v>
      </c>
      <c r="M57" s="9">
        <f t="shared" si="3"/>
        <v>21.943355461757221</v>
      </c>
      <c r="N57" s="9">
        <v>22</v>
      </c>
      <c r="O57" s="1">
        <v>179.4</v>
      </c>
      <c r="P57" s="5"/>
      <c r="Q57" s="5"/>
      <c r="R57" s="4"/>
      <c r="S57" s="4"/>
      <c r="T57" s="4"/>
      <c r="U57" s="4"/>
      <c r="V57" s="4"/>
      <c r="W57" s="4"/>
      <c r="X57" s="4"/>
      <c r="Y57" s="4"/>
      <c r="Z57" s="4"/>
      <c r="AA57" s="4"/>
      <c r="AB57" s="4"/>
      <c r="AC57" s="4"/>
      <c r="AD57" s="4"/>
      <c r="AE57" s="4"/>
      <c r="AF57" s="4"/>
      <c r="AG57" s="4"/>
      <c r="AH57" s="4"/>
      <c r="AI57" s="6"/>
    </row>
    <row r="58" spans="5:43" x14ac:dyDescent="0.25">
      <c r="E58" s="2" t="s">
        <v>22</v>
      </c>
      <c r="F58" s="7">
        <v>25</v>
      </c>
      <c r="G58" s="54">
        <v>34.400654639999999</v>
      </c>
      <c r="H58" s="5">
        <v>420</v>
      </c>
      <c r="I58" s="5">
        <v>118.8</v>
      </c>
      <c r="J58" s="5">
        <v>36</v>
      </c>
      <c r="K58" s="8">
        <v>191.96</v>
      </c>
      <c r="L58" s="8">
        <v>8.4700000000000006</v>
      </c>
      <c r="M58" s="9">
        <f t="shared" si="3"/>
        <v>21.960531583894628</v>
      </c>
      <c r="N58" s="9">
        <v>22</v>
      </c>
      <c r="O58" s="1">
        <v>180.1</v>
      </c>
      <c r="P58" s="5"/>
      <c r="Q58" s="5"/>
      <c r="R58" s="4"/>
      <c r="S58" s="4"/>
      <c r="T58" s="4"/>
      <c r="U58" s="4"/>
      <c r="V58" s="4"/>
      <c r="W58" s="4"/>
      <c r="X58" s="4"/>
      <c r="Y58" s="4"/>
      <c r="Z58" s="4"/>
      <c r="AA58" s="4"/>
      <c r="AB58" s="4"/>
      <c r="AC58" s="4"/>
      <c r="AD58" s="4"/>
      <c r="AE58" s="4"/>
      <c r="AF58" s="4"/>
      <c r="AG58" s="4"/>
      <c r="AH58" s="4"/>
      <c r="AI58" s="6"/>
      <c r="AO58" s="82"/>
      <c r="AP58" s="82"/>
      <c r="AQ58" s="54"/>
    </row>
    <row r="59" spans="5:43" x14ac:dyDescent="0.25">
      <c r="E59" s="2" t="s">
        <v>23</v>
      </c>
      <c r="F59" s="7">
        <v>25</v>
      </c>
      <c r="G59" s="54">
        <v>33.255541440000002</v>
      </c>
      <c r="H59" s="5">
        <v>420</v>
      </c>
      <c r="I59" s="5">
        <v>118.8</v>
      </c>
      <c r="J59" s="5">
        <v>36</v>
      </c>
      <c r="K59" s="8">
        <v>191.96</v>
      </c>
      <c r="L59" s="8">
        <v>8.4700000000000006</v>
      </c>
      <c r="M59" s="9">
        <f t="shared" si="3"/>
        <v>21.966244866337377</v>
      </c>
      <c r="N59" s="9">
        <v>22</v>
      </c>
      <c r="O59" s="1">
        <v>151.4</v>
      </c>
      <c r="P59" s="5"/>
      <c r="Q59" s="5"/>
      <c r="R59" s="4"/>
      <c r="S59" s="4"/>
      <c r="T59" s="4"/>
      <c r="U59" s="4"/>
      <c r="V59" s="4"/>
      <c r="W59" s="4"/>
      <c r="X59" s="4"/>
      <c r="Y59" s="4"/>
      <c r="Z59" s="4"/>
      <c r="AA59" s="4"/>
      <c r="AB59" s="4"/>
      <c r="AC59" s="4"/>
      <c r="AD59" s="4"/>
      <c r="AE59" s="4"/>
      <c r="AF59" s="4"/>
      <c r="AG59" s="4"/>
      <c r="AH59" s="4"/>
      <c r="AI59" s="6"/>
      <c r="AO59" s="82"/>
      <c r="AP59" s="82"/>
      <c r="AQ59" s="54"/>
    </row>
    <row r="60" spans="5:43" x14ac:dyDescent="0.3">
      <c r="E60" s="423" t="s">
        <v>3</v>
      </c>
      <c r="F60" s="424"/>
      <c r="G60" s="424"/>
      <c r="H60" s="424"/>
      <c r="I60" s="424"/>
      <c r="J60" s="424"/>
      <c r="K60" s="424"/>
      <c r="L60" s="424"/>
      <c r="M60" s="424"/>
      <c r="N60" s="425"/>
      <c r="O60" s="11">
        <f>SUM(O48:O59)</f>
        <v>2271.1</v>
      </c>
      <c r="P60" s="28">
        <f>16/24</f>
        <v>0.66666666666666663</v>
      </c>
      <c r="Q60" s="28">
        <f>24/1000</f>
        <v>2.4E-2</v>
      </c>
      <c r="R60" s="8">
        <v>3.59</v>
      </c>
      <c r="S60" s="8">
        <v>12.96</v>
      </c>
      <c r="T60" s="5">
        <f>O60</f>
        <v>2271.1</v>
      </c>
      <c r="U60" s="15">
        <f>P60*Q60*R60*S60*T60</f>
        <v>1690.65771264</v>
      </c>
      <c r="V60" s="5">
        <v>3.94</v>
      </c>
      <c r="W60" s="5">
        <v>12.96</v>
      </c>
      <c r="X60" s="5">
        <f>O60</f>
        <v>2271.1</v>
      </c>
      <c r="Y60" s="16">
        <f>(P60*Q60*V60*W60*X60)</f>
        <v>1855.4850662399999</v>
      </c>
      <c r="Z60" s="8">
        <v>2.13</v>
      </c>
      <c r="AA60" s="8">
        <v>41.904000000000003</v>
      </c>
      <c r="AB60" s="8">
        <f>O60</f>
        <v>2271.1</v>
      </c>
      <c r="AC60" s="17">
        <f>(P60*Q60*Z60*AA60*AB60)</f>
        <v>3243.3313835520003</v>
      </c>
      <c r="AD60" s="96">
        <f>L358</f>
        <v>3401.6844890973293</v>
      </c>
      <c r="AE60" s="18">
        <f>U60+Y60+AC60+AD60</f>
        <v>10191.158651529329</v>
      </c>
      <c r="AF60" s="4">
        <f>AE60*0.1</f>
        <v>1019.115865152933</v>
      </c>
      <c r="AG60" s="19">
        <f>AE60+AF60</f>
        <v>11210.274516682262</v>
      </c>
      <c r="AH60" s="8">
        <v>3.1</v>
      </c>
      <c r="AI60" s="20">
        <f>ROUND((AG60/AH60),0)</f>
        <v>3616</v>
      </c>
      <c r="AJ60" s="39">
        <v>25</v>
      </c>
      <c r="AO60" s="53"/>
      <c r="AP60" s="54"/>
      <c r="AQ60" s="54"/>
    </row>
    <row r="61" spans="5:43" x14ac:dyDescent="0.3">
      <c r="E61" s="385" t="s">
        <v>221</v>
      </c>
      <c r="F61" s="386"/>
      <c r="G61" s="386"/>
      <c r="H61" s="386"/>
      <c r="I61" s="386"/>
      <c r="J61" s="386"/>
      <c r="K61" s="386"/>
      <c r="L61" s="386"/>
      <c r="M61" s="386"/>
      <c r="N61" s="386"/>
      <c r="O61" s="386"/>
      <c r="P61" s="386"/>
      <c r="Q61" s="386"/>
      <c r="R61" s="386"/>
      <c r="S61" s="386"/>
      <c r="T61" s="386"/>
      <c r="U61" s="386"/>
      <c r="V61" s="386"/>
      <c r="W61" s="386"/>
      <c r="X61" s="386"/>
      <c r="Y61" s="386"/>
      <c r="Z61" s="386"/>
      <c r="AA61" s="386"/>
      <c r="AB61" s="386"/>
      <c r="AC61" s="386"/>
      <c r="AD61" s="386"/>
      <c r="AE61" s="386"/>
      <c r="AF61" s="386"/>
      <c r="AG61" s="386"/>
      <c r="AH61" s="387"/>
      <c r="AI61" s="150">
        <f>AI60</f>
        <v>3616</v>
      </c>
      <c r="AJ61" s="39"/>
      <c r="AO61" s="53"/>
      <c r="AP61" s="54"/>
      <c r="AQ61" s="54"/>
    </row>
    <row r="62" spans="5:43" ht="15.5" x14ac:dyDescent="0.4">
      <c r="E62" s="2" t="s">
        <v>0</v>
      </c>
      <c r="F62" s="3"/>
      <c r="G62" s="5"/>
      <c r="H62" s="4"/>
      <c r="I62" s="4"/>
      <c r="J62" s="4"/>
      <c r="K62" s="4"/>
      <c r="L62" s="4"/>
      <c r="M62" s="3" t="s">
        <v>138</v>
      </c>
      <c r="N62" s="3" t="s">
        <v>137</v>
      </c>
      <c r="O62" s="8" t="s">
        <v>2</v>
      </c>
      <c r="P62" s="5"/>
      <c r="Q62" s="5"/>
      <c r="R62" s="4"/>
      <c r="S62" s="4"/>
      <c r="T62" s="4"/>
      <c r="U62" s="4"/>
      <c r="V62" s="4"/>
      <c r="W62" s="4"/>
      <c r="X62" s="4"/>
      <c r="Y62" s="4"/>
      <c r="Z62" s="4"/>
      <c r="AA62" s="4"/>
      <c r="AB62" s="4"/>
      <c r="AC62" s="4"/>
      <c r="AD62" s="4"/>
      <c r="AE62" s="4"/>
      <c r="AF62" s="4"/>
      <c r="AG62" s="4"/>
      <c r="AH62" s="4"/>
      <c r="AI62" s="6"/>
    </row>
    <row r="63" spans="5:43" x14ac:dyDescent="0.25">
      <c r="E63" s="2" t="s">
        <v>15</v>
      </c>
      <c r="F63" s="7">
        <v>26</v>
      </c>
      <c r="G63" s="54">
        <v>34.400654639999999</v>
      </c>
      <c r="H63" s="5">
        <v>420</v>
      </c>
      <c r="I63" s="5">
        <v>118.8</v>
      </c>
      <c r="J63" s="5">
        <v>36</v>
      </c>
      <c r="K63" s="8">
        <v>191.96</v>
      </c>
      <c r="L63" s="8">
        <v>8.4700000000000006</v>
      </c>
      <c r="M63" s="9">
        <f>(F63-((G63+H63+I63+J63)/(K63+L63)))</f>
        <v>22.960531583894628</v>
      </c>
      <c r="N63" s="9">
        <v>23</v>
      </c>
      <c r="O63" s="1">
        <v>113.1</v>
      </c>
      <c r="P63" s="5"/>
      <c r="Q63" s="5"/>
      <c r="R63" s="4"/>
      <c r="S63" s="4"/>
      <c r="T63" s="4"/>
      <c r="U63" s="4"/>
      <c r="V63" s="4"/>
      <c r="W63" s="4"/>
      <c r="X63" s="4"/>
      <c r="Y63" s="4"/>
      <c r="Z63" s="4"/>
      <c r="AA63" s="4"/>
      <c r="AB63" s="4"/>
      <c r="AC63" s="4"/>
      <c r="AD63" s="4"/>
      <c r="AE63" s="4"/>
      <c r="AF63" s="4"/>
      <c r="AG63" s="4"/>
      <c r="AH63" s="4"/>
      <c r="AI63" s="6"/>
    </row>
    <row r="64" spans="5:43" x14ac:dyDescent="0.25">
      <c r="E64" s="2" t="s">
        <v>16</v>
      </c>
      <c r="F64" s="7">
        <v>26</v>
      </c>
      <c r="G64" s="54">
        <v>37.843264800000007</v>
      </c>
      <c r="H64" s="5">
        <v>420</v>
      </c>
      <c r="I64" s="5">
        <v>118.8</v>
      </c>
      <c r="J64" s="5">
        <v>36</v>
      </c>
      <c r="K64" s="8">
        <v>191.96</v>
      </c>
      <c r="L64" s="8">
        <v>8.4700000000000006</v>
      </c>
      <c r="M64" s="9">
        <f t="shared" ref="M64:M74" si="4">(F64-((G64+H64+I64+J64)/(K64+L64)))</f>
        <v>22.943355461757221</v>
      </c>
      <c r="N64" s="9">
        <v>23</v>
      </c>
      <c r="O64" s="1">
        <v>107.2</v>
      </c>
      <c r="P64" s="5"/>
      <c r="Q64" s="5"/>
      <c r="R64" s="4"/>
      <c r="S64" s="4"/>
      <c r="T64" s="4"/>
      <c r="U64" s="4"/>
      <c r="V64" s="4"/>
      <c r="W64" s="4"/>
      <c r="X64" s="4"/>
      <c r="Y64" s="4"/>
      <c r="Z64" s="4"/>
      <c r="AA64" s="4"/>
      <c r="AB64" s="4"/>
      <c r="AC64" s="4"/>
      <c r="AD64" s="4"/>
      <c r="AE64" s="4"/>
      <c r="AF64" s="4"/>
      <c r="AG64" s="4"/>
      <c r="AH64" s="4"/>
      <c r="AI64" s="6"/>
    </row>
    <row r="65" spans="5:43" x14ac:dyDescent="0.25">
      <c r="E65" s="2" t="s">
        <v>17</v>
      </c>
      <c r="F65" s="7">
        <v>26</v>
      </c>
      <c r="G65" s="54">
        <v>40.137126480000006</v>
      </c>
      <c r="H65" s="5">
        <v>420</v>
      </c>
      <c r="I65" s="5">
        <v>118.8</v>
      </c>
      <c r="J65" s="5">
        <v>36</v>
      </c>
      <c r="K65" s="8">
        <v>191.96</v>
      </c>
      <c r="L65" s="8">
        <v>8.4700000000000006</v>
      </c>
      <c r="M65" s="9">
        <f t="shared" si="4"/>
        <v>22.931910759467147</v>
      </c>
      <c r="N65" s="9">
        <v>23</v>
      </c>
      <c r="O65" s="1">
        <v>156.30000000000001</v>
      </c>
      <c r="P65" s="5"/>
      <c r="Q65" s="5"/>
      <c r="R65" s="4"/>
      <c r="S65" s="4"/>
      <c r="T65" s="4"/>
      <c r="U65" s="4"/>
      <c r="V65" s="4"/>
      <c r="W65" s="4"/>
      <c r="X65" s="4"/>
      <c r="Y65" s="4"/>
      <c r="Z65" s="4"/>
      <c r="AA65" s="4"/>
      <c r="AB65" s="4"/>
      <c r="AC65" s="4"/>
      <c r="AD65" s="4"/>
      <c r="AE65" s="4"/>
      <c r="AF65" s="4"/>
      <c r="AG65" s="4"/>
      <c r="AH65" s="4"/>
      <c r="AI65" s="6"/>
    </row>
    <row r="66" spans="5:43" x14ac:dyDescent="0.25">
      <c r="E66" s="2" t="s">
        <v>18</v>
      </c>
      <c r="F66" s="7">
        <v>26</v>
      </c>
      <c r="G66" s="54">
        <v>44.721214560000007</v>
      </c>
      <c r="H66" s="5">
        <v>420</v>
      </c>
      <c r="I66" s="5">
        <v>118.8</v>
      </c>
      <c r="J66" s="5">
        <v>36</v>
      </c>
      <c r="K66" s="8">
        <v>191.96</v>
      </c>
      <c r="L66" s="8">
        <v>8.4700000000000006</v>
      </c>
      <c r="M66" s="9">
        <f t="shared" si="4"/>
        <v>22.909039492291573</v>
      </c>
      <c r="N66" s="9">
        <v>23</v>
      </c>
      <c r="O66" s="1">
        <v>201.1</v>
      </c>
      <c r="P66" s="5"/>
      <c r="Q66" s="5"/>
      <c r="R66" s="4"/>
      <c r="S66" s="4"/>
      <c r="T66" s="4"/>
      <c r="U66" s="4"/>
      <c r="V66" s="4"/>
      <c r="W66" s="4"/>
      <c r="X66" s="4"/>
      <c r="Y66" s="4"/>
      <c r="Z66" s="4"/>
      <c r="AA66" s="4"/>
      <c r="AB66" s="4"/>
      <c r="AC66" s="4"/>
      <c r="AD66" s="4"/>
      <c r="AE66" s="4"/>
      <c r="AF66" s="4"/>
      <c r="AG66" s="4"/>
      <c r="AH66" s="4"/>
      <c r="AI66" s="6"/>
    </row>
    <row r="67" spans="5:43" x14ac:dyDescent="0.25">
      <c r="E67" s="2" t="s">
        <v>12</v>
      </c>
      <c r="F67" s="7">
        <v>26</v>
      </c>
      <c r="G67" s="54">
        <v>59.629497840000013</v>
      </c>
      <c r="H67" s="5">
        <v>420</v>
      </c>
      <c r="I67" s="5">
        <v>118.8</v>
      </c>
      <c r="J67" s="5">
        <v>36</v>
      </c>
      <c r="K67" s="8">
        <v>191.96</v>
      </c>
      <c r="L67" s="8">
        <v>8.4700000000000006</v>
      </c>
      <c r="M67" s="9">
        <f t="shared" si="4"/>
        <v>22.834657996108369</v>
      </c>
      <c r="N67" s="9">
        <v>23</v>
      </c>
      <c r="O67" s="1">
        <v>226.7</v>
      </c>
      <c r="P67" s="5"/>
      <c r="Q67" s="5"/>
      <c r="R67" s="4"/>
      <c r="S67" s="4"/>
      <c r="T67" s="4"/>
      <c r="U67" s="4"/>
      <c r="V67" s="4"/>
      <c r="W67" s="4"/>
      <c r="X67" s="4"/>
      <c r="Y67" s="4"/>
      <c r="Z67" s="4"/>
      <c r="AA67" s="4"/>
      <c r="AB67" s="4"/>
      <c r="AC67" s="4"/>
      <c r="AD67" s="4"/>
      <c r="AE67" s="4"/>
      <c r="AF67" s="4"/>
      <c r="AG67" s="4"/>
      <c r="AH67" s="4"/>
      <c r="AI67" s="6"/>
    </row>
    <row r="68" spans="5:43" x14ac:dyDescent="0.25">
      <c r="E68" s="2" t="s">
        <v>13</v>
      </c>
      <c r="F68" s="7">
        <v>26</v>
      </c>
      <c r="G68" s="54">
        <v>75.686529600000014</v>
      </c>
      <c r="H68" s="5">
        <v>420</v>
      </c>
      <c r="I68" s="5">
        <v>118.8</v>
      </c>
      <c r="J68" s="5">
        <v>36</v>
      </c>
      <c r="K68" s="8">
        <v>191.96</v>
      </c>
      <c r="L68" s="8">
        <v>8.4700000000000006</v>
      </c>
      <c r="M68" s="9">
        <f t="shared" si="4"/>
        <v>22.754545080077833</v>
      </c>
      <c r="N68" s="9">
        <v>23</v>
      </c>
      <c r="O68" s="1">
        <v>192.1</v>
      </c>
      <c r="P68" s="5"/>
      <c r="Q68" s="5"/>
      <c r="R68" s="4"/>
      <c r="S68" s="4"/>
      <c r="T68" s="4"/>
      <c r="U68" s="4"/>
      <c r="V68" s="4"/>
      <c r="W68" s="4"/>
      <c r="X68" s="4"/>
      <c r="Y68" s="4"/>
      <c r="Z68" s="4"/>
      <c r="AA68" s="4"/>
      <c r="AB68" s="4"/>
      <c r="AC68" s="4"/>
      <c r="AD68" s="4"/>
      <c r="AE68" s="4"/>
      <c r="AF68" s="4"/>
      <c r="AG68" s="4"/>
      <c r="AH68" s="4"/>
      <c r="AI68" s="6"/>
    </row>
    <row r="69" spans="5:43" x14ac:dyDescent="0.25">
      <c r="E69" s="2" t="s">
        <v>1</v>
      </c>
      <c r="F69" s="7">
        <v>26</v>
      </c>
      <c r="G69" s="54">
        <v>63.072108000000007</v>
      </c>
      <c r="H69" s="5">
        <v>420</v>
      </c>
      <c r="I69" s="5">
        <v>118.8</v>
      </c>
      <c r="J69" s="5">
        <v>36</v>
      </c>
      <c r="K69" s="8">
        <v>191.96</v>
      </c>
      <c r="L69" s="8">
        <v>8.4700000000000006</v>
      </c>
      <c r="M69" s="9">
        <f t="shared" si="4"/>
        <v>22.817481873970962</v>
      </c>
      <c r="N69" s="9">
        <v>23</v>
      </c>
      <c r="O69" s="1">
        <v>165.6</v>
      </c>
      <c r="P69" s="27"/>
      <c r="Q69" s="27"/>
      <c r="R69" s="4"/>
      <c r="S69" s="4"/>
      <c r="T69" s="4"/>
      <c r="U69" s="4"/>
      <c r="V69" s="4"/>
      <c r="W69" s="4"/>
      <c r="X69" s="4"/>
      <c r="Y69" s="4"/>
      <c r="Z69" s="4"/>
      <c r="AA69" s="4"/>
      <c r="AB69" s="4"/>
      <c r="AC69" s="4"/>
      <c r="AD69" s="4"/>
      <c r="AE69" s="4"/>
      <c r="AF69" s="4"/>
      <c r="AG69" s="4"/>
      <c r="AH69" s="4"/>
      <c r="AI69" s="6"/>
    </row>
    <row r="70" spans="5:43" x14ac:dyDescent="0.25">
      <c r="E70" s="2" t="s">
        <v>19</v>
      </c>
      <c r="F70" s="7">
        <v>26</v>
      </c>
      <c r="G70" s="54">
        <v>47.015076240000013</v>
      </c>
      <c r="H70" s="5">
        <v>420</v>
      </c>
      <c r="I70" s="5">
        <v>118.8</v>
      </c>
      <c r="J70" s="5">
        <v>36</v>
      </c>
      <c r="K70" s="8">
        <v>191.96</v>
      </c>
      <c r="L70" s="8">
        <v>8.4700000000000006</v>
      </c>
      <c r="M70" s="9">
        <f t="shared" si="4"/>
        <v>22.897594790001499</v>
      </c>
      <c r="N70" s="9">
        <v>23</v>
      </c>
      <c r="O70" s="1">
        <v>178.8</v>
      </c>
      <c r="P70" s="27"/>
      <c r="Q70" s="27"/>
      <c r="R70" s="4"/>
      <c r="S70" s="4"/>
      <c r="T70" s="4"/>
      <c r="U70" s="4"/>
      <c r="V70" s="4"/>
      <c r="W70" s="4"/>
      <c r="X70" s="4"/>
      <c r="Y70" s="4"/>
      <c r="Z70" s="4"/>
      <c r="AA70" s="4"/>
      <c r="AB70" s="4"/>
      <c r="AC70" s="4"/>
      <c r="AD70" s="4"/>
      <c r="AE70" s="4"/>
      <c r="AF70" s="4"/>
      <c r="AG70" s="4"/>
      <c r="AH70" s="4"/>
      <c r="AI70" s="6"/>
    </row>
    <row r="71" spans="5:43" x14ac:dyDescent="0.25">
      <c r="E71" s="2" t="s">
        <v>20</v>
      </c>
      <c r="F71" s="7">
        <v>26</v>
      </c>
      <c r="G71" s="54">
        <v>41.282239680000004</v>
      </c>
      <c r="H71" s="5">
        <v>420</v>
      </c>
      <c r="I71" s="5">
        <v>118.8</v>
      </c>
      <c r="J71" s="5">
        <v>36</v>
      </c>
      <c r="K71" s="8">
        <v>191.96</v>
      </c>
      <c r="L71" s="8">
        <v>8.4700000000000006</v>
      </c>
      <c r="M71" s="9">
        <f t="shared" si="4"/>
        <v>22.926197477024399</v>
      </c>
      <c r="N71" s="9">
        <v>23</v>
      </c>
      <c r="O71" s="1">
        <v>148.1</v>
      </c>
      <c r="P71" s="27"/>
      <c r="Q71" s="27"/>
      <c r="R71" s="4"/>
      <c r="S71" s="4"/>
      <c r="T71" s="4"/>
      <c r="U71" s="4"/>
      <c r="V71" s="4"/>
      <c r="W71" s="4"/>
      <c r="X71" s="4"/>
      <c r="Y71" s="4"/>
      <c r="Z71" s="4"/>
      <c r="AA71" s="4"/>
      <c r="AB71" s="4"/>
      <c r="AC71" s="4"/>
      <c r="AD71" s="4"/>
      <c r="AE71" s="4"/>
      <c r="AF71" s="4"/>
      <c r="AG71" s="4"/>
      <c r="AH71" s="4"/>
      <c r="AI71" s="6"/>
    </row>
    <row r="72" spans="5:43" x14ac:dyDescent="0.25">
      <c r="E72" s="2" t="s">
        <v>21</v>
      </c>
      <c r="F72" s="7">
        <v>26</v>
      </c>
      <c r="G72" s="54">
        <v>37.843264800000007</v>
      </c>
      <c r="H72" s="5">
        <v>420</v>
      </c>
      <c r="I72" s="5">
        <v>118.8</v>
      </c>
      <c r="J72" s="5">
        <v>36</v>
      </c>
      <c r="K72" s="8">
        <v>191.96</v>
      </c>
      <c r="L72" s="8">
        <v>8.4700000000000006</v>
      </c>
      <c r="M72" s="9">
        <f t="shared" si="4"/>
        <v>22.943355461757221</v>
      </c>
      <c r="N72" s="9">
        <v>23</v>
      </c>
      <c r="O72" s="1">
        <v>148.4</v>
      </c>
      <c r="P72" s="27"/>
      <c r="Q72" s="27"/>
      <c r="R72" s="4"/>
      <c r="S72" s="4"/>
      <c r="T72" s="4"/>
      <c r="U72" s="4"/>
      <c r="V72" s="4"/>
      <c r="W72" s="4"/>
      <c r="X72" s="4"/>
      <c r="Y72" s="4"/>
      <c r="Z72" s="4"/>
      <c r="AA72" s="4"/>
      <c r="AB72" s="4"/>
      <c r="AC72" s="4"/>
      <c r="AD72" s="4"/>
      <c r="AE72" s="4"/>
      <c r="AF72" s="4"/>
      <c r="AG72" s="4"/>
      <c r="AH72" s="4"/>
      <c r="AI72" s="6"/>
    </row>
    <row r="73" spans="5:43" x14ac:dyDescent="0.25">
      <c r="E73" s="2" t="s">
        <v>22</v>
      </c>
      <c r="F73" s="7">
        <v>26</v>
      </c>
      <c r="G73" s="54">
        <v>34.400654639999999</v>
      </c>
      <c r="H73" s="5">
        <v>420</v>
      </c>
      <c r="I73" s="5">
        <v>118.8</v>
      </c>
      <c r="J73" s="5">
        <v>36</v>
      </c>
      <c r="K73" s="8">
        <v>191.96</v>
      </c>
      <c r="L73" s="8">
        <v>8.4700000000000006</v>
      </c>
      <c r="M73" s="9">
        <f t="shared" si="4"/>
        <v>22.960531583894628</v>
      </c>
      <c r="N73" s="9">
        <v>23</v>
      </c>
      <c r="O73" s="1">
        <v>150.1</v>
      </c>
      <c r="P73" s="27"/>
      <c r="Q73" s="27"/>
      <c r="R73" s="4"/>
      <c r="S73" s="4"/>
      <c r="T73" s="4"/>
      <c r="U73" s="4"/>
      <c r="V73" s="4"/>
      <c r="W73" s="4"/>
      <c r="X73" s="4"/>
      <c r="Y73" s="4"/>
      <c r="Z73" s="4"/>
      <c r="AA73" s="4"/>
      <c r="AB73" s="4"/>
      <c r="AC73" s="4"/>
      <c r="AD73" s="4"/>
      <c r="AE73" s="4"/>
      <c r="AF73" s="4"/>
      <c r="AG73" s="4"/>
      <c r="AH73" s="4"/>
      <c r="AI73" s="6"/>
    </row>
    <row r="74" spans="5:43" x14ac:dyDescent="0.25">
      <c r="E74" s="2" t="s">
        <v>23</v>
      </c>
      <c r="F74" s="7">
        <v>26</v>
      </c>
      <c r="G74" s="54">
        <v>33.255541440000002</v>
      </c>
      <c r="H74" s="5">
        <v>420</v>
      </c>
      <c r="I74" s="5">
        <v>118.8</v>
      </c>
      <c r="J74" s="5">
        <v>36</v>
      </c>
      <c r="K74" s="8">
        <v>191.96</v>
      </c>
      <c r="L74" s="8">
        <v>8.4700000000000006</v>
      </c>
      <c r="M74" s="9">
        <f t="shared" si="4"/>
        <v>22.966244866337377</v>
      </c>
      <c r="N74" s="9">
        <v>23</v>
      </c>
      <c r="O74" s="1">
        <v>120.4</v>
      </c>
      <c r="P74" s="27"/>
      <c r="Q74" s="27"/>
      <c r="R74" s="4"/>
      <c r="S74" s="4"/>
      <c r="T74" s="4"/>
      <c r="U74" s="4"/>
      <c r="V74" s="4"/>
      <c r="W74" s="4"/>
      <c r="X74" s="4"/>
      <c r="Y74" s="4"/>
      <c r="Z74" s="4"/>
      <c r="AA74" s="4"/>
      <c r="AB74" s="4"/>
      <c r="AC74" s="4"/>
      <c r="AD74" s="4"/>
      <c r="AE74" s="4"/>
      <c r="AF74" s="4"/>
      <c r="AG74" s="4"/>
      <c r="AH74" s="4"/>
      <c r="AI74" s="6"/>
    </row>
    <row r="75" spans="5:43" x14ac:dyDescent="0.3">
      <c r="E75" s="423" t="s">
        <v>3</v>
      </c>
      <c r="F75" s="424"/>
      <c r="G75" s="424"/>
      <c r="H75" s="424"/>
      <c r="I75" s="424"/>
      <c r="J75" s="424"/>
      <c r="K75" s="424"/>
      <c r="L75" s="424"/>
      <c r="M75" s="424"/>
      <c r="N75" s="425"/>
      <c r="O75" s="11">
        <f>SUM(O63:O74)</f>
        <v>1907.9</v>
      </c>
      <c r="P75" s="28">
        <f>16/24</f>
        <v>0.66666666666666663</v>
      </c>
      <c r="Q75" s="28">
        <f>24/1000</f>
        <v>2.4E-2</v>
      </c>
      <c r="R75" s="8">
        <v>3.59</v>
      </c>
      <c r="S75" s="8">
        <v>12.96</v>
      </c>
      <c r="T75" s="5">
        <f>O75</f>
        <v>1907.9</v>
      </c>
      <c r="U75" s="15">
        <f>P75*Q75*R75*S75*T75</f>
        <v>1420.2834969600001</v>
      </c>
      <c r="V75" s="5">
        <v>3.94</v>
      </c>
      <c r="W75" s="5">
        <v>12.96</v>
      </c>
      <c r="X75" s="5">
        <f>O75</f>
        <v>1907.9</v>
      </c>
      <c r="Y75" s="16">
        <f>(P75*Q75*V75*W75*X75)</f>
        <v>1558.7512473600002</v>
      </c>
      <c r="Z75" s="8">
        <v>2.13</v>
      </c>
      <c r="AA75" s="8">
        <v>41.904000000000003</v>
      </c>
      <c r="AB75" s="8">
        <f>O75</f>
        <v>1907.9</v>
      </c>
      <c r="AC75" s="17">
        <f>(P75*Q75*Z75*AA75*AB75)</f>
        <v>2724.6497057280003</v>
      </c>
      <c r="AD75" s="96">
        <f>L359</f>
        <v>3324.2638677682157</v>
      </c>
      <c r="AE75" s="18">
        <f>U75+Y75+AC75+AD75</f>
        <v>9027.9483178162154</v>
      </c>
      <c r="AF75" s="4">
        <f>AE75*0.1</f>
        <v>902.79483178162161</v>
      </c>
      <c r="AG75" s="19">
        <f>AE75+AF75</f>
        <v>9930.7431495978362</v>
      </c>
      <c r="AH75" s="8">
        <v>3.1</v>
      </c>
      <c r="AI75" s="20">
        <f>ROUND((AG75/AH75),0)</f>
        <v>3203</v>
      </c>
      <c r="AJ75" s="39">
        <v>26</v>
      </c>
      <c r="AK75" s="122"/>
      <c r="AL75" s="122"/>
    </row>
    <row r="76" spans="5:43" ht="16" thickBot="1" x14ac:dyDescent="0.45">
      <c r="E76" s="2" t="s">
        <v>0</v>
      </c>
      <c r="F76" s="3"/>
      <c r="G76" s="5"/>
      <c r="H76" s="4"/>
      <c r="I76" s="4"/>
      <c r="J76" s="4"/>
      <c r="K76" s="4"/>
      <c r="L76" s="4"/>
      <c r="M76" s="3" t="s">
        <v>138</v>
      </c>
      <c r="N76" s="3" t="s">
        <v>137</v>
      </c>
      <c r="O76" s="8" t="s">
        <v>2</v>
      </c>
      <c r="P76" s="5"/>
      <c r="Q76" s="5"/>
      <c r="R76" s="4"/>
      <c r="S76" s="4"/>
      <c r="T76" s="4"/>
      <c r="U76" s="4"/>
      <c r="V76" s="4"/>
      <c r="W76" s="4"/>
      <c r="X76" s="4"/>
      <c r="Y76" s="4"/>
      <c r="Z76" s="4"/>
      <c r="AA76" s="4"/>
      <c r="AB76" s="4"/>
      <c r="AC76" s="4"/>
      <c r="AD76" s="4"/>
      <c r="AE76" s="4"/>
      <c r="AF76" s="4"/>
      <c r="AG76" s="4"/>
      <c r="AH76" s="4"/>
      <c r="AI76" s="6"/>
    </row>
    <row r="77" spans="5:43" x14ac:dyDescent="0.3">
      <c r="E77" s="2" t="s">
        <v>15</v>
      </c>
      <c r="F77" s="7">
        <v>27</v>
      </c>
      <c r="G77" s="54">
        <v>34.400654639999999</v>
      </c>
      <c r="H77" s="5">
        <v>420</v>
      </c>
      <c r="I77" s="5">
        <v>118.8</v>
      </c>
      <c r="J77" s="5">
        <v>36</v>
      </c>
      <c r="K77" s="8">
        <v>191.96</v>
      </c>
      <c r="L77" s="8">
        <v>8.4700000000000006</v>
      </c>
      <c r="M77" s="9">
        <f>(F77-((G77+H77+I77+J77)/(K77+L77)))</f>
        <v>23.960531583894628</v>
      </c>
      <c r="N77" s="9">
        <v>24</v>
      </c>
      <c r="O77" s="1">
        <v>84.8</v>
      </c>
      <c r="P77" s="5"/>
      <c r="Q77" s="5"/>
      <c r="R77" s="4"/>
      <c r="S77" s="4"/>
      <c r="T77" s="4"/>
      <c r="U77" s="4"/>
      <c r="V77" s="4"/>
      <c r="W77" s="4"/>
      <c r="X77" s="4"/>
      <c r="Y77" s="4"/>
      <c r="Z77" s="4"/>
      <c r="AA77" s="4"/>
      <c r="AB77" s="4"/>
      <c r="AC77" s="4"/>
      <c r="AD77" s="4"/>
      <c r="AE77" s="4"/>
      <c r="AF77" s="4"/>
      <c r="AG77" s="4"/>
      <c r="AH77" s="4"/>
      <c r="AI77" s="6"/>
      <c r="AN77" s="141"/>
      <c r="AO77" s="295" t="s">
        <v>204</v>
      </c>
      <c r="AP77" s="296"/>
      <c r="AQ77" s="297"/>
    </row>
    <row r="78" spans="5:43" x14ac:dyDescent="0.25">
      <c r="E78" s="2" t="s">
        <v>16</v>
      </c>
      <c r="F78" s="7">
        <v>27</v>
      </c>
      <c r="G78" s="54">
        <v>37.843264800000007</v>
      </c>
      <c r="H78" s="5">
        <v>420</v>
      </c>
      <c r="I78" s="5">
        <v>118.8</v>
      </c>
      <c r="J78" s="5">
        <v>36</v>
      </c>
      <c r="K78" s="8">
        <v>191.96</v>
      </c>
      <c r="L78" s="8">
        <v>8.4700000000000006</v>
      </c>
      <c r="M78" s="9">
        <f t="shared" ref="M78:M88" si="5">(F78-((G78+H78+I78+J78)/(K78+L78)))</f>
        <v>23.943355461757221</v>
      </c>
      <c r="N78" s="9">
        <v>24</v>
      </c>
      <c r="O78" s="1">
        <v>80.5</v>
      </c>
      <c r="P78" s="5"/>
      <c r="Q78" s="5"/>
      <c r="R78" s="4"/>
      <c r="S78" s="4"/>
      <c r="T78" s="4"/>
      <c r="U78" s="4"/>
      <c r="V78" s="4"/>
      <c r="W78" s="4"/>
      <c r="X78" s="4"/>
      <c r="Y78" s="4"/>
      <c r="Z78" s="4"/>
      <c r="AA78" s="4"/>
      <c r="AB78" s="4"/>
      <c r="AC78" s="4"/>
      <c r="AD78" s="4"/>
      <c r="AE78" s="4"/>
      <c r="AF78" s="4"/>
      <c r="AG78" s="4"/>
      <c r="AH78" s="4"/>
      <c r="AI78" s="6"/>
      <c r="AO78" s="76" t="s">
        <v>195</v>
      </c>
      <c r="AP78" s="27" t="s">
        <v>196</v>
      </c>
      <c r="AQ78" s="86" t="s">
        <v>201</v>
      </c>
    </row>
    <row r="79" spans="5:43" x14ac:dyDescent="0.25">
      <c r="E79" s="2" t="s">
        <v>17</v>
      </c>
      <c r="F79" s="7">
        <v>27</v>
      </c>
      <c r="G79" s="54">
        <v>40.137126480000006</v>
      </c>
      <c r="H79" s="5">
        <v>420</v>
      </c>
      <c r="I79" s="5">
        <v>118.8</v>
      </c>
      <c r="J79" s="5">
        <v>36</v>
      </c>
      <c r="K79" s="8">
        <v>191.96</v>
      </c>
      <c r="L79" s="8">
        <v>8.4700000000000006</v>
      </c>
      <c r="M79" s="9">
        <f t="shared" si="5"/>
        <v>23.931910759467147</v>
      </c>
      <c r="N79" s="9">
        <v>24</v>
      </c>
      <c r="O79" s="1">
        <v>126.5</v>
      </c>
      <c r="P79" s="5"/>
      <c r="Q79" s="5"/>
      <c r="R79" s="4"/>
      <c r="S79" s="4"/>
      <c r="T79" s="4"/>
      <c r="U79" s="4"/>
      <c r="V79" s="4"/>
      <c r="W79" s="4"/>
      <c r="X79" s="4"/>
      <c r="Y79" s="4"/>
      <c r="Z79" s="4"/>
      <c r="AA79" s="4"/>
      <c r="AB79" s="4"/>
      <c r="AC79" s="4"/>
      <c r="AD79" s="4"/>
      <c r="AE79" s="4"/>
      <c r="AF79" s="4"/>
      <c r="AG79" s="4"/>
      <c r="AH79" s="4"/>
      <c r="AI79" s="6"/>
      <c r="AO79" s="76">
        <v>26</v>
      </c>
      <c r="AP79" s="27">
        <v>10</v>
      </c>
      <c r="AQ79" s="35">
        <f>AP79/AP82</f>
        <v>0.5</v>
      </c>
    </row>
    <row r="80" spans="5:43" x14ac:dyDescent="0.25">
      <c r="E80" s="2" t="s">
        <v>18</v>
      </c>
      <c r="F80" s="7">
        <v>27</v>
      </c>
      <c r="G80" s="54">
        <v>44.721214560000007</v>
      </c>
      <c r="H80" s="5">
        <v>420</v>
      </c>
      <c r="I80" s="5">
        <v>118.8</v>
      </c>
      <c r="J80" s="5">
        <v>36</v>
      </c>
      <c r="K80" s="8">
        <v>191.96</v>
      </c>
      <c r="L80" s="8">
        <v>8.4700000000000006</v>
      </c>
      <c r="M80" s="9">
        <f t="shared" si="5"/>
        <v>23.909039492291573</v>
      </c>
      <c r="N80" s="9">
        <v>24</v>
      </c>
      <c r="O80" s="1">
        <v>171.2</v>
      </c>
      <c r="P80" s="5"/>
      <c r="Q80" s="5"/>
      <c r="R80" s="4"/>
      <c r="S80" s="4"/>
      <c r="T80" s="4"/>
      <c r="U80" s="4"/>
      <c r="V80" s="4"/>
      <c r="W80" s="4"/>
      <c r="X80" s="4"/>
      <c r="Y80" s="4"/>
      <c r="Z80" s="4"/>
      <c r="AA80" s="4"/>
      <c r="AB80" s="4"/>
      <c r="AC80" s="4"/>
      <c r="AD80" s="4"/>
      <c r="AE80" s="4"/>
      <c r="AF80" s="4"/>
      <c r="AG80" s="4"/>
      <c r="AH80" s="4"/>
      <c r="AI80" s="6"/>
      <c r="AO80" s="76">
        <v>27</v>
      </c>
      <c r="AP80" s="27">
        <v>8</v>
      </c>
      <c r="AQ80" s="35">
        <f>AP80/AP82</f>
        <v>0.4</v>
      </c>
    </row>
    <row r="81" spans="5:43" x14ac:dyDescent="0.25">
      <c r="E81" s="2" t="s">
        <v>12</v>
      </c>
      <c r="F81" s="7">
        <v>27</v>
      </c>
      <c r="G81" s="54">
        <v>59.629497840000013</v>
      </c>
      <c r="H81" s="5">
        <v>420</v>
      </c>
      <c r="I81" s="5">
        <v>118.8</v>
      </c>
      <c r="J81" s="5">
        <v>36</v>
      </c>
      <c r="K81" s="8">
        <v>191.96</v>
      </c>
      <c r="L81" s="8">
        <v>8.4700000000000006</v>
      </c>
      <c r="M81" s="9">
        <f t="shared" si="5"/>
        <v>23.834657996108369</v>
      </c>
      <c r="N81" s="9">
        <v>24</v>
      </c>
      <c r="O81" s="1">
        <v>195.7</v>
      </c>
      <c r="P81" s="5"/>
      <c r="Q81" s="5"/>
      <c r="R81" s="4"/>
      <c r="S81" s="4"/>
      <c r="T81" s="4"/>
      <c r="U81" s="4"/>
      <c r="V81" s="4"/>
      <c r="W81" s="4"/>
      <c r="X81" s="4"/>
      <c r="Y81" s="4"/>
      <c r="Z81" s="4"/>
      <c r="AA81" s="4"/>
      <c r="AB81" s="4"/>
      <c r="AC81" s="4"/>
      <c r="AD81" s="4"/>
      <c r="AE81" s="4"/>
      <c r="AF81" s="4"/>
      <c r="AG81" s="4"/>
      <c r="AH81" s="4"/>
      <c r="AI81" s="6"/>
      <c r="AO81" s="76">
        <v>28</v>
      </c>
      <c r="AP81" s="27">
        <v>2</v>
      </c>
      <c r="AQ81" s="35">
        <f>AP81/AP82</f>
        <v>0.1</v>
      </c>
    </row>
    <row r="82" spans="5:43" ht="13.5" thickBot="1" x14ac:dyDescent="0.3">
      <c r="E82" s="2" t="s">
        <v>13</v>
      </c>
      <c r="F82" s="7">
        <v>27</v>
      </c>
      <c r="G82" s="54">
        <v>75.686529600000014</v>
      </c>
      <c r="H82" s="5">
        <v>420</v>
      </c>
      <c r="I82" s="5">
        <v>118.8</v>
      </c>
      <c r="J82" s="5">
        <v>36</v>
      </c>
      <c r="K82" s="8">
        <v>191.96</v>
      </c>
      <c r="L82" s="8">
        <v>8.4700000000000006</v>
      </c>
      <c r="M82" s="9">
        <f t="shared" si="5"/>
        <v>23.754545080077833</v>
      </c>
      <c r="N82" s="9">
        <v>24</v>
      </c>
      <c r="O82" s="1">
        <v>162.1</v>
      </c>
      <c r="P82" s="5"/>
      <c r="Q82" s="5"/>
      <c r="R82" s="4"/>
      <c r="S82" s="4"/>
      <c r="T82" s="4"/>
      <c r="U82" s="4"/>
      <c r="V82" s="4"/>
      <c r="W82" s="4"/>
      <c r="X82" s="4"/>
      <c r="Y82" s="4"/>
      <c r="Z82" s="4"/>
      <c r="AA82" s="4"/>
      <c r="AB82" s="4"/>
      <c r="AC82" s="4"/>
      <c r="AD82" s="4"/>
      <c r="AE82" s="4"/>
      <c r="AF82" s="4"/>
      <c r="AG82" s="4"/>
      <c r="AH82" s="4"/>
      <c r="AI82" s="6"/>
      <c r="AO82" s="142"/>
      <c r="AP82" s="89">
        <f>AP79+AP80+AP81</f>
        <v>20</v>
      </c>
      <c r="AQ82" s="140"/>
    </row>
    <row r="83" spans="5:43" x14ac:dyDescent="0.25">
      <c r="E83" s="2" t="s">
        <v>24</v>
      </c>
      <c r="F83" s="7">
        <v>27</v>
      </c>
      <c r="G83" s="54">
        <v>63.072108000000007</v>
      </c>
      <c r="H83" s="5">
        <v>420</v>
      </c>
      <c r="I83" s="5">
        <v>118.8</v>
      </c>
      <c r="J83" s="5">
        <v>36</v>
      </c>
      <c r="K83" s="8">
        <v>191.96</v>
      </c>
      <c r="L83" s="8">
        <v>8.4700000000000006</v>
      </c>
      <c r="M83" s="9">
        <f t="shared" si="5"/>
        <v>23.817481873970962</v>
      </c>
      <c r="N83" s="9">
        <v>24</v>
      </c>
      <c r="O83" s="1">
        <v>134.6</v>
      </c>
      <c r="P83" s="27"/>
      <c r="Q83" s="27"/>
      <c r="R83" s="4"/>
      <c r="S83" s="4"/>
      <c r="T83" s="4"/>
      <c r="U83" s="4"/>
      <c r="V83" s="4"/>
      <c r="W83" s="4"/>
      <c r="X83" s="4"/>
      <c r="Y83" s="4"/>
      <c r="Z83" s="4"/>
      <c r="AA83" s="4"/>
      <c r="AB83" s="4"/>
      <c r="AC83" s="4"/>
      <c r="AD83" s="4"/>
      <c r="AE83" s="4"/>
      <c r="AF83" s="4"/>
      <c r="AG83" s="4"/>
      <c r="AH83" s="4"/>
      <c r="AI83" s="6"/>
      <c r="AO83" s="143"/>
      <c r="AP83" s="143"/>
      <c r="AQ83" s="144"/>
    </row>
    <row r="84" spans="5:43" x14ac:dyDescent="0.25">
      <c r="E84" s="2" t="s">
        <v>19</v>
      </c>
      <c r="F84" s="7">
        <v>27</v>
      </c>
      <c r="G84" s="54">
        <v>47.015076240000013</v>
      </c>
      <c r="H84" s="5">
        <v>420</v>
      </c>
      <c r="I84" s="5">
        <v>118.8</v>
      </c>
      <c r="J84" s="5">
        <v>36</v>
      </c>
      <c r="K84" s="8">
        <v>191.96</v>
      </c>
      <c r="L84" s="8">
        <v>8.4700000000000006</v>
      </c>
      <c r="M84" s="9">
        <f t="shared" si="5"/>
        <v>23.897594790001499</v>
      </c>
      <c r="N84" s="9">
        <v>24</v>
      </c>
      <c r="O84" s="1">
        <v>147.80000000000001</v>
      </c>
      <c r="P84" s="27"/>
      <c r="Q84" s="27"/>
      <c r="R84" s="4"/>
      <c r="S84" s="4"/>
      <c r="T84" s="4"/>
      <c r="U84" s="4"/>
      <c r="V84" s="4"/>
      <c r="W84" s="4"/>
      <c r="X84" s="4"/>
      <c r="Y84" s="4"/>
      <c r="Z84" s="4"/>
      <c r="AA84" s="4"/>
      <c r="AB84" s="4"/>
      <c r="AC84" s="4"/>
      <c r="AD84" s="4"/>
      <c r="AE84" s="4"/>
      <c r="AF84" s="4"/>
      <c r="AG84" s="4"/>
      <c r="AH84" s="4"/>
      <c r="AI84" s="6"/>
      <c r="AO84" s="82"/>
      <c r="AP84" s="82"/>
      <c r="AQ84" s="54"/>
    </row>
    <row r="85" spans="5:43" x14ac:dyDescent="0.25">
      <c r="E85" s="2" t="s">
        <v>20</v>
      </c>
      <c r="F85" s="7">
        <v>27</v>
      </c>
      <c r="G85" s="54">
        <v>41.282239680000004</v>
      </c>
      <c r="H85" s="5">
        <v>420</v>
      </c>
      <c r="I85" s="5">
        <v>118.8</v>
      </c>
      <c r="J85" s="5">
        <v>36</v>
      </c>
      <c r="K85" s="8">
        <v>191.96</v>
      </c>
      <c r="L85" s="8">
        <v>8.4700000000000006</v>
      </c>
      <c r="M85" s="9">
        <f t="shared" si="5"/>
        <v>23.926197477024399</v>
      </c>
      <c r="N85" s="9">
        <v>24</v>
      </c>
      <c r="O85" s="1">
        <v>118.1</v>
      </c>
      <c r="P85" s="27"/>
      <c r="Q85" s="27"/>
      <c r="R85" s="4"/>
      <c r="S85" s="4"/>
      <c r="T85" s="4"/>
      <c r="U85" s="4"/>
      <c r="V85" s="4"/>
      <c r="W85" s="4"/>
      <c r="X85" s="4"/>
      <c r="Y85" s="4"/>
      <c r="Z85" s="4"/>
      <c r="AA85" s="4"/>
      <c r="AB85" s="4"/>
      <c r="AC85" s="4"/>
      <c r="AD85" s="4"/>
      <c r="AE85" s="4"/>
      <c r="AF85" s="4"/>
      <c r="AG85" s="4"/>
      <c r="AH85" s="4"/>
      <c r="AI85" s="6"/>
      <c r="AO85" s="82"/>
      <c r="AP85" s="82"/>
      <c r="AQ85" s="54"/>
    </row>
    <row r="86" spans="5:43" x14ac:dyDescent="0.25">
      <c r="E86" s="2" t="s">
        <v>21</v>
      </c>
      <c r="F86" s="7">
        <v>27</v>
      </c>
      <c r="G86" s="54">
        <v>37.843264800000007</v>
      </c>
      <c r="H86" s="5">
        <v>420</v>
      </c>
      <c r="I86" s="5">
        <v>118.8</v>
      </c>
      <c r="J86" s="5">
        <v>36</v>
      </c>
      <c r="K86" s="8">
        <v>191.96</v>
      </c>
      <c r="L86" s="8">
        <v>8.4700000000000006</v>
      </c>
      <c r="M86" s="9">
        <f t="shared" si="5"/>
        <v>23.943355461757221</v>
      </c>
      <c r="N86" s="9">
        <v>24</v>
      </c>
      <c r="O86" s="1">
        <v>117.4</v>
      </c>
      <c r="P86" s="27"/>
      <c r="Q86" s="27"/>
      <c r="R86" s="4"/>
      <c r="S86" s="4"/>
      <c r="T86" s="4"/>
      <c r="U86" s="4"/>
      <c r="V86" s="4"/>
      <c r="W86" s="4"/>
      <c r="X86" s="4"/>
      <c r="Y86" s="4"/>
      <c r="Z86" s="4"/>
      <c r="AA86" s="4"/>
      <c r="AB86" s="4"/>
      <c r="AC86" s="4"/>
      <c r="AD86" s="4"/>
      <c r="AE86" s="4"/>
      <c r="AF86" s="4"/>
      <c r="AG86" s="4"/>
      <c r="AH86" s="4"/>
      <c r="AI86" s="6"/>
      <c r="AO86" s="82"/>
      <c r="AP86" s="82"/>
      <c r="AQ86" s="54"/>
    </row>
    <row r="87" spans="5:43" x14ac:dyDescent="0.25">
      <c r="E87" s="2" t="s">
        <v>22</v>
      </c>
      <c r="F87" s="7">
        <v>27</v>
      </c>
      <c r="G87" s="54">
        <v>34.400654639999999</v>
      </c>
      <c r="H87" s="5">
        <v>420</v>
      </c>
      <c r="I87" s="5">
        <v>118.8</v>
      </c>
      <c r="J87" s="5">
        <v>36</v>
      </c>
      <c r="K87" s="8">
        <v>191.96</v>
      </c>
      <c r="L87" s="8">
        <v>8.4700000000000006</v>
      </c>
      <c r="M87" s="9">
        <f t="shared" si="5"/>
        <v>23.960531583894628</v>
      </c>
      <c r="N87" s="9">
        <v>24</v>
      </c>
      <c r="O87" s="1">
        <v>120.8</v>
      </c>
      <c r="P87" s="27"/>
      <c r="Q87" s="27"/>
      <c r="R87" s="4"/>
      <c r="S87" s="4"/>
      <c r="T87" s="4"/>
      <c r="U87" s="4"/>
      <c r="V87" s="4"/>
      <c r="W87" s="4"/>
      <c r="X87" s="4"/>
      <c r="Y87" s="4"/>
      <c r="Z87" s="4"/>
      <c r="AA87" s="4"/>
      <c r="AB87" s="4"/>
      <c r="AC87" s="4"/>
      <c r="AD87" s="4"/>
      <c r="AE87" s="4"/>
      <c r="AF87" s="4"/>
      <c r="AG87" s="4"/>
      <c r="AH87" s="4"/>
      <c r="AI87" s="6"/>
    </row>
    <row r="88" spans="5:43" x14ac:dyDescent="0.25">
      <c r="E88" s="2" t="s">
        <v>23</v>
      </c>
      <c r="F88" s="7">
        <v>27</v>
      </c>
      <c r="G88" s="54">
        <v>33.255541440000002</v>
      </c>
      <c r="H88" s="5">
        <v>420</v>
      </c>
      <c r="I88" s="5">
        <v>118.8</v>
      </c>
      <c r="J88" s="5">
        <v>36</v>
      </c>
      <c r="K88" s="8">
        <v>191.96</v>
      </c>
      <c r="L88" s="8">
        <v>8.4700000000000006</v>
      </c>
      <c r="M88" s="9">
        <f t="shared" si="5"/>
        <v>23.966244866337377</v>
      </c>
      <c r="N88" s="9">
        <v>24</v>
      </c>
      <c r="O88" s="1">
        <v>89.5</v>
      </c>
      <c r="P88" s="27"/>
      <c r="Q88" s="27"/>
      <c r="R88" s="4"/>
      <c r="S88" s="4"/>
      <c r="T88" s="4"/>
      <c r="U88" s="4"/>
      <c r="V88" s="4"/>
      <c r="W88" s="4"/>
      <c r="X88" s="4"/>
      <c r="Y88" s="4"/>
      <c r="Z88" s="4"/>
      <c r="AA88" s="4"/>
      <c r="AB88" s="4"/>
      <c r="AC88" s="4"/>
      <c r="AD88" s="4"/>
      <c r="AE88" s="4"/>
      <c r="AF88" s="4"/>
      <c r="AG88" s="4"/>
      <c r="AH88" s="4"/>
      <c r="AI88" s="6"/>
    </row>
    <row r="89" spans="5:43" x14ac:dyDescent="0.3">
      <c r="E89" s="423" t="s">
        <v>3</v>
      </c>
      <c r="F89" s="424"/>
      <c r="G89" s="424"/>
      <c r="H89" s="424"/>
      <c r="I89" s="424"/>
      <c r="J89" s="424"/>
      <c r="K89" s="424"/>
      <c r="L89" s="424"/>
      <c r="M89" s="424"/>
      <c r="N89" s="425"/>
      <c r="O89" s="14">
        <f>SUM(O77:O88)</f>
        <v>1549</v>
      </c>
      <c r="P89" s="28">
        <f>16/24</f>
        <v>0.66666666666666663</v>
      </c>
      <c r="Q89" s="28">
        <f>24/1000</f>
        <v>2.4E-2</v>
      </c>
      <c r="R89" s="8">
        <v>3.59</v>
      </c>
      <c r="S89" s="8">
        <v>12.96</v>
      </c>
      <c r="T89" s="5">
        <f>O89</f>
        <v>1549</v>
      </c>
      <c r="U89" s="15">
        <f>P89*Q89*R89*S89*T89</f>
        <v>1153.1102976</v>
      </c>
      <c r="V89" s="5">
        <v>3.94</v>
      </c>
      <c r="W89" s="5">
        <v>12.96</v>
      </c>
      <c r="X89" s="5">
        <f>O89</f>
        <v>1549</v>
      </c>
      <c r="Y89" s="16">
        <f>(P89*Q89*V89*W89*X89)</f>
        <v>1265.5305215999999</v>
      </c>
      <c r="Z89" s="8">
        <v>2.13</v>
      </c>
      <c r="AA89" s="8">
        <v>41.904000000000003</v>
      </c>
      <c r="AB89" s="8">
        <f>O89</f>
        <v>1549</v>
      </c>
      <c r="AC89" s="17">
        <f>(P89*Q89*Z89*AA89*AB89)</f>
        <v>2212.1088076800002</v>
      </c>
      <c r="AD89" s="96">
        <f>L360</f>
        <v>3246.8432464391021</v>
      </c>
      <c r="AE89" s="18">
        <f>U89+Y89+AC89+AD89</f>
        <v>7877.5928733191031</v>
      </c>
      <c r="AF89" s="4">
        <f>AE89*0.1</f>
        <v>787.7592873319104</v>
      </c>
      <c r="AG89" s="19">
        <f>AE89+AF89</f>
        <v>8665.352160651013</v>
      </c>
      <c r="AH89" s="8">
        <v>3.1</v>
      </c>
      <c r="AI89" s="20">
        <f>ROUND((AG89/AH89),0)</f>
        <v>2795</v>
      </c>
      <c r="AJ89" s="39">
        <v>27</v>
      </c>
    </row>
    <row r="90" spans="5:43" ht="15.5" x14ac:dyDescent="0.4">
      <c r="E90" s="2" t="s">
        <v>0</v>
      </c>
      <c r="F90" s="3"/>
      <c r="G90" s="5"/>
      <c r="H90" s="4"/>
      <c r="I90" s="4"/>
      <c r="J90" s="4"/>
      <c r="K90" s="4"/>
      <c r="L90" s="4"/>
      <c r="M90" s="3" t="s">
        <v>138</v>
      </c>
      <c r="N90" s="3" t="s">
        <v>137</v>
      </c>
      <c r="O90" s="8" t="s">
        <v>2</v>
      </c>
      <c r="P90" s="5"/>
      <c r="Q90" s="5"/>
      <c r="R90" s="4"/>
      <c r="S90" s="4"/>
      <c r="T90" s="4"/>
      <c r="U90" s="4"/>
      <c r="V90" s="4"/>
      <c r="W90" s="4"/>
      <c r="X90" s="4"/>
      <c r="Y90" s="4"/>
      <c r="Z90" s="4"/>
      <c r="AA90" s="4"/>
      <c r="AB90" s="4"/>
      <c r="AC90" s="4"/>
      <c r="AD90" s="4"/>
      <c r="AE90" s="4"/>
      <c r="AF90" s="4"/>
      <c r="AG90" s="4"/>
      <c r="AH90" s="4"/>
      <c r="AI90" s="6"/>
      <c r="AO90" s="53"/>
      <c r="AP90" s="54"/>
      <c r="AQ90" s="54"/>
    </row>
    <row r="91" spans="5:43" x14ac:dyDescent="0.25">
      <c r="E91" s="2" t="s">
        <v>15</v>
      </c>
      <c r="F91" s="7">
        <v>28</v>
      </c>
      <c r="G91" s="54">
        <v>34.400654639999999</v>
      </c>
      <c r="H91" s="5">
        <v>420</v>
      </c>
      <c r="I91" s="5">
        <v>118.8</v>
      </c>
      <c r="J91" s="5">
        <v>36</v>
      </c>
      <c r="K91" s="8">
        <v>191.96</v>
      </c>
      <c r="L91" s="8">
        <v>8.4700000000000006</v>
      </c>
      <c r="M91" s="9">
        <f>(F91-((G91+H91+I91+J91)/(K91+L91)))</f>
        <v>24.960531583894628</v>
      </c>
      <c r="N91" s="9">
        <v>25</v>
      </c>
      <c r="O91" s="1">
        <v>60.2</v>
      </c>
      <c r="P91" s="5"/>
      <c r="Q91" s="5"/>
      <c r="R91" s="4"/>
      <c r="S91" s="4"/>
      <c r="T91" s="4"/>
      <c r="U91" s="4"/>
      <c r="V91" s="4"/>
      <c r="W91" s="4"/>
      <c r="X91" s="4"/>
      <c r="Y91" s="4"/>
      <c r="Z91" s="4"/>
      <c r="AA91" s="4"/>
      <c r="AB91" s="4"/>
      <c r="AC91" s="4"/>
      <c r="AD91" s="4"/>
      <c r="AE91" s="4"/>
      <c r="AF91" s="4"/>
      <c r="AG91" s="4"/>
      <c r="AH91" s="4"/>
      <c r="AI91" s="6"/>
    </row>
    <row r="92" spans="5:43" x14ac:dyDescent="0.25">
      <c r="E92" s="2" t="s">
        <v>16</v>
      </c>
      <c r="F92" s="7">
        <v>28</v>
      </c>
      <c r="G92" s="54">
        <v>37.843264800000007</v>
      </c>
      <c r="H92" s="5">
        <v>420</v>
      </c>
      <c r="I92" s="5">
        <v>118.8</v>
      </c>
      <c r="J92" s="5">
        <v>36</v>
      </c>
      <c r="K92" s="8">
        <v>191.96</v>
      </c>
      <c r="L92" s="8">
        <v>8.4700000000000006</v>
      </c>
      <c r="M92" s="9">
        <f t="shared" ref="M92:M102" si="6">(F92-((G92+H92+I92+J92)/(K92+L92)))</f>
        <v>24.943355461757221</v>
      </c>
      <c r="N92" s="9">
        <v>25</v>
      </c>
      <c r="O92" s="1">
        <v>57.5</v>
      </c>
      <c r="P92" s="5"/>
      <c r="Q92" s="5"/>
      <c r="R92" s="4"/>
      <c r="S92" s="4"/>
      <c r="T92" s="4"/>
      <c r="U92" s="4"/>
      <c r="V92" s="4"/>
      <c r="W92" s="4"/>
      <c r="X92" s="4"/>
      <c r="Y92" s="4"/>
      <c r="Z92" s="4"/>
      <c r="AA92" s="4"/>
      <c r="AB92" s="4"/>
      <c r="AC92" s="4"/>
      <c r="AD92" s="4"/>
      <c r="AE92" s="4"/>
      <c r="AF92" s="4"/>
      <c r="AG92" s="4"/>
      <c r="AH92" s="4"/>
      <c r="AI92" s="6"/>
    </row>
    <row r="93" spans="5:43" x14ac:dyDescent="0.25">
      <c r="E93" s="2" t="s">
        <v>17</v>
      </c>
      <c r="F93" s="7">
        <v>28</v>
      </c>
      <c r="G93" s="54">
        <v>40.137126480000006</v>
      </c>
      <c r="H93" s="5">
        <v>420</v>
      </c>
      <c r="I93" s="5">
        <v>118.8</v>
      </c>
      <c r="J93" s="5">
        <v>36</v>
      </c>
      <c r="K93" s="8">
        <v>191.96</v>
      </c>
      <c r="L93" s="8">
        <v>8.4700000000000006</v>
      </c>
      <c r="M93" s="9">
        <f t="shared" si="6"/>
        <v>24.931910759467147</v>
      </c>
      <c r="N93" s="9">
        <v>25</v>
      </c>
      <c r="O93" s="1">
        <v>98.4</v>
      </c>
      <c r="P93" s="5"/>
      <c r="Q93" s="5"/>
      <c r="R93" s="4"/>
      <c r="S93" s="4"/>
      <c r="T93" s="4"/>
      <c r="U93" s="4"/>
      <c r="V93" s="4"/>
      <c r="W93" s="4"/>
      <c r="X93" s="4"/>
      <c r="Y93" s="4"/>
      <c r="Z93" s="4"/>
      <c r="AA93" s="4"/>
      <c r="AB93" s="4"/>
      <c r="AC93" s="4"/>
      <c r="AD93" s="4"/>
      <c r="AE93" s="4"/>
      <c r="AF93" s="4"/>
      <c r="AG93" s="4"/>
      <c r="AH93" s="4"/>
      <c r="AI93" s="6"/>
    </row>
    <row r="94" spans="5:43" x14ac:dyDescent="0.25">
      <c r="E94" s="2" t="s">
        <v>18</v>
      </c>
      <c r="F94" s="7">
        <v>28</v>
      </c>
      <c r="G94" s="54">
        <v>44.721214560000007</v>
      </c>
      <c r="H94" s="5">
        <v>420</v>
      </c>
      <c r="I94" s="5">
        <v>118.8</v>
      </c>
      <c r="J94" s="5">
        <v>36</v>
      </c>
      <c r="K94" s="8">
        <v>191.96</v>
      </c>
      <c r="L94" s="8">
        <v>8.4700000000000006</v>
      </c>
      <c r="M94" s="9">
        <f t="shared" si="6"/>
        <v>24.909039492291573</v>
      </c>
      <c r="N94" s="9">
        <v>25</v>
      </c>
      <c r="O94" s="1">
        <v>142.1</v>
      </c>
      <c r="P94" s="5"/>
      <c r="Q94" s="5"/>
      <c r="R94" s="4"/>
      <c r="S94" s="4"/>
      <c r="T94" s="4"/>
      <c r="U94" s="4"/>
      <c r="V94" s="4"/>
      <c r="W94" s="4"/>
      <c r="X94" s="4"/>
      <c r="Y94" s="4"/>
      <c r="Z94" s="4"/>
      <c r="AA94" s="4"/>
      <c r="AB94" s="4"/>
      <c r="AC94" s="4"/>
      <c r="AD94" s="4"/>
      <c r="AE94" s="4"/>
      <c r="AF94" s="4"/>
      <c r="AG94" s="4"/>
      <c r="AH94" s="4"/>
      <c r="AI94" s="6"/>
    </row>
    <row r="95" spans="5:43" x14ac:dyDescent="0.25">
      <c r="E95" s="2" t="s">
        <v>12</v>
      </c>
      <c r="F95" s="7">
        <v>28</v>
      </c>
      <c r="G95" s="54">
        <v>59.629497840000013</v>
      </c>
      <c r="H95" s="5">
        <v>420</v>
      </c>
      <c r="I95" s="5">
        <v>118.8</v>
      </c>
      <c r="J95" s="5">
        <v>36</v>
      </c>
      <c r="K95" s="8">
        <v>191.96</v>
      </c>
      <c r="L95" s="8">
        <v>8.4700000000000006</v>
      </c>
      <c r="M95" s="9">
        <f t="shared" si="6"/>
        <v>24.834657996108369</v>
      </c>
      <c r="N95" s="9">
        <v>25</v>
      </c>
      <c r="O95" s="1">
        <v>164.7</v>
      </c>
      <c r="P95" s="5"/>
      <c r="Q95" s="5"/>
      <c r="R95" s="4"/>
      <c r="S95" s="4"/>
      <c r="T95" s="4"/>
      <c r="U95" s="4"/>
      <c r="V95" s="4"/>
      <c r="W95" s="4"/>
      <c r="X95" s="4"/>
      <c r="Y95" s="4"/>
      <c r="Z95" s="4"/>
      <c r="AA95" s="4"/>
      <c r="AB95" s="4"/>
      <c r="AC95" s="4"/>
      <c r="AD95" s="4"/>
      <c r="AE95" s="4"/>
      <c r="AF95" s="4"/>
      <c r="AG95" s="4"/>
      <c r="AH95" s="4"/>
      <c r="AI95" s="6"/>
    </row>
    <row r="96" spans="5:43" x14ac:dyDescent="0.25">
      <c r="E96" s="2" t="s">
        <v>13</v>
      </c>
      <c r="F96" s="7">
        <v>28</v>
      </c>
      <c r="G96" s="54">
        <v>75.686529600000014</v>
      </c>
      <c r="H96" s="5">
        <v>420</v>
      </c>
      <c r="I96" s="5">
        <v>118.8</v>
      </c>
      <c r="J96" s="5">
        <v>36</v>
      </c>
      <c r="K96" s="8">
        <v>191.96</v>
      </c>
      <c r="L96" s="8">
        <v>8.4700000000000006</v>
      </c>
      <c r="M96" s="9">
        <f t="shared" si="6"/>
        <v>24.754545080077833</v>
      </c>
      <c r="N96" s="9">
        <v>25</v>
      </c>
      <c r="O96" s="1">
        <v>132.1</v>
      </c>
      <c r="P96" s="5"/>
      <c r="Q96" s="5"/>
      <c r="R96" s="4"/>
      <c r="S96" s="4"/>
      <c r="T96" s="4"/>
      <c r="U96" s="4"/>
      <c r="V96" s="4"/>
      <c r="W96" s="4"/>
      <c r="X96" s="4"/>
      <c r="Y96" s="4"/>
      <c r="Z96" s="4"/>
      <c r="AA96" s="4"/>
      <c r="AB96" s="4"/>
      <c r="AC96" s="4"/>
      <c r="AD96" s="4"/>
      <c r="AE96" s="4"/>
      <c r="AF96" s="4"/>
      <c r="AG96" s="4"/>
      <c r="AH96" s="4"/>
      <c r="AI96" s="6"/>
    </row>
    <row r="97" spans="2:40" x14ac:dyDescent="0.25">
      <c r="E97" s="2" t="s">
        <v>24</v>
      </c>
      <c r="F97" s="7">
        <v>28</v>
      </c>
      <c r="G97" s="54">
        <v>63.072108000000007</v>
      </c>
      <c r="H97" s="5">
        <v>420</v>
      </c>
      <c r="I97" s="5">
        <v>118.8</v>
      </c>
      <c r="J97" s="5">
        <v>36</v>
      </c>
      <c r="K97" s="8">
        <v>191.96</v>
      </c>
      <c r="L97" s="8">
        <v>8.4700000000000006</v>
      </c>
      <c r="M97" s="9">
        <f t="shared" si="6"/>
        <v>24.817481873970962</v>
      </c>
      <c r="N97" s="9">
        <v>25</v>
      </c>
      <c r="O97" s="1">
        <v>103.7</v>
      </c>
      <c r="P97" s="18"/>
      <c r="Q97" s="18"/>
      <c r="R97" s="4"/>
      <c r="S97" s="4"/>
      <c r="T97" s="4"/>
      <c r="U97" s="4"/>
      <c r="V97" s="4"/>
      <c r="W97" s="4"/>
      <c r="X97" s="4"/>
      <c r="Y97" s="4"/>
      <c r="Z97" s="4"/>
      <c r="AA97" s="4"/>
      <c r="AB97" s="4"/>
      <c r="AC97" s="4"/>
      <c r="AD97" s="4"/>
      <c r="AE97" s="4"/>
      <c r="AF97" s="4"/>
      <c r="AG97" s="4"/>
      <c r="AH97" s="4"/>
      <c r="AI97" s="6"/>
    </row>
    <row r="98" spans="2:40" x14ac:dyDescent="0.25">
      <c r="E98" s="2" t="s">
        <v>19</v>
      </c>
      <c r="F98" s="7">
        <v>28</v>
      </c>
      <c r="G98" s="54">
        <v>47.015076240000013</v>
      </c>
      <c r="H98" s="5">
        <v>420</v>
      </c>
      <c r="I98" s="5">
        <v>118.8</v>
      </c>
      <c r="J98" s="5">
        <v>36</v>
      </c>
      <c r="K98" s="8">
        <v>191.96</v>
      </c>
      <c r="L98" s="8">
        <v>8.4700000000000006</v>
      </c>
      <c r="M98" s="9">
        <f t="shared" si="6"/>
        <v>24.897594790001499</v>
      </c>
      <c r="N98" s="9">
        <v>25</v>
      </c>
      <c r="O98" s="1">
        <v>116.8</v>
      </c>
      <c r="P98" s="18"/>
      <c r="Q98" s="18"/>
      <c r="R98" s="4"/>
      <c r="S98" s="4"/>
      <c r="T98" s="4"/>
      <c r="U98" s="4"/>
      <c r="V98" s="4"/>
      <c r="W98" s="4"/>
      <c r="X98" s="4"/>
      <c r="Y98" s="4"/>
      <c r="Z98" s="4"/>
      <c r="AA98" s="4"/>
      <c r="AB98" s="4"/>
      <c r="AC98" s="4"/>
      <c r="AD98" s="4"/>
      <c r="AE98" s="4"/>
      <c r="AF98" s="4"/>
      <c r="AG98" s="4"/>
      <c r="AH98" s="4"/>
      <c r="AI98" s="6"/>
    </row>
    <row r="99" spans="2:40" x14ac:dyDescent="0.25">
      <c r="E99" s="2" t="s">
        <v>20</v>
      </c>
      <c r="F99" s="7">
        <v>28</v>
      </c>
      <c r="G99" s="54">
        <v>41.282239680000004</v>
      </c>
      <c r="H99" s="5">
        <v>420</v>
      </c>
      <c r="I99" s="5">
        <v>118.8</v>
      </c>
      <c r="J99" s="5">
        <v>36</v>
      </c>
      <c r="K99" s="8">
        <v>191.96</v>
      </c>
      <c r="L99" s="8">
        <v>8.4700000000000006</v>
      </c>
      <c r="M99" s="9">
        <f t="shared" si="6"/>
        <v>24.926197477024399</v>
      </c>
      <c r="N99" s="9">
        <v>25</v>
      </c>
      <c r="O99" s="1">
        <v>88.1</v>
      </c>
      <c r="P99" s="18"/>
      <c r="Q99" s="18"/>
      <c r="R99" s="4"/>
      <c r="S99" s="4"/>
      <c r="T99" s="4"/>
      <c r="U99" s="4"/>
      <c r="V99" s="4"/>
      <c r="W99" s="4"/>
      <c r="X99" s="4"/>
      <c r="Y99" s="4"/>
      <c r="Z99" s="4"/>
      <c r="AA99" s="4"/>
      <c r="AB99" s="4"/>
      <c r="AC99" s="4"/>
      <c r="AD99" s="4"/>
      <c r="AE99" s="4"/>
      <c r="AF99" s="4"/>
      <c r="AG99" s="4"/>
      <c r="AH99" s="4"/>
      <c r="AI99" s="6"/>
    </row>
    <row r="100" spans="2:40" x14ac:dyDescent="0.25">
      <c r="E100" s="2" t="s">
        <v>21</v>
      </c>
      <c r="F100" s="7">
        <v>28</v>
      </c>
      <c r="G100" s="54">
        <v>37.843264800000007</v>
      </c>
      <c r="H100" s="5">
        <v>420</v>
      </c>
      <c r="I100" s="5">
        <v>118.8</v>
      </c>
      <c r="J100" s="5">
        <v>36</v>
      </c>
      <c r="K100" s="8">
        <v>191.96</v>
      </c>
      <c r="L100" s="8">
        <v>8.4700000000000006</v>
      </c>
      <c r="M100" s="9">
        <f t="shared" si="6"/>
        <v>24.943355461757221</v>
      </c>
      <c r="N100" s="9">
        <v>25</v>
      </c>
      <c r="O100" s="1">
        <v>86.9</v>
      </c>
      <c r="P100" s="18"/>
      <c r="Q100" s="18"/>
      <c r="R100" s="4"/>
      <c r="S100" s="4"/>
      <c r="T100" s="4"/>
      <c r="U100" s="4"/>
      <c r="V100" s="4"/>
      <c r="W100" s="4"/>
      <c r="X100" s="4"/>
      <c r="Y100" s="4"/>
      <c r="Z100" s="4"/>
      <c r="AA100" s="4"/>
      <c r="AB100" s="4"/>
      <c r="AC100" s="4"/>
      <c r="AD100" s="4"/>
      <c r="AE100" s="4"/>
      <c r="AF100" s="4"/>
      <c r="AG100" s="4"/>
      <c r="AH100" s="4"/>
      <c r="AI100" s="6"/>
    </row>
    <row r="101" spans="2:40" x14ac:dyDescent="0.25">
      <c r="E101" s="2" t="s">
        <v>22</v>
      </c>
      <c r="F101" s="7">
        <v>28</v>
      </c>
      <c r="G101" s="54">
        <v>34.400654639999999</v>
      </c>
      <c r="H101" s="5">
        <v>420</v>
      </c>
      <c r="I101" s="5">
        <v>118.8</v>
      </c>
      <c r="J101" s="5">
        <v>36</v>
      </c>
      <c r="K101" s="8">
        <v>191.96</v>
      </c>
      <c r="L101" s="8">
        <v>8.4700000000000006</v>
      </c>
      <c r="M101" s="9">
        <f t="shared" si="6"/>
        <v>24.960531583894628</v>
      </c>
      <c r="N101" s="9">
        <v>25</v>
      </c>
      <c r="O101" s="1">
        <v>93.1</v>
      </c>
      <c r="P101" s="18"/>
      <c r="Q101" s="18"/>
      <c r="R101" s="30"/>
      <c r="S101" s="30"/>
      <c r="T101" s="30"/>
      <c r="U101" s="4"/>
      <c r="V101" s="30"/>
      <c r="W101" s="30"/>
      <c r="X101" s="30"/>
      <c r="Y101" s="4"/>
      <c r="Z101" s="30"/>
      <c r="AA101" s="30"/>
      <c r="AB101" s="30"/>
      <c r="AC101" s="4"/>
      <c r="AD101" s="30"/>
      <c r="AE101" s="30"/>
      <c r="AF101" s="30"/>
      <c r="AG101" s="30"/>
      <c r="AH101" s="30"/>
      <c r="AI101" s="31"/>
    </row>
    <row r="102" spans="2:40" x14ac:dyDescent="0.25">
      <c r="E102" s="2" t="s">
        <v>23</v>
      </c>
      <c r="F102" s="7">
        <v>28</v>
      </c>
      <c r="G102" s="54">
        <v>33.255541440000002</v>
      </c>
      <c r="H102" s="5">
        <v>420</v>
      </c>
      <c r="I102" s="5">
        <v>118.8</v>
      </c>
      <c r="J102" s="5">
        <v>36</v>
      </c>
      <c r="K102" s="8">
        <v>191.96</v>
      </c>
      <c r="L102" s="8">
        <v>8.4700000000000006</v>
      </c>
      <c r="M102" s="9">
        <f t="shared" si="6"/>
        <v>24.966244866337377</v>
      </c>
      <c r="N102" s="9">
        <v>25</v>
      </c>
      <c r="O102" s="1">
        <v>61.2</v>
      </c>
      <c r="P102" s="18"/>
      <c r="Q102" s="18"/>
      <c r="R102" s="30"/>
      <c r="S102" s="30"/>
      <c r="T102" s="30"/>
      <c r="U102" s="4"/>
      <c r="V102" s="30"/>
      <c r="W102" s="30"/>
      <c r="X102" s="30"/>
      <c r="Y102" s="4"/>
      <c r="Z102" s="30"/>
      <c r="AA102" s="30"/>
      <c r="AB102" s="30"/>
      <c r="AC102" s="4"/>
      <c r="AD102" s="30"/>
      <c r="AE102" s="30"/>
      <c r="AF102" s="30"/>
      <c r="AG102" s="30"/>
      <c r="AH102" s="30"/>
      <c r="AI102" s="31"/>
    </row>
    <row r="103" spans="2:40" ht="13.5" thickBot="1" x14ac:dyDescent="0.35">
      <c r="E103" s="426" t="s">
        <v>3</v>
      </c>
      <c r="F103" s="427"/>
      <c r="G103" s="427"/>
      <c r="H103" s="427"/>
      <c r="I103" s="427"/>
      <c r="J103" s="427"/>
      <c r="K103" s="427"/>
      <c r="L103" s="427"/>
      <c r="M103" s="427"/>
      <c r="N103" s="428"/>
      <c r="O103" s="169">
        <f>SUM(O91:O102)</f>
        <v>1204.8000000000002</v>
      </c>
      <c r="P103" s="153">
        <f>16/24</f>
        <v>0.66666666666666663</v>
      </c>
      <c r="Q103" s="153">
        <f>24/1000</f>
        <v>2.4E-2</v>
      </c>
      <c r="R103" s="154">
        <v>3.59</v>
      </c>
      <c r="S103" s="154">
        <v>12.96</v>
      </c>
      <c r="T103" s="155">
        <f>O103</f>
        <v>1204.8000000000002</v>
      </c>
      <c r="U103" s="156">
        <f>P103*Q103*R103*S103*T103</f>
        <v>896.88010752000014</v>
      </c>
      <c r="V103" s="155">
        <v>3.94</v>
      </c>
      <c r="W103" s="155">
        <v>12.96</v>
      </c>
      <c r="X103" s="155">
        <f>O103</f>
        <v>1204.8000000000002</v>
      </c>
      <c r="Y103" s="157">
        <f>(P103*Q103*V103*W103*X103)</f>
        <v>984.31967232000011</v>
      </c>
      <c r="Z103" s="154">
        <v>2.13</v>
      </c>
      <c r="AA103" s="154">
        <v>41.904000000000003</v>
      </c>
      <c r="AB103" s="154">
        <f>O103</f>
        <v>1204.8000000000002</v>
      </c>
      <c r="AC103" s="158">
        <f>(P103*Q103*Z103*AA103*AB103)</f>
        <v>1720.5608079360004</v>
      </c>
      <c r="AD103" s="159">
        <f>L361</f>
        <v>3169.4226251099885</v>
      </c>
      <c r="AE103" s="160">
        <f>U103+Y103+AC103+AD103</f>
        <v>6771.1832128859896</v>
      </c>
      <c r="AF103" s="30">
        <f>AE103*0.1</f>
        <v>677.11832128859896</v>
      </c>
      <c r="AG103" s="161">
        <f>AE103+AF103</f>
        <v>7448.3015341745886</v>
      </c>
      <c r="AH103" s="154">
        <v>3.1</v>
      </c>
      <c r="AI103" s="166">
        <f>ROUND((AG103/AH103),0)</f>
        <v>2403</v>
      </c>
      <c r="AJ103" s="39">
        <v>28</v>
      </c>
      <c r="AK103" s="122"/>
      <c r="AL103" s="122"/>
    </row>
    <row r="104" spans="2:40" ht="13.5" thickBot="1" x14ac:dyDescent="0.35">
      <c r="E104" s="429" t="s">
        <v>218</v>
      </c>
      <c r="F104" s="429"/>
      <c r="G104" s="429"/>
      <c r="H104" s="429"/>
      <c r="I104" s="429"/>
      <c r="J104" s="429"/>
      <c r="K104" s="429"/>
      <c r="L104" s="429"/>
      <c r="M104" s="429"/>
      <c r="N104" s="429"/>
      <c r="O104" s="429"/>
      <c r="P104" s="429"/>
      <c r="Q104" s="429"/>
      <c r="R104" s="429"/>
      <c r="S104" s="429"/>
      <c r="T104" s="429"/>
      <c r="U104" s="429"/>
      <c r="V104" s="429"/>
      <c r="W104" s="429"/>
      <c r="X104" s="429"/>
      <c r="Y104" s="429"/>
      <c r="Z104" s="429"/>
      <c r="AA104" s="429"/>
      <c r="AB104" s="429"/>
      <c r="AC104" s="429"/>
      <c r="AD104" s="429"/>
      <c r="AE104" s="429"/>
      <c r="AF104" s="429"/>
      <c r="AG104" s="429"/>
      <c r="AH104" s="429"/>
      <c r="AI104" s="162">
        <f>ROUND((AI75*AQ79+AI89*AQ80+AI103*AQ81),0)</f>
        <v>2960</v>
      </c>
      <c r="AK104" s="173">
        <f>AI46-AI104</f>
        <v>1448.913043478261</v>
      </c>
    </row>
    <row r="105" spans="2:40" x14ac:dyDescent="0.3">
      <c r="AN105" s="123"/>
    </row>
    <row r="106" spans="2:40" ht="13.5" thickBot="1" x14ac:dyDescent="0.3"/>
    <row r="107" spans="2:40" ht="15" x14ac:dyDescent="0.4">
      <c r="B107" s="409" t="s">
        <v>83</v>
      </c>
      <c r="C107" s="410"/>
      <c r="E107" s="308" t="s">
        <v>59</v>
      </c>
      <c r="F107" s="309"/>
      <c r="G107" s="309"/>
      <c r="H107" s="309"/>
      <c r="I107" s="309"/>
      <c r="J107" s="309"/>
      <c r="K107" s="309"/>
      <c r="L107" s="309"/>
      <c r="M107" s="309"/>
      <c r="N107" s="309"/>
      <c r="O107" s="309"/>
      <c r="P107" s="309"/>
      <c r="Q107" s="309"/>
      <c r="R107" s="309"/>
      <c r="S107" s="104"/>
    </row>
    <row r="108" spans="2:40" ht="15" x14ac:dyDescent="0.4">
      <c r="B108" s="411"/>
      <c r="C108" s="412"/>
      <c r="E108" s="413" t="s">
        <v>132</v>
      </c>
      <c r="F108" s="414"/>
      <c r="G108" s="414"/>
      <c r="H108" s="414"/>
      <c r="I108" s="414"/>
      <c r="J108" s="414"/>
      <c r="K108" s="414"/>
      <c r="L108" s="414"/>
      <c r="M108" s="414"/>
      <c r="N108" s="414"/>
      <c r="O108" s="414"/>
      <c r="P108" s="414"/>
      <c r="Q108" s="414"/>
      <c r="R108" s="414"/>
      <c r="S108" s="104"/>
    </row>
    <row r="109" spans="2:40" ht="21.65" customHeight="1" x14ac:dyDescent="0.25">
      <c r="B109" s="76" t="s">
        <v>57</v>
      </c>
      <c r="C109" s="77" t="s">
        <v>34</v>
      </c>
      <c r="E109" s="43" t="s">
        <v>0</v>
      </c>
      <c r="F109" s="42" t="s">
        <v>37</v>
      </c>
      <c r="G109" s="42" t="s">
        <v>36</v>
      </c>
      <c r="H109" s="42" t="s">
        <v>35</v>
      </c>
      <c r="I109" s="42" t="s">
        <v>47</v>
      </c>
      <c r="J109" s="47" t="s">
        <v>56</v>
      </c>
      <c r="K109" s="47" t="s">
        <v>50</v>
      </c>
      <c r="L109" s="47" t="s">
        <v>51</v>
      </c>
      <c r="M109" s="47" t="s">
        <v>48</v>
      </c>
      <c r="N109" s="47" t="s">
        <v>52</v>
      </c>
      <c r="O109" s="37" t="s">
        <v>53</v>
      </c>
      <c r="P109" s="37" t="s">
        <v>54</v>
      </c>
      <c r="Q109" s="37" t="s">
        <v>49</v>
      </c>
      <c r="R109" s="48" t="s">
        <v>55</v>
      </c>
    </row>
    <row r="110" spans="2:40" ht="15.65" customHeight="1" x14ac:dyDescent="0.25">
      <c r="B110" s="76" t="s">
        <v>65</v>
      </c>
      <c r="C110" s="77">
        <v>1</v>
      </c>
      <c r="E110" s="2" t="s">
        <v>15</v>
      </c>
      <c r="F110" s="71">
        <v>29.1</v>
      </c>
      <c r="G110" s="71">
        <v>2.9</v>
      </c>
      <c r="H110" s="71">
        <f>G110/2</f>
        <v>1.45</v>
      </c>
      <c r="I110" s="71">
        <f>F110-H110</f>
        <v>27.650000000000002</v>
      </c>
      <c r="J110" s="59">
        <f t="shared" ref="J110:J121" si="7">C$126</f>
        <v>1.75</v>
      </c>
      <c r="K110" s="45">
        <v>22</v>
      </c>
      <c r="L110" s="45">
        <f>25.5-K110</f>
        <v>3.5</v>
      </c>
      <c r="M110" s="45">
        <f>I110-29.4</f>
        <v>-1.7499999999999964</v>
      </c>
      <c r="N110" s="8">
        <f t="shared" ref="N110:N121" si="8">J110+L110+M110</f>
        <v>3.5000000000000036</v>
      </c>
      <c r="O110" s="8">
        <v>3.75</v>
      </c>
      <c r="P110" s="8">
        <v>1.296</v>
      </c>
      <c r="Q110" s="8">
        <f>31*16</f>
        <v>496</v>
      </c>
      <c r="R110" s="40">
        <f>(N110*O110*P110*Q110)/1000</f>
        <v>8.4369600000000098</v>
      </c>
    </row>
    <row r="111" spans="2:40" ht="15" customHeight="1" x14ac:dyDescent="0.25">
      <c r="B111" s="76" t="s">
        <v>66</v>
      </c>
      <c r="C111" s="77">
        <v>1</v>
      </c>
      <c r="E111" s="2" t="s">
        <v>16</v>
      </c>
      <c r="F111" s="71">
        <v>29.5</v>
      </c>
      <c r="G111" s="71">
        <v>3.3</v>
      </c>
      <c r="H111" s="71">
        <f t="shared" ref="H111:H121" si="9">G111/2</f>
        <v>1.65</v>
      </c>
      <c r="I111" s="71">
        <f t="shared" ref="I111:I121" si="10">F111-H111</f>
        <v>27.85</v>
      </c>
      <c r="J111" s="45">
        <f t="shared" si="7"/>
        <v>1.75</v>
      </c>
      <c r="K111" s="45">
        <v>22</v>
      </c>
      <c r="L111" s="45">
        <f t="shared" ref="L111:L121" si="11">25.5-K111</f>
        <v>3.5</v>
      </c>
      <c r="M111" s="45">
        <f t="shared" ref="M111:M121" si="12">I111-29.4</f>
        <v>-1.5499999999999972</v>
      </c>
      <c r="N111" s="8">
        <f t="shared" si="8"/>
        <v>3.7000000000000028</v>
      </c>
      <c r="O111" s="8">
        <v>3.75</v>
      </c>
      <c r="P111" s="8">
        <v>1.296</v>
      </c>
      <c r="Q111" s="8">
        <f>28*16</f>
        <v>448</v>
      </c>
      <c r="R111" s="40">
        <f t="shared" ref="R111:R121" si="13">(N111*O111*P111*Q111)/1000</f>
        <v>8.0559360000000062</v>
      </c>
    </row>
    <row r="112" spans="2:40" ht="16" customHeight="1" x14ac:dyDescent="0.25">
      <c r="B112" s="76" t="s">
        <v>67</v>
      </c>
      <c r="C112" s="77">
        <v>0</v>
      </c>
      <c r="E112" s="2" t="s">
        <v>17</v>
      </c>
      <c r="F112" s="71">
        <v>30.6</v>
      </c>
      <c r="G112" s="71">
        <v>3.8</v>
      </c>
      <c r="H112" s="71">
        <f t="shared" si="9"/>
        <v>1.9</v>
      </c>
      <c r="I112" s="71">
        <f t="shared" si="10"/>
        <v>28.700000000000003</v>
      </c>
      <c r="J112" s="45">
        <f t="shared" si="7"/>
        <v>1.75</v>
      </c>
      <c r="K112" s="45">
        <v>22</v>
      </c>
      <c r="L112" s="45">
        <f t="shared" si="11"/>
        <v>3.5</v>
      </c>
      <c r="M112" s="45">
        <f t="shared" si="12"/>
        <v>-0.69999999999999574</v>
      </c>
      <c r="N112" s="8">
        <f t="shared" si="8"/>
        <v>4.5500000000000043</v>
      </c>
      <c r="O112" s="8">
        <v>3.75</v>
      </c>
      <c r="P112" s="8">
        <v>1.296</v>
      </c>
      <c r="Q112" s="8">
        <f>31*16</f>
        <v>496</v>
      </c>
      <c r="R112" s="40">
        <f t="shared" si="13"/>
        <v>10.96804800000001</v>
      </c>
    </row>
    <row r="113" spans="2:19" ht="16" customHeight="1" x14ac:dyDescent="0.25">
      <c r="B113" s="76" t="s">
        <v>68</v>
      </c>
      <c r="C113" s="77">
        <v>-1</v>
      </c>
      <c r="E113" s="2" t="s">
        <v>18</v>
      </c>
      <c r="F113" s="71">
        <v>31.3</v>
      </c>
      <c r="G113" s="71">
        <v>4.0999999999999996</v>
      </c>
      <c r="H113" s="71">
        <f t="shared" si="9"/>
        <v>2.0499999999999998</v>
      </c>
      <c r="I113" s="71">
        <f t="shared" si="10"/>
        <v>29.25</v>
      </c>
      <c r="J113" s="45">
        <f t="shared" si="7"/>
        <v>1.75</v>
      </c>
      <c r="K113" s="45">
        <v>22</v>
      </c>
      <c r="L113" s="45">
        <f t="shared" si="11"/>
        <v>3.5</v>
      </c>
      <c r="M113" s="45">
        <f t="shared" si="12"/>
        <v>-0.14999999999999858</v>
      </c>
      <c r="N113" s="8">
        <f t="shared" si="8"/>
        <v>5.1000000000000014</v>
      </c>
      <c r="O113" s="8">
        <v>3.75</v>
      </c>
      <c r="P113" s="8">
        <v>1.296</v>
      </c>
      <c r="Q113" s="8">
        <f>30*16</f>
        <v>480</v>
      </c>
      <c r="R113" s="40">
        <f t="shared" si="13"/>
        <v>11.897280000000004</v>
      </c>
    </row>
    <row r="114" spans="2:19" ht="16" customHeight="1" x14ac:dyDescent="0.25">
      <c r="B114" s="76" t="s">
        <v>69</v>
      </c>
      <c r="C114" s="77">
        <v>-1</v>
      </c>
      <c r="E114" s="2" t="s">
        <v>12</v>
      </c>
      <c r="F114" s="71">
        <v>32.700000000000003</v>
      </c>
      <c r="G114" s="71">
        <v>4.8</v>
      </c>
      <c r="H114" s="71">
        <f t="shared" si="9"/>
        <v>2.4</v>
      </c>
      <c r="I114" s="71">
        <f t="shared" si="10"/>
        <v>30.300000000000004</v>
      </c>
      <c r="J114" s="45">
        <f t="shared" si="7"/>
        <v>1.75</v>
      </c>
      <c r="K114" s="45">
        <v>22</v>
      </c>
      <c r="L114" s="45">
        <f t="shared" si="11"/>
        <v>3.5</v>
      </c>
      <c r="M114" s="45">
        <f t="shared" si="12"/>
        <v>0.90000000000000568</v>
      </c>
      <c r="N114" s="8">
        <f t="shared" si="8"/>
        <v>6.1500000000000057</v>
      </c>
      <c r="O114" s="8">
        <v>3.75</v>
      </c>
      <c r="P114" s="8">
        <v>1.296</v>
      </c>
      <c r="Q114" s="8">
        <f>31*16</f>
        <v>496</v>
      </c>
      <c r="R114" s="40">
        <f t="shared" si="13"/>
        <v>14.824944000000015</v>
      </c>
    </row>
    <row r="115" spans="2:19" ht="15" customHeight="1" x14ac:dyDescent="0.25">
      <c r="B115" s="76" t="s">
        <v>70</v>
      </c>
      <c r="C115" s="77">
        <v>-1</v>
      </c>
      <c r="E115" s="2" t="s">
        <v>13</v>
      </c>
      <c r="F115" s="71">
        <v>32.6</v>
      </c>
      <c r="G115" s="71">
        <v>4.8</v>
      </c>
      <c r="H115" s="71">
        <f t="shared" si="9"/>
        <v>2.4</v>
      </c>
      <c r="I115" s="71">
        <f t="shared" si="10"/>
        <v>30.200000000000003</v>
      </c>
      <c r="J115" s="45">
        <f t="shared" si="7"/>
        <v>1.75</v>
      </c>
      <c r="K115" s="45">
        <v>22</v>
      </c>
      <c r="L115" s="45">
        <f t="shared" si="11"/>
        <v>3.5</v>
      </c>
      <c r="M115" s="45">
        <f t="shared" si="12"/>
        <v>0.80000000000000426</v>
      </c>
      <c r="N115" s="8">
        <f t="shared" si="8"/>
        <v>6.0500000000000043</v>
      </c>
      <c r="O115" s="8">
        <v>3.75</v>
      </c>
      <c r="P115" s="8">
        <v>1.296</v>
      </c>
      <c r="Q115" s="8">
        <f>30*16</f>
        <v>480</v>
      </c>
      <c r="R115" s="40">
        <f t="shared" si="13"/>
        <v>14.11344000000001</v>
      </c>
    </row>
    <row r="116" spans="2:19" ht="15.65" customHeight="1" x14ac:dyDescent="0.25">
      <c r="B116" s="78" t="s">
        <v>38</v>
      </c>
      <c r="C116" s="79">
        <v>-1</v>
      </c>
      <c r="E116" s="2" t="s">
        <v>24</v>
      </c>
      <c r="F116" s="41">
        <v>31.7</v>
      </c>
      <c r="G116" s="98">
        <v>4.5999999999999996</v>
      </c>
      <c r="H116" s="71">
        <f t="shared" si="9"/>
        <v>2.2999999999999998</v>
      </c>
      <c r="I116" s="71">
        <f t="shared" si="10"/>
        <v>29.4</v>
      </c>
      <c r="J116" s="45">
        <f t="shared" si="7"/>
        <v>1.75</v>
      </c>
      <c r="K116" s="45">
        <v>22</v>
      </c>
      <c r="L116" s="45">
        <f t="shared" si="11"/>
        <v>3.5</v>
      </c>
      <c r="M116" s="45">
        <f t="shared" si="12"/>
        <v>0</v>
      </c>
      <c r="N116" s="8">
        <f t="shared" si="8"/>
        <v>5.25</v>
      </c>
      <c r="O116" s="8">
        <v>3.75</v>
      </c>
      <c r="P116" s="8">
        <v>1.296</v>
      </c>
      <c r="Q116" s="8">
        <f>31*16</f>
        <v>496</v>
      </c>
      <c r="R116" s="40">
        <f t="shared" si="13"/>
        <v>12.65544</v>
      </c>
    </row>
    <row r="117" spans="2:19" ht="15.65" customHeight="1" x14ac:dyDescent="0.25">
      <c r="B117" s="78" t="s">
        <v>39</v>
      </c>
      <c r="C117" s="79">
        <v>-1</v>
      </c>
      <c r="E117" s="2" t="s">
        <v>19</v>
      </c>
      <c r="F117" s="41">
        <v>32.200000000000003</v>
      </c>
      <c r="G117" s="98">
        <v>4.8</v>
      </c>
      <c r="H117" s="71">
        <f t="shared" si="9"/>
        <v>2.4</v>
      </c>
      <c r="I117" s="71">
        <f t="shared" si="10"/>
        <v>29.800000000000004</v>
      </c>
      <c r="J117" s="45">
        <f t="shared" si="7"/>
        <v>1.75</v>
      </c>
      <c r="K117" s="45">
        <v>22</v>
      </c>
      <c r="L117" s="45">
        <f t="shared" si="11"/>
        <v>3.5</v>
      </c>
      <c r="M117" s="45">
        <f t="shared" si="12"/>
        <v>0.40000000000000568</v>
      </c>
      <c r="N117" s="8">
        <f t="shared" si="8"/>
        <v>5.6500000000000057</v>
      </c>
      <c r="O117" s="8">
        <v>3.75</v>
      </c>
      <c r="P117" s="8">
        <v>1.296</v>
      </c>
      <c r="Q117" s="8">
        <f>31*16</f>
        <v>496</v>
      </c>
      <c r="R117" s="40">
        <f t="shared" si="13"/>
        <v>13.619664000000013</v>
      </c>
    </row>
    <row r="118" spans="2:19" ht="15" customHeight="1" x14ac:dyDescent="0.25">
      <c r="B118" s="78" t="s">
        <v>40</v>
      </c>
      <c r="C118" s="79">
        <v>0</v>
      </c>
      <c r="E118" s="2" t="s">
        <v>20</v>
      </c>
      <c r="F118" s="41">
        <v>32.200000000000003</v>
      </c>
      <c r="G118" s="98">
        <v>4.8</v>
      </c>
      <c r="H118" s="71">
        <f t="shared" si="9"/>
        <v>2.4</v>
      </c>
      <c r="I118" s="71">
        <f t="shared" si="10"/>
        <v>29.800000000000004</v>
      </c>
      <c r="J118" s="45">
        <f t="shared" si="7"/>
        <v>1.75</v>
      </c>
      <c r="K118" s="45">
        <v>22</v>
      </c>
      <c r="L118" s="45">
        <f t="shared" si="11"/>
        <v>3.5</v>
      </c>
      <c r="M118" s="45">
        <f t="shared" si="12"/>
        <v>0.40000000000000568</v>
      </c>
      <c r="N118" s="8">
        <f t="shared" si="8"/>
        <v>5.6500000000000057</v>
      </c>
      <c r="O118" s="8">
        <v>3.75</v>
      </c>
      <c r="P118" s="8">
        <v>1.296</v>
      </c>
      <c r="Q118" s="8">
        <f>30*16</f>
        <v>480</v>
      </c>
      <c r="R118" s="40">
        <f t="shared" si="13"/>
        <v>13.180320000000014</v>
      </c>
    </row>
    <row r="119" spans="2:19" ht="16.5" customHeight="1" x14ac:dyDescent="0.25">
      <c r="B119" s="78" t="s">
        <v>41</v>
      </c>
      <c r="C119" s="79">
        <v>7</v>
      </c>
      <c r="E119" s="2" t="s">
        <v>21</v>
      </c>
      <c r="F119" s="41">
        <v>31.6</v>
      </c>
      <c r="G119" s="98">
        <v>4.4000000000000004</v>
      </c>
      <c r="H119" s="71">
        <f t="shared" si="9"/>
        <v>2.2000000000000002</v>
      </c>
      <c r="I119" s="71">
        <f t="shared" si="10"/>
        <v>29.400000000000002</v>
      </c>
      <c r="J119" s="45">
        <f t="shared" si="7"/>
        <v>1.75</v>
      </c>
      <c r="K119" s="45">
        <v>22</v>
      </c>
      <c r="L119" s="45">
        <f t="shared" si="11"/>
        <v>3.5</v>
      </c>
      <c r="M119" s="45">
        <f t="shared" si="12"/>
        <v>0</v>
      </c>
      <c r="N119" s="8">
        <f t="shared" si="8"/>
        <v>5.25</v>
      </c>
      <c r="O119" s="8">
        <v>3.75</v>
      </c>
      <c r="P119" s="8">
        <v>1.296</v>
      </c>
      <c r="Q119" s="8">
        <f>31*16</f>
        <v>496</v>
      </c>
      <c r="R119" s="40">
        <f t="shared" si="13"/>
        <v>12.65544</v>
      </c>
    </row>
    <row r="120" spans="2:19" ht="14.5" customHeight="1" x14ac:dyDescent="0.25">
      <c r="B120" s="78" t="s">
        <v>42</v>
      </c>
      <c r="C120" s="79">
        <v>7</v>
      </c>
      <c r="E120" s="2" t="s">
        <v>22</v>
      </c>
      <c r="F120" s="41">
        <v>30.6</v>
      </c>
      <c r="G120" s="98">
        <v>3.7</v>
      </c>
      <c r="H120" s="71">
        <f t="shared" si="9"/>
        <v>1.85</v>
      </c>
      <c r="I120" s="71">
        <f t="shared" si="10"/>
        <v>28.75</v>
      </c>
      <c r="J120" s="45">
        <f t="shared" si="7"/>
        <v>1.75</v>
      </c>
      <c r="K120" s="45">
        <v>22</v>
      </c>
      <c r="L120" s="45">
        <f t="shared" si="11"/>
        <v>3.5</v>
      </c>
      <c r="M120" s="45">
        <f t="shared" si="12"/>
        <v>-0.64999999999999858</v>
      </c>
      <c r="N120" s="8">
        <f t="shared" si="8"/>
        <v>4.6000000000000014</v>
      </c>
      <c r="O120" s="8">
        <v>3.75</v>
      </c>
      <c r="P120" s="8">
        <v>1.296</v>
      </c>
      <c r="Q120" s="8">
        <f>30*16</f>
        <v>480</v>
      </c>
      <c r="R120" s="40">
        <f t="shared" si="13"/>
        <v>10.730880000000004</v>
      </c>
    </row>
    <row r="121" spans="2:19" ht="14.5" customHeight="1" x14ac:dyDescent="0.25">
      <c r="B121" s="78" t="s">
        <v>43</v>
      </c>
      <c r="C121" s="79">
        <v>6</v>
      </c>
      <c r="E121" s="2" t="s">
        <v>23</v>
      </c>
      <c r="F121" s="41">
        <v>29.7</v>
      </c>
      <c r="G121" s="98">
        <v>3.1</v>
      </c>
      <c r="H121" s="71">
        <f t="shared" si="9"/>
        <v>1.55</v>
      </c>
      <c r="I121" s="71">
        <f t="shared" si="10"/>
        <v>28.15</v>
      </c>
      <c r="J121" s="45">
        <f t="shared" si="7"/>
        <v>1.75</v>
      </c>
      <c r="K121" s="45">
        <v>22</v>
      </c>
      <c r="L121" s="45">
        <f t="shared" si="11"/>
        <v>3.5</v>
      </c>
      <c r="M121" s="45">
        <f t="shared" si="12"/>
        <v>-1.25</v>
      </c>
      <c r="N121" s="8">
        <f t="shared" si="8"/>
        <v>4</v>
      </c>
      <c r="O121" s="8">
        <v>3.75</v>
      </c>
      <c r="P121" s="8">
        <v>1.296</v>
      </c>
      <c r="Q121" s="8">
        <f>31*16</f>
        <v>496</v>
      </c>
      <c r="R121" s="40">
        <f t="shared" si="13"/>
        <v>9.6422399999999993</v>
      </c>
    </row>
    <row r="122" spans="2:19" ht="14.5" customHeight="1" x14ac:dyDescent="0.25">
      <c r="B122" s="78" t="s">
        <v>44</v>
      </c>
      <c r="C122" s="79">
        <v>4</v>
      </c>
      <c r="E122" s="417" t="s">
        <v>58</v>
      </c>
      <c r="F122" s="418"/>
      <c r="G122" s="418"/>
      <c r="H122" s="418"/>
      <c r="I122" s="418"/>
      <c r="J122" s="418"/>
      <c r="K122" s="418"/>
      <c r="L122" s="418"/>
      <c r="M122" s="418"/>
      <c r="N122" s="418"/>
      <c r="O122" s="418"/>
      <c r="P122" s="418"/>
      <c r="Q122" s="419"/>
      <c r="R122" s="69">
        <f>SUM(R110:R121)</f>
        <v>140.78059200000007</v>
      </c>
      <c r="S122" s="105"/>
    </row>
    <row r="123" spans="2:19" ht="14.5" customHeight="1" x14ac:dyDescent="0.25">
      <c r="B123" s="78" t="s">
        <v>45</v>
      </c>
      <c r="C123" s="79">
        <v>3</v>
      </c>
      <c r="E123" s="394" t="s">
        <v>131</v>
      </c>
      <c r="F123" s="395"/>
      <c r="G123" s="395"/>
      <c r="H123" s="395"/>
      <c r="I123" s="395"/>
      <c r="J123" s="395"/>
      <c r="K123" s="395"/>
      <c r="L123" s="395"/>
      <c r="M123" s="395"/>
      <c r="N123" s="395"/>
      <c r="O123" s="395"/>
      <c r="P123" s="395"/>
      <c r="Q123" s="395"/>
      <c r="R123" s="396"/>
      <c r="S123" s="106"/>
    </row>
    <row r="124" spans="2:19" ht="14" x14ac:dyDescent="0.25">
      <c r="B124" s="78" t="s">
        <v>46</v>
      </c>
      <c r="C124" s="79">
        <v>2</v>
      </c>
      <c r="E124" s="2" t="s">
        <v>15</v>
      </c>
      <c r="F124" s="71">
        <v>29.1</v>
      </c>
      <c r="G124" s="71">
        <v>2.9</v>
      </c>
      <c r="H124" s="71">
        <f>G124/2</f>
        <v>1.45</v>
      </c>
      <c r="I124" s="71">
        <f>F124-H124</f>
        <v>27.650000000000002</v>
      </c>
      <c r="J124" s="59">
        <f t="shared" ref="J124:J135" si="14">C$126</f>
        <v>1.75</v>
      </c>
      <c r="K124" s="45">
        <v>23</v>
      </c>
      <c r="L124" s="45">
        <f>25.5-K124</f>
        <v>2.5</v>
      </c>
      <c r="M124" s="45">
        <f>I124-29.4</f>
        <v>-1.7499999999999964</v>
      </c>
      <c r="N124" s="8">
        <f t="shared" ref="N124:N135" si="15">J124+L124+M124</f>
        <v>2.5000000000000036</v>
      </c>
      <c r="O124" s="8">
        <v>3.75</v>
      </c>
      <c r="P124" s="8">
        <v>1.296</v>
      </c>
      <c r="Q124" s="8">
        <f>31*16</f>
        <v>496</v>
      </c>
      <c r="R124" s="40">
        <f>(N124*O124*P124*Q124)/1000</f>
        <v>6.0264000000000086</v>
      </c>
    </row>
    <row r="125" spans="2:19" ht="14" x14ac:dyDescent="0.25">
      <c r="B125" s="78" t="s">
        <v>71</v>
      </c>
      <c r="C125" s="79">
        <v>2</v>
      </c>
      <c r="E125" s="2" t="s">
        <v>16</v>
      </c>
      <c r="F125" s="71">
        <v>29.5</v>
      </c>
      <c r="G125" s="71">
        <v>3.3</v>
      </c>
      <c r="H125" s="71">
        <f t="shared" ref="H125:H135" si="16">G125/2</f>
        <v>1.65</v>
      </c>
      <c r="I125" s="71">
        <f t="shared" ref="I125:I135" si="17">F125-H125</f>
        <v>27.85</v>
      </c>
      <c r="J125" s="45">
        <f t="shared" si="14"/>
        <v>1.75</v>
      </c>
      <c r="K125" s="45">
        <v>23</v>
      </c>
      <c r="L125" s="45">
        <f t="shared" ref="L125:L135" si="18">25.5-K125</f>
        <v>2.5</v>
      </c>
      <c r="M125" s="45">
        <f t="shared" ref="M125:M135" si="19">I125-29.4</f>
        <v>-1.5499999999999972</v>
      </c>
      <c r="N125" s="8">
        <f t="shared" si="15"/>
        <v>2.7000000000000028</v>
      </c>
      <c r="O125" s="8">
        <v>3.75</v>
      </c>
      <c r="P125" s="8">
        <v>1.296</v>
      </c>
      <c r="Q125" s="8">
        <f>28*16</f>
        <v>448</v>
      </c>
      <c r="R125" s="40">
        <f t="shared" ref="R125:R135" si="20">(N125*O125*P125*Q125)/1000</f>
        <v>5.8786560000000065</v>
      </c>
    </row>
    <row r="126" spans="2:19" ht="16" thickBot="1" x14ac:dyDescent="0.3">
      <c r="B126" s="80" t="s">
        <v>77</v>
      </c>
      <c r="C126" s="81">
        <f>AVERAGE(C110:C125)</f>
        <v>1.75</v>
      </c>
      <c r="E126" s="2" t="s">
        <v>17</v>
      </c>
      <c r="F126" s="71">
        <v>30.6</v>
      </c>
      <c r="G126" s="71">
        <v>3.8</v>
      </c>
      <c r="H126" s="71">
        <f t="shared" si="16"/>
        <v>1.9</v>
      </c>
      <c r="I126" s="71">
        <f t="shared" si="17"/>
        <v>28.700000000000003</v>
      </c>
      <c r="J126" s="45">
        <f t="shared" si="14"/>
        <v>1.75</v>
      </c>
      <c r="K126" s="45">
        <v>23</v>
      </c>
      <c r="L126" s="45">
        <f t="shared" si="18"/>
        <v>2.5</v>
      </c>
      <c r="M126" s="45">
        <f t="shared" si="19"/>
        <v>-0.69999999999999574</v>
      </c>
      <c r="N126" s="8">
        <f t="shared" si="15"/>
        <v>3.5500000000000043</v>
      </c>
      <c r="O126" s="8">
        <v>3.75</v>
      </c>
      <c r="P126" s="8">
        <v>1.296</v>
      </c>
      <c r="Q126" s="8">
        <f>31*16</f>
        <v>496</v>
      </c>
      <c r="R126" s="40">
        <f t="shared" si="20"/>
        <v>8.55748800000001</v>
      </c>
    </row>
    <row r="127" spans="2:19" ht="14" x14ac:dyDescent="0.25">
      <c r="E127" s="2" t="s">
        <v>18</v>
      </c>
      <c r="F127" s="71">
        <v>31.3</v>
      </c>
      <c r="G127" s="71">
        <v>4.0999999999999996</v>
      </c>
      <c r="H127" s="71">
        <f t="shared" si="16"/>
        <v>2.0499999999999998</v>
      </c>
      <c r="I127" s="71">
        <f t="shared" si="17"/>
        <v>29.25</v>
      </c>
      <c r="J127" s="45">
        <f t="shared" si="14"/>
        <v>1.75</v>
      </c>
      <c r="K127" s="45">
        <v>23</v>
      </c>
      <c r="L127" s="45">
        <f t="shared" si="18"/>
        <v>2.5</v>
      </c>
      <c r="M127" s="45">
        <f t="shared" si="19"/>
        <v>-0.14999999999999858</v>
      </c>
      <c r="N127" s="8">
        <f t="shared" si="15"/>
        <v>4.1000000000000014</v>
      </c>
      <c r="O127" s="8">
        <v>3.75</v>
      </c>
      <c r="P127" s="8">
        <v>1.296</v>
      </c>
      <c r="Q127" s="8">
        <f>30*16</f>
        <v>480</v>
      </c>
      <c r="R127" s="40">
        <f t="shared" si="20"/>
        <v>9.564480000000005</v>
      </c>
    </row>
    <row r="128" spans="2:19" ht="14" x14ac:dyDescent="0.25">
      <c r="E128" s="2" t="s">
        <v>12</v>
      </c>
      <c r="F128" s="71">
        <v>32.700000000000003</v>
      </c>
      <c r="G128" s="71">
        <v>4.8</v>
      </c>
      <c r="H128" s="71">
        <f t="shared" si="16"/>
        <v>2.4</v>
      </c>
      <c r="I128" s="71">
        <f t="shared" si="17"/>
        <v>30.300000000000004</v>
      </c>
      <c r="J128" s="45">
        <f t="shared" si="14"/>
        <v>1.75</v>
      </c>
      <c r="K128" s="45">
        <v>23</v>
      </c>
      <c r="L128" s="45">
        <f t="shared" si="18"/>
        <v>2.5</v>
      </c>
      <c r="M128" s="45">
        <f t="shared" si="19"/>
        <v>0.90000000000000568</v>
      </c>
      <c r="N128" s="8">
        <f t="shared" si="15"/>
        <v>5.1500000000000057</v>
      </c>
      <c r="O128" s="8">
        <v>3.75</v>
      </c>
      <c r="P128" s="8">
        <v>1.296</v>
      </c>
      <c r="Q128" s="8">
        <f>31*16</f>
        <v>496</v>
      </c>
      <c r="R128" s="40">
        <f t="shared" si="20"/>
        <v>12.414384000000014</v>
      </c>
    </row>
    <row r="129" spans="5:19" ht="14" x14ac:dyDescent="0.25">
      <c r="E129" s="2" t="s">
        <v>13</v>
      </c>
      <c r="F129" s="71">
        <v>32.6</v>
      </c>
      <c r="G129" s="71">
        <v>4.8</v>
      </c>
      <c r="H129" s="71">
        <f t="shared" si="16"/>
        <v>2.4</v>
      </c>
      <c r="I129" s="71">
        <f t="shared" si="17"/>
        <v>30.200000000000003</v>
      </c>
      <c r="J129" s="45">
        <f t="shared" si="14"/>
        <v>1.75</v>
      </c>
      <c r="K129" s="45">
        <v>23</v>
      </c>
      <c r="L129" s="45">
        <f t="shared" si="18"/>
        <v>2.5</v>
      </c>
      <c r="M129" s="45">
        <f t="shared" si="19"/>
        <v>0.80000000000000426</v>
      </c>
      <c r="N129" s="8">
        <f t="shared" si="15"/>
        <v>5.0500000000000043</v>
      </c>
      <c r="O129" s="8">
        <v>3.75</v>
      </c>
      <c r="P129" s="8">
        <v>1.296</v>
      </c>
      <c r="Q129" s="8">
        <f>30*16</f>
        <v>480</v>
      </c>
      <c r="R129" s="40">
        <f t="shared" si="20"/>
        <v>11.780640000000011</v>
      </c>
    </row>
    <row r="130" spans="5:19" ht="14" x14ac:dyDescent="0.25">
      <c r="E130" s="2" t="s">
        <v>24</v>
      </c>
      <c r="F130" s="41">
        <v>31.7</v>
      </c>
      <c r="G130" s="98">
        <v>4.5999999999999996</v>
      </c>
      <c r="H130" s="71">
        <f t="shared" si="16"/>
        <v>2.2999999999999998</v>
      </c>
      <c r="I130" s="71">
        <f t="shared" si="17"/>
        <v>29.4</v>
      </c>
      <c r="J130" s="45">
        <f t="shared" si="14"/>
        <v>1.75</v>
      </c>
      <c r="K130" s="45">
        <v>23</v>
      </c>
      <c r="L130" s="45">
        <f t="shared" si="18"/>
        <v>2.5</v>
      </c>
      <c r="M130" s="45">
        <f t="shared" si="19"/>
        <v>0</v>
      </c>
      <c r="N130" s="8">
        <f t="shared" si="15"/>
        <v>4.25</v>
      </c>
      <c r="O130" s="8">
        <v>3.75</v>
      </c>
      <c r="P130" s="8">
        <v>1.296</v>
      </c>
      <c r="Q130" s="8">
        <f>31*16</f>
        <v>496</v>
      </c>
      <c r="R130" s="40">
        <f t="shared" si="20"/>
        <v>10.24488</v>
      </c>
    </row>
    <row r="131" spans="5:19" ht="14" x14ac:dyDescent="0.25">
      <c r="E131" s="2" t="s">
        <v>19</v>
      </c>
      <c r="F131" s="41">
        <v>32.200000000000003</v>
      </c>
      <c r="G131" s="98">
        <v>4.8</v>
      </c>
      <c r="H131" s="71">
        <f t="shared" si="16"/>
        <v>2.4</v>
      </c>
      <c r="I131" s="71">
        <f t="shared" si="17"/>
        <v>29.800000000000004</v>
      </c>
      <c r="J131" s="45">
        <f t="shared" si="14"/>
        <v>1.75</v>
      </c>
      <c r="K131" s="45">
        <v>23</v>
      </c>
      <c r="L131" s="45">
        <f t="shared" si="18"/>
        <v>2.5</v>
      </c>
      <c r="M131" s="45">
        <f t="shared" si="19"/>
        <v>0.40000000000000568</v>
      </c>
      <c r="N131" s="8">
        <f t="shared" si="15"/>
        <v>4.6500000000000057</v>
      </c>
      <c r="O131" s="8">
        <v>3.75</v>
      </c>
      <c r="P131" s="8">
        <v>1.296</v>
      </c>
      <c r="Q131" s="8">
        <f>31*16</f>
        <v>496</v>
      </c>
      <c r="R131" s="40">
        <f t="shared" si="20"/>
        <v>11.209104000000014</v>
      </c>
    </row>
    <row r="132" spans="5:19" ht="14" x14ac:dyDescent="0.25">
      <c r="E132" s="2" t="s">
        <v>20</v>
      </c>
      <c r="F132" s="41">
        <v>32.200000000000003</v>
      </c>
      <c r="G132" s="98">
        <v>4.8</v>
      </c>
      <c r="H132" s="71">
        <f t="shared" si="16"/>
        <v>2.4</v>
      </c>
      <c r="I132" s="71">
        <f t="shared" si="17"/>
        <v>29.800000000000004</v>
      </c>
      <c r="J132" s="45">
        <f t="shared" si="14"/>
        <v>1.75</v>
      </c>
      <c r="K132" s="45">
        <v>23</v>
      </c>
      <c r="L132" s="45">
        <f t="shared" si="18"/>
        <v>2.5</v>
      </c>
      <c r="M132" s="45">
        <f t="shared" si="19"/>
        <v>0.40000000000000568</v>
      </c>
      <c r="N132" s="8">
        <f t="shared" si="15"/>
        <v>4.6500000000000057</v>
      </c>
      <c r="O132" s="8">
        <v>3.75</v>
      </c>
      <c r="P132" s="8">
        <v>1.296</v>
      </c>
      <c r="Q132" s="8">
        <f>30*16</f>
        <v>480</v>
      </c>
      <c r="R132" s="40">
        <f t="shared" si="20"/>
        <v>10.847520000000014</v>
      </c>
    </row>
    <row r="133" spans="5:19" ht="14" x14ac:dyDescent="0.25">
      <c r="E133" s="2" t="s">
        <v>21</v>
      </c>
      <c r="F133" s="41">
        <v>31.6</v>
      </c>
      <c r="G133" s="98">
        <v>4.4000000000000004</v>
      </c>
      <c r="H133" s="71">
        <f t="shared" si="16"/>
        <v>2.2000000000000002</v>
      </c>
      <c r="I133" s="71">
        <f t="shared" si="17"/>
        <v>29.400000000000002</v>
      </c>
      <c r="J133" s="45">
        <f t="shared" si="14"/>
        <v>1.75</v>
      </c>
      <c r="K133" s="45">
        <v>23</v>
      </c>
      <c r="L133" s="45">
        <f t="shared" si="18"/>
        <v>2.5</v>
      </c>
      <c r="M133" s="45">
        <f t="shared" si="19"/>
        <v>0</v>
      </c>
      <c r="N133" s="8">
        <f t="shared" si="15"/>
        <v>4.25</v>
      </c>
      <c r="O133" s="8">
        <v>3.75</v>
      </c>
      <c r="P133" s="8">
        <v>1.296</v>
      </c>
      <c r="Q133" s="8">
        <f>31*16</f>
        <v>496</v>
      </c>
      <c r="R133" s="40">
        <f t="shared" si="20"/>
        <v>10.24488</v>
      </c>
    </row>
    <row r="134" spans="5:19" ht="14" x14ac:dyDescent="0.25">
      <c r="E134" s="2" t="s">
        <v>22</v>
      </c>
      <c r="F134" s="41">
        <v>30.6</v>
      </c>
      <c r="G134" s="98">
        <v>3.7</v>
      </c>
      <c r="H134" s="71">
        <f t="shared" si="16"/>
        <v>1.85</v>
      </c>
      <c r="I134" s="71">
        <f t="shared" si="17"/>
        <v>28.75</v>
      </c>
      <c r="J134" s="45">
        <f t="shared" si="14"/>
        <v>1.75</v>
      </c>
      <c r="K134" s="45">
        <v>23</v>
      </c>
      <c r="L134" s="45">
        <f t="shared" si="18"/>
        <v>2.5</v>
      </c>
      <c r="M134" s="45">
        <f t="shared" si="19"/>
        <v>-0.64999999999999858</v>
      </c>
      <c r="N134" s="8">
        <f t="shared" si="15"/>
        <v>3.6000000000000014</v>
      </c>
      <c r="O134" s="8">
        <v>3.75</v>
      </c>
      <c r="P134" s="8">
        <v>1.296</v>
      </c>
      <c r="Q134" s="8">
        <f>30*16</f>
        <v>480</v>
      </c>
      <c r="R134" s="40">
        <f t="shared" si="20"/>
        <v>8.3980800000000038</v>
      </c>
    </row>
    <row r="135" spans="5:19" ht="14" x14ac:dyDescent="0.25">
      <c r="E135" s="2" t="s">
        <v>23</v>
      </c>
      <c r="F135" s="41">
        <v>29.7</v>
      </c>
      <c r="G135" s="98">
        <v>3.1</v>
      </c>
      <c r="H135" s="71">
        <f t="shared" si="16"/>
        <v>1.55</v>
      </c>
      <c r="I135" s="71">
        <f t="shared" si="17"/>
        <v>28.15</v>
      </c>
      <c r="J135" s="45">
        <f t="shared" si="14"/>
        <v>1.75</v>
      </c>
      <c r="K135" s="45">
        <v>23</v>
      </c>
      <c r="L135" s="45">
        <f t="shared" si="18"/>
        <v>2.5</v>
      </c>
      <c r="M135" s="45">
        <f t="shared" si="19"/>
        <v>-1.25</v>
      </c>
      <c r="N135" s="8">
        <f t="shared" si="15"/>
        <v>3</v>
      </c>
      <c r="O135" s="8">
        <v>3.75</v>
      </c>
      <c r="P135" s="8">
        <v>1.296</v>
      </c>
      <c r="Q135" s="8">
        <f>31*16</f>
        <v>496</v>
      </c>
      <c r="R135" s="40">
        <f t="shared" si="20"/>
        <v>7.2316799999999999</v>
      </c>
    </row>
    <row r="136" spans="5:19" ht="15" x14ac:dyDescent="0.25">
      <c r="E136" s="417" t="s">
        <v>58</v>
      </c>
      <c r="F136" s="418"/>
      <c r="G136" s="418"/>
      <c r="H136" s="418"/>
      <c r="I136" s="418"/>
      <c r="J136" s="418"/>
      <c r="K136" s="418"/>
      <c r="L136" s="418"/>
      <c r="M136" s="418"/>
      <c r="N136" s="418"/>
      <c r="O136" s="418"/>
      <c r="P136" s="418"/>
      <c r="Q136" s="418"/>
      <c r="R136" s="107">
        <f>SUM(R124:R135)</f>
        <v>112.39819200000008</v>
      </c>
      <c r="S136" s="105"/>
    </row>
    <row r="137" spans="5:19" ht="15" x14ac:dyDescent="0.4">
      <c r="E137" s="413" t="s">
        <v>72</v>
      </c>
      <c r="F137" s="414"/>
      <c r="G137" s="414"/>
      <c r="H137" s="414"/>
      <c r="I137" s="414"/>
      <c r="J137" s="414"/>
      <c r="K137" s="414"/>
      <c r="L137" s="414"/>
      <c r="M137" s="414"/>
      <c r="N137" s="414"/>
      <c r="O137" s="414"/>
      <c r="P137" s="414"/>
      <c r="Q137" s="414"/>
      <c r="R137" s="414"/>
      <c r="S137" s="104"/>
    </row>
    <row r="138" spans="5:19" ht="14" x14ac:dyDescent="0.25">
      <c r="E138" s="2" t="s">
        <v>15</v>
      </c>
      <c r="F138" s="71">
        <v>29.1</v>
      </c>
      <c r="G138" s="71">
        <v>2.9</v>
      </c>
      <c r="H138" s="71">
        <f>G138/2</f>
        <v>1.45</v>
      </c>
      <c r="I138" s="71">
        <f>F138-H138</f>
        <v>27.650000000000002</v>
      </c>
      <c r="J138" s="45">
        <f t="shared" ref="J138:J149" si="21">C$126</f>
        <v>1.75</v>
      </c>
      <c r="K138" s="45">
        <v>24</v>
      </c>
      <c r="L138" s="72">
        <f>25.5-K138</f>
        <v>1.5</v>
      </c>
      <c r="M138" s="72">
        <f>I138-29.4</f>
        <v>-1.7499999999999964</v>
      </c>
      <c r="N138" s="8">
        <f t="shared" ref="N138:N149" si="22">J138+L138+M138</f>
        <v>1.5000000000000036</v>
      </c>
      <c r="O138" s="8">
        <v>3.75</v>
      </c>
      <c r="P138" s="8">
        <v>1.296</v>
      </c>
      <c r="Q138" s="8">
        <f>31*16</f>
        <v>496</v>
      </c>
      <c r="R138" s="40">
        <f>(N138*O138*P138*Q138)/1000</f>
        <v>3.6158400000000088</v>
      </c>
    </row>
    <row r="139" spans="5:19" ht="14" x14ac:dyDescent="0.25">
      <c r="E139" s="2" t="s">
        <v>16</v>
      </c>
      <c r="F139" s="71">
        <v>29.5</v>
      </c>
      <c r="G139" s="71">
        <v>3.3</v>
      </c>
      <c r="H139" s="71">
        <f t="shared" ref="H139:H149" si="23">G139/2</f>
        <v>1.65</v>
      </c>
      <c r="I139" s="71">
        <f t="shared" ref="I139:I149" si="24">F139-H139</f>
        <v>27.85</v>
      </c>
      <c r="J139" s="45">
        <f t="shared" si="21"/>
        <v>1.75</v>
      </c>
      <c r="K139" s="45">
        <v>24</v>
      </c>
      <c r="L139" s="72">
        <f t="shared" ref="L139:L149" si="25">25.5-K139</f>
        <v>1.5</v>
      </c>
      <c r="M139" s="72">
        <f t="shared" ref="M139:M149" si="26">I139-29.4</f>
        <v>-1.5499999999999972</v>
      </c>
      <c r="N139" s="8">
        <f t="shared" si="22"/>
        <v>1.7000000000000028</v>
      </c>
      <c r="O139" s="8">
        <v>3.75</v>
      </c>
      <c r="P139" s="8">
        <v>1.296</v>
      </c>
      <c r="Q139" s="8">
        <f>28*16</f>
        <v>448</v>
      </c>
      <c r="R139" s="40">
        <f t="shared" ref="R139:R149" si="27">(N139*O139*P139*Q139)/1000</f>
        <v>3.7013760000000064</v>
      </c>
    </row>
    <row r="140" spans="5:19" ht="14" x14ac:dyDescent="0.25">
      <c r="E140" s="2" t="s">
        <v>17</v>
      </c>
      <c r="F140" s="71">
        <v>30.6</v>
      </c>
      <c r="G140" s="71">
        <v>3.8</v>
      </c>
      <c r="H140" s="71">
        <f t="shared" si="23"/>
        <v>1.9</v>
      </c>
      <c r="I140" s="71">
        <f t="shared" si="24"/>
        <v>28.700000000000003</v>
      </c>
      <c r="J140" s="45">
        <f t="shared" si="21"/>
        <v>1.75</v>
      </c>
      <c r="K140" s="45">
        <v>24</v>
      </c>
      <c r="L140" s="72">
        <f t="shared" si="25"/>
        <v>1.5</v>
      </c>
      <c r="M140" s="72">
        <f t="shared" si="26"/>
        <v>-0.69999999999999574</v>
      </c>
      <c r="N140" s="8">
        <f t="shared" si="22"/>
        <v>2.5500000000000043</v>
      </c>
      <c r="O140" s="8">
        <v>3.75</v>
      </c>
      <c r="P140" s="8">
        <v>1.296</v>
      </c>
      <c r="Q140" s="8">
        <f>31*16</f>
        <v>496</v>
      </c>
      <c r="R140" s="40">
        <f t="shared" si="27"/>
        <v>6.1469280000000106</v>
      </c>
    </row>
    <row r="141" spans="5:19" ht="14" x14ac:dyDescent="0.25">
      <c r="E141" s="2" t="s">
        <v>18</v>
      </c>
      <c r="F141" s="71">
        <v>31.3</v>
      </c>
      <c r="G141" s="71">
        <v>4.0999999999999996</v>
      </c>
      <c r="H141" s="71">
        <f t="shared" si="23"/>
        <v>2.0499999999999998</v>
      </c>
      <c r="I141" s="71">
        <f t="shared" si="24"/>
        <v>29.25</v>
      </c>
      <c r="J141" s="45">
        <f t="shared" si="21"/>
        <v>1.75</v>
      </c>
      <c r="K141" s="45">
        <v>24</v>
      </c>
      <c r="L141" s="72">
        <f t="shared" si="25"/>
        <v>1.5</v>
      </c>
      <c r="M141" s="72">
        <f t="shared" si="26"/>
        <v>-0.14999999999999858</v>
      </c>
      <c r="N141" s="8">
        <f t="shared" si="22"/>
        <v>3.1000000000000014</v>
      </c>
      <c r="O141" s="8">
        <v>3.75</v>
      </c>
      <c r="P141" s="8">
        <v>1.296</v>
      </c>
      <c r="Q141" s="8">
        <f>30*16</f>
        <v>480</v>
      </c>
      <c r="R141" s="40">
        <f t="shared" si="27"/>
        <v>7.2316800000000043</v>
      </c>
    </row>
    <row r="142" spans="5:19" ht="14" x14ac:dyDescent="0.25">
      <c r="E142" s="2" t="s">
        <v>12</v>
      </c>
      <c r="F142" s="71">
        <v>32.700000000000003</v>
      </c>
      <c r="G142" s="71">
        <v>4.8</v>
      </c>
      <c r="H142" s="71">
        <f t="shared" si="23"/>
        <v>2.4</v>
      </c>
      <c r="I142" s="71">
        <f t="shared" si="24"/>
        <v>30.300000000000004</v>
      </c>
      <c r="J142" s="45">
        <f t="shared" si="21"/>
        <v>1.75</v>
      </c>
      <c r="K142" s="45">
        <v>24</v>
      </c>
      <c r="L142" s="72">
        <f t="shared" si="25"/>
        <v>1.5</v>
      </c>
      <c r="M142" s="72">
        <f t="shared" si="26"/>
        <v>0.90000000000000568</v>
      </c>
      <c r="N142" s="8">
        <f t="shared" si="22"/>
        <v>4.1500000000000057</v>
      </c>
      <c r="O142" s="8">
        <v>3.75</v>
      </c>
      <c r="P142" s="8">
        <v>1.296</v>
      </c>
      <c r="Q142" s="8">
        <f>31*16</f>
        <v>496</v>
      </c>
      <c r="R142" s="40">
        <f t="shared" si="27"/>
        <v>10.003824000000016</v>
      </c>
    </row>
    <row r="143" spans="5:19" ht="14" x14ac:dyDescent="0.25">
      <c r="E143" s="2" t="s">
        <v>13</v>
      </c>
      <c r="F143" s="71">
        <v>32.6</v>
      </c>
      <c r="G143" s="71">
        <v>4.8</v>
      </c>
      <c r="H143" s="71">
        <f t="shared" si="23"/>
        <v>2.4</v>
      </c>
      <c r="I143" s="71">
        <f t="shared" si="24"/>
        <v>30.200000000000003</v>
      </c>
      <c r="J143" s="45">
        <f t="shared" si="21"/>
        <v>1.75</v>
      </c>
      <c r="K143" s="45">
        <v>24</v>
      </c>
      <c r="L143" s="72">
        <f t="shared" si="25"/>
        <v>1.5</v>
      </c>
      <c r="M143" s="72">
        <f t="shared" si="26"/>
        <v>0.80000000000000426</v>
      </c>
      <c r="N143" s="8">
        <f t="shared" si="22"/>
        <v>4.0500000000000043</v>
      </c>
      <c r="O143" s="8">
        <v>3.75</v>
      </c>
      <c r="P143" s="8">
        <v>1.296</v>
      </c>
      <c r="Q143" s="8">
        <f>30*16</f>
        <v>480</v>
      </c>
      <c r="R143" s="40">
        <f t="shared" si="27"/>
        <v>9.4478400000000118</v>
      </c>
    </row>
    <row r="144" spans="5:19" ht="14" x14ac:dyDescent="0.25">
      <c r="E144" s="2" t="s">
        <v>24</v>
      </c>
      <c r="F144" s="41">
        <v>31.7</v>
      </c>
      <c r="G144" s="98">
        <v>4.5999999999999996</v>
      </c>
      <c r="H144" s="71">
        <f t="shared" si="23"/>
        <v>2.2999999999999998</v>
      </c>
      <c r="I144" s="71">
        <f t="shared" si="24"/>
        <v>29.4</v>
      </c>
      <c r="J144" s="45">
        <f t="shared" si="21"/>
        <v>1.75</v>
      </c>
      <c r="K144" s="45">
        <v>24</v>
      </c>
      <c r="L144" s="72">
        <f t="shared" si="25"/>
        <v>1.5</v>
      </c>
      <c r="M144" s="72">
        <f t="shared" si="26"/>
        <v>0</v>
      </c>
      <c r="N144" s="8">
        <f t="shared" si="22"/>
        <v>3.25</v>
      </c>
      <c r="O144" s="8">
        <v>3.75</v>
      </c>
      <c r="P144" s="8">
        <v>1.296</v>
      </c>
      <c r="Q144" s="8">
        <f>31*16</f>
        <v>496</v>
      </c>
      <c r="R144" s="40">
        <f t="shared" si="27"/>
        <v>7.83432</v>
      </c>
    </row>
    <row r="145" spans="5:19" ht="14" x14ac:dyDescent="0.25">
      <c r="E145" s="2" t="s">
        <v>19</v>
      </c>
      <c r="F145" s="41">
        <v>32.200000000000003</v>
      </c>
      <c r="G145" s="98">
        <v>4.8</v>
      </c>
      <c r="H145" s="71">
        <f t="shared" si="23"/>
        <v>2.4</v>
      </c>
      <c r="I145" s="71">
        <f t="shared" si="24"/>
        <v>29.800000000000004</v>
      </c>
      <c r="J145" s="45">
        <f t="shared" si="21"/>
        <v>1.75</v>
      </c>
      <c r="K145" s="45">
        <v>24</v>
      </c>
      <c r="L145" s="72">
        <f t="shared" si="25"/>
        <v>1.5</v>
      </c>
      <c r="M145" s="72">
        <f t="shared" si="26"/>
        <v>0.40000000000000568</v>
      </c>
      <c r="N145" s="8">
        <f t="shared" si="22"/>
        <v>3.6500000000000057</v>
      </c>
      <c r="O145" s="8">
        <v>3.75</v>
      </c>
      <c r="P145" s="8">
        <v>1.296</v>
      </c>
      <c r="Q145" s="8">
        <f>31*16</f>
        <v>496</v>
      </c>
      <c r="R145" s="40">
        <f t="shared" si="27"/>
        <v>8.7985440000000139</v>
      </c>
    </row>
    <row r="146" spans="5:19" ht="14" x14ac:dyDescent="0.25">
      <c r="E146" s="2" t="s">
        <v>20</v>
      </c>
      <c r="F146" s="41">
        <v>32.200000000000003</v>
      </c>
      <c r="G146" s="98">
        <v>4.8</v>
      </c>
      <c r="H146" s="71">
        <f t="shared" si="23"/>
        <v>2.4</v>
      </c>
      <c r="I146" s="71">
        <f t="shared" si="24"/>
        <v>29.800000000000004</v>
      </c>
      <c r="J146" s="45">
        <f t="shared" si="21"/>
        <v>1.75</v>
      </c>
      <c r="K146" s="45">
        <v>24</v>
      </c>
      <c r="L146" s="72">
        <f t="shared" si="25"/>
        <v>1.5</v>
      </c>
      <c r="M146" s="72">
        <f t="shared" si="26"/>
        <v>0.40000000000000568</v>
      </c>
      <c r="N146" s="8">
        <f t="shared" si="22"/>
        <v>3.6500000000000057</v>
      </c>
      <c r="O146" s="8">
        <v>3.75</v>
      </c>
      <c r="P146" s="8">
        <v>1.296</v>
      </c>
      <c r="Q146" s="8">
        <f>30*16</f>
        <v>480</v>
      </c>
      <c r="R146" s="40">
        <f t="shared" si="27"/>
        <v>8.5147200000000147</v>
      </c>
    </row>
    <row r="147" spans="5:19" ht="14" x14ac:dyDescent="0.25">
      <c r="E147" s="2" t="s">
        <v>21</v>
      </c>
      <c r="F147" s="41">
        <v>31.6</v>
      </c>
      <c r="G147" s="98">
        <v>4.4000000000000004</v>
      </c>
      <c r="H147" s="71">
        <f t="shared" si="23"/>
        <v>2.2000000000000002</v>
      </c>
      <c r="I147" s="71">
        <f t="shared" si="24"/>
        <v>29.400000000000002</v>
      </c>
      <c r="J147" s="45">
        <f t="shared" si="21"/>
        <v>1.75</v>
      </c>
      <c r="K147" s="45">
        <v>24</v>
      </c>
      <c r="L147" s="72">
        <f t="shared" si="25"/>
        <v>1.5</v>
      </c>
      <c r="M147" s="72">
        <f t="shared" si="26"/>
        <v>0</v>
      </c>
      <c r="N147" s="8">
        <f t="shared" si="22"/>
        <v>3.25</v>
      </c>
      <c r="O147" s="8">
        <v>3.75</v>
      </c>
      <c r="P147" s="8">
        <v>1.296</v>
      </c>
      <c r="Q147" s="8">
        <f>31*16</f>
        <v>496</v>
      </c>
      <c r="R147" s="40">
        <f t="shared" si="27"/>
        <v>7.83432</v>
      </c>
    </row>
    <row r="148" spans="5:19" ht="14" x14ac:dyDescent="0.25">
      <c r="E148" s="2" t="s">
        <v>22</v>
      </c>
      <c r="F148" s="41">
        <v>30.6</v>
      </c>
      <c r="G148" s="98">
        <v>3.7</v>
      </c>
      <c r="H148" s="71">
        <f t="shared" si="23"/>
        <v>1.85</v>
      </c>
      <c r="I148" s="71">
        <f t="shared" si="24"/>
        <v>28.75</v>
      </c>
      <c r="J148" s="45">
        <f t="shared" si="21"/>
        <v>1.75</v>
      </c>
      <c r="K148" s="45">
        <v>24</v>
      </c>
      <c r="L148" s="72">
        <f t="shared" si="25"/>
        <v>1.5</v>
      </c>
      <c r="M148" s="72">
        <f t="shared" si="26"/>
        <v>-0.64999999999999858</v>
      </c>
      <c r="N148" s="8">
        <f t="shared" si="22"/>
        <v>2.6000000000000014</v>
      </c>
      <c r="O148" s="8">
        <v>3.75</v>
      </c>
      <c r="P148" s="8">
        <v>1.296</v>
      </c>
      <c r="Q148" s="8">
        <f>30*16</f>
        <v>480</v>
      </c>
      <c r="R148" s="40">
        <f t="shared" si="27"/>
        <v>6.065280000000004</v>
      </c>
    </row>
    <row r="149" spans="5:19" ht="14" x14ac:dyDescent="0.25">
      <c r="E149" s="2" t="s">
        <v>23</v>
      </c>
      <c r="F149" s="41">
        <v>29.7</v>
      </c>
      <c r="G149" s="98">
        <v>3.1</v>
      </c>
      <c r="H149" s="71">
        <f t="shared" si="23"/>
        <v>1.55</v>
      </c>
      <c r="I149" s="71">
        <f t="shared" si="24"/>
        <v>28.15</v>
      </c>
      <c r="J149" s="45">
        <f t="shared" si="21"/>
        <v>1.75</v>
      </c>
      <c r="K149" s="45">
        <v>24</v>
      </c>
      <c r="L149" s="72">
        <f t="shared" si="25"/>
        <v>1.5</v>
      </c>
      <c r="M149" s="72">
        <f t="shared" si="26"/>
        <v>-1.25</v>
      </c>
      <c r="N149" s="8">
        <f t="shared" si="22"/>
        <v>2</v>
      </c>
      <c r="O149" s="8">
        <v>3.75</v>
      </c>
      <c r="P149" s="8">
        <v>1.296</v>
      </c>
      <c r="Q149" s="8">
        <f>31*16</f>
        <v>496</v>
      </c>
      <c r="R149" s="108">
        <f t="shared" si="27"/>
        <v>4.8211199999999996</v>
      </c>
      <c r="S149" s="109"/>
    </row>
    <row r="150" spans="5:19" ht="15" x14ac:dyDescent="0.25">
      <c r="E150" s="417" t="s">
        <v>60</v>
      </c>
      <c r="F150" s="418"/>
      <c r="G150" s="418"/>
      <c r="H150" s="418"/>
      <c r="I150" s="418"/>
      <c r="J150" s="418"/>
      <c r="K150" s="418"/>
      <c r="L150" s="418"/>
      <c r="M150" s="418"/>
      <c r="N150" s="418"/>
      <c r="O150" s="418"/>
      <c r="P150" s="418"/>
      <c r="Q150" s="419"/>
      <c r="R150" s="107">
        <f>SUM(R138:R149)</f>
        <v>84.01579200000009</v>
      </c>
      <c r="S150" s="105"/>
    </row>
    <row r="151" spans="5:19" ht="15" x14ac:dyDescent="0.4">
      <c r="E151" s="413" t="s">
        <v>73</v>
      </c>
      <c r="F151" s="414"/>
      <c r="G151" s="414"/>
      <c r="H151" s="414"/>
      <c r="I151" s="414"/>
      <c r="J151" s="414"/>
      <c r="K151" s="414"/>
      <c r="L151" s="414"/>
      <c r="M151" s="414"/>
      <c r="N151" s="414"/>
      <c r="O151" s="414"/>
      <c r="P151" s="414"/>
      <c r="Q151" s="414"/>
      <c r="R151" s="414"/>
      <c r="S151" s="104"/>
    </row>
    <row r="152" spans="5:19" ht="14" x14ac:dyDescent="0.25">
      <c r="E152" s="2" t="s">
        <v>15</v>
      </c>
      <c r="F152" s="71">
        <v>29.1</v>
      </c>
      <c r="G152" s="71">
        <v>2.9</v>
      </c>
      <c r="H152" s="41">
        <f>G152/2</f>
        <v>1.45</v>
      </c>
      <c r="I152" s="71">
        <f>F152-H152</f>
        <v>27.650000000000002</v>
      </c>
      <c r="J152" s="8">
        <f t="shared" ref="J152:J163" si="28">C$126</f>
        <v>1.75</v>
      </c>
      <c r="K152" s="8">
        <v>25</v>
      </c>
      <c r="L152" s="8">
        <f>25.5-K152</f>
        <v>0.5</v>
      </c>
      <c r="M152" s="8">
        <f t="shared" ref="M152:M163" si="29">I152-29.4</f>
        <v>-1.7499999999999964</v>
      </c>
      <c r="N152" s="8">
        <f t="shared" ref="N152:N163" si="30">J152+L152+M152</f>
        <v>0.50000000000000355</v>
      </c>
      <c r="O152" s="8">
        <v>3.75</v>
      </c>
      <c r="P152" s="8">
        <v>1.296</v>
      </c>
      <c r="Q152" s="8">
        <f>31*16</f>
        <v>496</v>
      </c>
      <c r="R152" s="108">
        <f t="shared" ref="R152:R163" si="31">(N152*O152*P152*Q152)/1000</f>
        <v>1.2052800000000086</v>
      </c>
      <c r="S152" s="109"/>
    </row>
    <row r="153" spans="5:19" ht="14" x14ac:dyDescent="0.25">
      <c r="E153" s="2" t="s">
        <v>16</v>
      </c>
      <c r="F153" s="71">
        <v>29.5</v>
      </c>
      <c r="G153" s="71">
        <v>3.3</v>
      </c>
      <c r="H153" s="41">
        <f t="shared" ref="H153:H163" si="32">G153/2</f>
        <v>1.65</v>
      </c>
      <c r="I153" s="71">
        <f t="shared" ref="I153:I163" si="33">F153-H153</f>
        <v>27.85</v>
      </c>
      <c r="J153" s="8">
        <f t="shared" si="28"/>
        <v>1.75</v>
      </c>
      <c r="K153" s="8">
        <v>25</v>
      </c>
      <c r="L153" s="8">
        <f t="shared" ref="L153:L163" si="34">25.5-K153</f>
        <v>0.5</v>
      </c>
      <c r="M153" s="8">
        <f t="shared" si="29"/>
        <v>-1.5499999999999972</v>
      </c>
      <c r="N153" s="8">
        <f t="shared" si="30"/>
        <v>0.70000000000000284</v>
      </c>
      <c r="O153" s="8">
        <v>3.75</v>
      </c>
      <c r="P153" s="8">
        <v>1.296</v>
      </c>
      <c r="Q153" s="8">
        <f>28*16</f>
        <v>448</v>
      </c>
      <c r="R153" s="108">
        <f t="shared" si="31"/>
        <v>1.5240960000000061</v>
      </c>
      <c r="S153" s="109"/>
    </row>
    <row r="154" spans="5:19" ht="14" x14ac:dyDescent="0.25">
      <c r="E154" s="2" t="s">
        <v>17</v>
      </c>
      <c r="F154" s="71">
        <v>30.6</v>
      </c>
      <c r="G154" s="71">
        <v>3.8</v>
      </c>
      <c r="H154" s="41">
        <f t="shared" si="32"/>
        <v>1.9</v>
      </c>
      <c r="I154" s="71">
        <f t="shared" si="33"/>
        <v>28.700000000000003</v>
      </c>
      <c r="J154" s="8">
        <f t="shared" si="28"/>
        <v>1.75</v>
      </c>
      <c r="K154" s="8">
        <v>25</v>
      </c>
      <c r="L154" s="8">
        <f t="shared" si="34"/>
        <v>0.5</v>
      </c>
      <c r="M154" s="8">
        <f t="shared" si="29"/>
        <v>-0.69999999999999574</v>
      </c>
      <c r="N154" s="8">
        <f t="shared" si="30"/>
        <v>1.5500000000000043</v>
      </c>
      <c r="O154" s="8">
        <v>3.75</v>
      </c>
      <c r="P154" s="8">
        <v>1.296</v>
      </c>
      <c r="Q154" s="8">
        <f>31*16</f>
        <v>496</v>
      </c>
      <c r="R154" s="108">
        <f t="shared" si="31"/>
        <v>3.7363680000000103</v>
      </c>
      <c r="S154" s="109"/>
    </row>
    <row r="155" spans="5:19" ht="14" x14ac:dyDescent="0.25">
      <c r="E155" s="2" t="s">
        <v>18</v>
      </c>
      <c r="F155" s="71">
        <v>31.3</v>
      </c>
      <c r="G155" s="71">
        <v>4.0999999999999996</v>
      </c>
      <c r="H155" s="41">
        <f t="shared" si="32"/>
        <v>2.0499999999999998</v>
      </c>
      <c r="I155" s="71">
        <f t="shared" si="33"/>
        <v>29.25</v>
      </c>
      <c r="J155" s="8">
        <f t="shared" si="28"/>
        <v>1.75</v>
      </c>
      <c r="K155" s="8">
        <v>25</v>
      </c>
      <c r="L155" s="8">
        <f t="shared" si="34"/>
        <v>0.5</v>
      </c>
      <c r="M155" s="8">
        <f t="shared" si="29"/>
        <v>-0.14999999999999858</v>
      </c>
      <c r="N155" s="8">
        <f t="shared" si="30"/>
        <v>2.1000000000000014</v>
      </c>
      <c r="O155" s="8">
        <v>3.75</v>
      </c>
      <c r="P155" s="8">
        <v>1.296</v>
      </c>
      <c r="Q155" s="8">
        <f>30*16</f>
        <v>480</v>
      </c>
      <c r="R155" s="108">
        <f t="shared" si="31"/>
        <v>4.8988800000000028</v>
      </c>
      <c r="S155" s="109"/>
    </row>
    <row r="156" spans="5:19" ht="14" x14ac:dyDescent="0.25">
      <c r="E156" s="2" t="s">
        <v>12</v>
      </c>
      <c r="F156" s="71">
        <v>32.700000000000003</v>
      </c>
      <c r="G156" s="71">
        <v>4.8</v>
      </c>
      <c r="H156" s="41">
        <f t="shared" si="32"/>
        <v>2.4</v>
      </c>
      <c r="I156" s="71">
        <f t="shared" si="33"/>
        <v>30.300000000000004</v>
      </c>
      <c r="J156" s="8">
        <f t="shared" si="28"/>
        <v>1.75</v>
      </c>
      <c r="K156" s="8">
        <v>25</v>
      </c>
      <c r="L156" s="8">
        <f t="shared" si="34"/>
        <v>0.5</v>
      </c>
      <c r="M156" s="8">
        <f t="shared" si="29"/>
        <v>0.90000000000000568</v>
      </c>
      <c r="N156" s="8">
        <f t="shared" si="30"/>
        <v>3.1500000000000057</v>
      </c>
      <c r="O156" s="8">
        <v>3.75</v>
      </c>
      <c r="P156" s="8">
        <v>1.296</v>
      </c>
      <c r="Q156" s="8">
        <f>31*16</f>
        <v>496</v>
      </c>
      <c r="R156" s="108">
        <f t="shared" si="31"/>
        <v>7.5932640000000138</v>
      </c>
      <c r="S156" s="109"/>
    </row>
    <row r="157" spans="5:19" ht="14" x14ac:dyDescent="0.25">
      <c r="E157" s="2" t="s">
        <v>13</v>
      </c>
      <c r="F157" s="71">
        <v>32.6</v>
      </c>
      <c r="G157" s="71">
        <v>4.8</v>
      </c>
      <c r="H157" s="41">
        <f t="shared" si="32"/>
        <v>2.4</v>
      </c>
      <c r="I157" s="71">
        <f t="shared" si="33"/>
        <v>30.200000000000003</v>
      </c>
      <c r="J157" s="8">
        <f t="shared" si="28"/>
        <v>1.75</v>
      </c>
      <c r="K157" s="8">
        <v>25</v>
      </c>
      <c r="L157" s="8">
        <f t="shared" si="34"/>
        <v>0.5</v>
      </c>
      <c r="M157" s="8">
        <f t="shared" si="29"/>
        <v>0.80000000000000426</v>
      </c>
      <c r="N157" s="8">
        <f t="shared" si="30"/>
        <v>3.0500000000000043</v>
      </c>
      <c r="O157" s="8">
        <v>3.75</v>
      </c>
      <c r="P157" s="8">
        <v>1.296</v>
      </c>
      <c r="Q157" s="8">
        <f>30*16</f>
        <v>480</v>
      </c>
      <c r="R157" s="108">
        <f t="shared" si="31"/>
        <v>7.1150400000000102</v>
      </c>
      <c r="S157" s="109"/>
    </row>
    <row r="158" spans="5:19" ht="14" x14ac:dyDescent="0.25">
      <c r="E158" s="2" t="s">
        <v>24</v>
      </c>
      <c r="F158" s="41">
        <v>31.7</v>
      </c>
      <c r="G158" s="98">
        <v>4.5999999999999996</v>
      </c>
      <c r="H158" s="41">
        <f t="shared" si="32"/>
        <v>2.2999999999999998</v>
      </c>
      <c r="I158" s="71">
        <f t="shared" si="33"/>
        <v>29.4</v>
      </c>
      <c r="J158" s="8">
        <f t="shared" si="28"/>
        <v>1.75</v>
      </c>
      <c r="K158" s="8">
        <v>25</v>
      </c>
      <c r="L158" s="8">
        <f t="shared" si="34"/>
        <v>0.5</v>
      </c>
      <c r="M158" s="8">
        <f t="shared" si="29"/>
        <v>0</v>
      </c>
      <c r="N158" s="8">
        <f t="shared" si="30"/>
        <v>2.25</v>
      </c>
      <c r="O158" s="8">
        <v>3.75</v>
      </c>
      <c r="P158" s="8">
        <v>1.296</v>
      </c>
      <c r="Q158" s="8">
        <f>31*16</f>
        <v>496</v>
      </c>
      <c r="R158" s="108">
        <f t="shared" si="31"/>
        <v>5.4237600000000006</v>
      </c>
      <c r="S158" s="109"/>
    </row>
    <row r="159" spans="5:19" ht="14" x14ac:dyDescent="0.25">
      <c r="E159" s="2" t="s">
        <v>19</v>
      </c>
      <c r="F159" s="41">
        <v>32.200000000000003</v>
      </c>
      <c r="G159" s="98">
        <v>4.8</v>
      </c>
      <c r="H159" s="41">
        <f t="shared" si="32"/>
        <v>2.4</v>
      </c>
      <c r="I159" s="71">
        <f t="shared" si="33"/>
        <v>29.800000000000004</v>
      </c>
      <c r="J159" s="8">
        <f t="shared" si="28"/>
        <v>1.75</v>
      </c>
      <c r="K159" s="8">
        <v>25</v>
      </c>
      <c r="L159" s="8">
        <f t="shared" si="34"/>
        <v>0.5</v>
      </c>
      <c r="M159" s="8">
        <f t="shared" si="29"/>
        <v>0.40000000000000568</v>
      </c>
      <c r="N159" s="8">
        <f t="shared" si="30"/>
        <v>2.6500000000000057</v>
      </c>
      <c r="O159" s="8">
        <v>3.75</v>
      </c>
      <c r="P159" s="8">
        <v>1.296</v>
      </c>
      <c r="Q159" s="8">
        <f>31*16</f>
        <v>496</v>
      </c>
      <c r="R159" s="108">
        <f t="shared" si="31"/>
        <v>6.3879840000000137</v>
      </c>
      <c r="S159" s="109"/>
    </row>
    <row r="160" spans="5:19" ht="14" x14ac:dyDescent="0.25">
      <c r="E160" s="2" t="s">
        <v>20</v>
      </c>
      <c r="F160" s="41">
        <v>32.200000000000003</v>
      </c>
      <c r="G160" s="98">
        <v>4.8</v>
      </c>
      <c r="H160" s="41">
        <f t="shared" si="32"/>
        <v>2.4</v>
      </c>
      <c r="I160" s="71">
        <f t="shared" si="33"/>
        <v>29.800000000000004</v>
      </c>
      <c r="J160" s="8">
        <f t="shared" si="28"/>
        <v>1.75</v>
      </c>
      <c r="K160" s="8">
        <v>25</v>
      </c>
      <c r="L160" s="8">
        <f t="shared" si="34"/>
        <v>0.5</v>
      </c>
      <c r="M160" s="8">
        <f t="shared" si="29"/>
        <v>0.40000000000000568</v>
      </c>
      <c r="N160" s="8">
        <f t="shared" si="30"/>
        <v>2.6500000000000057</v>
      </c>
      <c r="O160" s="8">
        <v>3.75</v>
      </c>
      <c r="P160" s="8">
        <v>1.296</v>
      </c>
      <c r="Q160" s="8">
        <f>30*16</f>
        <v>480</v>
      </c>
      <c r="R160" s="108">
        <f t="shared" si="31"/>
        <v>6.1819200000000141</v>
      </c>
      <c r="S160" s="109"/>
    </row>
    <row r="161" spans="5:19" ht="14" x14ac:dyDescent="0.25">
      <c r="E161" s="2" t="s">
        <v>21</v>
      </c>
      <c r="F161" s="41">
        <v>31.6</v>
      </c>
      <c r="G161" s="98">
        <v>4.4000000000000004</v>
      </c>
      <c r="H161" s="41">
        <f t="shared" si="32"/>
        <v>2.2000000000000002</v>
      </c>
      <c r="I161" s="71">
        <f t="shared" si="33"/>
        <v>29.400000000000002</v>
      </c>
      <c r="J161" s="8">
        <f t="shared" si="28"/>
        <v>1.75</v>
      </c>
      <c r="K161" s="8">
        <v>25</v>
      </c>
      <c r="L161" s="8">
        <f t="shared" si="34"/>
        <v>0.5</v>
      </c>
      <c r="M161" s="8">
        <f t="shared" si="29"/>
        <v>0</v>
      </c>
      <c r="N161" s="8">
        <f t="shared" si="30"/>
        <v>2.25</v>
      </c>
      <c r="O161" s="8">
        <v>3.75</v>
      </c>
      <c r="P161" s="8">
        <v>1.296</v>
      </c>
      <c r="Q161" s="8">
        <f>31*16</f>
        <v>496</v>
      </c>
      <c r="R161" s="108">
        <f t="shared" si="31"/>
        <v>5.4237600000000006</v>
      </c>
      <c r="S161" s="109"/>
    </row>
    <row r="162" spans="5:19" ht="14" x14ac:dyDescent="0.25">
      <c r="E162" s="2" t="s">
        <v>22</v>
      </c>
      <c r="F162" s="41">
        <v>30.6</v>
      </c>
      <c r="G162" s="98">
        <v>3.7</v>
      </c>
      <c r="H162" s="41">
        <f t="shared" si="32"/>
        <v>1.85</v>
      </c>
      <c r="I162" s="71">
        <f t="shared" si="33"/>
        <v>28.75</v>
      </c>
      <c r="J162" s="8">
        <f t="shared" si="28"/>
        <v>1.75</v>
      </c>
      <c r="K162" s="8">
        <v>25</v>
      </c>
      <c r="L162" s="8">
        <f t="shared" si="34"/>
        <v>0.5</v>
      </c>
      <c r="M162" s="8">
        <f t="shared" si="29"/>
        <v>-0.64999999999999858</v>
      </c>
      <c r="N162" s="8">
        <f t="shared" si="30"/>
        <v>1.6000000000000014</v>
      </c>
      <c r="O162" s="8">
        <v>3.75</v>
      </c>
      <c r="P162" s="8">
        <v>1.296</v>
      </c>
      <c r="Q162" s="8">
        <f>30*16</f>
        <v>480</v>
      </c>
      <c r="R162" s="108">
        <f t="shared" si="31"/>
        <v>3.7324800000000034</v>
      </c>
      <c r="S162" s="109"/>
    </row>
    <row r="163" spans="5:19" ht="14" x14ac:dyDescent="0.25">
      <c r="E163" s="2" t="s">
        <v>23</v>
      </c>
      <c r="F163" s="41">
        <v>29.7</v>
      </c>
      <c r="G163" s="98">
        <v>3.1</v>
      </c>
      <c r="H163" s="41">
        <f t="shared" si="32"/>
        <v>1.55</v>
      </c>
      <c r="I163" s="71">
        <f t="shared" si="33"/>
        <v>28.15</v>
      </c>
      <c r="J163" s="8">
        <f t="shared" si="28"/>
        <v>1.75</v>
      </c>
      <c r="K163" s="8">
        <v>25</v>
      </c>
      <c r="L163" s="8">
        <f t="shared" si="34"/>
        <v>0.5</v>
      </c>
      <c r="M163" s="8">
        <f t="shared" si="29"/>
        <v>-1.25</v>
      </c>
      <c r="N163" s="8">
        <f t="shared" si="30"/>
        <v>1</v>
      </c>
      <c r="O163" s="8">
        <v>3.75</v>
      </c>
      <c r="P163" s="8">
        <v>1.296</v>
      </c>
      <c r="Q163" s="8">
        <f>31*16</f>
        <v>496</v>
      </c>
      <c r="R163" s="108">
        <f t="shared" si="31"/>
        <v>2.4105599999999998</v>
      </c>
      <c r="S163" s="109"/>
    </row>
    <row r="164" spans="5:19" ht="15" x14ac:dyDescent="0.25">
      <c r="E164" s="417" t="s">
        <v>61</v>
      </c>
      <c r="F164" s="418"/>
      <c r="G164" s="418"/>
      <c r="H164" s="418"/>
      <c r="I164" s="418"/>
      <c r="J164" s="418"/>
      <c r="K164" s="418"/>
      <c r="L164" s="418"/>
      <c r="M164" s="418"/>
      <c r="N164" s="418"/>
      <c r="O164" s="418"/>
      <c r="P164" s="418"/>
      <c r="Q164" s="419"/>
      <c r="R164" s="107">
        <f>SUM(R152:R163)</f>
        <v>55.633392000000079</v>
      </c>
      <c r="S164" s="105"/>
    </row>
    <row r="165" spans="5:19" ht="15" x14ac:dyDescent="0.4">
      <c r="E165" s="413" t="s">
        <v>74</v>
      </c>
      <c r="F165" s="414"/>
      <c r="G165" s="414"/>
      <c r="H165" s="414"/>
      <c r="I165" s="414"/>
      <c r="J165" s="414"/>
      <c r="K165" s="414"/>
      <c r="L165" s="414"/>
      <c r="M165" s="414"/>
      <c r="N165" s="414"/>
      <c r="O165" s="414"/>
      <c r="P165" s="414"/>
      <c r="Q165" s="414"/>
      <c r="R165" s="414"/>
      <c r="S165" s="104"/>
    </row>
    <row r="166" spans="5:19" ht="14" x14ac:dyDescent="0.25">
      <c r="E166" s="2" t="s">
        <v>15</v>
      </c>
      <c r="F166" s="71">
        <v>29.1</v>
      </c>
      <c r="G166" s="71">
        <v>2.9</v>
      </c>
      <c r="H166" s="41">
        <f>G166/2</f>
        <v>1.45</v>
      </c>
      <c r="I166" s="71">
        <f>F166-H166</f>
        <v>27.650000000000002</v>
      </c>
      <c r="J166" s="5">
        <f t="shared" ref="J166:J177" si="35">C$126</f>
        <v>1.75</v>
      </c>
      <c r="K166" s="5">
        <v>26</v>
      </c>
      <c r="L166" s="5">
        <f>25.5-K166</f>
        <v>-0.5</v>
      </c>
      <c r="M166" s="8">
        <f t="shared" ref="M166:M177" si="36">I166-29.4</f>
        <v>-1.7499999999999964</v>
      </c>
      <c r="N166" s="8">
        <f t="shared" ref="N166:N177" si="37">J166+L166+M166</f>
        <v>-0.49999999999999645</v>
      </c>
      <c r="O166" s="8">
        <v>3.75</v>
      </c>
      <c r="P166" s="8">
        <v>1.296</v>
      </c>
      <c r="Q166" s="8">
        <f>31*16</f>
        <v>496</v>
      </c>
      <c r="R166" s="108">
        <f t="shared" ref="R166:R177" si="38">(N166*O166*P166*Q166)/1000</f>
        <v>-1.2052799999999915</v>
      </c>
      <c r="S166" s="109"/>
    </row>
    <row r="167" spans="5:19" ht="14" x14ac:dyDescent="0.25">
      <c r="E167" s="2" t="s">
        <v>16</v>
      </c>
      <c r="F167" s="71">
        <v>29.5</v>
      </c>
      <c r="G167" s="71">
        <v>3.3</v>
      </c>
      <c r="H167" s="41">
        <f t="shared" ref="H167:H177" si="39">G167/2</f>
        <v>1.65</v>
      </c>
      <c r="I167" s="71">
        <f t="shared" ref="I167:I177" si="40">F167-H167</f>
        <v>27.85</v>
      </c>
      <c r="J167" s="5">
        <f t="shared" si="35"/>
        <v>1.75</v>
      </c>
      <c r="K167" s="5">
        <v>26</v>
      </c>
      <c r="L167" s="5">
        <f t="shared" ref="L167:L177" si="41">25.5-K167</f>
        <v>-0.5</v>
      </c>
      <c r="M167" s="8">
        <f t="shared" si="36"/>
        <v>-1.5499999999999972</v>
      </c>
      <c r="N167" s="8">
        <f t="shared" si="37"/>
        <v>-0.29999999999999716</v>
      </c>
      <c r="O167" s="8">
        <v>3.75</v>
      </c>
      <c r="P167" s="8">
        <v>1.296</v>
      </c>
      <c r="Q167" s="8">
        <f>28*16</f>
        <v>448</v>
      </c>
      <c r="R167" s="108">
        <f t="shared" si="38"/>
        <v>-0.65318399999999388</v>
      </c>
      <c r="S167" s="109"/>
    </row>
    <row r="168" spans="5:19" ht="14" x14ac:dyDescent="0.25">
      <c r="E168" s="2" t="s">
        <v>17</v>
      </c>
      <c r="F168" s="71">
        <v>30.6</v>
      </c>
      <c r="G168" s="71">
        <v>3.8</v>
      </c>
      <c r="H168" s="41">
        <f t="shared" si="39"/>
        <v>1.9</v>
      </c>
      <c r="I168" s="71">
        <f t="shared" si="40"/>
        <v>28.700000000000003</v>
      </c>
      <c r="J168" s="5">
        <f t="shared" si="35"/>
        <v>1.75</v>
      </c>
      <c r="K168" s="5">
        <v>26</v>
      </c>
      <c r="L168" s="5">
        <f t="shared" si="41"/>
        <v>-0.5</v>
      </c>
      <c r="M168" s="8">
        <f t="shared" si="36"/>
        <v>-0.69999999999999574</v>
      </c>
      <c r="N168" s="8">
        <f t="shared" si="37"/>
        <v>0.55000000000000426</v>
      </c>
      <c r="O168" s="8">
        <v>3.75</v>
      </c>
      <c r="P168" s="8">
        <v>1.296</v>
      </c>
      <c r="Q168" s="8">
        <f>31*16</f>
        <v>496</v>
      </c>
      <c r="R168" s="108">
        <f t="shared" si="38"/>
        <v>1.3258080000000105</v>
      </c>
      <c r="S168" s="109"/>
    </row>
    <row r="169" spans="5:19" ht="14" x14ac:dyDescent="0.25">
      <c r="E169" s="2" t="s">
        <v>18</v>
      </c>
      <c r="F169" s="71">
        <v>31.3</v>
      </c>
      <c r="G169" s="71">
        <v>4.0999999999999996</v>
      </c>
      <c r="H169" s="41">
        <f t="shared" si="39"/>
        <v>2.0499999999999998</v>
      </c>
      <c r="I169" s="71">
        <f t="shared" si="40"/>
        <v>29.25</v>
      </c>
      <c r="J169" s="5">
        <f t="shared" si="35"/>
        <v>1.75</v>
      </c>
      <c r="K169" s="5">
        <v>26</v>
      </c>
      <c r="L169" s="5">
        <f t="shared" si="41"/>
        <v>-0.5</v>
      </c>
      <c r="M169" s="8">
        <f t="shared" si="36"/>
        <v>-0.14999999999999858</v>
      </c>
      <c r="N169" s="8">
        <f t="shared" si="37"/>
        <v>1.1000000000000014</v>
      </c>
      <c r="O169" s="8">
        <v>3.75</v>
      </c>
      <c r="P169" s="8">
        <v>1.296</v>
      </c>
      <c r="Q169" s="8">
        <f>30*16</f>
        <v>480</v>
      </c>
      <c r="R169" s="108">
        <f t="shared" si="38"/>
        <v>2.5660800000000035</v>
      </c>
      <c r="S169" s="109"/>
    </row>
    <row r="170" spans="5:19" ht="14" x14ac:dyDescent="0.25">
      <c r="E170" s="2" t="s">
        <v>12</v>
      </c>
      <c r="F170" s="71">
        <v>32.700000000000003</v>
      </c>
      <c r="G170" s="71">
        <v>4.8</v>
      </c>
      <c r="H170" s="41">
        <f t="shared" si="39"/>
        <v>2.4</v>
      </c>
      <c r="I170" s="71">
        <f t="shared" si="40"/>
        <v>30.300000000000004</v>
      </c>
      <c r="J170" s="5">
        <f t="shared" si="35"/>
        <v>1.75</v>
      </c>
      <c r="K170" s="5">
        <v>26</v>
      </c>
      <c r="L170" s="5">
        <f t="shared" si="41"/>
        <v>-0.5</v>
      </c>
      <c r="M170" s="8">
        <f t="shared" si="36"/>
        <v>0.90000000000000568</v>
      </c>
      <c r="N170" s="8">
        <f t="shared" si="37"/>
        <v>2.1500000000000057</v>
      </c>
      <c r="O170" s="8">
        <v>3.75</v>
      </c>
      <c r="P170" s="8">
        <v>1.296</v>
      </c>
      <c r="Q170" s="8">
        <f>31*16</f>
        <v>496</v>
      </c>
      <c r="R170" s="108">
        <f t="shared" si="38"/>
        <v>5.1827040000000144</v>
      </c>
      <c r="S170" s="109"/>
    </row>
    <row r="171" spans="5:19" ht="14" x14ac:dyDescent="0.25">
      <c r="E171" s="2" t="s">
        <v>13</v>
      </c>
      <c r="F171" s="71">
        <v>32.6</v>
      </c>
      <c r="G171" s="71">
        <v>4.8</v>
      </c>
      <c r="H171" s="41">
        <f t="shared" si="39"/>
        <v>2.4</v>
      </c>
      <c r="I171" s="71">
        <f t="shared" si="40"/>
        <v>30.200000000000003</v>
      </c>
      <c r="J171" s="5">
        <f t="shared" si="35"/>
        <v>1.75</v>
      </c>
      <c r="K171" s="5">
        <v>26</v>
      </c>
      <c r="L171" s="5">
        <f t="shared" si="41"/>
        <v>-0.5</v>
      </c>
      <c r="M171" s="8">
        <f t="shared" si="36"/>
        <v>0.80000000000000426</v>
      </c>
      <c r="N171" s="8">
        <f t="shared" si="37"/>
        <v>2.0500000000000043</v>
      </c>
      <c r="O171" s="8">
        <v>3.75</v>
      </c>
      <c r="P171" s="8">
        <v>1.296</v>
      </c>
      <c r="Q171" s="8">
        <f>30*16</f>
        <v>480</v>
      </c>
      <c r="R171" s="108">
        <f t="shared" si="38"/>
        <v>4.7822400000000096</v>
      </c>
      <c r="S171" s="109"/>
    </row>
    <row r="172" spans="5:19" ht="14" x14ac:dyDescent="0.25">
      <c r="E172" s="2" t="s">
        <v>24</v>
      </c>
      <c r="F172" s="41">
        <v>31.7</v>
      </c>
      <c r="G172" s="98">
        <v>4.5999999999999996</v>
      </c>
      <c r="H172" s="41">
        <f t="shared" si="39"/>
        <v>2.2999999999999998</v>
      </c>
      <c r="I172" s="71">
        <f t="shared" si="40"/>
        <v>29.4</v>
      </c>
      <c r="J172" s="5">
        <f t="shared" si="35"/>
        <v>1.75</v>
      </c>
      <c r="K172" s="5">
        <v>26</v>
      </c>
      <c r="L172" s="5">
        <f t="shared" si="41"/>
        <v>-0.5</v>
      </c>
      <c r="M172" s="8">
        <f t="shared" si="36"/>
        <v>0</v>
      </c>
      <c r="N172" s="8">
        <f t="shared" si="37"/>
        <v>1.25</v>
      </c>
      <c r="O172" s="8">
        <v>3.75</v>
      </c>
      <c r="P172" s="8">
        <v>1.296</v>
      </c>
      <c r="Q172" s="8">
        <f>31*16</f>
        <v>496</v>
      </c>
      <c r="R172" s="108">
        <f t="shared" si="38"/>
        <v>3.0132000000000003</v>
      </c>
      <c r="S172" s="109"/>
    </row>
    <row r="173" spans="5:19" ht="14" x14ac:dyDescent="0.25">
      <c r="E173" s="2" t="s">
        <v>19</v>
      </c>
      <c r="F173" s="41">
        <v>32.200000000000003</v>
      </c>
      <c r="G173" s="98">
        <v>4.8</v>
      </c>
      <c r="H173" s="41">
        <f t="shared" si="39"/>
        <v>2.4</v>
      </c>
      <c r="I173" s="71">
        <f t="shared" si="40"/>
        <v>29.800000000000004</v>
      </c>
      <c r="J173" s="5">
        <f t="shared" si="35"/>
        <v>1.75</v>
      </c>
      <c r="K173" s="5">
        <v>26</v>
      </c>
      <c r="L173" s="5">
        <f t="shared" si="41"/>
        <v>-0.5</v>
      </c>
      <c r="M173" s="8">
        <f t="shared" si="36"/>
        <v>0.40000000000000568</v>
      </c>
      <c r="N173" s="8">
        <f t="shared" si="37"/>
        <v>1.6500000000000057</v>
      </c>
      <c r="O173" s="8">
        <v>3.75</v>
      </c>
      <c r="P173" s="8">
        <v>1.296</v>
      </c>
      <c r="Q173" s="8">
        <f>31*16</f>
        <v>496</v>
      </c>
      <c r="R173" s="108">
        <f t="shared" si="38"/>
        <v>3.9774240000000143</v>
      </c>
      <c r="S173" s="109"/>
    </row>
    <row r="174" spans="5:19" ht="14" x14ac:dyDescent="0.25">
      <c r="E174" s="2" t="s">
        <v>20</v>
      </c>
      <c r="F174" s="41">
        <v>32.200000000000003</v>
      </c>
      <c r="G174" s="98">
        <v>4.8</v>
      </c>
      <c r="H174" s="41">
        <f t="shared" si="39"/>
        <v>2.4</v>
      </c>
      <c r="I174" s="71">
        <f t="shared" si="40"/>
        <v>29.800000000000004</v>
      </c>
      <c r="J174" s="5">
        <f t="shared" si="35"/>
        <v>1.75</v>
      </c>
      <c r="K174" s="5">
        <v>26</v>
      </c>
      <c r="L174" s="5">
        <f t="shared" si="41"/>
        <v>-0.5</v>
      </c>
      <c r="M174" s="8">
        <f t="shared" si="36"/>
        <v>0.40000000000000568</v>
      </c>
      <c r="N174" s="8">
        <f t="shared" si="37"/>
        <v>1.6500000000000057</v>
      </c>
      <c r="O174" s="8">
        <v>3.75</v>
      </c>
      <c r="P174" s="8">
        <v>1.296</v>
      </c>
      <c r="Q174" s="8">
        <f>30*16</f>
        <v>480</v>
      </c>
      <c r="R174" s="108">
        <f t="shared" si="38"/>
        <v>3.8491200000000134</v>
      </c>
      <c r="S174" s="109"/>
    </row>
    <row r="175" spans="5:19" ht="14" x14ac:dyDescent="0.25">
      <c r="E175" s="2" t="s">
        <v>21</v>
      </c>
      <c r="F175" s="41">
        <v>31.6</v>
      </c>
      <c r="G175" s="98">
        <v>4.4000000000000004</v>
      </c>
      <c r="H175" s="41">
        <f t="shared" si="39"/>
        <v>2.2000000000000002</v>
      </c>
      <c r="I175" s="71">
        <f t="shared" si="40"/>
        <v>29.400000000000002</v>
      </c>
      <c r="J175" s="5">
        <f t="shared" si="35"/>
        <v>1.75</v>
      </c>
      <c r="K175" s="5">
        <v>26</v>
      </c>
      <c r="L175" s="5">
        <f t="shared" si="41"/>
        <v>-0.5</v>
      </c>
      <c r="M175" s="8">
        <f t="shared" si="36"/>
        <v>0</v>
      </c>
      <c r="N175" s="8">
        <f t="shared" si="37"/>
        <v>1.25</v>
      </c>
      <c r="O175" s="8">
        <v>3.75</v>
      </c>
      <c r="P175" s="8">
        <v>1.296</v>
      </c>
      <c r="Q175" s="8">
        <f>31*16</f>
        <v>496</v>
      </c>
      <c r="R175" s="108">
        <f t="shared" si="38"/>
        <v>3.0132000000000003</v>
      </c>
      <c r="S175" s="109"/>
    </row>
    <row r="176" spans="5:19" ht="14" x14ac:dyDescent="0.25">
      <c r="E176" s="2" t="s">
        <v>22</v>
      </c>
      <c r="F176" s="41">
        <v>30.6</v>
      </c>
      <c r="G176" s="98">
        <v>3.7</v>
      </c>
      <c r="H176" s="41">
        <f t="shared" si="39"/>
        <v>1.85</v>
      </c>
      <c r="I176" s="71">
        <f t="shared" si="40"/>
        <v>28.75</v>
      </c>
      <c r="J176" s="5">
        <f t="shared" si="35"/>
        <v>1.75</v>
      </c>
      <c r="K176" s="5">
        <v>26</v>
      </c>
      <c r="L176" s="5">
        <f t="shared" si="41"/>
        <v>-0.5</v>
      </c>
      <c r="M176" s="8">
        <f t="shared" si="36"/>
        <v>-0.64999999999999858</v>
      </c>
      <c r="N176" s="8">
        <f t="shared" si="37"/>
        <v>0.60000000000000142</v>
      </c>
      <c r="O176" s="8">
        <v>3.75</v>
      </c>
      <c r="P176" s="8">
        <v>1.296</v>
      </c>
      <c r="Q176" s="8">
        <f>30*16</f>
        <v>480</v>
      </c>
      <c r="R176" s="108">
        <f t="shared" si="38"/>
        <v>1.3996800000000034</v>
      </c>
      <c r="S176" s="109"/>
    </row>
    <row r="177" spans="5:19" ht="14" x14ac:dyDescent="0.25">
      <c r="E177" s="2" t="s">
        <v>23</v>
      </c>
      <c r="F177" s="41">
        <v>29.7</v>
      </c>
      <c r="G177" s="98">
        <v>3.1</v>
      </c>
      <c r="H177" s="41">
        <f t="shared" si="39"/>
        <v>1.55</v>
      </c>
      <c r="I177" s="71">
        <f t="shared" si="40"/>
        <v>28.15</v>
      </c>
      <c r="J177" s="5">
        <f t="shared" si="35"/>
        <v>1.75</v>
      </c>
      <c r="K177" s="5">
        <v>26</v>
      </c>
      <c r="L177" s="5">
        <f t="shared" si="41"/>
        <v>-0.5</v>
      </c>
      <c r="M177" s="8">
        <f t="shared" si="36"/>
        <v>-1.25</v>
      </c>
      <c r="N177" s="8">
        <f t="shared" si="37"/>
        <v>0</v>
      </c>
      <c r="O177" s="8">
        <v>3.75</v>
      </c>
      <c r="P177" s="8">
        <v>1.296</v>
      </c>
      <c r="Q177" s="8">
        <f>31*16</f>
        <v>496</v>
      </c>
      <c r="R177" s="108">
        <f t="shared" si="38"/>
        <v>0</v>
      </c>
      <c r="S177" s="109"/>
    </row>
    <row r="178" spans="5:19" ht="15" x14ac:dyDescent="0.25">
      <c r="E178" s="417" t="s">
        <v>61</v>
      </c>
      <c r="F178" s="418"/>
      <c r="G178" s="418"/>
      <c r="H178" s="418"/>
      <c r="I178" s="418"/>
      <c r="J178" s="418"/>
      <c r="K178" s="418"/>
      <c r="L178" s="418"/>
      <c r="M178" s="418"/>
      <c r="N178" s="418"/>
      <c r="O178" s="418"/>
      <c r="P178" s="418"/>
      <c r="Q178" s="419"/>
      <c r="R178" s="107">
        <f>SUM(R166:R177)</f>
        <v>27.250992000000085</v>
      </c>
      <c r="S178" s="105"/>
    </row>
    <row r="179" spans="5:19" ht="15" x14ac:dyDescent="0.4">
      <c r="E179" s="413" t="s">
        <v>75</v>
      </c>
      <c r="F179" s="414"/>
      <c r="G179" s="414"/>
      <c r="H179" s="414"/>
      <c r="I179" s="414"/>
      <c r="J179" s="414"/>
      <c r="K179" s="414"/>
      <c r="L179" s="414"/>
      <c r="M179" s="414"/>
      <c r="N179" s="414"/>
      <c r="O179" s="414"/>
      <c r="P179" s="414"/>
      <c r="Q179" s="414"/>
      <c r="R179" s="414"/>
      <c r="S179" s="104"/>
    </row>
    <row r="180" spans="5:19" ht="14" x14ac:dyDescent="0.25">
      <c r="E180" s="2" t="s">
        <v>15</v>
      </c>
      <c r="F180" s="71">
        <v>29.1</v>
      </c>
      <c r="G180" s="71">
        <v>2.9</v>
      </c>
      <c r="H180" s="41">
        <f>G180/2</f>
        <v>1.45</v>
      </c>
      <c r="I180" s="71">
        <f>F180-H180</f>
        <v>27.650000000000002</v>
      </c>
      <c r="J180" s="5">
        <f t="shared" ref="J180:J191" si="42">C$126</f>
        <v>1.75</v>
      </c>
      <c r="K180" s="5">
        <v>27</v>
      </c>
      <c r="L180" s="5">
        <f>25.5-K180</f>
        <v>-1.5</v>
      </c>
      <c r="M180" s="8">
        <f t="shared" ref="M180:M191" si="43">I180-29.4</f>
        <v>-1.7499999999999964</v>
      </c>
      <c r="N180" s="8">
        <f t="shared" ref="N180:N191" si="44">J180+L180+M180</f>
        <v>-1.4999999999999964</v>
      </c>
      <c r="O180" s="8">
        <v>3.75</v>
      </c>
      <c r="P180" s="8">
        <v>1.296</v>
      </c>
      <c r="Q180" s="8">
        <f>31*16</f>
        <v>496</v>
      </c>
      <c r="R180" s="108">
        <f t="shared" ref="R180:R191" si="45">(N180*O180*P180*Q180)/1000</f>
        <v>-3.6158399999999915</v>
      </c>
      <c r="S180" s="109"/>
    </row>
    <row r="181" spans="5:19" ht="14" x14ac:dyDescent="0.25">
      <c r="E181" s="2" t="s">
        <v>16</v>
      </c>
      <c r="F181" s="71">
        <v>29.5</v>
      </c>
      <c r="G181" s="71">
        <v>3.3</v>
      </c>
      <c r="H181" s="41">
        <f t="shared" ref="H181:H191" si="46">G181/2</f>
        <v>1.65</v>
      </c>
      <c r="I181" s="71">
        <f t="shared" ref="I181:I191" si="47">F181-H181</f>
        <v>27.85</v>
      </c>
      <c r="J181" s="5">
        <f t="shared" si="42"/>
        <v>1.75</v>
      </c>
      <c r="K181" s="5">
        <v>27</v>
      </c>
      <c r="L181" s="5">
        <f t="shared" ref="L181:L191" si="48">25.5-K181</f>
        <v>-1.5</v>
      </c>
      <c r="M181" s="8">
        <f t="shared" si="43"/>
        <v>-1.5499999999999972</v>
      </c>
      <c r="N181" s="8">
        <f t="shared" si="44"/>
        <v>-1.2999999999999972</v>
      </c>
      <c r="O181" s="8">
        <v>3.75</v>
      </c>
      <c r="P181" s="8">
        <v>1.296</v>
      </c>
      <c r="Q181" s="8">
        <f>28*16</f>
        <v>448</v>
      </c>
      <c r="R181" s="108">
        <f t="shared" si="45"/>
        <v>-2.8304639999999939</v>
      </c>
      <c r="S181" s="109"/>
    </row>
    <row r="182" spans="5:19" ht="14" x14ac:dyDescent="0.25">
      <c r="E182" s="2" t="s">
        <v>17</v>
      </c>
      <c r="F182" s="71">
        <v>30.6</v>
      </c>
      <c r="G182" s="71">
        <v>3.8</v>
      </c>
      <c r="H182" s="41">
        <f t="shared" si="46"/>
        <v>1.9</v>
      </c>
      <c r="I182" s="71">
        <f t="shared" si="47"/>
        <v>28.700000000000003</v>
      </c>
      <c r="J182" s="5">
        <f t="shared" si="42"/>
        <v>1.75</v>
      </c>
      <c r="K182" s="5">
        <v>27</v>
      </c>
      <c r="L182" s="5">
        <f t="shared" si="48"/>
        <v>-1.5</v>
      </c>
      <c r="M182" s="8">
        <f t="shared" si="43"/>
        <v>-0.69999999999999574</v>
      </c>
      <c r="N182" s="8">
        <f t="shared" si="44"/>
        <v>-0.44999999999999574</v>
      </c>
      <c r="O182" s="8">
        <v>3.75</v>
      </c>
      <c r="P182" s="8">
        <v>1.296</v>
      </c>
      <c r="Q182" s="8">
        <f>31*16</f>
        <v>496</v>
      </c>
      <c r="R182" s="108">
        <f t="shared" si="45"/>
        <v>-1.0847519999999897</v>
      </c>
      <c r="S182" s="109"/>
    </row>
    <row r="183" spans="5:19" ht="14" x14ac:dyDescent="0.25">
      <c r="E183" s="2" t="s">
        <v>18</v>
      </c>
      <c r="F183" s="71">
        <v>31.3</v>
      </c>
      <c r="G183" s="71">
        <v>4.0999999999999996</v>
      </c>
      <c r="H183" s="41">
        <f t="shared" si="46"/>
        <v>2.0499999999999998</v>
      </c>
      <c r="I183" s="71">
        <f t="shared" si="47"/>
        <v>29.25</v>
      </c>
      <c r="J183" s="5">
        <f t="shared" si="42"/>
        <v>1.75</v>
      </c>
      <c r="K183" s="5">
        <v>27</v>
      </c>
      <c r="L183" s="5">
        <f t="shared" si="48"/>
        <v>-1.5</v>
      </c>
      <c r="M183" s="8">
        <f t="shared" si="43"/>
        <v>-0.14999999999999858</v>
      </c>
      <c r="N183" s="8">
        <f t="shared" si="44"/>
        <v>0.10000000000000142</v>
      </c>
      <c r="O183" s="8">
        <v>3.75</v>
      </c>
      <c r="P183" s="8">
        <v>1.296</v>
      </c>
      <c r="Q183" s="8">
        <f>30*16</f>
        <v>480</v>
      </c>
      <c r="R183" s="108">
        <f t="shared" si="45"/>
        <v>0.23328000000000332</v>
      </c>
      <c r="S183" s="109"/>
    </row>
    <row r="184" spans="5:19" ht="14" x14ac:dyDescent="0.25">
      <c r="E184" s="2" t="s">
        <v>12</v>
      </c>
      <c r="F184" s="71">
        <v>32.700000000000003</v>
      </c>
      <c r="G184" s="71">
        <v>4.8</v>
      </c>
      <c r="H184" s="41">
        <f t="shared" si="46"/>
        <v>2.4</v>
      </c>
      <c r="I184" s="71">
        <f t="shared" si="47"/>
        <v>30.300000000000004</v>
      </c>
      <c r="J184" s="5">
        <f t="shared" si="42"/>
        <v>1.75</v>
      </c>
      <c r="K184" s="5">
        <v>27</v>
      </c>
      <c r="L184" s="5">
        <f t="shared" si="48"/>
        <v>-1.5</v>
      </c>
      <c r="M184" s="8">
        <f t="shared" si="43"/>
        <v>0.90000000000000568</v>
      </c>
      <c r="N184" s="8">
        <f t="shared" si="44"/>
        <v>1.1500000000000057</v>
      </c>
      <c r="O184" s="8">
        <v>3.75</v>
      </c>
      <c r="P184" s="8">
        <v>1.296</v>
      </c>
      <c r="Q184" s="8">
        <f>31*16</f>
        <v>496</v>
      </c>
      <c r="R184" s="108">
        <f t="shared" si="45"/>
        <v>2.7721440000000137</v>
      </c>
      <c r="S184" s="109"/>
    </row>
    <row r="185" spans="5:19" ht="14" x14ac:dyDescent="0.25">
      <c r="E185" s="2" t="s">
        <v>13</v>
      </c>
      <c r="F185" s="71">
        <v>32.6</v>
      </c>
      <c r="G185" s="71">
        <v>4.8</v>
      </c>
      <c r="H185" s="41">
        <f t="shared" si="46"/>
        <v>2.4</v>
      </c>
      <c r="I185" s="71">
        <f t="shared" si="47"/>
        <v>30.200000000000003</v>
      </c>
      <c r="J185" s="5">
        <f t="shared" si="42"/>
        <v>1.75</v>
      </c>
      <c r="K185" s="5">
        <v>27</v>
      </c>
      <c r="L185" s="5">
        <f t="shared" si="48"/>
        <v>-1.5</v>
      </c>
      <c r="M185" s="8">
        <f t="shared" si="43"/>
        <v>0.80000000000000426</v>
      </c>
      <c r="N185" s="8">
        <f t="shared" si="44"/>
        <v>1.0500000000000043</v>
      </c>
      <c r="O185" s="8">
        <v>3.75</v>
      </c>
      <c r="P185" s="8">
        <v>1.296</v>
      </c>
      <c r="Q185" s="8">
        <f>30*16</f>
        <v>480</v>
      </c>
      <c r="R185" s="108">
        <f t="shared" si="45"/>
        <v>2.4494400000000103</v>
      </c>
      <c r="S185" s="109"/>
    </row>
    <row r="186" spans="5:19" ht="14" x14ac:dyDescent="0.25">
      <c r="E186" s="2" t="s">
        <v>24</v>
      </c>
      <c r="F186" s="41">
        <v>31.7</v>
      </c>
      <c r="G186" s="98">
        <v>4.5999999999999996</v>
      </c>
      <c r="H186" s="41">
        <f t="shared" si="46"/>
        <v>2.2999999999999998</v>
      </c>
      <c r="I186" s="71">
        <f t="shared" si="47"/>
        <v>29.4</v>
      </c>
      <c r="J186" s="5">
        <f t="shared" si="42"/>
        <v>1.75</v>
      </c>
      <c r="K186" s="5">
        <v>27</v>
      </c>
      <c r="L186" s="5">
        <f t="shared" si="48"/>
        <v>-1.5</v>
      </c>
      <c r="M186" s="8">
        <f t="shared" si="43"/>
        <v>0</v>
      </c>
      <c r="N186" s="8">
        <f t="shared" si="44"/>
        <v>0.25</v>
      </c>
      <c r="O186" s="8">
        <v>3.75</v>
      </c>
      <c r="P186" s="8">
        <v>1.296</v>
      </c>
      <c r="Q186" s="8">
        <f>31*16</f>
        <v>496</v>
      </c>
      <c r="R186" s="108">
        <f t="shared" si="45"/>
        <v>0.60263999999999995</v>
      </c>
      <c r="S186" s="109"/>
    </row>
    <row r="187" spans="5:19" ht="14" x14ac:dyDescent="0.25">
      <c r="E187" s="2" t="s">
        <v>19</v>
      </c>
      <c r="F187" s="41">
        <v>32.200000000000003</v>
      </c>
      <c r="G187" s="98">
        <v>4.8</v>
      </c>
      <c r="H187" s="41">
        <f t="shared" si="46"/>
        <v>2.4</v>
      </c>
      <c r="I187" s="71">
        <f t="shared" si="47"/>
        <v>29.800000000000004</v>
      </c>
      <c r="J187" s="5">
        <f t="shared" si="42"/>
        <v>1.75</v>
      </c>
      <c r="K187" s="5">
        <v>27</v>
      </c>
      <c r="L187" s="5">
        <f t="shared" si="48"/>
        <v>-1.5</v>
      </c>
      <c r="M187" s="8">
        <f t="shared" si="43"/>
        <v>0.40000000000000568</v>
      </c>
      <c r="N187" s="8">
        <f t="shared" si="44"/>
        <v>0.65000000000000568</v>
      </c>
      <c r="O187" s="8">
        <v>3.75</v>
      </c>
      <c r="P187" s="8">
        <v>1.296</v>
      </c>
      <c r="Q187" s="8">
        <f>31*16</f>
        <v>496</v>
      </c>
      <c r="R187" s="108">
        <f t="shared" si="45"/>
        <v>1.5668640000000136</v>
      </c>
      <c r="S187" s="109"/>
    </row>
    <row r="188" spans="5:19" ht="14" x14ac:dyDescent="0.25">
      <c r="E188" s="2" t="s">
        <v>20</v>
      </c>
      <c r="F188" s="41">
        <v>32.200000000000003</v>
      </c>
      <c r="G188" s="98">
        <v>4.8</v>
      </c>
      <c r="H188" s="41">
        <f t="shared" si="46"/>
        <v>2.4</v>
      </c>
      <c r="I188" s="71">
        <f t="shared" si="47"/>
        <v>29.800000000000004</v>
      </c>
      <c r="J188" s="5">
        <f t="shared" si="42"/>
        <v>1.75</v>
      </c>
      <c r="K188" s="5">
        <v>27</v>
      </c>
      <c r="L188" s="5">
        <f t="shared" si="48"/>
        <v>-1.5</v>
      </c>
      <c r="M188" s="8">
        <f t="shared" si="43"/>
        <v>0.40000000000000568</v>
      </c>
      <c r="N188" s="8">
        <f t="shared" si="44"/>
        <v>0.65000000000000568</v>
      </c>
      <c r="O188" s="8">
        <v>3.75</v>
      </c>
      <c r="P188" s="8">
        <v>1.296</v>
      </c>
      <c r="Q188" s="8">
        <f>30*16</f>
        <v>480</v>
      </c>
      <c r="R188" s="108">
        <f t="shared" si="45"/>
        <v>1.5163200000000134</v>
      </c>
      <c r="S188" s="109"/>
    </row>
    <row r="189" spans="5:19" ht="14" x14ac:dyDescent="0.25">
      <c r="E189" s="2" t="s">
        <v>21</v>
      </c>
      <c r="F189" s="41">
        <v>31.6</v>
      </c>
      <c r="G189" s="98">
        <v>4.4000000000000004</v>
      </c>
      <c r="H189" s="41">
        <f t="shared" si="46"/>
        <v>2.2000000000000002</v>
      </c>
      <c r="I189" s="71">
        <f t="shared" si="47"/>
        <v>29.400000000000002</v>
      </c>
      <c r="J189" s="5">
        <f t="shared" si="42"/>
        <v>1.75</v>
      </c>
      <c r="K189" s="5">
        <v>27</v>
      </c>
      <c r="L189" s="5">
        <f t="shared" si="48"/>
        <v>-1.5</v>
      </c>
      <c r="M189" s="8">
        <f t="shared" si="43"/>
        <v>0</v>
      </c>
      <c r="N189" s="8">
        <f t="shared" si="44"/>
        <v>0.25</v>
      </c>
      <c r="O189" s="8">
        <v>3.75</v>
      </c>
      <c r="P189" s="8">
        <v>1.296</v>
      </c>
      <c r="Q189" s="8">
        <f>31*16</f>
        <v>496</v>
      </c>
      <c r="R189" s="108">
        <f t="shared" si="45"/>
        <v>0.60263999999999995</v>
      </c>
      <c r="S189" s="109"/>
    </row>
    <row r="190" spans="5:19" ht="14" x14ac:dyDescent="0.25">
      <c r="E190" s="2" t="s">
        <v>22</v>
      </c>
      <c r="F190" s="41">
        <v>30.6</v>
      </c>
      <c r="G190" s="98">
        <v>3.7</v>
      </c>
      <c r="H190" s="41">
        <f t="shared" si="46"/>
        <v>1.85</v>
      </c>
      <c r="I190" s="71">
        <f t="shared" si="47"/>
        <v>28.75</v>
      </c>
      <c r="J190" s="5">
        <f t="shared" si="42"/>
        <v>1.75</v>
      </c>
      <c r="K190" s="5">
        <v>27</v>
      </c>
      <c r="L190" s="5">
        <f t="shared" si="48"/>
        <v>-1.5</v>
      </c>
      <c r="M190" s="8">
        <f t="shared" si="43"/>
        <v>-0.64999999999999858</v>
      </c>
      <c r="N190" s="8">
        <f t="shared" si="44"/>
        <v>-0.39999999999999858</v>
      </c>
      <c r="O190" s="8">
        <v>3.75</v>
      </c>
      <c r="P190" s="8">
        <v>1.296</v>
      </c>
      <c r="Q190" s="8">
        <f>30*16</f>
        <v>480</v>
      </c>
      <c r="R190" s="108">
        <f t="shared" si="45"/>
        <v>-0.93311999999999673</v>
      </c>
      <c r="S190" s="109"/>
    </row>
    <row r="191" spans="5:19" ht="14" x14ac:dyDescent="0.25">
      <c r="E191" s="2" t="s">
        <v>23</v>
      </c>
      <c r="F191" s="41">
        <v>29.7</v>
      </c>
      <c r="G191" s="98">
        <v>3.1</v>
      </c>
      <c r="H191" s="41">
        <f t="shared" si="46"/>
        <v>1.55</v>
      </c>
      <c r="I191" s="71">
        <f t="shared" si="47"/>
        <v>28.15</v>
      </c>
      <c r="J191" s="5">
        <f t="shared" si="42"/>
        <v>1.75</v>
      </c>
      <c r="K191" s="5">
        <v>27</v>
      </c>
      <c r="L191" s="5">
        <f t="shared" si="48"/>
        <v>-1.5</v>
      </c>
      <c r="M191" s="8">
        <f t="shared" si="43"/>
        <v>-1.25</v>
      </c>
      <c r="N191" s="8">
        <f t="shared" si="44"/>
        <v>-1</v>
      </c>
      <c r="O191" s="8">
        <v>3.75</v>
      </c>
      <c r="P191" s="8">
        <v>1.296</v>
      </c>
      <c r="Q191" s="8">
        <f>31*16</f>
        <v>496</v>
      </c>
      <c r="R191" s="108">
        <f t="shared" si="45"/>
        <v>-2.4105599999999998</v>
      </c>
      <c r="S191" s="109"/>
    </row>
    <row r="192" spans="5:19" ht="15" x14ac:dyDescent="0.25">
      <c r="E192" s="417" t="s">
        <v>61</v>
      </c>
      <c r="F192" s="418"/>
      <c r="G192" s="418"/>
      <c r="H192" s="418"/>
      <c r="I192" s="418"/>
      <c r="J192" s="418"/>
      <c r="K192" s="418"/>
      <c r="L192" s="418"/>
      <c r="M192" s="418"/>
      <c r="N192" s="418"/>
      <c r="O192" s="418"/>
      <c r="P192" s="418"/>
      <c r="Q192" s="419"/>
      <c r="R192" s="107">
        <f>SUM(R180:R191)</f>
        <v>-1.1314079999999165</v>
      </c>
      <c r="S192" s="105"/>
    </row>
    <row r="193" spans="5:19" ht="15" x14ac:dyDescent="0.4">
      <c r="E193" s="413" t="s">
        <v>76</v>
      </c>
      <c r="F193" s="414"/>
      <c r="G193" s="414"/>
      <c r="H193" s="414"/>
      <c r="I193" s="414"/>
      <c r="J193" s="414"/>
      <c r="K193" s="414"/>
      <c r="L193" s="414"/>
      <c r="M193" s="414"/>
      <c r="N193" s="414"/>
      <c r="O193" s="414"/>
      <c r="P193" s="414"/>
      <c r="Q193" s="414"/>
      <c r="R193" s="414"/>
      <c r="S193" s="104"/>
    </row>
    <row r="194" spans="5:19" ht="14" x14ac:dyDescent="0.25">
      <c r="E194" s="2" t="s">
        <v>15</v>
      </c>
      <c r="F194" s="71">
        <v>29.1</v>
      </c>
      <c r="G194" s="71">
        <v>2.9</v>
      </c>
      <c r="H194" s="41">
        <f>G194/2</f>
        <v>1.45</v>
      </c>
      <c r="I194" s="71">
        <f>F194-H194</f>
        <v>27.650000000000002</v>
      </c>
      <c r="J194" s="5">
        <f t="shared" ref="J194:J205" si="49">C$126</f>
        <v>1.75</v>
      </c>
      <c r="K194" s="5">
        <v>28</v>
      </c>
      <c r="L194" s="5">
        <f>25.5-K194</f>
        <v>-2.5</v>
      </c>
      <c r="M194" s="8">
        <f t="shared" ref="M194:M205" si="50">I194-29.4</f>
        <v>-1.7499999999999964</v>
      </c>
      <c r="N194" s="8">
        <f t="shared" ref="N194:N205" si="51">J194+L194+M194</f>
        <v>-2.4999999999999964</v>
      </c>
      <c r="O194" s="8">
        <v>3.75</v>
      </c>
      <c r="P194" s="8">
        <v>1.296</v>
      </c>
      <c r="Q194" s="8">
        <f>31*16</f>
        <v>496</v>
      </c>
      <c r="R194" s="108">
        <f t="shared" ref="R194:R205" si="52">(N194*O194*P194*Q194)/1000</f>
        <v>-6.0263999999999918</v>
      </c>
      <c r="S194" s="109"/>
    </row>
    <row r="195" spans="5:19" ht="14" x14ac:dyDescent="0.25">
      <c r="E195" s="2" t="s">
        <v>16</v>
      </c>
      <c r="F195" s="71">
        <v>29.5</v>
      </c>
      <c r="G195" s="71">
        <v>3.3</v>
      </c>
      <c r="H195" s="41">
        <f t="shared" ref="H195:H205" si="53">G195/2</f>
        <v>1.65</v>
      </c>
      <c r="I195" s="71">
        <f t="shared" ref="I195:I205" si="54">F195-H195</f>
        <v>27.85</v>
      </c>
      <c r="J195" s="5">
        <f t="shared" si="49"/>
        <v>1.75</v>
      </c>
      <c r="K195" s="5">
        <v>28</v>
      </c>
      <c r="L195" s="5">
        <f t="shared" ref="L195:L205" si="55">25.5-K195</f>
        <v>-2.5</v>
      </c>
      <c r="M195" s="8">
        <f t="shared" si="50"/>
        <v>-1.5499999999999972</v>
      </c>
      <c r="N195" s="8">
        <f t="shared" si="51"/>
        <v>-2.2999999999999972</v>
      </c>
      <c r="O195" s="8">
        <v>3.75</v>
      </c>
      <c r="P195" s="8">
        <v>1.296</v>
      </c>
      <c r="Q195" s="8">
        <f>28*16</f>
        <v>448</v>
      </c>
      <c r="R195" s="108">
        <f t="shared" si="52"/>
        <v>-5.0077439999999944</v>
      </c>
      <c r="S195" s="109"/>
    </row>
    <row r="196" spans="5:19" ht="14" x14ac:dyDescent="0.25">
      <c r="E196" s="2" t="s">
        <v>17</v>
      </c>
      <c r="F196" s="71">
        <v>30.6</v>
      </c>
      <c r="G196" s="71">
        <v>3.8</v>
      </c>
      <c r="H196" s="41">
        <f t="shared" si="53"/>
        <v>1.9</v>
      </c>
      <c r="I196" s="71">
        <f t="shared" si="54"/>
        <v>28.700000000000003</v>
      </c>
      <c r="J196" s="5">
        <f t="shared" si="49"/>
        <v>1.75</v>
      </c>
      <c r="K196" s="5">
        <v>28</v>
      </c>
      <c r="L196" s="5">
        <f t="shared" si="55"/>
        <v>-2.5</v>
      </c>
      <c r="M196" s="8">
        <f t="shared" si="50"/>
        <v>-0.69999999999999574</v>
      </c>
      <c r="N196" s="8">
        <f t="shared" si="51"/>
        <v>-1.4499999999999957</v>
      </c>
      <c r="O196" s="8">
        <v>3.75</v>
      </c>
      <c r="P196" s="8">
        <v>1.296</v>
      </c>
      <c r="Q196" s="8">
        <f>31*16</f>
        <v>496</v>
      </c>
      <c r="R196" s="108">
        <f t="shared" si="52"/>
        <v>-3.49531199999999</v>
      </c>
      <c r="S196" s="109"/>
    </row>
    <row r="197" spans="5:19" ht="14" x14ac:dyDescent="0.25">
      <c r="E197" s="2" t="s">
        <v>18</v>
      </c>
      <c r="F197" s="71">
        <v>31.3</v>
      </c>
      <c r="G197" s="71">
        <v>4.0999999999999996</v>
      </c>
      <c r="H197" s="41">
        <f t="shared" si="53"/>
        <v>2.0499999999999998</v>
      </c>
      <c r="I197" s="71">
        <f t="shared" si="54"/>
        <v>29.25</v>
      </c>
      <c r="J197" s="5">
        <f t="shared" si="49"/>
        <v>1.75</v>
      </c>
      <c r="K197" s="5">
        <v>28</v>
      </c>
      <c r="L197" s="5">
        <f t="shared" si="55"/>
        <v>-2.5</v>
      </c>
      <c r="M197" s="8">
        <f t="shared" si="50"/>
        <v>-0.14999999999999858</v>
      </c>
      <c r="N197" s="8">
        <f t="shared" si="51"/>
        <v>-0.89999999999999858</v>
      </c>
      <c r="O197" s="8">
        <v>3.75</v>
      </c>
      <c r="P197" s="8">
        <v>1.296</v>
      </c>
      <c r="Q197" s="8">
        <f>30*16</f>
        <v>480</v>
      </c>
      <c r="R197" s="108">
        <f t="shared" si="52"/>
        <v>-2.0995199999999969</v>
      </c>
      <c r="S197" s="109"/>
    </row>
    <row r="198" spans="5:19" ht="14" x14ac:dyDescent="0.25">
      <c r="E198" s="2" t="s">
        <v>12</v>
      </c>
      <c r="F198" s="71">
        <v>32.700000000000003</v>
      </c>
      <c r="G198" s="71">
        <v>4.8</v>
      </c>
      <c r="H198" s="41">
        <f t="shared" si="53"/>
        <v>2.4</v>
      </c>
      <c r="I198" s="71">
        <f t="shared" si="54"/>
        <v>30.300000000000004</v>
      </c>
      <c r="J198" s="5">
        <f t="shared" si="49"/>
        <v>1.75</v>
      </c>
      <c r="K198" s="5">
        <v>28</v>
      </c>
      <c r="L198" s="5">
        <f t="shared" si="55"/>
        <v>-2.5</v>
      </c>
      <c r="M198" s="8">
        <f t="shared" si="50"/>
        <v>0.90000000000000568</v>
      </c>
      <c r="N198" s="8">
        <f t="shared" si="51"/>
        <v>0.15000000000000568</v>
      </c>
      <c r="O198" s="8">
        <v>3.75</v>
      </c>
      <c r="P198" s="8">
        <v>1.296</v>
      </c>
      <c r="Q198" s="8">
        <f>31*16</f>
        <v>496</v>
      </c>
      <c r="R198" s="108">
        <f t="shared" si="52"/>
        <v>0.36158400000001373</v>
      </c>
      <c r="S198" s="109"/>
    </row>
    <row r="199" spans="5:19" ht="14" x14ac:dyDescent="0.25">
      <c r="E199" s="2" t="s">
        <v>13</v>
      </c>
      <c r="F199" s="71">
        <v>32.6</v>
      </c>
      <c r="G199" s="71">
        <v>4.8</v>
      </c>
      <c r="H199" s="41">
        <f t="shared" si="53"/>
        <v>2.4</v>
      </c>
      <c r="I199" s="71">
        <f t="shared" si="54"/>
        <v>30.200000000000003</v>
      </c>
      <c r="J199" s="5">
        <f t="shared" si="49"/>
        <v>1.75</v>
      </c>
      <c r="K199" s="5">
        <v>28</v>
      </c>
      <c r="L199" s="5">
        <f t="shared" si="55"/>
        <v>-2.5</v>
      </c>
      <c r="M199" s="8">
        <f t="shared" si="50"/>
        <v>0.80000000000000426</v>
      </c>
      <c r="N199" s="8">
        <f t="shared" si="51"/>
        <v>5.0000000000004263E-2</v>
      </c>
      <c r="O199" s="8">
        <v>3.75</v>
      </c>
      <c r="P199" s="8">
        <v>1.296</v>
      </c>
      <c r="Q199" s="8">
        <f>30*16</f>
        <v>480</v>
      </c>
      <c r="R199" s="108">
        <f t="shared" si="52"/>
        <v>0.11664000000000994</v>
      </c>
      <c r="S199" s="109"/>
    </row>
    <row r="200" spans="5:19" ht="14" x14ac:dyDescent="0.25">
      <c r="E200" s="2" t="s">
        <v>24</v>
      </c>
      <c r="F200" s="41">
        <v>31.7</v>
      </c>
      <c r="G200" s="98">
        <v>4.5999999999999996</v>
      </c>
      <c r="H200" s="41">
        <f t="shared" si="53"/>
        <v>2.2999999999999998</v>
      </c>
      <c r="I200" s="71">
        <f t="shared" si="54"/>
        <v>29.4</v>
      </c>
      <c r="J200" s="5">
        <f t="shared" si="49"/>
        <v>1.75</v>
      </c>
      <c r="K200" s="5">
        <v>28</v>
      </c>
      <c r="L200" s="5">
        <f t="shared" si="55"/>
        <v>-2.5</v>
      </c>
      <c r="M200" s="8">
        <f t="shared" si="50"/>
        <v>0</v>
      </c>
      <c r="N200" s="8">
        <f t="shared" si="51"/>
        <v>-0.75</v>
      </c>
      <c r="O200" s="8">
        <v>3.75</v>
      </c>
      <c r="P200" s="8">
        <v>1.296</v>
      </c>
      <c r="Q200" s="8">
        <f>31*16</f>
        <v>496</v>
      </c>
      <c r="R200" s="108">
        <f t="shared" si="52"/>
        <v>-1.80792</v>
      </c>
      <c r="S200" s="109"/>
    </row>
    <row r="201" spans="5:19" ht="14" x14ac:dyDescent="0.25">
      <c r="E201" s="2" t="s">
        <v>19</v>
      </c>
      <c r="F201" s="41">
        <v>32.200000000000003</v>
      </c>
      <c r="G201" s="98">
        <v>4.8</v>
      </c>
      <c r="H201" s="41">
        <f t="shared" si="53"/>
        <v>2.4</v>
      </c>
      <c r="I201" s="71">
        <f t="shared" si="54"/>
        <v>29.800000000000004</v>
      </c>
      <c r="J201" s="5">
        <f t="shared" si="49"/>
        <v>1.75</v>
      </c>
      <c r="K201" s="5">
        <v>28</v>
      </c>
      <c r="L201" s="5">
        <f t="shared" si="55"/>
        <v>-2.5</v>
      </c>
      <c r="M201" s="8">
        <f t="shared" si="50"/>
        <v>0.40000000000000568</v>
      </c>
      <c r="N201" s="8">
        <f t="shared" si="51"/>
        <v>-0.34999999999999432</v>
      </c>
      <c r="O201" s="8">
        <v>3.75</v>
      </c>
      <c r="P201" s="8">
        <v>1.296</v>
      </c>
      <c r="Q201" s="8">
        <f>31*16</f>
        <v>496</v>
      </c>
      <c r="R201" s="108">
        <f t="shared" si="52"/>
        <v>-0.84369599999998635</v>
      </c>
      <c r="S201" s="109"/>
    </row>
    <row r="202" spans="5:19" ht="14" x14ac:dyDescent="0.25">
      <c r="E202" s="2" t="s">
        <v>20</v>
      </c>
      <c r="F202" s="41">
        <v>32.200000000000003</v>
      </c>
      <c r="G202" s="98">
        <v>4.8</v>
      </c>
      <c r="H202" s="41">
        <f t="shared" si="53"/>
        <v>2.4</v>
      </c>
      <c r="I202" s="71">
        <f t="shared" si="54"/>
        <v>29.800000000000004</v>
      </c>
      <c r="J202" s="5">
        <f t="shared" si="49"/>
        <v>1.75</v>
      </c>
      <c r="K202" s="5">
        <v>28</v>
      </c>
      <c r="L202" s="5">
        <f t="shared" si="55"/>
        <v>-2.5</v>
      </c>
      <c r="M202" s="8">
        <f t="shared" si="50"/>
        <v>0.40000000000000568</v>
      </c>
      <c r="N202" s="8">
        <f t="shared" si="51"/>
        <v>-0.34999999999999432</v>
      </c>
      <c r="O202" s="8">
        <v>3.75</v>
      </c>
      <c r="P202" s="8">
        <v>1.296</v>
      </c>
      <c r="Q202" s="8">
        <f>30*16</f>
        <v>480</v>
      </c>
      <c r="R202" s="108">
        <f t="shared" si="52"/>
        <v>-0.81647999999998688</v>
      </c>
      <c r="S202" s="109"/>
    </row>
    <row r="203" spans="5:19" ht="14" x14ac:dyDescent="0.25">
      <c r="E203" s="2" t="s">
        <v>21</v>
      </c>
      <c r="F203" s="41">
        <v>31.6</v>
      </c>
      <c r="G203" s="98">
        <v>4.4000000000000004</v>
      </c>
      <c r="H203" s="41">
        <f t="shared" si="53"/>
        <v>2.2000000000000002</v>
      </c>
      <c r="I203" s="71">
        <f t="shared" si="54"/>
        <v>29.400000000000002</v>
      </c>
      <c r="J203" s="5">
        <f t="shared" si="49"/>
        <v>1.75</v>
      </c>
      <c r="K203" s="5">
        <v>28</v>
      </c>
      <c r="L203" s="5">
        <f t="shared" si="55"/>
        <v>-2.5</v>
      </c>
      <c r="M203" s="8">
        <f t="shared" si="50"/>
        <v>0</v>
      </c>
      <c r="N203" s="8">
        <f t="shared" si="51"/>
        <v>-0.75</v>
      </c>
      <c r="O203" s="8">
        <v>3.75</v>
      </c>
      <c r="P203" s="8">
        <v>1.296</v>
      </c>
      <c r="Q203" s="8">
        <f>31*16</f>
        <v>496</v>
      </c>
      <c r="R203" s="108">
        <f t="shared" si="52"/>
        <v>-1.80792</v>
      </c>
      <c r="S203" s="109"/>
    </row>
    <row r="204" spans="5:19" ht="14" x14ac:dyDescent="0.25">
      <c r="E204" s="2" t="s">
        <v>22</v>
      </c>
      <c r="F204" s="41">
        <v>30.6</v>
      </c>
      <c r="G204" s="98">
        <v>3.7</v>
      </c>
      <c r="H204" s="41">
        <f t="shared" si="53"/>
        <v>1.85</v>
      </c>
      <c r="I204" s="71">
        <f t="shared" si="54"/>
        <v>28.75</v>
      </c>
      <c r="J204" s="5">
        <f t="shared" si="49"/>
        <v>1.75</v>
      </c>
      <c r="K204" s="5">
        <v>28</v>
      </c>
      <c r="L204" s="5">
        <f t="shared" si="55"/>
        <v>-2.5</v>
      </c>
      <c r="M204" s="8">
        <f t="shared" si="50"/>
        <v>-0.64999999999999858</v>
      </c>
      <c r="N204" s="8">
        <f t="shared" si="51"/>
        <v>-1.3999999999999986</v>
      </c>
      <c r="O204" s="8">
        <v>3.75</v>
      </c>
      <c r="P204" s="8">
        <v>1.296</v>
      </c>
      <c r="Q204" s="8">
        <f>30*16</f>
        <v>480</v>
      </c>
      <c r="R204" s="108">
        <f t="shared" si="52"/>
        <v>-3.2659199999999968</v>
      </c>
      <c r="S204" s="109"/>
    </row>
    <row r="205" spans="5:19" ht="14" x14ac:dyDescent="0.25">
      <c r="E205" s="2" t="s">
        <v>23</v>
      </c>
      <c r="F205" s="41">
        <v>29.7</v>
      </c>
      <c r="G205" s="98">
        <v>3.1</v>
      </c>
      <c r="H205" s="41">
        <f t="shared" si="53"/>
        <v>1.55</v>
      </c>
      <c r="I205" s="71">
        <f t="shared" si="54"/>
        <v>28.15</v>
      </c>
      <c r="J205" s="5">
        <f t="shared" si="49"/>
        <v>1.75</v>
      </c>
      <c r="K205" s="5">
        <v>28</v>
      </c>
      <c r="L205" s="5">
        <f t="shared" si="55"/>
        <v>-2.5</v>
      </c>
      <c r="M205" s="8">
        <f t="shared" si="50"/>
        <v>-1.25</v>
      </c>
      <c r="N205" s="8">
        <f t="shared" si="51"/>
        <v>-2</v>
      </c>
      <c r="O205" s="8">
        <v>3.75</v>
      </c>
      <c r="P205" s="8">
        <v>1.296</v>
      </c>
      <c r="Q205" s="8">
        <f>31*16</f>
        <v>496</v>
      </c>
      <c r="R205" s="108">
        <f t="shared" si="52"/>
        <v>-4.8211199999999996</v>
      </c>
      <c r="S205" s="109"/>
    </row>
    <row r="206" spans="5:19" ht="15.5" thickBot="1" x14ac:dyDescent="0.3">
      <c r="E206" s="420" t="s">
        <v>61</v>
      </c>
      <c r="F206" s="421"/>
      <c r="G206" s="421"/>
      <c r="H206" s="421"/>
      <c r="I206" s="421"/>
      <c r="J206" s="421"/>
      <c r="K206" s="421"/>
      <c r="L206" s="421"/>
      <c r="M206" s="421"/>
      <c r="N206" s="421"/>
      <c r="O206" s="421"/>
      <c r="P206" s="421"/>
      <c r="Q206" s="422"/>
      <c r="R206" s="107">
        <f>SUM(R194:R205)</f>
        <v>-29.513807999999919</v>
      </c>
      <c r="S206" s="105"/>
    </row>
    <row r="209" spans="5:11" ht="13.5" thickBot="1" x14ac:dyDescent="0.3"/>
    <row r="210" spans="5:11" x14ac:dyDescent="0.3">
      <c r="E210" s="295" t="s">
        <v>81</v>
      </c>
      <c r="F210" s="296"/>
      <c r="G210" s="296"/>
      <c r="H210" s="296"/>
      <c r="I210" s="296"/>
      <c r="J210" s="296"/>
      <c r="K210" s="297"/>
    </row>
    <row r="211" spans="5:11" ht="15.5" thickBot="1" x14ac:dyDescent="0.3">
      <c r="E211" s="46" t="s">
        <v>78</v>
      </c>
      <c r="F211" s="37" t="s">
        <v>63</v>
      </c>
      <c r="G211" s="37" t="s">
        <v>64</v>
      </c>
      <c r="H211" s="37" t="s">
        <v>79</v>
      </c>
      <c r="I211" s="37" t="s">
        <v>82</v>
      </c>
      <c r="J211" s="37" t="s">
        <v>57</v>
      </c>
      <c r="K211" s="73" t="s">
        <v>80</v>
      </c>
    </row>
    <row r="212" spans="5:11" x14ac:dyDescent="0.25">
      <c r="E212" s="44" t="s">
        <v>15</v>
      </c>
      <c r="F212" s="8">
        <v>0.55000000000000004</v>
      </c>
      <c r="G212" s="8">
        <v>0.51</v>
      </c>
      <c r="H212" s="111">
        <v>94.63</v>
      </c>
      <c r="I212" s="8">
        <v>1.296</v>
      </c>
      <c r="J212" s="8">
        <f>31*16</f>
        <v>496</v>
      </c>
      <c r="K212" s="40">
        <f>(F212*G212*H212*I212*J212)/1000</f>
        <v>17.062724701440001</v>
      </c>
    </row>
    <row r="213" spans="5:11" x14ac:dyDescent="0.25">
      <c r="E213" s="44" t="s">
        <v>16</v>
      </c>
      <c r="F213" s="8">
        <v>0.55000000000000004</v>
      </c>
      <c r="G213" s="8">
        <v>0.51</v>
      </c>
      <c r="H213" s="63">
        <v>104.1</v>
      </c>
      <c r="I213" s="8">
        <v>1.296</v>
      </c>
      <c r="J213" s="8">
        <f>28*16</f>
        <v>448</v>
      </c>
      <c r="K213" s="40">
        <f t="shared" ref="K213:K223" si="56">(F213*G213*H213*I213*J213)/1000</f>
        <v>16.953782630399999</v>
      </c>
    </row>
    <row r="214" spans="5:11" x14ac:dyDescent="0.25">
      <c r="E214" s="44" t="s">
        <v>17</v>
      </c>
      <c r="F214" s="8">
        <v>0.55000000000000004</v>
      </c>
      <c r="G214" s="8">
        <v>0.51</v>
      </c>
      <c r="H214" s="63">
        <v>110.41</v>
      </c>
      <c r="I214" s="8">
        <v>1.296</v>
      </c>
      <c r="J214" s="8">
        <f>31*16</f>
        <v>496</v>
      </c>
      <c r="K214" s="40">
        <f t="shared" si="56"/>
        <v>19.908014734079998</v>
      </c>
    </row>
    <row r="215" spans="5:11" x14ac:dyDescent="0.25">
      <c r="E215" s="44" t="s">
        <v>18</v>
      </c>
      <c r="F215" s="8">
        <v>0.55000000000000004</v>
      </c>
      <c r="G215" s="8">
        <v>0.51</v>
      </c>
      <c r="H215" s="63">
        <v>123.02</v>
      </c>
      <c r="I215" s="8">
        <v>1.296</v>
      </c>
      <c r="J215" s="8">
        <f>30*16</f>
        <v>480</v>
      </c>
      <c r="K215" s="40">
        <f t="shared" si="56"/>
        <v>21.466182988800004</v>
      </c>
    </row>
    <row r="216" spans="5:11" x14ac:dyDescent="0.25">
      <c r="E216" s="44" t="s">
        <v>12</v>
      </c>
      <c r="F216" s="8">
        <v>0.55000000000000004</v>
      </c>
      <c r="G216" s="8">
        <v>0.51</v>
      </c>
      <c r="H216" s="63">
        <v>164.03</v>
      </c>
      <c r="I216" s="8">
        <v>1.296</v>
      </c>
      <c r="J216" s="8">
        <f>31*16</f>
        <v>496</v>
      </c>
      <c r="K216" s="40">
        <f t="shared" si="56"/>
        <v>29.576230928640001</v>
      </c>
    </row>
    <row r="217" spans="5:11" x14ac:dyDescent="0.25">
      <c r="E217" s="44" t="s">
        <v>13</v>
      </c>
      <c r="F217" s="8">
        <v>0.55000000000000004</v>
      </c>
      <c r="G217" s="8">
        <v>0.51</v>
      </c>
      <c r="H217" s="63">
        <v>208.2</v>
      </c>
      <c r="I217" s="8">
        <v>1.296</v>
      </c>
      <c r="J217" s="8">
        <f>30*16</f>
        <v>480</v>
      </c>
      <c r="K217" s="40">
        <f t="shared" si="56"/>
        <v>36.329534207999998</v>
      </c>
    </row>
    <row r="218" spans="5:11" x14ac:dyDescent="0.25">
      <c r="E218" s="44" t="s">
        <v>24</v>
      </c>
      <c r="F218" s="8">
        <v>0.55000000000000004</v>
      </c>
      <c r="G218" s="8">
        <v>0.51</v>
      </c>
      <c r="H218" s="118">
        <v>173.5</v>
      </c>
      <c r="I218" s="8">
        <v>1.296</v>
      </c>
      <c r="J218" s="8">
        <f>31*16</f>
        <v>496</v>
      </c>
      <c r="K218" s="40">
        <f t="shared" si="56"/>
        <v>31.283765568000007</v>
      </c>
    </row>
    <row r="219" spans="5:11" x14ac:dyDescent="0.25">
      <c r="E219" s="44" t="s">
        <v>19</v>
      </c>
      <c r="F219" s="8">
        <v>0.55000000000000004</v>
      </c>
      <c r="G219" s="8">
        <v>0.51</v>
      </c>
      <c r="H219" s="118">
        <v>129.33000000000001</v>
      </c>
      <c r="I219" s="8">
        <v>1.296</v>
      </c>
      <c r="J219" s="8">
        <f>31*16</f>
        <v>496</v>
      </c>
      <c r="K219" s="40">
        <f t="shared" si="56"/>
        <v>23.319477815040006</v>
      </c>
    </row>
    <row r="220" spans="5:11" x14ac:dyDescent="0.25">
      <c r="E220" s="44" t="s">
        <v>20</v>
      </c>
      <c r="F220" s="8">
        <v>0.55000000000000004</v>
      </c>
      <c r="G220" s="8">
        <v>0.51</v>
      </c>
      <c r="H220" s="118">
        <v>113.56</v>
      </c>
      <c r="I220" s="8">
        <v>1.296</v>
      </c>
      <c r="J220" s="8">
        <f>30*16</f>
        <v>480</v>
      </c>
      <c r="K220" s="40">
        <f t="shared" si="56"/>
        <v>19.815475046400003</v>
      </c>
    </row>
    <row r="221" spans="5:11" x14ac:dyDescent="0.25">
      <c r="E221" s="44" t="s">
        <v>21</v>
      </c>
      <c r="F221" s="8">
        <v>0.55000000000000004</v>
      </c>
      <c r="G221" s="8">
        <v>0.51</v>
      </c>
      <c r="H221" s="118">
        <v>104.1</v>
      </c>
      <c r="I221" s="8">
        <v>1.296</v>
      </c>
      <c r="J221" s="8">
        <f>31*16</f>
        <v>496</v>
      </c>
      <c r="K221" s="40">
        <f t="shared" si="56"/>
        <v>18.770259340799999</v>
      </c>
    </row>
    <row r="222" spans="5:11" x14ac:dyDescent="0.25">
      <c r="E222" s="44" t="s">
        <v>22</v>
      </c>
      <c r="F222" s="8">
        <v>0.55000000000000004</v>
      </c>
      <c r="G222" s="8">
        <v>0.51</v>
      </c>
      <c r="H222" s="63">
        <v>94.63</v>
      </c>
      <c r="I222" s="8">
        <v>1.296</v>
      </c>
      <c r="J222" s="8">
        <f>30*16</f>
        <v>480</v>
      </c>
      <c r="K222" s="40">
        <f t="shared" si="56"/>
        <v>16.512314227200005</v>
      </c>
    </row>
    <row r="223" spans="5:11" ht="13.5" thickBot="1" x14ac:dyDescent="0.3">
      <c r="E223" s="44" t="s">
        <v>23</v>
      </c>
      <c r="F223" s="8">
        <v>0.55000000000000004</v>
      </c>
      <c r="G223" s="8">
        <v>0.51</v>
      </c>
      <c r="H223" s="64">
        <v>91.48</v>
      </c>
      <c r="I223" s="8">
        <v>1.296</v>
      </c>
      <c r="J223" s="8">
        <f>31*16</f>
        <v>496</v>
      </c>
      <c r="K223" s="40">
        <f t="shared" si="56"/>
        <v>16.494748554240001</v>
      </c>
    </row>
    <row r="224" spans="5:11" ht="15.5" thickBot="1" x14ac:dyDescent="0.45">
      <c r="E224" s="310" t="s">
        <v>80</v>
      </c>
      <c r="F224" s="311"/>
      <c r="G224" s="311"/>
      <c r="H224" s="311"/>
      <c r="I224" s="311"/>
      <c r="J224" s="311"/>
      <c r="K224" s="74">
        <f>SUM(K212:K223)</f>
        <v>267.49251074304004</v>
      </c>
    </row>
    <row r="227" spans="5:18" ht="13.5" thickBot="1" x14ac:dyDescent="0.3"/>
    <row r="228" spans="5:18" x14ac:dyDescent="0.3">
      <c r="E228" s="295" t="s">
        <v>89</v>
      </c>
      <c r="F228" s="296"/>
      <c r="G228" s="296"/>
      <c r="H228" s="296"/>
      <c r="I228" s="296"/>
      <c r="J228" s="296"/>
      <c r="K228" s="296"/>
      <c r="L228" s="296"/>
      <c r="M228" s="296"/>
      <c r="N228" s="296"/>
      <c r="O228" s="296"/>
      <c r="P228" s="296"/>
      <c r="Q228" s="296"/>
      <c r="R228" s="297"/>
    </row>
    <row r="229" spans="5:18" ht="21" customHeight="1" x14ac:dyDescent="0.25">
      <c r="E229" s="46" t="s">
        <v>0</v>
      </c>
      <c r="F229" s="37" t="s">
        <v>84</v>
      </c>
      <c r="G229" s="37" t="s">
        <v>95</v>
      </c>
      <c r="H229" s="37" t="s">
        <v>96</v>
      </c>
      <c r="I229" s="37" t="s">
        <v>97</v>
      </c>
      <c r="J229" s="37" t="s">
        <v>98</v>
      </c>
      <c r="K229" s="37" t="s">
        <v>99</v>
      </c>
      <c r="L229" s="37" t="s">
        <v>100</v>
      </c>
      <c r="M229" s="37" t="s">
        <v>101</v>
      </c>
      <c r="N229" s="37"/>
      <c r="O229" s="37" t="s">
        <v>85</v>
      </c>
      <c r="P229" s="37" t="s">
        <v>102</v>
      </c>
      <c r="Q229" s="37" t="s">
        <v>86</v>
      </c>
      <c r="R229" s="73" t="s">
        <v>103</v>
      </c>
    </row>
    <row r="230" spans="5:18" ht="15" customHeight="1" x14ac:dyDescent="0.25">
      <c r="E230" s="44" t="s">
        <v>15</v>
      </c>
      <c r="F230" s="8">
        <v>0.6</v>
      </c>
      <c r="G230" s="8">
        <v>38.880000000000003</v>
      </c>
      <c r="H230" s="8">
        <v>1.0049999999999999</v>
      </c>
      <c r="I230" s="8">
        <v>1.2929999999999999</v>
      </c>
      <c r="J230" s="71">
        <v>29.1</v>
      </c>
      <c r="K230" s="8">
        <v>22</v>
      </c>
      <c r="L230" s="8">
        <f>J230-K230</f>
        <v>7.1000000000000014</v>
      </c>
      <c r="M230" s="27">
        <f>F230*G230*H230*I230*L230</f>
        <v>215.22882859199999</v>
      </c>
      <c r="N230" s="27"/>
      <c r="O230" s="8">
        <v>0.27700000000000002</v>
      </c>
      <c r="P230" s="18">
        <f>M230*O230</f>
        <v>59.618385519984002</v>
      </c>
      <c r="Q230" s="8">
        <f>31*16</f>
        <v>496</v>
      </c>
      <c r="R230" s="40">
        <f>(P230*Q230)/1000</f>
        <v>29.570719217912064</v>
      </c>
    </row>
    <row r="231" spans="5:18" ht="15" customHeight="1" x14ac:dyDescent="0.25">
      <c r="E231" s="44" t="s">
        <v>16</v>
      </c>
      <c r="F231" s="8">
        <v>0.6</v>
      </c>
      <c r="G231" s="8">
        <v>38.880000000000003</v>
      </c>
      <c r="H231" s="8">
        <v>1.0049999999999999</v>
      </c>
      <c r="I231" s="8">
        <v>1.2929999999999999</v>
      </c>
      <c r="J231" s="71">
        <v>29.5</v>
      </c>
      <c r="K231" s="8">
        <v>22</v>
      </c>
      <c r="L231" s="8">
        <f t="shared" ref="L231:L241" si="57">J231-K231</f>
        <v>7.5</v>
      </c>
      <c r="M231" s="27">
        <f t="shared" ref="M231:M241" si="58">F231*G231*H231*I231*L231</f>
        <v>227.35439639999993</v>
      </c>
      <c r="N231" s="27"/>
      <c r="O231" s="8">
        <v>0.27700000000000002</v>
      </c>
      <c r="P231" s="18">
        <f t="shared" ref="P231:P241" si="59">M231*O231</f>
        <v>62.977167802799983</v>
      </c>
      <c r="Q231" s="8">
        <f>28*16</f>
        <v>448</v>
      </c>
      <c r="R231" s="40">
        <f t="shared" ref="R231:R241" si="60">(P231*Q231)/1000</f>
        <v>28.213771175654394</v>
      </c>
    </row>
    <row r="232" spans="5:18" ht="15" customHeight="1" x14ac:dyDescent="0.25">
      <c r="E232" s="44" t="s">
        <v>17</v>
      </c>
      <c r="F232" s="8">
        <v>0.6</v>
      </c>
      <c r="G232" s="8">
        <v>38.880000000000003</v>
      </c>
      <c r="H232" s="8">
        <v>1.0049999999999999</v>
      </c>
      <c r="I232" s="8">
        <v>1.2929999999999999</v>
      </c>
      <c r="J232" s="71">
        <v>30.6</v>
      </c>
      <c r="K232" s="8">
        <v>22</v>
      </c>
      <c r="L232" s="8">
        <f t="shared" si="57"/>
        <v>8.6000000000000014</v>
      </c>
      <c r="M232" s="27">
        <f t="shared" si="58"/>
        <v>260.69970787199998</v>
      </c>
      <c r="N232" s="27"/>
      <c r="O232" s="8">
        <v>0.27700000000000002</v>
      </c>
      <c r="P232" s="18">
        <f t="shared" si="59"/>
        <v>72.213819080543999</v>
      </c>
      <c r="Q232" s="8">
        <f>31*16</f>
        <v>496</v>
      </c>
      <c r="R232" s="40">
        <f t="shared" si="60"/>
        <v>35.818054263949826</v>
      </c>
    </row>
    <row r="233" spans="5:18" ht="15" customHeight="1" x14ac:dyDescent="0.25">
      <c r="E233" s="44" t="s">
        <v>18</v>
      </c>
      <c r="F233" s="8">
        <v>0.6</v>
      </c>
      <c r="G233" s="8">
        <v>38.880000000000003</v>
      </c>
      <c r="H233" s="8">
        <v>1.0049999999999999</v>
      </c>
      <c r="I233" s="8">
        <v>1.2929999999999999</v>
      </c>
      <c r="J233" s="71">
        <v>31.3</v>
      </c>
      <c r="K233" s="8">
        <v>22</v>
      </c>
      <c r="L233" s="8">
        <f t="shared" si="57"/>
        <v>9.3000000000000007</v>
      </c>
      <c r="M233" s="27">
        <f t="shared" si="58"/>
        <v>281.91945153599994</v>
      </c>
      <c r="N233" s="27"/>
      <c r="O233" s="8">
        <v>0.27700000000000002</v>
      </c>
      <c r="P233" s="18">
        <f t="shared" si="59"/>
        <v>78.091688075471993</v>
      </c>
      <c r="Q233" s="8">
        <f>30*16</f>
        <v>480</v>
      </c>
      <c r="R233" s="40">
        <f t="shared" si="60"/>
        <v>37.484010276226563</v>
      </c>
    </row>
    <row r="234" spans="5:18" ht="15" customHeight="1" x14ac:dyDescent="0.25">
      <c r="E234" s="44" t="s">
        <v>12</v>
      </c>
      <c r="F234" s="8">
        <v>0.6</v>
      </c>
      <c r="G234" s="8">
        <v>38.880000000000003</v>
      </c>
      <c r="H234" s="8">
        <v>1.0049999999999999</v>
      </c>
      <c r="I234" s="8">
        <v>1.2929999999999999</v>
      </c>
      <c r="J234" s="71">
        <v>32.700000000000003</v>
      </c>
      <c r="K234" s="8">
        <v>22</v>
      </c>
      <c r="L234" s="8">
        <f t="shared" si="57"/>
        <v>10.700000000000003</v>
      </c>
      <c r="M234" s="27">
        <f t="shared" si="58"/>
        <v>324.35893886399998</v>
      </c>
      <c r="N234" s="27"/>
      <c r="O234" s="8">
        <v>0.27700000000000002</v>
      </c>
      <c r="P234" s="18">
        <f t="shared" si="59"/>
        <v>89.847426065328008</v>
      </c>
      <c r="Q234" s="8">
        <f>31*16</f>
        <v>496</v>
      </c>
      <c r="R234" s="40">
        <f t="shared" si="60"/>
        <v>44.564323328402693</v>
      </c>
    </row>
    <row r="235" spans="5:18" ht="15" customHeight="1" x14ac:dyDescent="0.25">
      <c r="E235" s="44" t="s">
        <v>13</v>
      </c>
      <c r="F235" s="8">
        <v>0.6</v>
      </c>
      <c r="G235" s="8">
        <v>38.880000000000003</v>
      </c>
      <c r="H235" s="8">
        <v>1.0049999999999999</v>
      </c>
      <c r="I235" s="8">
        <v>1.2929999999999999</v>
      </c>
      <c r="J235" s="71">
        <v>32.6</v>
      </c>
      <c r="K235" s="8">
        <v>22</v>
      </c>
      <c r="L235" s="8">
        <f t="shared" si="57"/>
        <v>10.600000000000001</v>
      </c>
      <c r="M235" s="27">
        <f t="shared" si="58"/>
        <v>321.32754691199995</v>
      </c>
      <c r="N235" s="27"/>
      <c r="O235" s="8">
        <v>0.27700000000000002</v>
      </c>
      <c r="P235" s="18">
        <f t="shared" si="59"/>
        <v>89.007730494623999</v>
      </c>
      <c r="Q235" s="8">
        <f>30*16</f>
        <v>480</v>
      </c>
      <c r="R235" s="40">
        <f t="shared" si="60"/>
        <v>42.723710637419522</v>
      </c>
    </row>
    <row r="236" spans="5:18" ht="15" customHeight="1" x14ac:dyDescent="0.25">
      <c r="E236" s="44" t="s">
        <v>24</v>
      </c>
      <c r="F236" s="8">
        <v>0.6</v>
      </c>
      <c r="G236" s="8">
        <v>38.880000000000003</v>
      </c>
      <c r="H236" s="8">
        <v>1.0049999999999999</v>
      </c>
      <c r="I236" s="8">
        <v>1.2929999999999999</v>
      </c>
      <c r="J236" s="41">
        <v>31.7</v>
      </c>
      <c r="K236" s="8">
        <v>22</v>
      </c>
      <c r="L236" s="8">
        <f t="shared" si="57"/>
        <v>9.6999999999999993</v>
      </c>
      <c r="M236" s="27">
        <f t="shared" si="58"/>
        <v>294.04501934399991</v>
      </c>
      <c r="N236" s="27"/>
      <c r="O236" s="8">
        <v>0.27700000000000002</v>
      </c>
      <c r="P236" s="18">
        <f t="shared" si="59"/>
        <v>81.450470358287987</v>
      </c>
      <c r="Q236" s="8">
        <f>31*16</f>
        <v>496</v>
      </c>
      <c r="R236" s="40">
        <f t="shared" si="60"/>
        <v>40.399433297710843</v>
      </c>
    </row>
    <row r="237" spans="5:18" ht="15" customHeight="1" x14ac:dyDescent="0.25">
      <c r="E237" s="44" t="s">
        <v>19</v>
      </c>
      <c r="F237" s="8">
        <v>0.6</v>
      </c>
      <c r="G237" s="8">
        <v>38.880000000000003</v>
      </c>
      <c r="H237" s="8">
        <v>1.0049999999999999</v>
      </c>
      <c r="I237" s="8">
        <v>1.2929999999999999</v>
      </c>
      <c r="J237" s="41">
        <v>32.200000000000003</v>
      </c>
      <c r="K237" s="8">
        <v>22</v>
      </c>
      <c r="L237" s="8">
        <f t="shared" si="57"/>
        <v>10.200000000000003</v>
      </c>
      <c r="M237" s="27">
        <f t="shared" si="58"/>
        <v>309.20197910399997</v>
      </c>
      <c r="N237" s="27"/>
      <c r="O237" s="8">
        <v>0.27700000000000002</v>
      </c>
      <c r="P237" s="18">
        <f t="shared" si="59"/>
        <v>85.648948211808005</v>
      </c>
      <c r="Q237" s="8">
        <f>31*16</f>
        <v>496</v>
      </c>
      <c r="R237" s="40">
        <f t="shared" si="60"/>
        <v>42.481878313056768</v>
      </c>
    </row>
    <row r="238" spans="5:18" ht="15" customHeight="1" x14ac:dyDescent="0.25">
      <c r="E238" s="44" t="s">
        <v>20</v>
      </c>
      <c r="F238" s="8">
        <v>0.6</v>
      </c>
      <c r="G238" s="8">
        <v>38.880000000000003</v>
      </c>
      <c r="H238" s="8">
        <v>1.0049999999999999</v>
      </c>
      <c r="I238" s="8">
        <v>1.2929999999999999</v>
      </c>
      <c r="J238" s="41">
        <v>32.200000000000003</v>
      </c>
      <c r="K238" s="8">
        <v>22</v>
      </c>
      <c r="L238" s="8">
        <f t="shared" si="57"/>
        <v>10.200000000000003</v>
      </c>
      <c r="M238" s="27">
        <f t="shared" si="58"/>
        <v>309.20197910399997</v>
      </c>
      <c r="N238" s="27"/>
      <c r="O238" s="8">
        <v>0.27700000000000002</v>
      </c>
      <c r="P238" s="18">
        <f t="shared" si="59"/>
        <v>85.648948211808005</v>
      </c>
      <c r="Q238" s="8">
        <f>30*16</f>
        <v>480</v>
      </c>
      <c r="R238" s="40">
        <f t="shared" si="60"/>
        <v>41.111495141667845</v>
      </c>
    </row>
    <row r="239" spans="5:18" ht="15" customHeight="1" x14ac:dyDescent="0.25">
      <c r="E239" s="44" t="s">
        <v>21</v>
      </c>
      <c r="F239" s="8">
        <v>0.6</v>
      </c>
      <c r="G239" s="8">
        <v>38.880000000000003</v>
      </c>
      <c r="H239" s="8">
        <v>1.0049999999999999</v>
      </c>
      <c r="I239" s="8">
        <v>1.2929999999999999</v>
      </c>
      <c r="J239" s="41">
        <v>31.6</v>
      </c>
      <c r="K239" s="8">
        <v>22</v>
      </c>
      <c r="L239" s="8">
        <f t="shared" si="57"/>
        <v>9.6000000000000014</v>
      </c>
      <c r="M239" s="27">
        <f t="shared" si="58"/>
        <v>291.01362739199999</v>
      </c>
      <c r="N239" s="27"/>
      <c r="O239" s="8">
        <v>0.27700000000000002</v>
      </c>
      <c r="P239" s="18">
        <f t="shared" si="59"/>
        <v>80.610774787584006</v>
      </c>
      <c r="Q239" s="8">
        <f>31*16</f>
        <v>496</v>
      </c>
      <c r="R239" s="40">
        <f t="shared" si="60"/>
        <v>39.982944294641669</v>
      </c>
    </row>
    <row r="240" spans="5:18" ht="15" customHeight="1" x14ac:dyDescent="0.25">
      <c r="E240" s="44" t="s">
        <v>22</v>
      </c>
      <c r="F240" s="8">
        <v>0.6</v>
      </c>
      <c r="G240" s="8">
        <v>38.880000000000003</v>
      </c>
      <c r="H240" s="8">
        <v>1.0049999999999999</v>
      </c>
      <c r="I240" s="8">
        <v>1.2929999999999999</v>
      </c>
      <c r="J240" s="41">
        <v>30.6</v>
      </c>
      <c r="K240" s="8">
        <v>22</v>
      </c>
      <c r="L240" s="8">
        <f t="shared" si="57"/>
        <v>8.6000000000000014</v>
      </c>
      <c r="M240" s="27">
        <f t="shared" si="58"/>
        <v>260.69970787199998</v>
      </c>
      <c r="N240" s="27"/>
      <c r="O240" s="8">
        <v>0.27700000000000002</v>
      </c>
      <c r="P240" s="18">
        <f t="shared" si="59"/>
        <v>72.213819080543999</v>
      </c>
      <c r="Q240" s="8">
        <f>30*16</f>
        <v>480</v>
      </c>
      <c r="R240" s="40">
        <f t="shared" si="60"/>
        <v>34.662633158661123</v>
      </c>
    </row>
    <row r="241" spans="5:18" ht="15" customHeight="1" x14ac:dyDescent="0.25">
      <c r="E241" s="44" t="s">
        <v>23</v>
      </c>
      <c r="F241" s="8">
        <v>0.6</v>
      </c>
      <c r="G241" s="8">
        <v>38.880000000000003</v>
      </c>
      <c r="H241" s="8">
        <v>1.0049999999999999</v>
      </c>
      <c r="I241" s="8">
        <v>1.2929999999999999</v>
      </c>
      <c r="J241" s="41">
        <v>29.7</v>
      </c>
      <c r="K241" s="8">
        <v>22</v>
      </c>
      <c r="L241" s="8">
        <f t="shared" si="57"/>
        <v>7.6999999999999993</v>
      </c>
      <c r="M241" s="27">
        <f t="shared" si="58"/>
        <v>233.41718030399991</v>
      </c>
      <c r="N241" s="27"/>
      <c r="O241" s="8">
        <v>0.27700000000000002</v>
      </c>
      <c r="P241" s="18">
        <f t="shared" si="59"/>
        <v>64.656558944207987</v>
      </c>
      <c r="Q241" s="8">
        <f>31*16</f>
        <v>496</v>
      </c>
      <c r="R241" s="40">
        <f t="shared" si="60"/>
        <v>32.069653236327163</v>
      </c>
    </row>
    <row r="242" spans="5:18" ht="15" customHeight="1" x14ac:dyDescent="0.4">
      <c r="E242" s="314" t="s">
        <v>133</v>
      </c>
      <c r="F242" s="315"/>
      <c r="G242" s="315"/>
      <c r="H242" s="315"/>
      <c r="I242" s="315"/>
      <c r="J242" s="315"/>
      <c r="K242" s="315"/>
      <c r="L242" s="315"/>
      <c r="M242" s="315"/>
      <c r="N242" s="315"/>
      <c r="O242" s="315"/>
      <c r="P242" s="315"/>
      <c r="Q242" s="315"/>
      <c r="R242" s="84">
        <f>SUM(R230:R241)</f>
        <v>449.08262634163049</v>
      </c>
    </row>
    <row r="243" spans="5:18" ht="14" x14ac:dyDescent="0.25">
      <c r="E243" s="44" t="s">
        <v>15</v>
      </c>
      <c r="F243" s="8">
        <v>0.6</v>
      </c>
      <c r="G243" s="8">
        <v>38.880000000000003</v>
      </c>
      <c r="H243" s="8">
        <v>1.0049999999999999</v>
      </c>
      <c r="I243" s="8">
        <v>1.2929999999999999</v>
      </c>
      <c r="J243" s="71">
        <v>29.1</v>
      </c>
      <c r="K243" s="8">
        <v>23</v>
      </c>
      <c r="L243" s="8">
        <f>J243-K243</f>
        <v>6.1000000000000014</v>
      </c>
      <c r="M243" s="27">
        <f>F243*G243*H243*I243*L243</f>
        <v>184.914909072</v>
      </c>
      <c r="N243" s="27"/>
      <c r="O243" s="8">
        <v>0.27700000000000002</v>
      </c>
      <c r="P243" s="18">
        <f>M243*O243</f>
        <v>51.221429812944002</v>
      </c>
      <c r="Q243" s="8">
        <f>31*16</f>
        <v>496</v>
      </c>
      <c r="R243" s="40">
        <f>(P243*Q243)/1000</f>
        <v>25.405829187220224</v>
      </c>
    </row>
    <row r="244" spans="5:18" ht="14" x14ac:dyDescent="0.25">
      <c r="E244" s="44" t="s">
        <v>16</v>
      </c>
      <c r="F244" s="8">
        <v>0.6</v>
      </c>
      <c r="G244" s="8">
        <v>38.880000000000003</v>
      </c>
      <c r="H244" s="8">
        <v>1.0049999999999999</v>
      </c>
      <c r="I244" s="8">
        <v>1.2929999999999999</v>
      </c>
      <c r="J244" s="71">
        <v>29.5</v>
      </c>
      <c r="K244" s="8">
        <v>23</v>
      </c>
      <c r="L244" s="8">
        <f t="shared" ref="L244:L254" si="61">J244-K244</f>
        <v>6.5</v>
      </c>
      <c r="M244" s="27">
        <f t="shared" ref="M244:M254" si="62">F244*G244*H244*I244*L244</f>
        <v>197.04047687999994</v>
      </c>
      <c r="N244" s="27"/>
      <c r="O244" s="8">
        <v>0.27700000000000002</v>
      </c>
      <c r="P244" s="18">
        <f t="shared" ref="P244:P254" si="63">M244*O244</f>
        <v>54.58021209575999</v>
      </c>
      <c r="Q244" s="8">
        <f>28*16</f>
        <v>448</v>
      </c>
      <c r="R244" s="40">
        <f t="shared" ref="R244:R254" si="64">(P244*Q244)/1000</f>
        <v>24.451935018900475</v>
      </c>
    </row>
    <row r="245" spans="5:18" ht="14" x14ac:dyDescent="0.25">
      <c r="E245" s="44" t="s">
        <v>17</v>
      </c>
      <c r="F245" s="8">
        <v>0.6</v>
      </c>
      <c r="G245" s="8">
        <v>38.880000000000003</v>
      </c>
      <c r="H245" s="8">
        <v>1.0049999999999999</v>
      </c>
      <c r="I245" s="8">
        <v>1.2929999999999999</v>
      </c>
      <c r="J245" s="71">
        <v>30.6</v>
      </c>
      <c r="K245" s="8">
        <v>23</v>
      </c>
      <c r="L245" s="8">
        <f t="shared" si="61"/>
        <v>7.6000000000000014</v>
      </c>
      <c r="M245" s="27">
        <f t="shared" si="62"/>
        <v>230.38578835199999</v>
      </c>
      <c r="N245" s="27"/>
      <c r="O245" s="8">
        <v>0.27700000000000002</v>
      </c>
      <c r="P245" s="18">
        <f t="shared" si="63"/>
        <v>63.816863373504006</v>
      </c>
      <c r="Q245" s="8">
        <f>31*16</f>
        <v>496</v>
      </c>
      <c r="R245" s="40">
        <f t="shared" si="64"/>
        <v>31.653164233257986</v>
      </c>
    </row>
    <row r="246" spans="5:18" ht="14" x14ac:dyDescent="0.25">
      <c r="E246" s="44" t="s">
        <v>18</v>
      </c>
      <c r="F246" s="8">
        <v>0.6</v>
      </c>
      <c r="G246" s="8">
        <v>38.880000000000003</v>
      </c>
      <c r="H246" s="8">
        <v>1.0049999999999999</v>
      </c>
      <c r="I246" s="8">
        <v>1.2929999999999999</v>
      </c>
      <c r="J246" s="71">
        <v>31.3</v>
      </c>
      <c r="K246" s="8">
        <v>23</v>
      </c>
      <c r="L246" s="8">
        <f t="shared" si="61"/>
        <v>8.3000000000000007</v>
      </c>
      <c r="M246" s="27">
        <f t="shared" si="62"/>
        <v>251.60553201599996</v>
      </c>
      <c r="N246" s="27"/>
      <c r="O246" s="8">
        <v>0.27700000000000002</v>
      </c>
      <c r="P246" s="18">
        <f t="shared" si="63"/>
        <v>69.694732368432</v>
      </c>
      <c r="Q246" s="8">
        <f>30*16</f>
        <v>480</v>
      </c>
      <c r="R246" s="40">
        <f t="shared" si="64"/>
        <v>33.45347153684736</v>
      </c>
    </row>
    <row r="247" spans="5:18" ht="14" x14ac:dyDescent="0.25">
      <c r="E247" s="44" t="s">
        <v>12</v>
      </c>
      <c r="F247" s="8">
        <v>0.6</v>
      </c>
      <c r="G247" s="8">
        <v>38.880000000000003</v>
      </c>
      <c r="H247" s="8">
        <v>1.0049999999999999</v>
      </c>
      <c r="I247" s="8">
        <v>1.2929999999999999</v>
      </c>
      <c r="J247" s="71">
        <v>32.700000000000003</v>
      </c>
      <c r="K247" s="8">
        <v>23</v>
      </c>
      <c r="L247" s="8">
        <f t="shared" si="61"/>
        <v>9.7000000000000028</v>
      </c>
      <c r="M247" s="27">
        <f t="shared" si="62"/>
        <v>294.04501934400002</v>
      </c>
      <c r="N247" s="27"/>
      <c r="O247" s="8">
        <v>0.27700000000000002</v>
      </c>
      <c r="P247" s="18">
        <f t="shared" si="63"/>
        <v>81.450470358288015</v>
      </c>
      <c r="Q247" s="8">
        <f>31*16</f>
        <v>496</v>
      </c>
      <c r="R247" s="40">
        <f t="shared" si="64"/>
        <v>40.399433297710857</v>
      </c>
    </row>
    <row r="248" spans="5:18" ht="14" x14ac:dyDescent="0.25">
      <c r="E248" s="44" t="s">
        <v>13</v>
      </c>
      <c r="F248" s="8">
        <v>0.6</v>
      </c>
      <c r="G248" s="8">
        <v>38.880000000000003</v>
      </c>
      <c r="H248" s="8">
        <v>1.0049999999999999</v>
      </c>
      <c r="I248" s="8">
        <v>1.2929999999999999</v>
      </c>
      <c r="J248" s="71">
        <v>32.6</v>
      </c>
      <c r="K248" s="8">
        <v>23</v>
      </c>
      <c r="L248" s="8">
        <f t="shared" si="61"/>
        <v>9.6000000000000014</v>
      </c>
      <c r="M248" s="27">
        <f t="shared" si="62"/>
        <v>291.01362739199999</v>
      </c>
      <c r="N248" s="27"/>
      <c r="O248" s="8">
        <v>0.27700000000000002</v>
      </c>
      <c r="P248" s="18">
        <f t="shared" si="63"/>
        <v>80.610774787584006</v>
      </c>
      <c r="Q248" s="8">
        <f>30*16</f>
        <v>480</v>
      </c>
      <c r="R248" s="40">
        <f t="shared" si="64"/>
        <v>38.693171898040326</v>
      </c>
    </row>
    <row r="249" spans="5:18" ht="14" x14ac:dyDescent="0.25">
      <c r="E249" s="44" t="s">
        <v>24</v>
      </c>
      <c r="F249" s="8">
        <v>0.6</v>
      </c>
      <c r="G249" s="8">
        <v>38.880000000000003</v>
      </c>
      <c r="H249" s="8">
        <v>1.0049999999999999</v>
      </c>
      <c r="I249" s="8">
        <v>1.2929999999999999</v>
      </c>
      <c r="J249" s="41">
        <v>31.7</v>
      </c>
      <c r="K249" s="8">
        <v>23</v>
      </c>
      <c r="L249" s="8">
        <f t="shared" si="61"/>
        <v>8.6999999999999993</v>
      </c>
      <c r="M249" s="27">
        <f t="shared" si="62"/>
        <v>263.7310998239999</v>
      </c>
      <c r="N249" s="27"/>
      <c r="O249" s="8">
        <v>0.27700000000000002</v>
      </c>
      <c r="P249" s="18">
        <f t="shared" si="63"/>
        <v>73.05351465124798</v>
      </c>
      <c r="Q249" s="8">
        <f>31*16</f>
        <v>496</v>
      </c>
      <c r="R249" s="40">
        <f t="shared" si="64"/>
        <v>36.234543267018999</v>
      </c>
    </row>
    <row r="250" spans="5:18" ht="14" x14ac:dyDescent="0.25">
      <c r="E250" s="44" t="s">
        <v>19</v>
      </c>
      <c r="F250" s="8">
        <v>0.6</v>
      </c>
      <c r="G250" s="8">
        <v>38.880000000000003</v>
      </c>
      <c r="H250" s="8">
        <v>1.0049999999999999</v>
      </c>
      <c r="I250" s="8">
        <v>1.2929999999999999</v>
      </c>
      <c r="J250" s="41">
        <v>32.200000000000003</v>
      </c>
      <c r="K250" s="8">
        <v>23</v>
      </c>
      <c r="L250" s="8">
        <f t="shared" si="61"/>
        <v>9.2000000000000028</v>
      </c>
      <c r="M250" s="27">
        <f t="shared" si="62"/>
        <v>278.88805958400002</v>
      </c>
      <c r="N250" s="27"/>
      <c r="O250" s="8">
        <v>0.27700000000000002</v>
      </c>
      <c r="P250" s="18">
        <f t="shared" si="63"/>
        <v>77.251992504768012</v>
      </c>
      <c r="Q250" s="8">
        <f>31*16</f>
        <v>496</v>
      </c>
      <c r="R250" s="40">
        <f t="shared" si="64"/>
        <v>38.316988282364932</v>
      </c>
    </row>
    <row r="251" spans="5:18" ht="14" x14ac:dyDescent="0.25">
      <c r="E251" s="44" t="s">
        <v>20</v>
      </c>
      <c r="F251" s="8">
        <v>0.6</v>
      </c>
      <c r="G251" s="8">
        <v>38.880000000000003</v>
      </c>
      <c r="H251" s="8">
        <v>1.0049999999999999</v>
      </c>
      <c r="I251" s="8">
        <v>1.2929999999999999</v>
      </c>
      <c r="J251" s="41">
        <v>32.200000000000003</v>
      </c>
      <c r="K251" s="8">
        <v>23</v>
      </c>
      <c r="L251" s="8">
        <f t="shared" si="61"/>
        <v>9.2000000000000028</v>
      </c>
      <c r="M251" s="27">
        <f t="shared" si="62"/>
        <v>278.88805958400002</v>
      </c>
      <c r="N251" s="27"/>
      <c r="O251" s="8">
        <v>0.27700000000000002</v>
      </c>
      <c r="P251" s="18">
        <f t="shared" si="63"/>
        <v>77.251992504768012</v>
      </c>
      <c r="Q251" s="8">
        <f>30*16</f>
        <v>480</v>
      </c>
      <c r="R251" s="40">
        <f t="shared" si="64"/>
        <v>37.080956402288649</v>
      </c>
    </row>
    <row r="252" spans="5:18" ht="14" x14ac:dyDescent="0.25">
      <c r="E252" s="44" t="s">
        <v>21</v>
      </c>
      <c r="F252" s="8">
        <v>0.6</v>
      </c>
      <c r="G252" s="8">
        <v>38.880000000000003</v>
      </c>
      <c r="H252" s="8">
        <v>1.0049999999999999</v>
      </c>
      <c r="I252" s="8">
        <v>1.2929999999999999</v>
      </c>
      <c r="J252" s="41">
        <v>31.6</v>
      </c>
      <c r="K252" s="8">
        <v>23</v>
      </c>
      <c r="L252" s="8">
        <f t="shared" si="61"/>
        <v>8.6000000000000014</v>
      </c>
      <c r="M252" s="27">
        <f t="shared" si="62"/>
        <v>260.69970787199998</v>
      </c>
      <c r="N252" s="27"/>
      <c r="O252" s="8">
        <v>0.27700000000000002</v>
      </c>
      <c r="P252" s="18">
        <f t="shared" si="63"/>
        <v>72.213819080543999</v>
      </c>
      <c r="Q252" s="8">
        <f>31*16</f>
        <v>496</v>
      </c>
      <c r="R252" s="40">
        <f t="shared" si="64"/>
        <v>35.818054263949826</v>
      </c>
    </row>
    <row r="253" spans="5:18" ht="14" x14ac:dyDescent="0.25">
      <c r="E253" s="44" t="s">
        <v>22</v>
      </c>
      <c r="F253" s="8">
        <v>0.6</v>
      </c>
      <c r="G253" s="8">
        <v>38.880000000000003</v>
      </c>
      <c r="H253" s="8">
        <v>1.0049999999999999</v>
      </c>
      <c r="I253" s="8">
        <v>1.2929999999999999</v>
      </c>
      <c r="J253" s="41">
        <v>30.6</v>
      </c>
      <c r="K253" s="8">
        <v>23</v>
      </c>
      <c r="L253" s="8">
        <f t="shared" si="61"/>
        <v>7.6000000000000014</v>
      </c>
      <c r="M253" s="27">
        <f t="shared" si="62"/>
        <v>230.38578835199999</v>
      </c>
      <c r="N253" s="27"/>
      <c r="O253" s="8">
        <v>0.27700000000000002</v>
      </c>
      <c r="P253" s="18">
        <f t="shared" si="63"/>
        <v>63.816863373504006</v>
      </c>
      <c r="Q253" s="8">
        <f>30*16</f>
        <v>480</v>
      </c>
      <c r="R253" s="40">
        <f t="shared" si="64"/>
        <v>30.632094419281923</v>
      </c>
    </row>
    <row r="254" spans="5:18" ht="14" x14ac:dyDescent="0.25">
      <c r="E254" s="44" t="s">
        <v>23</v>
      </c>
      <c r="F254" s="8">
        <v>0.6</v>
      </c>
      <c r="G254" s="8">
        <v>38.880000000000003</v>
      </c>
      <c r="H254" s="8">
        <v>1.0049999999999999</v>
      </c>
      <c r="I254" s="8">
        <v>1.2929999999999999</v>
      </c>
      <c r="J254" s="41">
        <v>29.7</v>
      </c>
      <c r="K254" s="8">
        <v>23</v>
      </c>
      <c r="L254" s="8">
        <f t="shared" si="61"/>
        <v>6.6999999999999993</v>
      </c>
      <c r="M254" s="27">
        <f t="shared" si="62"/>
        <v>203.10326078399993</v>
      </c>
      <c r="N254" s="27"/>
      <c r="O254" s="8">
        <v>0.27700000000000002</v>
      </c>
      <c r="P254" s="18">
        <f t="shared" si="63"/>
        <v>56.259603237167987</v>
      </c>
      <c r="Q254" s="8">
        <f>31*16</f>
        <v>496</v>
      </c>
      <c r="R254" s="40">
        <f t="shared" si="64"/>
        <v>27.904763205635323</v>
      </c>
    </row>
    <row r="255" spans="5:18" ht="15" x14ac:dyDescent="0.4">
      <c r="E255" s="314" t="s">
        <v>88</v>
      </c>
      <c r="F255" s="315"/>
      <c r="G255" s="315"/>
      <c r="H255" s="315"/>
      <c r="I255" s="315"/>
      <c r="J255" s="315"/>
      <c r="K255" s="315"/>
      <c r="L255" s="315"/>
      <c r="M255" s="315"/>
      <c r="N255" s="315"/>
      <c r="O255" s="315"/>
      <c r="P255" s="315"/>
      <c r="Q255" s="315"/>
      <c r="R255" s="84">
        <f>SUM(R243:R254)</f>
        <v>400.04440501251696</v>
      </c>
    </row>
    <row r="256" spans="5:18" ht="14" x14ac:dyDescent="0.25">
      <c r="E256" s="44" t="s">
        <v>15</v>
      </c>
      <c r="F256" s="8">
        <v>0.6</v>
      </c>
      <c r="G256" s="8">
        <v>38.880000000000003</v>
      </c>
      <c r="H256" s="8">
        <v>1.0049999999999999</v>
      </c>
      <c r="I256" s="8">
        <v>1.2929999999999999</v>
      </c>
      <c r="J256" s="71">
        <v>29.1</v>
      </c>
      <c r="K256" s="8">
        <v>24</v>
      </c>
      <c r="L256" s="8">
        <f>J256-K256</f>
        <v>5.1000000000000014</v>
      </c>
      <c r="M256" s="27">
        <f>F256*G256*H256*I256*L256</f>
        <v>154.60098955199999</v>
      </c>
      <c r="N256" s="27"/>
      <c r="O256" s="8">
        <v>0.27700000000000002</v>
      </c>
      <c r="P256" s="18">
        <f>M256*O256</f>
        <v>42.824474105904002</v>
      </c>
      <c r="Q256" s="8">
        <f>31*16</f>
        <v>496</v>
      </c>
      <c r="R256" s="40">
        <f>(P256*Q256)/1000</f>
        <v>21.240939156528384</v>
      </c>
    </row>
    <row r="257" spans="5:18" ht="14" x14ac:dyDescent="0.25">
      <c r="E257" s="44" t="s">
        <v>16</v>
      </c>
      <c r="F257" s="8">
        <v>0.6</v>
      </c>
      <c r="G257" s="8">
        <v>38.880000000000003</v>
      </c>
      <c r="H257" s="8">
        <v>1.0049999999999999</v>
      </c>
      <c r="I257" s="8">
        <v>1.2929999999999999</v>
      </c>
      <c r="J257" s="71">
        <v>29.5</v>
      </c>
      <c r="K257" s="8">
        <v>24</v>
      </c>
      <c r="L257" s="8">
        <f t="shared" ref="L257:L267" si="65">J257-K257</f>
        <v>5.5</v>
      </c>
      <c r="M257" s="27">
        <f t="shared" ref="M257:M267" si="66">F257*G257*H257*I257*L257</f>
        <v>166.72655735999996</v>
      </c>
      <c r="N257" s="27"/>
      <c r="O257" s="8">
        <v>0.27700000000000002</v>
      </c>
      <c r="P257" s="18">
        <f t="shared" ref="P257:P267" si="67">M257*O257</f>
        <v>46.18325638871999</v>
      </c>
      <c r="Q257" s="8">
        <f>28*16</f>
        <v>448</v>
      </c>
      <c r="R257" s="40">
        <f t="shared" ref="R257:R267" si="68">(P257*Q257)/1000</f>
        <v>20.690098862146556</v>
      </c>
    </row>
    <row r="258" spans="5:18" ht="14" x14ac:dyDescent="0.25">
      <c r="E258" s="44" t="s">
        <v>17</v>
      </c>
      <c r="F258" s="8">
        <v>0.6</v>
      </c>
      <c r="G258" s="8">
        <v>38.880000000000003</v>
      </c>
      <c r="H258" s="8">
        <v>1.0049999999999999</v>
      </c>
      <c r="I258" s="8">
        <v>1.2929999999999999</v>
      </c>
      <c r="J258" s="71">
        <v>30.6</v>
      </c>
      <c r="K258" s="8">
        <v>24</v>
      </c>
      <c r="L258" s="8">
        <f t="shared" si="65"/>
        <v>6.6000000000000014</v>
      </c>
      <c r="M258" s="27">
        <f t="shared" si="66"/>
        <v>200.07186883199998</v>
      </c>
      <c r="N258" s="27"/>
      <c r="O258" s="8">
        <v>0.27700000000000002</v>
      </c>
      <c r="P258" s="18">
        <f t="shared" si="67"/>
        <v>55.419907666463999</v>
      </c>
      <c r="Q258" s="8">
        <f>31*16</f>
        <v>496</v>
      </c>
      <c r="R258" s="40">
        <f t="shared" si="68"/>
        <v>27.488274202566142</v>
      </c>
    </row>
    <row r="259" spans="5:18" ht="14" x14ac:dyDescent="0.25">
      <c r="E259" s="44" t="s">
        <v>18</v>
      </c>
      <c r="F259" s="8">
        <v>0.6</v>
      </c>
      <c r="G259" s="8">
        <v>38.880000000000003</v>
      </c>
      <c r="H259" s="8">
        <v>1.0049999999999999</v>
      </c>
      <c r="I259" s="8">
        <v>1.2929999999999999</v>
      </c>
      <c r="J259" s="71">
        <v>31.3</v>
      </c>
      <c r="K259" s="8">
        <v>24</v>
      </c>
      <c r="L259" s="8">
        <f t="shared" si="65"/>
        <v>7.3000000000000007</v>
      </c>
      <c r="M259" s="27">
        <f t="shared" si="66"/>
        <v>221.29161249599997</v>
      </c>
      <c r="N259" s="27"/>
      <c r="O259" s="8">
        <v>0.27700000000000002</v>
      </c>
      <c r="P259" s="18">
        <f t="shared" si="67"/>
        <v>61.297776661392</v>
      </c>
      <c r="Q259" s="8">
        <f>30*16</f>
        <v>480</v>
      </c>
      <c r="R259" s="40">
        <f t="shared" si="68"/>
        <v>29.422932797468157</v>
      </c>
    </row>
    <row r="260" spans="5:18" ht="14" x14ac:dyDescent="0.25">
      <c r="E260" s="44" t="s">
        <v>12</v>
      </c>
      <c r="F260" s="8">
        <v>0.6</v>
      </c>
      <c r="G260" s="8">
        <v>38.880000000000003</v>
      </c>
      <c r="H260" s="8">
        <v>1.0049999999999999</v>
      </c>
      <c r="I260" s="8">
        <v>1.2929999999999999</v>
      </c>
      <c r="J260" s="71">
        <v>32.700000000000003</v>
      </c>
      <c r="K260" s="8">
        <v>24</v>
      </c>
      <c r="L260" s="8">
        <f t="shared" si="65"/>
        <v>8.7000000000000028</v>
      </c>
      <c r="M260" s="27">
        <f t="shared" si="66"/>
        <v>263.73109982400001</v>
      </c>
      <c r="N260" s="27"/>
      <c r="O260" s="8">
        <v>0.27700000000000002</v>
      </c>
      <c r="P260" s="18">
        <f t="shared" si="67"/>
        <v>73.053514651248008</v>
      </c>
      <c r="Q260" s="8">
        <f>31*16</f>
        <v>496</v>
      </c>
      <c r="R260" s="40">
        <f t="shared" si="68"/>
        <v>36.234543267019014</v>
      </c>
    </row>
    <row r="261" spans="5:18" ht="14" x14ac:dyDescent="0.25">
      <c r="E261" s="44" t="s">
        <v>13</v>
      </c>
      <c r="F261" s="8">
        <v>0.6</v>
      </c>
      <c r="G261" s="8">
        <v>38.880000000000003</v>
      </c>
      <c r="H261" s="8">
        <v>1.0049999999999999</v>
      </c>
      <c r="I261" s="8">
        <v>1.2929999999999999</v>
      </c>
      <c r="J261" s="71">
        <v>32.6</v>
      </c>
      <c r="K261" s="8">
        <v>24</v>
      </c>
      <c r="L261" s="8">
        <f t="shared" si="65"/>
        <v>8.6000000000000014</v>
      </c>
      <c r="M261" s="27">
        <f t="shared" si="66"/>
        <v>260.69970787199998</v>
      </c>
      <c r="N261" s="27"/>
      <c r="O261" s="8">
        <v>0.27700000000000002</v>
      </c>
      <c r="P261" s="18">
        <f t="shared" si="67"/>
        <v>72.213819080543999</v>
      </c>
      <c r="Q261" s="8">
        <f>30*16</f>
        <v>480</v>
      </c>
      <c r="R261" s="40">
        <f t="shared" si="68"/>
        <v>34.662633158661123</v>
      </c>
    </row>
    <row r="262" spans="5:18" ht="14" x14ac:dyDescent="0.25">
      <c r="E262" s="44" t="s">
        <v>24</v>
      </c>
      <c r="F262" s="8">
        <v>0.6</v>
      </c>
      <c r="G262" s="8">
        <v>38.880000000000003</v>
      </c>
      <c r="H262" s="8">
        <v>1.0049999999999999</v>
      </c>
      <c r="I262" s="8">
        <v>1.2929999999999999</v>
      </c>
      <c r="J262" s="41">
        <v>31.7</v>
      </c>
      <c r="K262" s="8">
        <v>24</v>
      </c>
      <c r="L262" s="8">
        <f t="shared" si="65"/>
        <v>7.6999999999999993</v>
      </c>
      <c r="M262" s="27">
        <f t="shared" si="66"/>
        <v>233.41718030399991</v>
      </c>
      <c r="N262" s="27"/>
      <c r="O262" s="8">
        <v>0.27700000000000002</v>
      </c>
      <c r="P262" s="18">
        <f t="shared" si="67"/>
        <v>64.656558944207987</v>
      </c>
      <c r="Q262" s="8">
        <f>31*16</f>
        <v>496</v>
      </c>
      <c r="R262" s="40">
        <f t="shared" si="68"/>
        <v>32.069653236327163</v>
      </c>
    </row>
    <row r="263" spans="5:18" ht="14" x14ac:dyDescent="0.25">
      <c r="E263" s="44" t="s">
        <v>19</v>
      </c>
      <c r="F263" s="8">
        <v>0.6</v>
      </c>
      <c r="G263" s="8">
        <v>38.880000000000003</v>
      </c>
      <c r="H263" s="8">
        <v>1.0049999999999999</v>
      </c>
      <c r="I263" s="8">
        <v>1.2929999999999999</v>
      </c>
      <c r="J263" s="41">
        <v>32.200000000000003</v>
      </c>
      <c r="K263" s="8">
        <v>24</v>
      </c>
      <c r="L263" s="8">
        <f t="shared" si="65"/>
        <v>8.2000000000000028</v>
      </c>
      <c r="M263" s="27">
        <f t="shared" si="66"/>
        <v>248.57414006400001</v>
      </c>
      <c r="N263" s="27"/>
      <c r="O263" s="8">
        <v>0.27700000000000002</v>
      </c>
      <c r="P263" s="18">
        <f t="shared" si="67"/>
        <v>68.855036797728005</v>
      </c>
      <c r="Q263" s="8">
        <f>31*16</f>
        <v>496</v>
      </c>
      <c r="R263" s="40">
        <f t="shared" si="68"/>
        <v>34.152098251673088</v>
      </c>
    </row>
    <row r="264" spans="5:18" ht="14" x14ac:dyDescent="0.25">
      <c r="E264" s="44" t="s">
        <v>20</v>
      </c>
      <c r="F264" s="8">
        <v>0.6</v>
      </c>
      <c r="G264" s="8">
        <v>38.880000000000003</v>
      </c>
      <c r="H264" s="8">
        <v>1.0049999999999999</v>
      </c>
      <c r="I264" s="8">
        <v>1.2929999999999999</v>
      </c>
      <c r="J264" s="41">
        <v>32.200000000000003</v>
      </c>
      <c r="K264" s="8">
        <v>24</v>
      </c>
      <c r="L264" s="8">
        <f t="shared" si="65"/>
        <v>8.2000000000000028</v>
      </c>
      <c r="M264" s="27">
        <f t="shared" si="66"/>
        <v>248.57414006400001</v>
      </c>
      <c r="N264" s="27"/>
      <c r="O264" s="8">
        <v>0.27700000000000002</v>
      </c>
      <c r="P264" s="18">
        <f t="shared" si="67"/>
        <v>68.855036797728005</v>
      </c>
      <c r="Q264" s="8">
        <f>30*16</f>
        <v>480</v>
      </c>
      <c r="R264" s="40">
        <f t="shared" si="68"/>
        <v>33.050417662909446</v>
      </c>
    </row>
    <row r="265" spans="5:18" ht="14" x14ac:dyDescent="0.25">
      <c r="E265" s="44" t="s">
        <v>21</v>
      </c>
      <c r="F265" s="8">
        <v>0.6</v>
      </c>
      <c r="G265" s="8">
        <v>38.880000000000003</v>
      </c>
      <c r="H265" s="8">
        <v>1.0049999999999999</v>
      </c>
      <c r="I265" s="8">
        <v>1.2929999999999999</v>
      </c>
      <c r="J265" s="41">
        <v>31.6</v>
      </c>
      <c r="K265" s="8">
        <v>24</v>
      </c>
      <c r="L265" s="8">
        <f t="shared" si="65"/>
        <v>7.6000000000000014</v>
      </c>
      <c r="M265" s="27">
        <f t="shared" si="66"/>
        <v>230.38578835199999</v>
      </c>
      <c r="N265" s="27"/>
      <c r="O265" s="8">
        <v>0.27700000000000002</v>
      </c>
      <c r="P265" s="18">
        <f t="shared" si="67"/>
        <v>63.816863373504006</v>
      </c>
      <c r="Q265" s="8">
        <f>31*16</f>
        <v>496</v>
      </c>
      <c r="R265" s="40">
        <f t="shared" si="68"/>
        <v>31.653164233257986</v>
      </c>
    </row>
    <row r="266" spans="5:18" ht="14" x14ac:dyDescent="0.25">
      <c r="E266" s="44" t="s">
        <v>22</v>
      </c>
      <c r="F266" s="8">
        <v>0.6</v>
      </c>
      <c r="G266" s="8">
        <v>38.880000000000003</v>
      </c>
      <c r="H266" s="8">
        <v>1.0049999999999999</v>
      </c>
      <c r="I266" s="8">
        <v>1.2929999999999999</v>
      </c>
      <c r="J266" s="41">
        <v>30.6</v>
      </c>
      <c r="K266" s="8">
        <v>24</v>
      </c>
      <c r="L266" s="8">
        <f t="shared" si="65"/>
        <v>6.6000000000000014</v>
      </c>
      <c r="M266" s="27">
        <f t="shared" si="66"/>
        <v>200.07186883199998</v>
      </c>
      <c r="N266" s="27"/>
      <c r="O266" s="8">
        <v>0.27700000000000002</v>
      </c>
      <c r="P266" s="18">
        <f t="shared" si="67"/>
        <v>55.419907666463999</v>
      </c>
      <c r="Q266" s="8">
        <f>30*16</f>
        <v>480</v>
      </c>
      <c r="R266" s="40">
        <f t="shared" si="68"/>
        <v>26.601555679902717</v>
      </c>
    </row>
    <row r="267" spans="5:18" ht="14" x14ac:dyDescent="0.25">
      <c r="E267" s="44" t="s">
        <v>23</v>
      </c>
      <c r="F267" s="8">
        <v>0.6</v>
      </c>
      <c r="G267" s="8">
        <v>38.880000000000003</v>
      </c>
      <c r="H267" s="8">
        <v>1.0049999999999999</v>
      </c>
      <c r="I267" s="8">
        <v>1.2929999999999999</v>
      </c>
      <c r="J267" s="41">
        <v>29.7</v>
      </c>
      <c r="K267" s="8">
        <v>24</v>
      </c>
      <c r="L267" s="8">
        <f t="shared" si="65"/>
        <v>5.6999999999999993</v>
      </c>
      <c r="M267" s="27">
        <f t="shared" si="66"/>
        <v>172.78934126399994</v>
      </c>
      <c r="N267" s="27"/>
      <c r="O267" s="8">
        <v>0.27700000000000002</v>
      </c>
      <c r="P267" s="18">
        <f t="shared" si="67"/>
        <v>47.862647530127987</v>
      </c>
      <c r="Q267" s="8">
        <f>31*16</f>
        <v>496</v>
      </c>
      <c r="R267" s="40">
        <f t="shared" si="68"/>
        <v>23.739873174943479</v>
      </c>
    </row>
    <row r="268" spans="5:18" ht="15" x14ac:dyDescent="0.4">
      <c r="E268" s="314" t="s">
        <v>90</v>
      </c>
      <c r="F268" s="315"/>
      <c r="G268" s="315"/>
      <c r="H268" s="315"/>
      <c r="I268" s="315"/>
      <c r="J268" s="315"/>
      <c r="K268" s="315"/>
      <c r="L268" s="315"/>
      <c r="M268" s="315"/>
      <c r="N268" s="315"/>
      <c r="O268" s="315"/>
      <c r="P268" s="315"/>
      <c r="Q268" s="315"/>
      <c r="R268" s="84">
        <f>SUM(R256:R267)</f>
        <v>351.00618368340326</v>
      </c>
    </row>
    <row r="269" spans="5:18" ht="14" x14ac:dyDescent="0.25">
      <c r="E269" s="44" t="s">
        <v>15</v>
      </c>
      <c r="F269" s="8">
        <v>0.6</v>
      </c>
      <c r="G269" s="8">
        <v>38.880000000000003</v>
      </c>
      <c r="H269" s="8">
        <v>1.0049999999999999</v>
      </c>
      <c r="I269" s="8">
        <v>1.2929999999999999</v>
      </c>
      <c r="J269" s="71">
        <v>29.1</v>
      </c>
      <c r="K269" s="8">
        <v>25</v>
      </c>
      <c r="L269" s="8">
        <f>J269-K269</f>
        <v>4.1000000000000014</v>
      </c>
      <c r="M269" s="27">
        <f>F269*G269*H269*I269*L269</f>
        <v>124.287070032</v>
      </c>
      <c r="N269" s="27"/>
      <c r="O269" s="8">
        <v>0.27700000000000002</v>
      </c>
      <c r="P269" s="18">
        <f>M269*O269</f>
        <v>34.427518398864002</v>
      </c>
      <c r="Q269" s="8">
        <f>31*16</f>
        <v>496</v>
      </c>
      <c r="R269" s="40">
        <f>(P269*Q269)/1000</f>
        <v>17.076049125836544</v>
      </c>
    </row>
    <row r="270" spans="5:18" ht="14" x14ac:dyDescent="0.25">
      <c r="E270" s="44" t="s">
        <v>16</v>
      </c>
      <c r="F270" s="8">
        <v>0.6</v>
      </c>
      <c r="G270" s="8">
        <v>38.880000000000003</v>
      </c>
      <c r="H270" s="8">
        <v>1.0049999999999999</v>
      </c>
      <c r="I270" s="8">
        <v>1.2929999999999999</v>
      </c>
      <c r="J270" s="71">
        <v>29.5</v>
      </c>
      <c r="K270" s="8">
        <v>25</v>
      </c>
      <c r="L270" s="8">
        <f t="shared" ref="L270:L280" si="69">J270-K270</f>
        <v>4.5</v>
      </c>
      <c r="M270" s="27">
        <f t="shared" ref="M270:M280" si="70">F270*G270*H270*I270*L270</f>
        <v>136.41263783999997</v>
      </c>
      <c r="N270" s="27"/>
      <c r="O270" s="8">
        <v>0.27700000000000002</v>
      </c>
      <c r="P270" s="18">
        <f t="shared" ref="P270:P280" si="71">M270*O270</f>
        <v>37.786300681679997</v>
      </c>
      <c r="Q270" s="8">
        <f>28*16</f>
        <v>448</v>
      </c>
      <c r="R270" s="40">
        <f t="shared" ref="R270:R280" si="72">(P270*Q270)/1000</f>
        <v>16.928262705392637</v>
      </c>
    </row>
    <row r="271" spans="5:18" ht="14" x14ac:dyDescent="0.25">
      <c r="E271" s="44" t="s">
        <v>17</v>
      </c>
      <c r="F271" s="8">
        <v>0.6</v>
      </c>
      <c r="G271" s="8">
        <v>38.880000000000003</v>
      </c>
      <c r="H271" s="8">
        <v>1.0049999999999999</v>
      </c>
      <c r="I271" s="8">
        <v>1.2929999999999999</v>
      </c>
      <c r="J271" s="71">
        <v>30.6</v>
      </c>
      <c r="K271" s="8">
        <v>25</v>
      </c>
      <c r="L271" s="8">
        <f t="shared" si="69"/>
        <v>5.6000000000000014</v>
      </c>
      <c r="M271" s="27">
        <f t="shared" si="70"/>
        <v>169.75794931199999</v>
      </c>
      <c r="N271" s="27"/>
      <c r="O271" s="8">
        <v>0.27700000000000002</v>
      </c>
      <c r="P271" s="18">
        <f t="shared" si="71"/>
        <v>47.022951959423999</v>
      </c>
      <c r="Q271" s="8">
        <f>31*16</f>
        <v>496</v>
      </c>
      <c r="R271" s="40">
        <f t="shared" si="72"/>
        <v>23.323384171874302</v>
      </c>
    </row>
    <row r="272" spans="5:18" ht="14" x14ac:dyDescent="0.25">
      <c r="E272" s="44" t="s">
        <v>18</v>
      </c>
      <c r="F272" s="8">
        <v>0.6</v>
      </c>
      <c r="G272" s="8">
        <v>38.880000000000003</v>
      </c>
      <c r="H272" s="8">
        <v>1.0049999999999999</v>
      </c>
      <c r="I272" s="8">
        <v>1.2929999999999999</v>
      </c>
      <c r="J272" s="71">
        <v>31.3</v>
      </c>
      <c r="K272" s="8">
        <v>25</v>
      </c>
      <c r="L272" s="8">
        <f t="shared" si="69"/>
        <v>6.3000000000000007</v>
      </c>
      <c r="M272" s="27">
        <f t="shared" si="70"/>
        <v>190.97769297599996</v>
      </c>
      <c r="N272" s="27"/>
      <c r="O272" s="8">
        <v>0.27700000000000002</v>
      </c>
      <c r="P272" s="18">
        <f t="shared" si="71"/>
        <v>52.900820954351992</v>
      </c>
      <c r="Q272" s="8">
        <f>30*16</f>
        <v>480</v>
      </c>
      <c r="R272" s="40">
        <f t="shared" si="72"/>
        <v>25.392394058088957</v>
      </c>
    </row>
    <row r="273" spans="5:18" ht="14" x14ac:dyDescent="0.25">
      <c r="E273" s="44" t="s">
        <v>12</v>
      </c>
      <c r="F273" s="8">
        <v>0.6</v>
      </c>
      <c r="G273" s="8">
        <v>38.880000000000003</v>
      </c>
      <c r="H273" s="8">
        <v>1.0049999999999999</v>
      </c>
      <c r="I273" s="8">
        <v>1.2929999999999999</v>
      </c>
      <c r="J273" s="71">
        <v>32.700000000000003</v>
      </c>
      <c r="K273" s="8">
        <v>25</v>
      </c>
      <c r="L273" s="8">
        <f t="shared" si="69"/>
        <v>7.7000000000000028</v>
      </c>
      <c r="M273" s="27">
        <f t="shared" si="70"/>
        <v>233.41718030400003</v>
      </c>
      <c r="N273" s="27"/>
      <c r="O273" s="8">
        <v>0.27700000000000002</v>
      </c>
      <c r="P273" s="18">
        <f t="shared" si="71"/>
        <v>64.656558944208015</v>
      </c>
      <c r="Q273" s="8">
        <f>31*16</f>
        <v>496</v>
      </c>
      <c r="R273" s="40">
        <f t="shared" si="72"/>
        <v>32.069653236327177</v>
      </c>
    </row>
    <row r="274" spans="5:18" ht="14" x14ac:dyDescent="0.25">
      <c r="E274" s="44" t="s">
        <v>13</v>
      </c>
      <c r="F274" s="8">
        <v>0.6</v>
      </c>
      <c r="G274" s="8">
        <v>38.880000000000003</v>
      </c>
      <c r="H274" s="8">
        <v>1.0049999999999999</v>
      </c>
      <c r="I274" s="8">
        <v>1.2929999999999999</v>
      </c>
      <c r="J274" s="71">
        <v>32.6</v>
      </c>
      <c r="K274" s="8">
        <v>25</v>
      </c>
      <c r="L274" s="8">
        <f t="shared" si="69"/>
        <v>7.6000000000000014</v>
      </c>
      <c r="M274" s="27">
        <f t="shared" si="70"/>
        <v>230.38578835199999</v>
      </c>
      <c r="N274" s="27"/>
      <c r="O274" s="8">
        <v>0.27700000000000002</v>
      </c>
      <c r="P274" s="18">
        <f t="shared" si="71"/>
        <v>63.816863373504006</v>
      </c>
      <c r="Q274" s="8">
        <f>30*16</f>
        <v>480</v>
      </c>
      <c r="R274" s="40">
        <f t="shared" si="72"/>
        <v>30.632094419281923</v>
      </c>
    </row>
    <row r="275" spans="5:18" ht="14" x14ac:dyDescent="0.25">
      <c r="E275" s="44" t="s">
        <v>24</v>
      </c>
      <c r="F275" s="8">
        <v>0.6</v>
      </c>
      <c r="G275" s="8">
        <v>38.880000000000003</v>
      </c>
      <c r="H275" s="8">
        <v>1.0049999999999999</v>
      </c>
      <c r="I275" s="8">
        <v>1.2929999999999999</v>
      </c>
      <c r="J275" s="41">
        <v>31.7</v>
      </c>
      <c r="K275" s="8">
        <v>25</v>
      </c>
      <c r="L275" s="8">
        <f t="shared" si="69"/>
        <v>6.6999999999999993</v>
      </c>
      <c r="M275" s="27">
        <f t="shared" si="70"/>
        <v>203.10326078399993</v>
      </c>
      <c r="N275" s="27"/>
      <c r="O275" s="8">
        <v>0.27700000000000002</v>
      </c>
      <c r="P275" s="18">
        <f t="shared" si="71"/>
        <v>56.259603237167987</v>
      </c>
      <c r="Q275" s="8">
        <f>31*16</f>
        <v>496</v>
      </c>
      <c r="R275" s="40">
        <f t="shared" si="72"/>
        <v>27.904763205635323</v>
      </c>
    </row>
    <row r="276" spans="5:18" ht="14" x14ac:dyDescent="0.25">
      <c r="E276" s="44" t="s">
        <v>19</v>
      </c>
      <c r="F276" s="8">
        <v>0.6</v>
      </c>
      <c r="G276" s="8">
        <v>38.880000000000003</v>
      </c>
      <c r="H276" s="8">
        <v>1.0049999999999999</v>
      </c>
      <c r="I276" s="8">
        <v>1.2929999999999999</v>
      </c>
      <c r="J276" s="41">
        <v>32.200000000000003</v>
      </c>
      <c r="K276" s="8">
        <v>25</v>
      </c>
      <c r="L276" s="8">
        <f t="shared" si="69"/>
        <v>7.2000000000000028</v>
      </c>
      <c r="M276" s="27">
        <f t="shared" si="70"/>
        <v>218.26022054400002</v>
      </c>
      <c r="N276" s="27"/>
      <c r="O276" s="8">
        <v>0.27700000000000002</v>
      </c>
      <c r="P276" s="18">
        <f t="shared" si="71"/>
        <v>60.458081090688012</v>
      </c>
      <c r="Q276" s="8">
        <f>31*16</f>
        <v>496</v>
      </c>
      <c r="R276" s="40">
        <f t="shared" si="72"/>
        <v>29.987208220981255</v>
      </c>
    </row>
    <row r="277" spans="5:18" ht="14" x14ac:dyDescent="0.25">
      <c r="E277" s="44" t="s">
        <v>20</v>
      </c>
      <c r="F277" s="8">
        <v>0.6</v>
      </c>
      <c r="G277" s="8">
        <v>38.880000000000003</v>
      </c>
      <c r="H277" s="8">
        <v>1.0049999999999999</v>
      </c>
      <c r="I277" s="8">
        <v>1.2929999999999999</v>
      </c>
      <c r="J277" s="41">
        <v>32.200000000000003</v>
      </c>
      <c r="K277" s="8">
        <v>25</v>
      </c>
      <c r="L277" s="8">
        <f t="shared" si="69"/>
        <v>7.2000000000000028</v>
      </c>
      <c r="M277" s="27">
        <f t="shared" si="70"/>
        <v>218.26022054400002</v>
      </c>
      <c r="N277" s="27"/>
      <c r="O277" s="8">
        <v>0.27700000000000002</v>
      </c>
      <c r="P277" s="18">
        <f t="shared" si="71"/>
        <v>60.458081090688012</v>
      </c>
      <c r="Q277" s="8">
        <f>30*16</f>
        <v>480</v>
      </c>
      <c r="R277" s="40">
        <f t="shared" si="72"/>
        <v>29.019878923530246</v>
      </c>
    </row>
    <row r="278" spans="5:18" ht="14" x14ac:dyDescent="0.25">
      <c r="E278" s="44" t="s">
        <v>21</v>
      </c>
      <c r="F278" s="8">
        <v>0.6</v>
      </c>
      <c r="G278" s="8">
        <v>38.880000000000003</v>
      </c>
      <c r="H278" s="8">
        <v>1.0049999999999999</v>
      </c>
      <c r="I278" s="8">
        <v>1.2929999999999999</v>
      </c>
      <c r="J278" s="41">
        <v>31.6</v>
      </c>
      <c r="K278" s="8">
        <v>25</v>
      </c>
      <c r="L278" s="8">
        <f t="shared" si="69"/>
        <v>6.6000000000000014</v>
      </c>
      <c r="M278" s="27">
        <f t="shared" si="70"/>
        <v>200.07186883199998</v>
      </c>
      <c r="N278" s="27"/>
      <c r="O278" s="8">
        <v>0.27700000000000002</v>
      </c>
      <c r="P278" s="18">
        <f t="shared" si="71"/>
        <v>55.419907666463999</v>
      </c>
      <c r="Q278" s="8">
        <f>31*16</f>
        <v>496</v>
      </c>
      <c r="R278" s="40">
        <f t="shared" si="72"/>
        <v>27.488274202566142</v>
      </c>
    </row>
    <row r="279" spans="5:18" ht="14" x14ac:dyDescent="0.25">
      <c r="E279" s="44" t="s">
        <v>22</v>
      </c>
      <c r="F279" s="8">
        <v>0.6</v>
      </c>
      <c r="G279" s="8">
        <v>38.880000000000003</v>
      </c>
      <c r="H279" s="8">
        <v>1.0049999999999999</v>
      </c>
      <c r="I279" s="8">
        <v>1.2929999999999999</v>
      </c>
      <c r="J279" s="41">
        <v>30.6</v>
      </c>
      <c r="K279" s="8">
        <v>25</v>
      </c>
      <c r="L279" s="8">
        <f t="shared" si="69"/>
        <v>5.6000000000000014</v>
      </c>
      <c r="M279" s="27">
        <f t="shared" si="70"/>
        <v>169.75794931199999</v>
      </c>
      <c r="N279" s="27"/>
      <c r="O279" s="8">
        <v>0.27700000000000002</v>
      </c>
      <c r="P279" s="18">
        <f t="shared" si="71"/>
        <v>47.022951959423999</v>
      </c>
      <c r="Q279" s="8">
        <f>30*16</f>
        <v>480</v>
      </c>
      <c r="R279" s="40">
        <f t="shared" si="72"/>
        <v>22.571016940523521</v>
      </c>
    </row>
    <row r="280" spans="5:18" ht="14" x14ac:dyDescent="0.25">
      <c r="E280" s="44" t="s">
        <v>23</v>
      </c>
      <c r="F280" s="8">
        <v>0.6</v>
      </c>
      <c r="G280" s="8">
        <v>38.880000000000003</v>
      </c>
      <c r="H280" s="8">
        <v>1.0049999999999999</v>
      </c>
      <c r="I280" s="8">
        <v>1.2929999999999999</v>
      </c>
      <c r="J280" s="41">
        <v>29.7</v>
      </c>
      <c r="K280" s="8">
        <v>25</v>
      </c>
      <c r="L280" s="8">
        <f t="shared" si="69"/>
        <v>4.6999999999999993</v>
      </c>
      <c r="M280" s="27">
        <f t="shared" si="70"/>
        <v>142.47542174399993</v>
      </c>
      <c r="N280" s="27"/>
      <c r="O280" s="8">
        <v>0.27700000000000002</v>
      </c>
      <c r="P280" s="18">
        <f t="shared" si="71"/>
        <v>39.465691823087987</v>
      </c>
      <c r="Q280" s="8">
        <f>31*16</f>
        <v>496</v>
      </c>
      <c r="R280" s="40">
        <f t="shared" si="72"/>
        <v>19.57498314425164</v>
      </c>
    </row>
    <row r="281" spans="5:18" ht="15" x14ac:dyDescent="0.4">
      <c r="E281" s="314" t="s">
        <v>91</v>
      </c>
      <c r="F281" s="315"/>
      <c r="G281" s="315"/>
      <c r="H281" s="315"/>
      <c r="I281" s="315"/>
      <c r="J281" s="315"/>
      <c r="K281" s="315"/>
      <c r="L281" s="315"/>
      <c r="M281" s="315"/>
      <c r="N281" s="315"/>
      <c r="O281" s="315"/>
      <c r="P281" s="315"/>
      <c r="Q281" s="315"/>
      <c r="R281" s="84">
        <f>SUM(R269:R280)</f>
        <v>301.96796235428963</v>
      </c>
    </row>
    <row r="282" spans="5:18" ht="14" x14ac:dyDescent="0.25">
      <c r="E282" s="44" t="s">
        <v>15</v>
      </c>
      <c r="F282" s="8">
        <v>0.6</v>
      </c>
      <c r="G282" s="8">
        <v>38.880000000000003</v>
      </c>
      <c r="H282" s="8">
        <v>1.0049999999999999</v>
      </c>
      <c r="I282" s="8">
        <v>1.2929999999999999</v>
      </c>
      <c r="J282" s="71">
        <v>29.1</v>
      </c>
      <c r="K282" s="8">
        <v>26</v>
      </c>
      <c r="L282" s="8">
        <f>J282-K282</f>
        <v>3.1000000000000014</v>
      </c>
      <c r="M282" s="27">
        <f>F282*G282*H282*I282*L282</f>
        <v>93.973150512000018</v>
      </c>
      <c r="N282" s="27"/>
      <c r="O282" s="8">
        <v>0.27700000000000002</v>
      </c>
      <c r="P282" s="18">
        <f>M282*O282</f>
        <v>26.030562691824006</v>
      </c>
      <c r="Q282" s="8">
        <f>31*16</f>
        <v>496</v>
      </c>
      <c r="R282" s="40">
        <f>(P282*Q282)/1000</f>
        <v>12.911159095144708</v>
      </c>
    </row>
    <row r="283" spans="5:18" ht="14" x14ac:dyDescent="0.25">
      <c r="E283" s="44" t="s">
        <v>16</v>
      </c>
      <c r="F283" s="8">
        <v>0.6</v>
      </c>
      <c r="G283" s="8">
        <v>38.880000000000003</v>
      </c>
      <c r="H283" s="8">
        <v>1.0049999999999999</v>
      </c>
      <c r="I283" s="8">
        <v>1.2929999999999999</v>
      </c>
      <c r="J283" s="71">
        <v>29.5</v>
      </c>
      <c r="K283" s="8">
        <v>26</v>
      </c>
      <c r="L283" s="8">
        <f t="shared" ref="L283:L293" si="73">J283-K283</f>
        <v>3.5</v>
      </c>
      <c r="M283" s="27">
        <f t="shared" ref="M283:M293" si="74">F283*G283*H283*I283*L283</f>
        <v>106.09871831999997</v>
      </c>
      <c r="N283" s="27"/>
      <c r="O283" s="8">
        <v>0.27700000000000002</v>
      </c>
      <c r="P283" s="18">
        <f t="shared" ref="P283:P293" si="75">M283*O283</f>
        <v>29.389344974639997</v>
      </c>
      <c r="Q283" s="8">
        <f>28*16</f>
        <v>448</v>
      </c>
      <c r="R283" s="40">
        <f t="shared" ref="R283:R293" si="76">(P283*Q283)/1000</f>
        <v>13.16642654863872</v>
      </c>
    </row>
    <row r="284" spans="5:18" ht="14" x14ac:dyDescent="0.25">
      <c r="E284" s="44" t="s">
        <v>17</v>
      </c>
      <c r="F284" s="8">
        <v>0.6</v>
      </c>
      <c r="G284" s="8">
        <v>38.880000000000003</v>
      </c>
      <c r="H284" s="8">
        <v>1.0049999999999999</v>
      </c>
      <c r="I284" s="8">
        <v>1.2929999999999999</v>
      </c>
      <c r="J284" s="71">
        <v>30.6</v>
      </c>
      <c r="K284" s="8">
        <v>26</v>
      </c>
      <c r="L284" s="8">
        <f t="shared" si="73"/>
        <v>4.6000000000000014</v>
      </c>
      <c r="M284" s="27">
        <f t="shared" si="74"/>
        <v>139.44402979200001</v>
      </c>
      <c r="N284" s="27"/>
      <c r="O284" s="8">
        <v>0.27700000000000002</v>
      </c>
      <c r="P284" s="18">
        <f t="shared" si="75"/>
        <v>38.625996252384006</v>
      </c>
      <c r="Q284" s="8">
        <f>31*16</f>
        <v>496</v>
      </c>
      <c r="R284" s="40">
        <f t="shared" si="76"/>
        <v>19.158494141182466</v>
      </c>
    </row>
    <row r="285" spans="5:18" ht="14" x14ac:dyDescent="0.25">
      <c r="E285" s="44" t="s">
        <v>18</v>
      </c>
      <c r="F285" s="8">
        <v>0.6</v>
      </c>
      <c r="G285" s="8">
        <v>38.880000000000003</v>
      </c>
      <c r="H285" s="8">
        <v>1.0049999999999999</v>
      </c>
      <c r="I285" s="8">
        <v>1.2929999999999999</v>
      </c>
      <c r="J285" s="71">
        <v>31.3</v>
      </c>
      <c r="K285" s="8">
        <v>26</v>
      </c>
      <c r="L285" s="8">
        <f t="shared" si="73"/>
        <v>5.3000000000000007</v>
      </c>
      <c r="M285" s="27">
        <f t="shared" si="74"/>
        <v>160.66377345599997</v>
      </c>
      <c r="N285" s="27"/>
      <c r="O285" s="8">
        <v>0.27700000000000002</v>
      </c>
      <c r="P285" s="18">
        <f t="shared" si="75"/>
        <v>44.503865247312</v>
      </c>
      <c r="Q285" s="8">
        <f>30*16</f>
        <v>480</v>
      </c>
      <c r="R285" s="40">
        <f t="shared" si="76"/>
        <v>21.361855318709761</v>
      </c>
    </row>
    <row r="286" spans="5:18" ht="14" x14ac:dyDescent="0.25">
      <c r="E286" s="44" t="s">
        <v>12</v>
      </c>
      <c r="F286" s="8">
        <v>0.6</v>
      </c>
      <c r="G286" s="8">
        <v>38.880000000000003</v>
      </c>
      <c r="H286" s="8">
        <v>1.0049999999999999</v>
      </c>
      <c r="I286" s="8">
        <v>1.2929999999999999</v>
      </c>
      <c r="J286" s="71">
        <v>32.700000000000003</v>
      </c>
      <c r="K286" s="8">
        <v>26</v>
      </c>
      <c r="L286" s="8">
        <f t="shared" si="73"/>
        <v>6.7000000000000028</v>
      </c>
      <c r="M286" s="27">
        <f t="shared" si="74"/>
        <v>203.10326078400004</v>
      </c>
      <c r="N286" s="27"/>
      <c r="O286" s="8">
        <v>0.27700000000000002</v>
      </c>
      <c r="P286" s="18">
        <f t="shared" si="75"/>
        <v>56.259603237168015</v>
      </c>
      <c r="Q286" s="8">
        <f>31*16</f>
        <v>496</v>
      </c>
      <c r="R286" s="40">
        <f t="shared" si="76"/>
        <v>27.904763205635337</v>
      </c>
    </row>
    <row r="287" spans="5:18" ht="14" x14ac:dyDescent="0.25">
      <c r="E287" s="44" t="s">
        <v>13</v>
      </c>
      <c r="F287" s="8">
        <v>0.6</v>
      </c>
      <c r="G287" s="8">
        <v>38.880000000000003</v>
      </c>
      <c r="H287" s="8">
        <v>1.0049999999999999</v>
      </c>
      <c r="I287" s="8">
        <v>1.2929999999999999</v>
      </c>
      <c r="J287" s="71">
        <v>32.6</v>
      </c>
      <c r="K287" s="8">
        <v>26</v>
      </c>
      <c r="L287" s="8">
        <f t="shared" si="73"/>
        <v>6.6000000000000014</v>
      </c>
      <c r="M287" s="27">
        <f t="shared" si="74"/>
        <v>200.07186883199998</v>
      </c>
      <c r="N287" s="27"/>
      <c r="O287" s="8">
        <v>0.27700000000000002</v>
      </c>
      <c r="P287" s="18">
        <f t="shared" si="75"/>
        <v>55.419907666463999</v>
      </c>
      <c r="Q287" s="8">
        <f>30*16</f>
        <v>480</v>
      </c>
      <c r="R287" s="40">
        <f t="shared" si="76"/>
        <v>26.601555679902717</v>
      </c>
    </row>
    <row r="288" spans="5:18" ht="14" x14ac:dyDescent="0.25">
      <c r="E288" s="44" t="s">
        <v>24</v>
      </c>
      <c r="F288" s="8">
        <v>0.6</v>
      </c>
      <c r="G288" s="8">
        <v>38.880000000000003</v>
      </c>
      <c r="H288" s="8">
        <v>1.0049999999999999</v>
      </c>
      <c r="I288" s="8">
        <v>1.2929999999999999</v>
      </c>
      <c r="J288" s="41">
        <v>31.7</v>
      </c>
      <c r="K288" s="8">
        <v>26</v>
      </c>
      <c r="L288" s="8">
        <f t="shared" si="73"/>
        <v>5.6999999999999993</v>
      </c>
      <c r="M288" s="27">
        <f t="shared" si="74"/>
        <v>172.78934126399994</v>
      </c>
      <c r="N288" s="27"/>
      <c r="O288" s="8">
        <v>0.27700000000000002</v>
      </c>
      <c r="P288" s="18">
        <f t="shared" si="75"/>
        <v>47.862647530127987</v>
      </c>
      <c r="Q288" s="8">
        <f>31*16</f>
        <v>496</v>
      </c>
      <c r="R288" s="40">
        <f t="shared" si="76"/>
        <v>23.739873174943479</v>
      </c>
    </row>
    <row r="289" spans="5:18" ht="14" x14ac:dyDescent="0.25">
      <c r="E289" s="44" t="s">
        <v>19</v>
      </c>
      <c r="F289" s="8">
        <v>0.6</v>
      </c>
      <c r="G289" s="8">
        <v>38.880000000000003</v>
      </c>
      <c r="H289" s="8">
        <v>1.0049999999999999</v>
      </c>
      <c r="I289" s="8">
        <v>1.2929999999999999</v>
      </c>
      <c r="J289" s="41">
        <v>32.200000000000003</v>
      </c>
      <c r="K289" s="8">
        <v>26</v>
      </c>
      <c r="L289" s="8">
        <f t="shared" si="73"/>
        <v>6.2000000000000028</v>
      </c>
      <c r="M289" s="27">
        <f t="shared" si="74"/>
        <v>187.94630102400004</v>
      </c>
      <c r="N289" s="27"/>
      <c r="O289" s="8">
        <v>0.27700000000000002</v>
      </c>
      <c r="P289" s="18">
        <f t="shared" si="75"/>
        <v>52.061125383648012</v>
      </c>
      <c r="Q289" s="8">
        <f>31*16</f>
        <v>496</v>
      </c>
      <c r="R289" s="40">
        <f t="shared" si="76"/>
        <v>25.822318190289415</v>
      </c>
    </row>
    <row r="290" spans="5:18" ht="14" x14ac:dyDescent="0.25">
      <c r="E290" s="44" t="s">
        <v>20</v>
      </c>
      <c r="F290" s="8">
        <v>0.6</v>
      </c>
      <c r="G290" s="8">
        <v>38.880000000000003</v>
      </c>
      <c r="H290" s="8">
        <v>1.0049999999999999</v>
      </c>
      <c r="I290" s="8">
        <v>1.2929999999999999</v>
      </c>
      <c r="J290" s="41">
        <v>32.200000000000003</v>
      </c>
      <c r="K290" s="8">
        <v>26</v>
      </c>
      <c r="L290" s="8">
        <f t="shared" si="73"/>
        <v>6.2000000000000028</v>
      </c>
      <c r="M290" s="27">
        <f t="shared" si="74"/>
        <v>187.94630102400004</v>
      </c>
      <c r="N290" s="27"/>
      <c r="O290" s="8">
        <v>0.27700000000000002</v>
      </c>
      <c r="P290" s="18">
        <f t="shared" si="75"/>
        <v>52.061125383648012</v>
      </c>
      <c r="Q290" s="8">
        <f>30*16</f>
        <v>480</v>
      </c>
      <c r="R290" s="40">
        <f t="shared" si="76"/>
        <v>24.989340184151047</v>
      </c>
    </row>
    <row r="291" spans="5:18" ht="14" x14ac:dyDescent="0.25">
      <c r="E291" s="44" t="s">
        <v>21</v>
      </c>
      <c r="F291" s="8">
        <v>0.6</v>
      </c>
      <c r="G291" s="8">
        <v>38.880000000000003</v>
      </c>
      <c r="H291" s="8">
        <v>1.0049999999999999</v>
      </c>
      <c r="I291" s="8">
        <v>1.2929999999999999</v>
      </c>
      <c r="J291" s="41">
        <v>31.6</v>
      </c>
      <c r="K291" s="8">
        <v>26</v>
      </c>
      <c r="L291" s="8">
        <f t="shared" si="73"/>
        <v>5.6000000000000014</v>
      </c>
      <c r="M291" s="27">
        <f t="shared" si="74"/>
        <v>169.75794931199999</v>
      </c>
      <c r="N291" s="27"/>
      <c r="O291" s="8">
        <v>0.27700000000000002</v>
      </c>
      <c r="P291" s="18">
        <f t="shared" si="75"/>
        <v>47.022951959423999</v>
      </c>
      <c r="Q291" s="8">
        <f>31*16</f>
        <v>496</v>
      </c>
      <c r="R291" s="40">
        <f t="shared" si="76"/>
        <v>23.323384171874302</v>
      </c>
    </row>
    <row r="292" spans="5:18" ht="14" x14ac:dyDescent="0.25">
      <c r="E292" s="44" t="s">
        <v>22</v>
      </c>
      <c r="F292" s="8">
        <v>0.6</v>
      </c>
      <c r="G292" s="8">
        <v>38.880000000000003</v>
      </c>
      <c r="H292" s="8">
        <v>1.0049999999999999</v>
      </c>
      <c r="I292" s="8">
        <v>1.2929999999999999</v>
      </c>
      <c r="J292" s="41">
        <v>30.6</v>
      </c>
      <c r="K292" s="8">
        <v>26</v>
      </c>
      <c r="L292" s="8">
        <f t="shared" si="73"/>
        <v>4.6000000000000014</v>
      </c>
      <c r="M292" s="27">
        <f t="shared" si="74"/>
        <v>139.44402979200001</v>
      </c>
      <c r="N292" s="27"/>
      <c r="O292" s="8">
        <v>0.27700000000000002</v>
      </c>
      <c r="P292" s="18">
        <f t="shared" si="75"/>
        <v>38.625996252384006</v>
      </c>
      <c r="Q292" s="8">
        <f>30*16</f>
        <v>480</v>
      </c>
      <c r="R292" s="40">
        <f t="shared" si="76"/>
        <v>18.540478201144325</v>
      </c>
    </row>
    <row r="293" spans="5:18" ht="14" x14ac:dyDescent="0.25">
      <c r="E293" s="44" t="s">
        <v>23</v>
      </c>
      <c r="F293" s="8">
        <v>0.6</v>
      </c>
      <c r="G293" s="8">
        <v>38.880000000000003</v>
      </c>
      <c r="H293" s="8">
        <v>1.0049999999999999</v>
      </c>
      <c r="I293" s="8">
        <v>1.2929999999999999</v>
      </c>
      <c r="J293" s="41">
        <v>29.7</v>
      </c>
      <c r="K293" s="8">
        <v>26</v>
      </c>
      <c r="L293" s="8">
        <f t="shared" si="73"/>
        <v>3.6999999999999993</v>
      </c>
      <c r="M293" s="27">
        <f t="shared" si="74"/>
        <v>112.16150222399995</v>
      </c>
      <c r="N293" s="27"/>
      <c r="O293" s="8">
        <v>0.27700000000000002</v>
      </c>
      <c r="P293" s="18">
        <f t="shared" si="75"/>
        <v>31.068736116047987</v>
      </c>
      <c r="Q293" s="8">
        <f>31*16</f>
        <v>496</v>
      </c>
      <c r="R293" s="40">
        <f t="shared" si="76"/>
        <v>15.410093113559801</v>
      </c>
    </row>
    <row r="294" spans="5:18" ht="15" x14ac:dyDescent="0.4">
      <c r="E294" s="314" t="s">
        <v>92</v>
      </c>
      <c r="F294" s="315"/>
      <c r="G294" s="315"/>
      <c r="H294" s="315"/>
      <c r="I294" s="315"/>
      <c r="J294" s="315"/>
      <c r="K294" s="315"/>
      <c r="L294" s="315"/>
      <c r="M294" s="315"/>
      <c r="N294" s="315"/>
      <c r="O294" s="315"/>
      <c r="P294" s="315"/>
      <c r="Q294" s="315"/>
      <c r="R294" s="84">
        <f>SUM(R282:R293)</f>
        <v>252.9297410251761</v>
      </c>
    </row>
    <row r="295" spans="5:18" ht="14" x14ac:dyDescent="0.25">
      <c r="E295" s="44" t="s">
        <v>15</v>
      </c>
      <c r="F295" s="8">
        <v>0.6</v>
      </c>
      <c r="G295" s="8">
        <v>38.880000000000003</v>
      </c>
      <c r="H295" s="8">
        <v>1.0049999999999999</v>
      </c>
      <c r="I295" s="8">
        <v>1.2929999999999999</v>
      </c>
      <c r="J295" s="71">
        <v>29.1</v>
      </c>
      <c r="K295" s="8">
        <v>27</v>
      </c>
      <c r="L295" s="8">
        <f>J295-K295</f>
        <v>2.1000000000000014</v>
      </c>
      <c r="M295" s="27">
        <f>F295*G295*H295*I295*L295</f>
        <v>63.659230992000026</v>
      </c>
      <c r="N295" s="27"/>
      <c r="O295" s="8">
        <v>0.27700000000000002</v>
      </c>
      <c r="P295" s="18">
        <f>M295*O295</f>
        <v>17.633606984784009</v>
      </c>
      <c r="Q295" s="8">
        <f>31*16</f>
        <v>496</v>
      </c>
      <c r="R295" s="40">
        <f>(P295*Q295)/1000</f>
        <v>8.7462690644528678</v>
      </c>
    </row>
    <row r="296" spans="5:18" ht="14" x14ac:dyDescent="0.25">
      <c r="E296" s="44" t="s">
        <v>16</v>
      </c>
      <c r="F296" s="8">
        <v>0.6</v>
      </c>
      <c r="G296" s="8">
        <v>38.880000000000003</v>
      </c>
      <c r="H296" s="8">
        <v>1.0049999999999999</v>
      </c>
      <c r="I296" s="8">
        <v>1.2929999999999999</v>
      </c>
      <c r="J296" s="71">
        <v>29.5</v>
      </c>
      <c r="K296" s="8">
        <v>27</v>
      </c>
      <c r="L296" s="8">
        <f t="shared" ref="L296:L306" si="77">J296-K296</f>
        <v>2.5</v>
      </c>
      <c r="M296" s="27">
        <f t="shared" ref="M296:M306" si="78">F296*G296*H296*I296*L296</f>
        <v>75.784798799999976</v>
      </c>
      <c r="N296" s="27"/>
      <c r="O296" s="8">
        <v>0.27700000000000002</v>
      </c>
      <c r="P296" s="18">
        <f t="shared" ref="P296:P306" si="79">M296*O296</f>
        <v>20.992389267599997</v>
      </c>
      <c r="Q296" s="8">
        <f>28*16</f>
        <v>448</v>
      </c>
      <c r="R296" s="40">
        <f t="shared" ref="R296:R306" si="80">(P296*Q296)/1000</f>
        <v>9.4045903918847973</v>
      </c>
    </row>
    <row r="297" spans="5:18" ht="14" x14ac:dyDescent="0.25">
      <c r="E297" s="44" t="s">
        <v>17</v>
      </c>
      <c r="F297" s="8">
        <v>0.6</v>
      </c>
      <c r="G297" s="8">
        <v>38.880000000000003</v>
      </c>
      <c r="H297" s="8">
        <v>1.0049999999999999</v>
      </c>
      <c r="I297" s="8">
        <v>1.2929999999999999</v>
      </c>
      <c r="J297" s="71">
        <v>30.6</v>
      </c>
      <c r="K297" s="8">
        <v>27</v>
      </c>
      <c r="L297" s="8">
        <f t="shared" si="77"/>
        <v>3.6000000000000014</v>
      </c>
      <c r="M297" s="27">
        <f t="shared" si="78"/>
        <v>109.13011027200001</v>
      </c>
      <c r="N297" s="27"/>
      <c r="O297" s="8">
        <v>0.27700000000000002</v>
      </c>
      <c r="P297" s="18">
        <f t="shared" si="79"/>
        <v>30.229040545344006</v>
      </c>
      <c r="Q297" s="8">
        <f>31*16</f>
        <v>496</v>
      </c>
      <c r="R297" s="40">
        <f t="shared" si="80"/>
        <v>14.993604110490628</v>
      </c>
    </row>
    <row r="298" spans="5:18" ht="14" x14ac:dyDescent="0.25">
      <c r="E298" s="44" t="s">
        <v>18</v>
      </c>
      <c r="F298" s="8">
        <v>0.6</v>
      </c>
      <c r="G298" s="8">
        <v>38.880000000000003</v>
      </c>
      <c r="H298" s="8">
        <v>1.0049999999999999</v>
      </c>
      <c r="I298" s="8">
        <v>1.2929999999999999</v>
      </c>
      <c r="J298" s="71">
        <v>31.3</v>
      </c>
      <c r="K298" s="8">
        <v>27</v>
      </c>
      <c r="L298" s="8">
        <f t="shared" si="77"/>
        <v>4.3000000000000007</v>
      </c>
      <c r="M298" s="27">
        <f t="shared" si="78"/>
        <v>130.34985393599999</v>
      </c>
      <c r="N298" s="27"/>
      <c r="O298" s="8">
        <v>0.27700000000000002</v>
      </c>
      <c r="P298" s="18">
        <f t="shared" si="79"/>
        <v>36.106909540272</v>
      </c>
      <c r="Q298" s="8">
        <f>30*16</f>
        <v>480</v>
      </c>
      <c r="R298" s="40">
        <f t="shared" si="80"/>
        <v>17.331316579330561</v>
      </c>
    </row>
    <row r="299" spans="5:18" ht="14" x14ac:dyDescent="0.25">
      <c r="E299" s="44" t="s">
        <v>12</v>
      </c>
      <c r="F299" s="8">
        <v>0.6</v>
      </c>
      <c r="G299" s="8">
        <v>38.880000000000003</v>
      </c>
      <c r="H299" s="8">
        <v>1.0049999999999999</v>
      </c>
      <c r="I299" s="8">
        <v>1.2929999999999999</v>
      </c>
      <c r="J299" s="71">
        <v>32.700000000000003</v>
      </c>
      <c r="K299" s="8">
        <v>27</v>
      </c>
      <c r="L299" s="8">
        <f t="shared" si="77"/>
        <v>5.7000000000000028</v>
      </c>
      <c r="M299" s="27">
        <f t="shared" si="78"/>
        <v>172.78934126400003</v>
      </c>
      <c r="N299" s="27"/>
      <c r="O299" s="8">
        <v>0.27700000000000002</v>
      </c>
      <c r="P299" s="18">
        <f t="shared" si="79"/>
        <v>47.862647530128015</v>
      </c>
      <c r="Q299" s="8">
        <f>31*16</f>
        <v>496</v>
      </c>
      <c r="R299" s="40">
        <f t="shared" si="80"/>
        <v>23.739873174943497</v>
      </c>
    </row>
    <row r="300" spans="5:18" ht="14" x14ac:dyDescent="0.25">
      <c r="E300" s="44" t="s">
        <v>13</v>
      </c>
      <c r="F300" s="8">
        <v>0.6</v>
      </c>
      <c r="G300" s="8">
        <v>38.880000000000003</v>
      </c>
      <c r="H300" s="8">
        <v>1.0049999999999999</v>
      </c>
      <c r="I300" s="8">
        <v>1.2929999999999999</v>
      </c>
      <c r="J300" s="71">
        <v>32.6</v>
      </c>
      <c r="K300" s="8">
        <v>27</v>
      </c>
      <c r="L300" s="8">
        <f t="shared" si="77"/>
        <v>5.6000000000000014</v>
      </c>
      <c r="M300" s="27">
        <f t="shared" si="78"/>
        <v>169.75794931199999</v>
      </c>
      <c r="N300" s="27"/>
      <c r="O300" s="8">
        <v>0.27700000000000002</v>
      </c>
      <c r="P300" s="18">
        <f t="shared" si="79"/>
        <v>47.022951959423999</v>
      </c>
      <c r="Q300" s="8">
        <f>30*16</f>
        <v>480</v>
      </c>
      <c r="R300" s="40">
        <f t="shared" si="80"/>
        <v>22.571016940523521</v>
      </c>
    </row>
    <row r="301" spans="5:18" ht="14" x14ac:dyDescent="0.25">
      <c r="E301" s="44" t="s">
        <v>24</v>
      </c>
      <c r="F301" s="8">
        <v>0.6</v>
      </c>
      <c r="G301" s="8">
        <v>38.880000000000003</v>
      </c>
      <c r="H301" s="8">
        <v>1.0049999999999999</v>
      </c>
      <c r="I301" s="8">
        <v>1.2929999999999999</v>
      </c>
      <c r="J301" s="41">
        <v>31.7</v>
      </c>
      <c r="K301" s="8">
        <v>27</v>
      </c>
      <c r="L301" s="8">
        <f t="shared" si="77"/>
        <v>4.6999999999999993</v>
      </c>
      <c r="M301" s="27">
        <f t="shared" si="78"/>
        <v>142.47542174399993</v>
      </c>
      <c r="N301" s="27"/>
      <c r="O301" s="8">
        <v>0.27700000000000002</v>
      </c>
      <c r="P301" s="18">
        <f t="shared" si="79"/>
        <v>39.465691823087987</v>
      </c>
      <c r="Q301" s="8">
        <f>31*16</f>
        <v>496</v>
      </c>
      <c r="R301" s="40">
        <f t="shared" si="80"/>
        <v>19.57498314425164</v>
      </c>
    </row>
    <row r="302" spans="5:18" ht="14" x14ac:dyDescent="0.25">
      <c r="E302" s="44" t="s">
        <v>19</v>
      </c>
      <c r="F302" s="8">
        <v>0.6</v>
      </c>
      <c r="G302" s="8">
        <v>38.880000000000003</v>
      </c>
      <c r="H302" s="8">
        <v>1.0049999999999999</v>
      </c>
      <c r="I302" s="8">
        <v>1.2929999999999999</v>
      </c>
      <c r="J302" s="41">
        <v>32.200000000000003</v>
      </c>
      <c r="K302" s="8">
        <v>27</v>
      </c>
      <c r="L302" s="8">
        <f t="shared" si="77"/>
        <v>5.2000000000000028</v>
      </c>
      <c r="M302" s="27">
        <f t="shared" si="78"/>
        <v>157.63238150400005</v>
      </c>
      <c r="N302" s="27"/>
      <c r="O302" s="8">
        <v>0.27700000000000002</v>
      </c>
      <c r="P302" s="18">
        <f t="shared" si="79"/>
        <v>43.664169676608019</v>
      </c>
      <c r="Q302" s="8">
        <f>31*16</f>
        <v>496</v>
      </c>
      <c r="R302" s="40">
        <f t="shared" si="80"/>
        <v>21.657428159597576</v>
      </c>
    </row>
    <row r="303" spans="5:18" ht="14" x14ac:dyDescent="0.25">
      <c r="E303" s="44" t="s">
        <v>20</v>
      </c>
      <c r="F303" s="8">
        <v>0.6</v>
      </c>
      <c r="G303" s="8">
        <v>38.880000000000003</v>
      </c>
      <c r="H303" s="8">
        <v>1.0049999999999999</v>
      </c>
      <c r="I303" s="8">
        <v>1.2929999999999999</v>
      </c>
      <c r="J303" s="41">
        <v>32.200000000000003</v>
      </c>
      <c r="K303" s="8">
        <v>27</v>
      </c>
      <c r="L303" s="8">
        <f t="shared" si="77"/>
        <v>5.2000000000000028</v>
      </c>
      <c r="M303" s="27">
        <f t="shared" si="78"/>
        <v>157.63238150400005</v>
      </c>
      <c r="N303" s="27"/>
      <c r="O303" s="8">
        <v>0.27700000000000002</v>
      </c>
      <c r="P303" s="18">
        <f t="shared" si="79"/>
        <v>43.664169676608019</v>
      </c>
      <c r="Q303" s="8">
        <f>30*16</f>
        <v>480</v>
      </c>
      <c r="R303" s="40">
        <f t="shared" si="80"/>
        <v>20.958801444771847</v>
      </c>
    </row>
    <row r="304" spans="5:18" ht="14" x14ac:dyDescent="0.25">
      <c r="E304" s="44" t="s">
        <v>21</v>
      </c>
      <c r="F304" s="8">
        <v>0.6</v>
      </c>
      <c r="G304" s="8">
        <v>38.880000000000003</v>
      </c>
      <c r="H304" s="8">
        <v>1.0049999999999999</v>
      </c>
      <c r="I304" s="8">
        <v>1.2929999999999999</v>
      </c>
      <c r="J304" s="41">
        <v>31.6</v>
      </c>
      <c r="K304" s="8">
        <v>27</v>
      </c>
      <c r="L304" s="8">
        <f t="shared" si="77"/>
        <v>4.6000000000000014</v>
      </c>
      <c r="M304" s="27">
        <f t="shared" si="78"/>
        <v>139.44402979200001</v>
      </c>
      <c r="N304" s="27"/>
      <c r="O304" s="8">
        <v>0.27700000000000002</v>
      </c>
      <c r="P304" s="18">
        <f t="shared" si="79"/>
        <v>38.625996252384006</v>
      </c>
      <c r="Q304" s="8">
        <f>31*16</f>
        <v>496</v>
      </c>
      <c r="R304" s="40">
        <f t="shared" si="80"/>
        <v>19.158494141182466</v>
      </c>
    </row>
    <row r="305" spans="5:18" ht="14" x14ac:dyDescent="0.25">
      <c r="E305" s="44" t="s">
        <v>22</v>
      </c>
      <c r="F305" s="8">
        <v>0.6</v>
      </c>
      <c r="G305" s="8">
        <v>38.880000000000003</v>
      </c>
      <c r="H305" s="8">
        <v>1.0049999999999999</v>
      </c>
      <c r="I305" s="8">
        <v>1.2929999999999999</v>
      </c>
      <c r="J305" s="41">
        <v>30.6</v>
      </c>
      <c r="K305" s="8">
        <v>27</v>
      </c>
      <c r="L305" s="8">
        <f t="shared" si="77"/>
        <v>3.6000000000000014</v>
      </c>
      <c r="M305" s="27">
        <f t="shared" si="78"/>
        <v>109.13011027200001</v>
      </c>
      <c r="N305" s="27"/>
      <c r="O305" s="8">
        <v>0.27700000000000002</v>
      </c>
      <c r="P305" s="18">
        <f t="shared" si="79"/>
        <v>30.229040545344006</v>
      </c>
      <c r="Q305" s="8">
        <f>30*16</f>
        <v>480</v>
      </c>
      <c r="R305" s="40">
        <f t="shared" si="80"/>
        <v>14.509939461765123</v>
      </c>
    </row>
    <row r="306" spans="5:18" ht="14" x14ac:dyDescent="0.25">
      <c r="E306" s="44" t="s">
        <v>23</v>
      </c>
      <c r="F306" s="8">
        <v>0.6</v>
      </c>
      <c r="G306" s="8">
        <v>38.880000000000003</v>
      </c>
      <c r="H306" s="8">
        <v>1.0049999999999999</v>
      </c>
      <c r="I306" s="8">
        <v>1.2929999999999999</v>
      </c>
      <c r="J306" s="41">
        <v>29.7</v>
      </c>
      <c r="K306" s="8">
        <v>27</v>
      </c>
      <c r="L306" s="8">
        <f t="shared" si="77"/>
        <v>2.6999999999999993</v>
      </c>
      <c r="M306" s="27">
        <f t="shared" si="78"/>
        <v>81.847582703999961</v>
      </c>
      <c r="N306" s="27"/>
      <c r="O306" s="8">
        <v>0.27700000000000002</v>
      </c>
      <c r="P306" s="18">
        <f t="shared" si="79"/>
        <v>22.67178040900799</v>
      </c>
      <c r="Q306" s="8">
        <f>31*16</f>
        <v>496</v>
      </c>
      <c r="R306" s="40">
        <f t="shared" si="80"/>
        <v>11.245203082867963</v>
      </c>
    </row>
    <row r="307" spans="5:18" ht="15" x14ac:dyDescent="0.4">
      <c r="E307" s="314" t="s">
        <v>93</v>
      </c>
      <c r="F307" s="315"/>
      <c r="G307" s="315"/>
      <c r="H307" s="315"/>
      <c r="I307" s="315"/>
      <c r="J307" s="315"/>
      <c r="K307" s="315"/>
      <c r="L307" s="315"/>
      <c r="M307" s="315"/>
      <c r="N307" s="315"/>
      <c r="O307" s="315"/>
      <c r="P307" s="315"/>
      <c r="Q307" s="315"/>
      <c r="R307" s="84">
        <f>SUM(R295:R306)</f>
        <v>203.89151969606249</v>
      </c>
    </row>
    <row r="308" spans="5:18" ht="14" x14ac:dyDescent="0.25">
      <c r="E308" s="44" t="s">
        <v>15</v>
      </c>
      <c r="F308" s="8">
        <v>0.6</v>
      </c>
      <c r="G308" s="8">
        <v>38.880000000000003</v>
      </c>
      <c r="H308" s="8">
        <v>1.0049999999999999</v>
      </c>
      <c r="I308" s="8">
        <v>1.2929999999999999</v>
      </c>
      <c r="J308" s="71">
        <v>29.1</v>
      </c>
      <c r="K308" s="8">
        <v>28</v>
      </c>
      <c r="L308" s="8">
        <f>J308-K308</f>
        <v>1.1000000000000014</v>
      </c>
      <c r="M308" s="27">
        <f>F308*G308*H308*I308*L308</f>
        <v>33.345311472000034</v>
      </c>
      <c r="N308" s="27"/>
      <c r="O308" s="8">
        <v>0.27700000000000002</v>
      </c>
      <c r="P308" s="18">
        <f>M308*O308</f>
        <v>9.2366512777440111</v>
      </c>
      <c r="Q308" s="8">
        <f>31*16</f>
        <v>496</v>
      </c>
      <c r="R308" s="40">
        <f>(P308*Q308)/1000</f>
        <v>4.5813790337610296</v>
      </c>
    </row>
    <row r="309" spans="5:18" ht="14" x14ac:dyDescent="0.25">
      <c r="E309" s="44" t="s">
        <v>16</v>
      </c>
      <c r="F309" s="8">
        <v>0.6</v>
      </c>
      <c r="G309" s="8">
        <v>38.880000000000003</v>
      </c>
      <c r="H309" s="8">
        <v>1.0049999999999999</v>
      </c>
      <c r="I309" s="8">
        <v>1.2929999999999999</v>
      </c>
      <c r="J309" s="71">
        <v>29.5</v>
      </c>
      <c r="K309" s="8">
        <v>28</v>
      </c>
      <c r="L309" s="8">
        <f t="shared" ref="L309:L319" si="81">J309-K309</f>
        <v>1.5</v>
      </c>
      <c r="M309" s="27">
        <f t="shared" ref="M309:M319" si="82">F309*G309*H309*I309*L309</f>
        <v>45.470879279999991</v>
      </c>
      <c r="N309" s="27"/>
      <c r="O309" s="8">
        <v>0.27700000000000002</v>
      </c>
      <c r="P309" s="18">
        <f t="shared" ref="P309:P319" si="83">M309*O309</f>
        <v>12.595433560559998</v>
      </c>
      <c r="Q309" s="8">
        <f>28*16</f>
        <v>448</v>
      </c>
      <c r="R309" s="40">
        <f t="shared" ref="R309:R319" si="84">(P309*Q309)/1000</f>
        <v>5.6427542351308793</v>
      </c>
    </row>
    <row r="310" spans="5:18" ht="14" x14ac:dyDescent="0.25">
      <c r="E310" s="44" t="s">
        <v>17</v>
      </c>
      <c r="F310" s="8">
        <v>0.6</v>
      </c>
      <c r="G310" s="8">
        <v>38.880000000000003</v>
      </c>
      <c r="H310" s="8">
        <v>1.0049999999999999</v>
      </c>
      <c r="I310" s="8">
        <v>1.2929999999999999</v>
      </c>
      <c r="J310" s="71">
        <v>30.6</v>
      </c>
      <c r="K310" s="8">
        <v>28</v>
      </c>
      <c r="L310" s="8">
        <f t="shared" si="81"/>
        <v>2.6000000000000014</v>
      </c>
      <c r="M310" s="27">
        <f t="shared" si="82"/>
        <v>78.816190752000026</v>
      </c>
      <c r="N310" s="27"/>
      <c r="O310" s="8">
        <v>0.27700000000000002</v>
      </c>
      <c r="P310" s="18">
        <f t="shared" si="83"/>
        <v>21.832084838304009</v>
      </c>
      <c r="Q310" s="8">
        <f>31*16</f>
        <v>496</v>
      </c>
      <c r="R310" s="40">
        <f t="shared" si="84"/>
        <v>10.828714079798788</v>
      </c>
    </row>
    <row r="311" spans="5:18" ht="14" x14ac:dyDescent="0.25">
      <c r="E311" s="44" t="s">
        <v>18</v>
      </c>
      <c r="F311" s="8">
        <v>0.6</v>
      </c>
      <c r="G311" s="8">
        <v>38.880000000000003</v>
      </c>
      <c r="H311" s="8">
        <v>1.0049999999999999</v>
      </c>
      <c r="I311" s="8">
        <v>1.2929999999999999</v>
      </c>
      <c r="J311" s="71">
        <v>31.3</v>
      </c>
      <c r="K311" s="8">
        <v>28</v>
      </c>
      <c r="L311" s="8">
        <f t="shared" si="81"/>
        <v>3.3000000000000007</v>
      </c>
      <c r="M311" s="27">
        <f t="shared" si="82"/>
        <v>100.03593441599999</v>
      </c>
      <c r="N311" s="27"/>
      <c r="O311" s="8">
        <v>0.27700000000000002</v>
      </c>
      <c r="P311" s="18">
        <f t="shared" si="83"/>
        <v>27.709953833231999</v>
      </c>
      <c r="Q311" s="8">
        <f>30*16</f>
        <v>480</v>
      </c>
      <c r="R311" s="40">
        <f t="shared" si="84"/>
        <v>13.300777839951358</v>
      </c>
    </row>
    <row r="312" spans="5:18" ht="14" x14ac:dyDescent="0.25">
      <c r="E312" s="44" t="s">
        <v>12</v>
      </c>
      <c r="F312" s="8">
        <v>0.6</v>
      </c>
      <c r="G312" s="8">
        <v>38.880000000000003</v>
      </c>
      <c r="H312" s="8">
        <v>1.0049999999999999</v>
      </c>
      <c r="I312" s="8">
        <v>1.2929999999999999</v>
      </c>
      <c r="J312" s="71">
        <v>32.700000000000003</v>
      </c>
      <c r="K312" s="8">
        <v>28</v>
      </c>
      <c r="L312" s="8">
        <f t="shared" si="81"/>
        <v>4.7000000000000028</v>
      </c>
      <c r="M312" s="27">
        <f t="shared" si="82"/>
        <v>142.47542174400004</v>
      </c>
      <c r="N312" s="27"/>
      <c r="O312" s="8">
        <v>0.27700000000000002</v>
      </c>
      <c r="P312" s="18">
        <f t="shared" si="83"/>
        <v>39.465691823088015</v>
      </c>
      <c r="Q312" s="8">
        <f>31*16</f>
        <v>496</v>
      </c>
      <c r="R312" s="40">
        <f t="shared" si="84"/>
        <v>19.574983144251654</v>
      </c>
    </row>
    <row r="313" spans="5:18" ht="14" x14ac:dyDescent="0.25">
      <c r="E313" s="44" t="s">
        <v>13</v>
      </c>
      <c r="F313" s="8">
        <v>0.6</v>
      </c>
      <c r="G313" s="8">
        <v>38.880000000000003</v>
      </c>
      <c r="H313" s="8">
        <v>1.0049999999999999</v>
      </c>
      <c r="I313" s="8">
        <v>1.2929999999999999</v>
      </c>
      <c r="J313" s="71">
        <v>32.6</v>
      </c>
      <c r="K313" s="8">
        <v>28</v>
      </c>
      <c r="L313" s="8">
        <f t="shared" si="81"/>
        <v>4.6000000000000014</v>
      </c>
      <c r="M313" s="27">
        <f t="shared" si="82"/>
        <v>139.44402979200001</v>
      </c>
      <c r="N313" s="27"/>
      <c r="O313" s="8">
        <v>0.27700000000000002</v>
      </c>
      <c r="P313" s="18">
        <f t="shared" si="83"/>
        <v>38.625996252384006</v>
      </c>
      <c r="Q313" s="8">
        <f>30*16</f>
        <v>480</v>
      </c>
      <c r="R313" s="40">
        <f t="shared" si="84"/>
        <v>18.540478201144325</v>
      </c>
    </row>
    <row r="314" spans="5:18" ht="14" x14ac:dyDescent="0.25">
      <c r="E314" s="44" t="s">
        <v>24</v>
      </c>
      <c r="F314" s="8">
        <v>0.6</v>
      </c>
      <c r="G314" s="8">
        <v>38.880000000000003</v>
      </c>
      <c r="H314" s="8">
        <v>1.0049999999999999</v>
      </c>
      <c r="I314" s="8">
        <v>1.2929999999999999</v>
      </c>
      <c r="J314" s="41">
        <v>31.7</v>
      </c>
      <c r="K314" s="8">
        <v>28</v>
      </c>
      <c r="L314" s="8">
        <f t="shared" si="81"/>
        <v>3.6999999999999993</v>
      </c>
      <c r="M314" s="27">
        <f t="shared" si="82"/>
        <v>112.16150222399995</v>
      </c>
      <c r="N314" s="27"/>
      <c r="O314" s="8">
        <v>0.27700000000000002</v>
      </c>
      <c r="P314" s="18">
        <f t="shared" si="83"/>
        <v>31.068736116047987</v>
      </c>
      <c r="Q314" s="8">
        <f>31*16</f>
        <v>496</v>
      </c>
      <c r="R314" s="40">
        <f t="shared" si="84"/>
        <v>15.410093113559801</v>
      </c>
    </row>
    <row r="315" spans="5:18" ht="14" x14ac:dyDescent="0.25">
      <c r="E315" s="44" t="s">
        <v>19</v>
      </c>
      <c r="F315" s="8">
        <v>0.6</v>
      </c>
      <c r="G315" s="8">
        <v>38.880000000000003</v>
      </c>
      <c r="H315" s="8">
        <v>1.0049999999999999</v>
      </c>
      <c r="I315" s="8">
        <v>1.2929999999999999</v>
      </c>
      <c r="J315" s="41">
        <v>32.200000000000003</v>
      </c>
      <c r="K315" s="8">
        <v>28</v>
      </c>
      <c r="L315" s="8">
        <f t="shared" si="81"/>
        <v>4.2000000000000028</v>
      </c>
      <c r="M315" s="27">
        <f t="shared" si="82"/>
        <v>127.31846198400005</v>
      </c>
      <c r="N315" s="27"/>
      <c r="O315" s="8">
        <v>0.27700000000000002</v>
      </c>
      <c r="P315" s="18">
        <f t="shared" si="83"/>
        <v>35.267213969568019</v>
      </c>
      <c r="Q315" s="8">
        <f>31*16</f>
        <v>496</v>
      </c>
      <c r="R315" s="40">
        <f t="shared" si="84"/>
        <v>17.492538128905736</v>
      </c>
    </row>
    <row r="316" spans="5:18" ht="14" x14ac:dyDescent="0.25">
      <c r="E316" s="44" t="s">
        <v>20</v>
      </c>
      <c r="F316" s="8">
        <v>0.6</v>
      </c>
      <c r="G316" s="8">
        <v>38.880000000000003</v>
      </c>
      <c r="H316" s="8">
        <v>1.0049999999999999</v>
      </c>
      <c r="I316" s="8">
        <v>1.2929999999999999</v>
      </c>
      <c r="J316" s="41">
        <v>32.200000000000003</v>
      </c>
      <c r="K316" s="8">
        <v>28</v>
      </c>
      <c r="L316" s="8">
        <f t="shared" si="81"/>
        <v>4.2000000000000028</v>
      </c>
      <c r="M316" s="27">
        <f t="shared" si="82"/>
        <v>127.31846198400005</v>
      </c>
      <c r="N316" s="27"/>
      <c r="O316" s="8">
        <v>0.27700000000000002</v>
      </c>
      <c r="P316" s="18">
        <f t="shared" si="83"/>
        <v>35.267213969568019</v>
      </c>
      <c r="Q316" s="8">
        <f>30*16</f>
        <v>480</v>
      </c>
      <c r="R316" s="40">
        <f t="shared" si="84"/>
        <v>16.928262705392648</v>
      </c>
    </row>
    <row r="317" spans="5:18" ht="14" x14ac:dyDescent="0.25">
      <c r="E317" s="44" t="s">
        <v>21</v>
      </c>
      <c r="F317" s="8">
        <v>0.6</v>
      </c>
      <c r="G317" s="8">
        <v>38.880000000000003</v>
      </c>
      <c r="H317" s="8">
        <v>1.0049999999999999</v>
      </c>
      <c r="I317" s="8">
        <v>1.2929999999999999</v>
      </c>
      <c r="J317" s="41">
        <v>31.6</v>
      </c>
      <c r="K317" s="8">
        <v>28</v>
      </c>
      <c r="L317" s="8">
        <f t="shared" si="81"/>
        <v>3.6000000000000014</v>
      </c>
      <c r="M317" s="27">
        <f t="shared" si="82"/>
        <v>109.13011027200001</v>
      </c>
      <c r="N317" s="27"/>
      <c r="O317" s="8">
        <v>0.27700000000000002</v>
      </c>
      <c r="P317" s="18">
        <f t="shared" si="83"/>
        <v>30.229040545344006</v>
      </c>
      <c r="Q317" s="8">
        <f>31*16</f>
        <v>496</v>
      </c>
      <c r="R317" s="40">
        <f t="shared" si="84"/>
        <v>14.993604110490628</v>
      </c>
    </row>
    <row r="318" spans="5:18" ht="14" x14ac:dyDescent="0.25">
      <c r="E318" s="44" t="s">
        <v>22</v>
      </c>
      <c r="F318" s="8">
        <v>0.6</v>
      </c>
      <c r="G318" s="8">
        <v>38.880000000000003</v>
      </c>
      <c r="H318" s="8">
        <v>1.0049999999999999</v>
      </c>
      <c r="I318" s="8">
        <v>1.2929999999999999</v>
      </c>
      <c r="J318" s="41">
        <v>30.6</v>
      </c>
      <c r="K318" s="8">
        <v>28</v>
      </c>
      <c r="L318" s="8">
        <f t="shared" si="81"/>
        <v>2.6000000000000014</v>
      </c>
      <c r="M318" s="27">
        <f t="shared" si="82"/>
        <v>78.816190752000026</v>
      </c>
      <c r="N318" s="27"/>
      <c r="O318" s="8">
        <v>0.27700000000000002</v>
      </c>
      <c r="P318" s="18">
        <f t="shared" si="83"/>
        <v>21.832084838304009</v>
      </c>
      <c r="Q318" s="8">
        <f>30*16</f>
        <v>480</v>
      </c>
      <c r="R318" s="40">
        <f t="shared" si="84"/>
        <v>10.479400722385924</v>
      </c>
    </row>
    <row r="319" spans="5:18" ht="14" x14ac:dyDescent="0.25">
      <c r="E319" s="44" t="s">
        <v>23</v>
      </c>
      <c r="F319" s="8">
        <v>0.6</v>
      </c>
      <c r="G319" s="8">
        <v>38.880000000000003</v>
      </c>
      <c r="H319" s="8">
        <v>1.0049999999999999</v>
      </c>
      <c r="I319" s="8">
        <v>1.2929999999999999</v>
      </c>
      <c r="J319" s="41">
        <v>29.7</v>
      </c>
      <c r="K319" s="8">
        <v>28</v>
      </c>
      <c r="L319" s="8">
        <f t="shared" si="81"/>
        <v>1.6999999999999993</v>
      </c>
      <c r="M319" s="27">
        <f t="shared" si="82"/>
        <v>51.533663183999963</v>
      </c>
      <c r="N319" s="27"/>
      <c r="O319" s="8">
        <v>0.27700000000000002</v>
      </c>
      <c r="P319" s="18">
        <f t="shared" si="83"/>
        <v>14.27482470196799</v>
      </c>
      <c r="Q319" s="8">
        <f>31*16</f>
        <v>496</v>
      </c>
      <c r="R319" s="40">
        <f t="shared" si="84"/>
        <v>7.0803130521761233</v>
      </c>
    </row>
    <row r="320" spans="5:18" ht="15.5" thickBot="1" x14ac:dyDescent="0.45">
      <c r="E320" s="312" t="s">
        <v>94</v>
      </c>
      <c r="F320" s="313"/>
      <c r="G320" s="313"/>
      <c r="H320" s="313"/>
      <c r="I320" s="313"/>
      <c r="J320" s="313"/>
      <c r="K320" s="313"/>
      <c r="L320" s="313"/>
      <c r="M320" s="313"/>
      <c r="N320" s="313"/>
      <c r="O320" s="313"/>
      <c r="P320" s="313"/>
      <c r="Q320" s="313"/>
      <c r="R320" s="74">
        <f>SUM(R308:R319)</f>
        <v>154.85329836694888</v>
      </c>
    </row>
    <row r="323" spans="5:18" ht="13.5" thickBot="1" x14ac:dyDescent="0.3">
      <c r="Q323" s="384"/>
      <c r="R323" s="384"/>
    </row>
    <row r="324" spans="5:18" x14ac:dyDescent="0.3">
      <c r="E324" s="295" t="s">
        <v>111</v>
      </c>
      <c r="F324" s="296"/>
      <c r="G324" s="296"/>
      <c r="H324" s="296"/>
      <c r="I324" s="296"/>
      <c r="J324" s="296"/>
      <c r="K324" s="296"/>
      <c r="L324" s="296"/>
      <c r="M324" s="296"/>
      <c r="N324" s="316"/>
      <c r="O324" s="297"/>
      <c r="Q324" s="384"/>
      <c r="R324" s="384"/>
    </row>
    <row r="325" spans="5:18" ht="13" customHeight="1" x14ac:dyDescent="0.25">
      <c r="E325" s="2" t="s">
        <v>0</v>
      </c>
      <c r="F325" s="5" t="s">
        <v>104</v>
      </c>
      <c r="G325" s="5" t="s">
        <v>105</v>
      </c>
      <c r="H325" s="5" t="s">
        <v>64</v>
      </c>
      <c r="I325" s="5" t="s">
        <v>106</v>
      </c>
      <c r="J325" s="5" t="s">
        <v>107</v>
      </c>
      <c r="K325" s="5" t="s">
        <v>108</v>
      </c>
      <c r="L325" s="5" t="s">
        <v>110</v>
      </c>
      <c r="M325" s="5" t="s">
        <v>86</v>
      </c>
      <c r="N325" s="101"/>
      <c r="O325" s="87" t="s">
        <v>109</v>
      </c>
      <c r="Q325" s="384"/>
      <c r="R325" s="384"/>
    </row>
    <row r="326" spans="5:18" x14ac:dyDescent="0.25">
      <c r="E326" s="44" t="s">
        <v>15</v>
      </c>
      <c r="F326" s="5">
        <v>4</v>
      </c>
      <c r="G326" s="5">
        <v>75</v>
      </c>
      <c r="H326" s="5">
        <v>1</v>
      </c>
      <c r="I326" s="5">
        <f>F326*G326*H326</f>
        <v>300</v>
      </c>
      <c r="J326" s="5">
        <v>30</v>
      </c>
      <c r="K326" s="8">
        <f>F326*J326</f>
        <v>120</v>
      </c>
      <c r="L326" s="8">
        <f>I326+K326</f>
        <v>420</v>
      </c>
      <c r="M326" s="8">
        <f>31*16</f>
        <v>496</v>
      </c>
      <c r="N326" s="102"/>
      <c r="O326" s="87">
        <f>(L326*M326)/1000</f>
        <v>208.32</v>
      </c>
    </row>
    <row r="327" spans="5:18" x14ac:dyDescent="0.25">
      <c r="E327" s="44" t="s">
        <v>16</v>
      </c>
      <c r="F327" s="5">
        <v>4</v>
      </c>
      <c r="G327" s="5">
        <v>75</v>
      </c>
      <c r="H327" s="5">
        <v>1</v>
      </c>
      <c r="I327" s="5">
        <f t="shared" ref="I327:I337" si="85">F327*G327*H327</f>
        <v>300</v>
      </c>
      <c r="J327" s="5">
        <v>30</v>
      </c>
      <c r="K327" s="8">
        <f t="shared" ref="K327:K337" si="86">F327*J327</f>
        <v>120</v>
      </c>
      <c r="L327" s="8">
        <f t="shared" ref="L327:L337" si="87">I327+K327</f>
        <v>420</v>
      </c>
      <c r="M327" s="8">
        <f>28*16</f>
        <v>448</v>
      </c>
      <c r="N327" s="102"/>
      <c r="O327" s="87">
        <f t="shared" ref="O327:O337" si="88">(L327*M327)/1000</f>
        <v>188.16</v>
      </c>
    </row>
    <row r="328" spans="5:18" x14ac:dyDescent="0.25">
      <c r="E328" s="44" t="s">
        <v>17</v>
      </c>
      <c r="F328" s="5">
        <v>4</v>
      </c>
      <c r="G328" s="5">
        <v>75</v>
      </c>
      <c r="H328" s="5">
        <v>1</v>
      </c>
      <c r="I328" s="5">
        <f t="shared" si="85"/>
        <v>300</v>
      </c>
      <c r="J328" s="5">
        <v>30</v>
      </c>
      <c r="K328" s="8">
        <f t="shared" si="86"/>
        <v>120</v>
      </c>
      <c r="L328" s="8">
        <f t="shared" si="87"/>
        <v>420</v>
      </c>
      <c r="M328" s="8">
        <f>31*16</f>
        <v>496</v>
      </c>
      <c r="N328" s="102"/>
      <c r="O328" s="87">
        <f t="shared" si="88"/>
        <v>208.32</v>
      </c>
    </row>
    <row r="329" spans="5:18" x14ac:dyDescent="0.25">
      <c r="E329" s="44" t="s">
        <v>18</v>
      </c>
      <c r="F329" s="5">
        <v>4</v>
      </c>
      <c r="G329" s="5">
        <v>75</v>
      </c>
      <c r="H329" s="5">
        <v>1</v>
      </c>
      <c r="I329" s="5">
        <f t="shared" si="85"/>
        <v>300</v>
      </c>
      <c r="J329" s="5">
        <v>30</v>
      </c>
      <c r="K329" s="8">
        <f t="shared" si="86"/>
        <v>120</v>
      </c>
      <c r="L329" s="8">
        <f t="shared" si="87"/>
        <v>420</v>
      </c>
      <c r="M329" s="8">
        <f>30*16</f>
        <v>480</v>
      </c>
      <c r="N329" s="102"/>
      <c r="O329" s="87">
        <f t="shared" si="88"/>
        <v>201.6</v>
      </c>
    </row>
    <row r="330" spans="5:18" x14ac:dyDescent="0.25">
      <c r="E330" s="44" t="s">
        <v>12</v>
      </c>
      <c r="F330" s="5">
        <v>4</v>
      </c>
      <c r="G330" s="5">
        <v>75</v>
      </c>
      <c r="H330" s="5">
        <v>1</v>
      </c>
      <c r="I330" s="5">
        <f t="shared" si="85"/>
        <v>300</v>
      </c>
      <c r="J330" s="5">
        <v>30</v>
      </c>
      <c r="K330" s="8">
        <f t="shared" si="86"/>
        <v>120</v>
      </c>
      <c r="L330" s="8">
        <f t="shared" si="87"/>
        <v>420</v>
      </c>
      <c r="M330" s="8">
        <f>31*16</f>
        <v>496</v>
      </c>
      <c r="N330" s="102"/>
      <c r="O330" s="87">
        <f t="shared" si="88"/>
        <v>208.32</v>
      </c>
    </row>
    <row r="331" spans="5:18" x14ac:dyDescent="0.25">
      <c r="E331" s="44" t="s">
        <v>13</v>
      </c>
      <c r="F331" s="5">
        <v>4</v>
      </c>
      <c r="G331" s="5">
        <v>75</v>
      </c>
      <c r="H331" s="5">
        <v>1</v>
      </c>
      <c r="I331" s="5">
        <f t="shared" si="85"/>
        <v>300</v>
      </c>
      <c r="J331" s="5">
        <v>30</v>
      </c>
      <c r="K331" s="8">
        <f t="shared" si="86"/>
        <v>120</v>
      </c>
      <c r="L331" s="8">
        <f t="shared" si="87"/>
        <v>420</v>
      </c>
      <c r="M331" s="8">
        <f>30*16</f>
        <v>480</v>
      </c>
      <c r="N331" s="102"/>
      <c r="O331" s="87">
        <f t="shared" si="88"/>
        <v>201.6</v>
      </c>
    </row>
    <row r="332" spans="5:18" x14ac:dyDescent="0.25">
      <c r="E332" s="44" t="s">
        <v>24</v>
      </c>
      <c r="F332" s="5">
        <v>4</v>
      </c>
      <c r="G332" s="5">
        <v>75</v>
      </c>
      <c r="H332" s="5">
        <v>1</v>
      </c>
      <c r="I332" s="5">
        <f t="shared" si="85"/>
        <v>300</v>
      </c>
      <c r="J332" s="5">
        <v>30</v>
      </c>
      <c r="K332" s="8">
        <f t="shared" si="86"/>
        <v>120</v>
      </c>
      <c r="L332" s="8">
        <f t="shared" si="87"/>
        <v>420</v>
      </c>
      <c r="M332" s="8">
        <f>31*16</f>
        <v>496</v>
      </c>
      <c r="N332" s="102"/>
      <c r="O332" s="87">
        <f t="shared" si="88"/>
        <v>208.32</v>
      </c>
    </row>
    <row r="333" spans="5:18" x14ac:dyDescent="0.25">
      <c r="E333" s="44" t="s">
        <v>19</v>
      </c>
      <c r="F333" s="5">
        <v>4</v>
      </c>
      <c r="G333" s="5">
        <v>75</v>
      </c>
      <c r="H333" s="5">
        <v>1</v>
      </c>
      <c r="I333" s="5">
        <f t="shared" si="85"/>
        <v>300</v>
      </c>
      <c r="J333" s="5">
        <v>30</v>
      </c>
      <c r="K333" s="8">
        <f t="shared" si="86"/>
        <v>120</v>
      </c>
      <c r="L333" s="8">
        <f t="shared" si="87"/>
        <v>420</v>
      </c>
      <c r="M333" s="8">
        <f>31*16</f>
        <v>496</v>
      </c>
      <c r="N333" s="102"/>
      <c r="O333" s="87">
        <f t="shared" si="88"/>
        <v>208.32</v>
      </c>
    </row>
    <row r="334" spans="5:18" x14ac:dyDescent="0.25">
      <c r="E334" s="44" t="s">
        <v>20</v>
      </c>
      <c r="F334" s="5">
        <v>4</v>
      </c>
      <c r="G334" s="5">
        <v>75</v>
      </c>
      <c r="H334" s="5">
        <v>1</v>
      </c>
      <c r="I334" s="5">
        <f t="shared" si="85"/>
        <v>300</v>
      </c>
      <c r="J334" s="5">
        <v>30</v>
      </c>
      <c r="K334" s="8">
        <f t="shared" si="86"/>
        <v>120</v>
      </c>
      <c r="L334" s="8">
        <f t="shared" si="87"/>
        <v>420</v>
      </c>
      <c r="M334" s="8">
        <f>30*16</f>
        <v>480</v>
      </c>
      <c r="N334" s="102"/>
      <c r="O334" s="87">
        <f t="shared" si="88"/>
        <v>201.6</v>
      </c>
    </row>
    <row r="335" spans="5:18" x14ac:dyDescent="0.25">
      <c r="E335" s="44" t="s">
        <v>21</v>
      </c>
      <c r="F335" s="5">
        <v>4</v>
      </c>
      <c r="G335" s="5">
        <v>75</v>
      </c>
      <c r="H335" s="5">
        <v>1</v>
      </c>
      <c r="I335" s="5">
        <f t="shared" si="85"/>
        <v>300</v>
      </c>
      <c r="J335" s="5">
        <v>30</v>
      </c>
      <c r="K335" s="8">
        <f t="shared" si="86"/>
        <v>120</v>
      </c>
      <c r="L335" s="8">
        <f t="shared" si="87"/>
        <v>420</v>
      </c>
      <c r="M335" s="8">
        <f>31*16</f>
        <v>496</v>
      </c>
      <c r="N335" s="102"/>
      <c r="O335" s="87">
        <f t="shared" si="88"/>
        <v>208.32</v>
      </c>
    </row>
    <row r="336" spans="5:18" x14ac:dyDescent="0.25">
      <c r="E336" s="44" t="s">
        <v>22</v>
      </c>
      <c r="F336" s="5">
        <v>4</v>
      </c>
      <c r="G336" s="5">
        <v>75</v>
      </c>
      <c r="H336" s="5">
        <v>1</v>
      </c>
      <c r="I336" s="5">
        <f t="shared" si="85"/>
        <v>300</v>
      </c>
      <c r="J336" s="5">
        <v>30</v>
      </c>
      <c r="K336" s="8">
        <f t="shared" si="86"/>
        <v>120</v>
      </c>
      <c r="L336" s="8">
        <f t="shared" si="87"/>
        <v>420</v>
      </c>
      <c r="M336" s="8">
        <f>30*16</f>
        <v>480</v>
      </c>
      <c r="N336" s="102"/>
      <c r="O336" s="87">
        <f t="shared" si="88"/>
        <v>201.6</v>
      </c>
    </row>
    <row r="337" spans="5:15" x14ac:dyDescent="0.25">
      <c r="E337" s="44" t="s">
        <v>23</v>
      </c>
      <c r="F337" s="5">
        <v>4</v>
      </c>
      <c r="G337" s="5">
        <v>75</v>
      </c>
      <c r="H337" s="5">
        <v>1</v>
      </c>
      <c r="I337" s="5">
        <f t="shared" si="85"/>
        <v>300</v>
      </c>
      <c r="J337" s="5">
        <v>30</v>
      </c>
      <c r="K337" s="8">
        <f t="shared" si="86"/>
        <v>120</v>
      </c>
      <c r="L337" s="8">
        <f t="shared" si="87"/>
        <v>420</v>
      </c>
      <c r="M337" s="8">
        <f>31*16</f>
        <v>496</v>
      </c>
      <c r="N337" s="102"/>
      <c r="O337" s="87">
        <f t="shared" si="88"/>
        <v>208.32</v>
      </c>
    </row>
    <row r="338" spans="5:15" ht="13.5" thickBot="1" x14ac:dyDescent="0.35">
      <c r="E338" s="312" t="s">
        <v>111</v>
      </c>
      <c r="F338" s="313"/>
      <c r="G338" s="313"/>
      <c r="H338" s="313"/>
      <c r="I338" s="313"/>
      <c r="J338" s="313"/>
      <c r="K338" s="313"/>
      <c r="L338" s="313"/>
      <c r="M338" s="313"/>
      <c r="N338" s="103"/>
      <c r="O338" s="100">
        <f>SUM(O326:O337)</f>
        <v>2452.7999999999997</v>
      </c>
    </row>
    <row r="340" spans="5:15" ht="13.5" thickBot="1" x14ac:dyDescent="0.3"/>
    <row r="341" spans="5:15" x14ac:dyDescent="0.3">
      <c r="E341" s="289" t="s">
        <v>118</v>
      </c>
      <c r="F341" s="290"/>
      <c r="G341" s="290"/>
      <c r="H341" s="290"/>
      <c r="I341" s="290"/>
      <c r="J341" s="290"/>
      <c r="K341" s="291"/>
    </row>
    <row r="342" spans="5:15" ht="15.5" x14ac:dyDescent="0.4">
      <c r="E342" s="49" t="s">
        <v>112</v>
      </c>
      <c r="F342" s="18" t="s">
        <v>113</v>
      </c>
      <c r="G342" s="18" t="s">
        <v>114</v>
      </c>
      <c r="H342" s="18" t="s">
        <v>115</v>
      </c>
      <c r="I342" s="18" t="s">
        <v>64</v>
      </c>
      <c r="J342" s="18" t="s">
        <v>116</v>
      </c>
      <c r="K342" s="86" t="s">
        <v>117</v>
      </c>
    </row>
    <row r="343" spans="5:15" x14ac:dyDescent="0.25">
      <c r="E343" s="49">
        <v>3</v>
      </c>
      <c r="F343" s="18">
        <v>60</v>
      </c>
      <c r="G343" s="18">
        <v>1.24</v>
      </c>
      <c r="H343" s="18">
        <v>0.66</v>
      </c>
      <c r="I343" s="18">
        <v>0.8</v>
      </c>
      <c r="J343" s="18">
        <f>6*365</f>
        <v>2190</v>
      </c>
      <c r="K343" s="35">
        <f>(E343*F343*G343*H343*I343*J343)/1000</f>
        <v>258.09062399999999</v>
      </c>
    </row>
    <row r="344" spans="5:15" ht="13.5" thickBot="1" x14ac:dyDescent="0.35">
      <c r="E344" s="327" t="s">
        <v>118</v>
      </c>
      <c r="F344" s="328"/>
      <c r="G344" s="328"/>
      <c r="H344" s="328"/>
      <c r="I344" s="328"/>
      <c r="J344" s="328"/>
      <c r="K344" s="74">
        <f>K343</f>
        <v>258.09062399999999</v>
      </c>
    </row>
    <row r="346" spans="5:15" ht="13.5" thickBot="1" x14ac:dyDescent="0.3"/>
    <row r="347" spans="5:15" x14ac:dyDescent="0.3">
      <c r="E347" s="295" t="s">
        <v>124</v>
      </c>
      <c r="F347" s="296"/>
      <c r="G347" s="296"/>
      <c r="H347" s="297"/>
    </row>
    <row r="348" spans="5:15" x14ac:dyDescent="0.25">
      <c r="E348" s="44" t="s">
        <v>119</v>
      </c>
      <c r="F348" s="8" t="s">
        <v>120</v>
      </c>
      <c r="G348" s="8" t="s">
        <v>121</v>
      </c>
      <c r="H348" s="87" t="s">
        <v>122</v>
      </c>
    </row>
    <row r="349" spans="5:15" x14ac:dyDescent="0.25">
      <c r="E349" s="44">
        <v>36</v>
      </c>
      <c r="F349" s="8">
        <v>5</v>
      </c>
      <c r="G349" s="8">
        <f>F349*365</f>
        <v>1825</v>
      </c>
      <c r="H349" s="85">
        <f>(E349*G349)/1000</f>
        <v>65.7</v>
      </c>
    </row>
    <row r="350" spans="5:15" ht="13.5" thickBot="1" x14ac:dyDescent="0.35">
      <c r="E350" s="312" t="s">
        <v>123</v>
      </c>
      <c r="F350" s="313"/>
      <c r="G350" s="313"/>
      <c r="H350" s="88">
        <f>H349</f>
        <v>65.7</v>
      </c>
    </row>
    <row r="353" spans="5:12" ht="13.5" thickBot="1" x14ac:dyDescent="0.3"/>
    <row r="354" spans="5:12" x14ac:dyDescent="0.25">
      <c r="E354" s="93" t="s">
        <v>125</v>
      </c>
      <c r="F354" s="90" t="s">
        <v>126</v>
      </c>
      <c r="G354" s="90" t="s">
        <v>127</v>
      </c>
      <c r="H354" s="90" t="s">
        <v>87</v>
      </c>
      <c r="I354" s="90" t="s">
        <v>128</v>
      </c>
      <c r="J354" s="90" t="s">
        <v>129</v>
      </c>
      <c r="K354" s="90" t="s">
        <v>130</v>
      </c>
      <c r="L354" s="91" t="s">
        <v>134</v>
      </c>
    </row>
    <row r="355" spans="5:12" x14ac:dyDescent="0.25">
      <c r="E355" s="94">
        <v>22</v>
      </c>
      <c r="F355" s="27">
        <f>R122</f>
        <v>140.78059200000007</v>
      </c>
      <c r="G355" s="27">
        <f>K$224</f>
        <v>267.49251074304004</v>
      </c>
      <c r="H355" s="27">
        <f>R242</f>
        <v>449.08262634163049</v>
      </c>
      <c r="I355" s="8">
        <f>O$338</f>
        <v>2452.7999999999997</v>
      </c>
      <c r="J355" s="27">
        <f>K$344</f>
        <v>258.09062399999999</v>
      </c>
      <c r="K355" s="8">
        <f>H$350</f>
        <v>65.7</v>
      </c>
      <c r="L355" s="51">
        <f>F355+G355+H355+I355+J355+K355</f>
        <v>3633.9463530846701</v>
      </c>
    </row>
    <row r="356" spans="5:12" x14ac:dyDescent="0.25">
      <c r="E356" s="94">
        <v>23</v>
      </c>
      <c r="F356" s="27">
        <f>R136</f>
        <v>112.39819200000008</v>
      </c>
      <c r="G356" s="27">
        <f t="shared" ref="G356:G361" si="89">K$224</f>
        <v>267.49251074304004</v>
      </c>
      <c r="H356" s="27">
        <f>R255</f>
        <v>400.04440501251696</v>
      </c>
      <c r="I356" s="8">
        <f t="shared" ref="I356:I361" si="90">O$338</f>
        <v>2452.7999999999997</v>
      </c>
      <c r="J356" s="27">
        <f t="shared" ref="J356:J361" si="91">K$344</f>
        <v>258.09062399999999</v>
      </c>
      <c r="K356" s="8">
        <f t="shared" ref="K356:K361" si="92">H$350</f>
        <v>65.7</v>
      </c>
      <c r="L356" s="51">
        <f t="shared" ref="L356:L360" si="93">F356+G356+H356+I356+J356+K356</f>
        <v>3556.5257317555565</v>
      </c>
    </row>
    <row r="357" spans="5:12" x14ac:dyDescent="0.25">
      <c r="E357" s="94">
        <v>24</v>
      </c>
      <c r="F357" s="27">
        <f>R150</f>
        <v>84.01579200000009</v>
      </c>
      <c r="G357" s="27">
        <f t="shared" si="89"/>
        <v>267.49251074304004</v>
      </c>
      <c r="H357" s="27">
        <f>R268</f>
        <v>351.00618368340326</v>
      </c>
      <c r="I357" s="8">
        <f t="shared" si="90"/>
        <v>2452.7999999999997</v>
      </c>
      <c r="J357" s="27">
        <f t="shared" si="91"/>
        <v>258.09062399999999</v>
      </c>
      <c r="K357" s="8">
        <f t="shared" si="92"/>
        <v>65.7</v>
      </c>
      <c r="L357" s="51">
        <f t="shared" si="93"/>
        <v>3479.1051104264429</v>
      </c>
    </row>
    <row r="358" spans="5:12" x14ac:dyDescent="0.25">
      <c r="E358" s="94">
        <v>25</v>
      </c>
      <c r="F358" s="27">
        <f>R164</f>
        <v>55.633392000000079</v>
      </c>
      <c r="G358" s="27">
        <f t="shared" si="89"/>
        <v>267.49251074304004</v>
      </c>
      <c r="H358" s="27">
        <f>R281</f>
        <v>301.96796235428963</v>
      </c>
      <c r="I358" s="8">
        <f t="shared" si="90"/>
        <v>2452.7999999999997</v>
      </c>
      <c r="J358" s="27">
        <f t="shared" si="91"/>
        <v>258.09062399999999</v>
      </c>
      <c r="K358" s="8">
        <f t="shared" si="92"/>
        <v>65.7</v>
      </c>
      <c r="L358" s="51">
        <f t="shared" si="93"/>
        <v>3401.6844890973293</v>
      </c>
    </row>
    <row r="359" spans="5:12" x14ac:dyDescent="0.25">
      <c r="E359" s="94">
        <v>26</v>
      </c>
      <c r="F359" s="27">
        <f>R178</f>
        <v>27.250992000000085</v>
      </c>
      <c r="G359" s="27">
        <f t="shared" si="89"/>
        <v>267.49251074304004</v>
      </c>
      <c r="H359" s="27">
        <f>R294</f>
        <v>252.9297410251761</v>
      </c>
      <c r="I359" s="8">
        <f t="shared" si="90"/>
        <v>2452.7999999999997</v>
      </c>
      <c r="J359" s="27">
        <f t="shared" si="91"/>
        <v>258.09062399999999</v>
      </c>
      <c r="K359" s="8">
        <f t="shared" si="92"/>
        <v>65.7</v>
      </c>
      <c r="L359" s="51">
        <f t="shared" si="93"/>
        <v>3324.2638677682157</v>
      </c>
    </row>
    <row r="360" spans="5:12" x14ac:dyDescent="0.25">
      <c r="E360" s="94">
        <v>27</v>
      </c>
      <c r="F360" s="27">
        <f>R192</f>
        <v>-1.1314079999999165</v>
      </c>
      <c r="G360" s="27">
        <f t="shared" si="89"/>
        <v>267.49251074304004</v>
      </c>
      <c r="H360" s="27">
        <f>R307</f>
        <v>203.89151969606249</v>
      </c>
      <c r="I360" s="8">
        <f t="shared" si="90"/>
        <v>2452.7999999999997</v>
      </c>
      <c r="J360" s="27">
        <f t="shared" si="91"/>
        <v>258.09062399999999</v>
      </c>
      <c r="K360" s="8">
        <f t="shared" si="92"/>
        <v>65.7</v>
      </c>
      <c r="L360" s="51">
        <f t="shared" si="93"/>
        <v>3246.8432464391021</v>
      </c>
    </row>
    <row r="361" spans="5:12" ht="13.5" thickBot="1" x14ac:dyDescent="0.3">
      <c r="E361" s="95">
        <v>28</v>
      </c>
      <c r="F361" s="89">
        <f>R206</f>
        <v>-29.513807999999919</v>
      </c>
      <c r="G361" s="89">
        <f t="shared" si="89"/>
        <v>267.49251074304004</v>
      </c>
      <c r="H361" s="89">
        <f>R320</f>
        <v>154.85329836694888</v>
      </c>
      <c r="I361" s="21">
        <f t="shared" si="90"/>
        <v>2452.7999999999997</v>
      </c>
      <c r="J361" s="89">
        <f t="shared" si="91"/>
        <v>258.09062399999999</v>
      </c>
      <c r="K361" s="21">
        <f t="shared" si="92"/>
        <v>65.7</v>
      </c>
      <c r="L361" s="92">
        <f>F361+G361+H361+I361+J361+K361</f>
        <v>3169.4226251099885</v>
      </c>
    </row>
    <row r="362" spans="5:12" x14ac:dyDescent="0.25">
      <c r="E362" s="32"/>
      <c r="F362" s="32"/>
      <c r="G362" s="32"/>
      <c r="H362" s="32"/>
      <c r="I362" s="32"/>
      <c r="J362" s="32"/>
      <c r="K362" s="32"/>
    </row>
    <row r="363" spans="5:12" x14ac:dyDescent="0.25">
      <c r="E363" s="32"/>
      <c r="F363" s="32"/>
      <c r="G363" s="32"/>
      <c r="H363" s="32"/>
      <c r="I363" s="32"/>
      <c r="J363" s="32"/>
      <c r="K363" s="32"/>
    </row>
    <row r="364" spans="5:12" x14ac:dyDescent="0.25">
      <c r="E364" s="32"/>
      <c r="F364" s="32"/>
      <c r="G364" s="32"/>
      <c r="H364" s="32"/>
      <c r="I364" s="32"/>
      <c r="J364" s="32"/>
      <c r="K364" s="32"/>
    </row>
    <row r="365" spans="5:12" x14ac:dyDescent="0.25">
      <c r="E365" s="32"/>
      <c r="F365" s="32"/>
      <c r="G365" s="32"/>
      <c r="H365" s="32"/>
      <c r="I365" s="32"/>
      <c r="J365" s="32"/>
      <c r="K365" s="32"/>
    </row>
    <row r="366" spans="5:12" x14ac:dyDescent="0.25">
      <c r="E366" s="32"/>
      <c r="F366" s="32"/>
      <c r="G366" s="32"/>
      <c r="H366" s="32"/>
      <c r="I366" s="32"/>
      <c r="J366" s="32"/>
      <c r="K366" s="32"/>
    </row>
    <row r="367" spans="5:12" x14ac:dyDescent="0.25">
      <c r="E367" s="32"/>
      <c r="F367" s="32"/>
      <c r="G367" s="32"/>
      <c r="H367" s="32"/>
      <c r="I367" s="32"/>
      <c r="J367" s="32"/>
      <c r="K367" s="32"/>
    </row>
    <row r="368" spans="5:12" x14ac:dyDescent="0.25">
      <c r="E368" s="32"/>
      <c r="F368" s="32"/>
      <c r="G368" s="32"/>
      <c r="H368" s="32"/>
      <c r="I368" s="32"/>
      <c r="J368" s="32"/>
      <c r="K368" s="32"/>
    </row>
    <row r="369" spans="5:11" x14ac:dyDescent="0.25">
      <c r="E369" s="32"/>
      <c r="F369" s="32"/>
      <c r="G369" s="32"/>
      <c r="H369" s="32"/>
      <c r="I369" s="32"/>
      <c r="J369" s="32"/>
      <c r="K369" s="32"/>
    </row>
  </sheetData>
  <mergeCells count="47">
    <mergeCell ref="E75:N75"/>
    <mergeCell ref="E3:AI3"/>
    <mergeCell ref="E17:N17"/>
    <mergeCell ref="E31:N31"/>
    <mergeCell ref="E45:N45"/>
    <mergeCell ref="E60:N60"/>
    <mergeCell ref="E61:AH61"/>
    <mergeCell ref="E46:AH46"/>
    <mergeCell ref="E255:Q255"/>
    <mergeCell ref="E164:Q164"/>
    <mergeCell ref="E89:N89"/>
    <mergeCell ref="E103:N103"/>
    <mergeCell ref="B107:C108"/>
    <mergeCell ref="E107:R107"/>
    <mergeCell ref="E108:R108"/>
    <mergeCell ref="E122:Q122"/>
    <mergeCell ref="E123:R123"/>
    <mergeCell ref="E136:Q136"/>
    <mergeCell ref="E137:R137"/>
    <mergeCell ref="E150:Q150"/>
    <mergeCell ref="E151:R151"/>
    <mergeCell ref="E104:AH104"/>
    <mergeCell ref="E344:J344"/>
    <mergeCell ref="E347:H347"/>
    <mergeCell ref="E350:G350"/>
    <mergeCell ref="E281:Q281"/>
    <mergeCell ref="E294:Q294"/>
    <mergeCell ref="E307:Q307"/>
    <mergeCell ref="E320:Q320"/>
    <mergeCell ref="Q323:R325"/>
    <mergeCell ref="E324:O324"/>
    <mergeCell ref="AO5:AQ5"/>
    <mergeCell ref="AO47:AQ47"/>
    <mergeCell ref="AO77:AQ77"/>
    <mergeCell ref="E338:M338"/>
    <mergeCell ref="E341:K341"/>
    <mergeCell ref="E268:Q268"/>
    <mergeCell ref="E165:R165"/>
    <mergeCell ref="E178:Q178"/>
    <mergeCell ref="E179:R179"/>
    <mergeCell ref="E192:Q192"/>
    <mergeCell ref="E193:R193"/>
    <mergeCell ref="E206:Q206"/>
    <mergeCell ref="E210:K210"/>
    <mergeCell ref="E224:J224"/>
    <mergeCell ref="E228:R228"/>
    <mergeCell ref="E242:Q24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3C250-1747-4DB0-82DB-CC450EBE1E2E}">
  <dimension ref="B2:AQ367"/>
  <sheetViews>
    <sheetView topLeftCell="A342" zoomScale="92" zoomScaleNormal="92" workbookViewId="0">
      <selection activeCell="M93" sqref="M93:N95"/>
    </sheetView>
  </sheetViews>
  <sheetFormatPr defaultRowHeight="13" x14ac:dyDescent="0.25"/>
  <cols>
    <col min="2" max="2" width="15.26953125" customWidth="1"/>
    <col min="3" max="3" width="17.1796875" customWidth="1"/>
    <col min="5" max="5" width="12.81640625" customWidth="1"/>
    <col min="6" max="6" width="11.54296875" customWidth="1"/>
    <col min="7" max="7" width="9" style="1" customWidth="1"/>
    <col min="8" max="8" width="10.1796875" customWidth="1"/>
    <col min="9" max="9" width="17.81640625" customWidth="1"/>
    <col min="10" max="10" width="14.1796875" customWidth="1"/>
    <col min="11" max="11" width="11.453125" customWidth="1"/>
    <col min="12" max="12" width="14.81640625" customWidth="1"/>
    <col min="13" max="14" width="12.1796875" customWidth="1"/>
    <col min="15" max="15" width="15.54296875" style="32" customWidth="1"/>
    <col min="16" max="16" width="17.1796875" style="1" customWidth="1"/>
    <col min="17" max="17" width="28.1796875" style="1" customWidth="1"/>
    <col min="18" max="18" width="18.54296875" customWidth="1"/>
    <col min="19" max="19" width="18.81640625" customWidth="1"/>
    <col min="20" max="20" width="11.54296875" customWidth="1"/>
    <col min="21" max="21" width="9.7265625" customWidth="1"/>
    <col min="24" max="24" width="12" customWidth="1"/>
    <col min="28" max="28" width="11.26953125" customWidth="1"/>
    <col min="29" max="29" width="10.453125" customWidth="1"/>
    <col min="30" max="30" width="17.81640625" customWidth="1"/>
    <col min="31" max="31" width="15" customWidth="1"/>
    <col min="35" max="35" width="11" customWidth="1"/>
    <col min="36" max="36" width="8.7265625" style="32"/>
    <col min="37" max="38" width="8.7265625" style="39"/>
    <col min="41" max="41" width="21.1796875" customWidth="1"/>
    <col min="42" max="42" width="16.81640625" customWidth="1"/>
    <col min="43" max="43" width="14.54296875" customWidth="1"/>
  </cols>
  <sheetData>
    <row r="2" spans="2:43" ht="13.5" thickBot="1" x14ac:dyDescent="0.3"/>
    <row r="3" spans="2:43" x14ac:dyDescent="0.3">
      <c r="E3" s="376" t="s">
        <v>9</v>
      </c>
      <c r="F3" s="377"/>
      <c r="G3" s="377"/>
      <c r="H3" s="377"/>
      <c r="I3" s="377"/>
      <c r="J3" s="377"/>
      <c r="K3" s="377"/>
      <c r="L3" s="377"/>
      <c r="M3" s="377"/>
      <c r="N3" s="377"/>
      <c r="O3" s="377"/>
      <c r="P3" s="377"/>
      <c r="Q3" s="377"/>
      <c r="R3" s="377"/>
      <c r="S3" s="377"/>
      <c r="T3" s="377"/>
      <c r="U3" s="377"/>
      <c r="V3" s="377"/>
      <c r="W3" s="377"/>
      <c r="X3" s="377"/>
      <c r="Y3" s="377"/>
      <c r="Z3" s="377"/>
      <c r="AA3" s="377"/>
      <c r="AB3" s="377"/>
      <c r="AC3" s="377"/>
      <c r="AD3" s="377"/>
      <c r="AE3" s="377"/>
      <c r="AF3" s="377"/>
      <c r="AG3" s="377"/>
      <c r="AH3" s="377"/>
      <c r="AI3" s="378"/>
    </row>
    <row r="4" spans="2:43" ht="15" customHeight="1" thickBot="1" x14ac:dyDescent="0.45">
      <c r="E4" s="2" t="s">
        <v>0</v>
      </c>
      <c r="F4" s="3"/>
      <c r="G4" s="5"/>
      <c r="H4" s="4"/>
      <c r="I4" s="4"/>
      <c r="J4" s="4"/>
      <c r="K4" s="4"/>
      <c r="L4" s="4"/>
      <c r="M4" s="3" t="s">
        <v>138</v>
      </c>
      <c r="N4" s="3" t="s">
        <v>137</v>
      </c>
      <c r="O4" s="8" t="s">
        <v>2</v>
      </c>
      <c r="P4" s="4" t="s">
        <v>10</v>
      </c>
      <c r="Q4" s="4" t="s">
        <v>11</v>
      </c>
      <c r="R4" s="4"/>
      <c r="S4" s="4"/>
      <c r="T4" s="4" t="s">
        <v>3</v>
      </c>
      <c r="U4" s="4"/>
      <c r="V4" s="4"/>
      <c r="W4" s="4"/>
      <c r="X4" s="4" t="s">
        <v>3</v>
      </c>
      <c r="Y4" s="4"/>
      <c r="Z4" s="4"/>
      <c r="AA4" s="4"/>
      <c r="AB4" s="4" t="s">
        <v>3</v>
      </c>
      <c r="AC4" s="4"/>
      <c r="AD4" s="4" t="s">
        <v>4</v>
      </c>
      <c r="AE4" s="4" t="s">
        <v>5</v>
      </c>
      <c r="AF4" s="4" t="s">
        <v>6</v>
      </c>
      <c r="AG4" s="4"/>
      <c r="AH4" s="4" t="s">
        <v>7</v>
      </c>
      <c r="AI4" s="6" t="s">
        <v>8</v>
      </c>
    </row>
    <row r="5" spans="2:43" ht="15" customHeight="1" x14ac:dyDescent="0.3">
      <c r="B5" s="53"/>
      <c r="E5" s="2" t="s">
        <v>15</v>
      </c>
      <c r="F5" s="7">
        <v>22</v>
      </c>
      <c r="G5" s="54">
        <v>36.694516320000005</v>
      </c>
      <c r="H5" s="5">
        <v>420</v>
      </c>
      <c r="I5" s="5">
        <v>118.8</v>
      </c>
      <c r="J5" s="5">
        <v>36</v>
      </c>
      <c r="K5" s="8">
        <v>191.96</v>
      </c>
      <c r="L5" s="8">
        <v>8.4700000000000006</v>
      </c>
      <c r="M5" s="9">
        <f>(F5-((G5+H5+I5+J5)/(K5+L5)))</f>
        <v>18.949086881604551</v>
      </c>
      <c r="N5" s="9">
        <v>19</v>
      </c>
      <c r="O5" s="8">
        <v>254</v>
      </c>
      <c r="P5" s="4"/>
      <c r="Q5" s="4"/>
      <c r="R5" s="4"/>
      <c r="S5" s="4"/>
      <c r="T5" s="4"/>
      <c r="U5" s="4"/>
      <c r="V5" s="4"/>
      <c r="W5" s="4"/>
      <c r="X5" s="4"/>
      <c r="Y5" s="4"/>
      <c r="Z5" s="4"/>
      <c r="AA5" s="4"/>
      <c r="AB5" s="4"/>
      <c r="AC5" s="4"/>
      <c r="AD5" s="4"/>
      <c r="AE5" s="4"/>
      <c r="AF5" s="4"/>
      <c r="AG5" s="4"/>
      <c r="AH5" s="4"/>
      <c r="AI5" s="6"/>
      <c r="AO5" s="295" t="s">
        <v>202</v>
      </c>
      <c r="AP5" s="296"/>
      <c r="AQ5" s="297"/>
    </row>
    <row r="6" spans="2:43" ht="15" customHeight="1" x14ac:dyDescent="0.25">
      <c r="B6" s="53"/>
      <c r="E6" s="2" t="s">
        <v>16</v>
      </c>
      <c r="F6" s="7">
        <v>22</v>
      </c>
      <c r="G6" s="54">
        <v>38.988378000000012</v>
      </c>
      <c r="H6" s="5">
        <v>420</v>
      </c>
      <c r="I6" s="5">
        <v>118.8</v>
      </c>
      <c r="J6" s="5">
        <v>36</v>
      </c>
      <c r="K6" s="8">
        <v>191.96</v>
      </c>
      <c r="L6" s="8">
        <v>8.4700000000000006</v>
      </c>
      <c r="M6" s="9">
        <f t="shared" ref="M6:M16" si="0">(F6-((G6+H6+I6+J6)/(K6+L6)))</f>
        <v>18.937642179314473</v>
      </c>
      <c r="N6" s="9">
        <v>19</v>
      </c>
      <c r="O6" s="8">
        <v>239.8</v>
      </c>
      <c r="P6" s="4"/>
      <c r="Q6" s="4"/>
      <c r="R6" s="4"/>
      <c r="S6" s="4"/>
      <c r="T6" s="4"/>
      <c r="U6" s="4"/>
      <c r="V6" s="4"/>
      <c r="W6" s="4"/>
      <c r="X6" s="4"/>
      <c r="Y6" s="4"/>
      <c r="Z6" s="4"/>
      <c r="AA6" s="4"/>
      <c r="AB6" s="4"/>
      <c r="AC6" s="4"/>
      <c r="AD6" s="4"/>
      <c r="AE6" s="4"/>
      <c r="AF6" s="4"/>
      <c r="AG6" s="4"/>
      <c r="AH6" s="4"/>
      <c r="AI6" s="6"/>
      <c r="AO6" s="76" t="s">
        <v>195</v>
      </c>
      <c r="AP6" s="27" t="s">
        <v>196</v>
      </c>
      <c r="AQ6" s="86" t="s">
        <v>201</v>
      </c>
    </row>
    <row r="7" spans="2:43" ht="15" customHeight="1" x14ac:dyDescent="0.25">
      <c r="B7" s="53"/>
      <c r="E7" s="2" t="s">
        <v>17</v>
      </c>
      <c r="F7" s="7">
        <v>22</v>
      </c>
      <c r="G7" s="54">
        <v>42.427352880000001</v>
      </c>
      <c r="H7" s="5">
        <v>420</v>
      </c>
      <c r="I7" s="5">
        <v>118.8</v>
      </c>
      <c r="J7" s="5">
        <v>36</v>
      </c>
      <c r="K7" s="8">
        <v>191.96</v>
      </c>
      <c r="L7" s="8">
        <v>8.4700000000000006</v>
      </c>
      <c r="M7" s="9">
        <f t="shared" si="0"/>
        <v>18.92048419458165</v>
      </c>
      <c r="N7" s="9">
        <v>19</v>
      </c>
      <c r="O7" s="8">
        <v>278.3</v>
      </c>
      <c r="P7" s="4"/>
      <c r="Q7" s="4"/>
      <c r="R7" s="4"/>
      <c r="S7" s="4"/>
      <c r="T7" s="4"/>
      <c r="U7" s="4"/>
      <c r="V7" s="4"/>
      <c r="W7" s="4"/>
      <c r="X7" s="4"/>
      <c r="Y7" s="4"/>
      <c r="Z7" s="4"/>
      <c r="AA7" s="4"/>
      <c r="AB7" s="4"/>
      <c r="AC7" s="4"/>
      <c r="AD7" s="4"/>
      <c r="AE7" s="4"/>
      <c r="AF7" s="4"/>
      <c r="AG7" s="4"/>
      <c r="AH7" s="4"/>
      <c r="AI7" s="6"/>
      <c r="AO7" s="76">
        <v>22</v>
      </c>
      <c r="AP7" s="27">
        <v>16</v>
      </c>
      <c r="AQ7" s="145">
        <f>AP7/AP10</f>
        <v>0.34782608695652173</v>
      </c>
    </row>
    <row r="8" spans="2:43" ht="15" customHeight="1" x14ac:dyDescent="0.25">
      <c r="B8" s="53"/>
      <c r="E8" s="2" t="s">
        <v>18</v>
      </c>
      <c r="F8" s="7">
        <v>22</v>
      </c>
      <c r="G8" s="54">
        <v>50.457686400000007</v>
      </c>
      <c r="H8" s="5">
        <v>420</v>
      </c>
      <c r="I8" s="5">
        <v>118.8</v>
      </c>
      <c r="J8" s="5">
        <v>36</v>
      </c>
      <c r="K8" s="8">
        <v>191.96</v>
      </c>
      <c r="L8" s="8">
        <v>8.4700000000000006</v>
      </c>
      <c r="M8" s="9">
        <f t="shared" si="0"/>
        <v>18.880418667864092</v>
      </c>
      <c r="N8" s="9">
        <v>19</v>
      </c>
      <c r="O8" s="8">
        <v>268.60000000000002</v>
      </c>
      <c r="P8" s="4"/>
      <c r="Q8" s="4"/>
      <c r="R8" s="4"/>
      <c r="S8" s="4"/>
      <c r="T8" s="4"/>
      <c r="U8" s="4"/>
      <c r="V8" s="4"/>
      <c r="W8" s="4"/>
      <c r="X8" s="4"/>
      <c r="Y8" s="4"/>
      <c r="Z8" s="4"/>
      <c r="AA8" s="4"/>
      <c r="AB8" s="4"/>
      <c r="AC8" s="4"/>
      <c r="AD8" s="4"/>
      <c r="AE8" s="4"/>
      <c r="AF8" s="4"/>
      <c r="AG8" s="4"/>
      <c r="AH8" s="4"/>
      <c r="AI8" s="6"/>
      <c r="AO8" s="76">
        <v>23</v>
      </c>
      <c r="AP8" s="27">
        <v>10</v>
      </c>
      <c r="AQ8" s="145">
        <f>AP8/AP10</f>
        <v>0.21739130434782608</v>
      </c>
    </row>
    <row r="9" spans="2:43" ht="15" customHeight="1" x14ac:dyDescent="0.25">
      <c r="B9" s="53"/>
      <c r="E9" s="2" t="s">
        <v>12</v>
      </c>
      <c r="F9" s="7">
        <v>22</v>
      </c>
      <c r="G9" s="54">
        <v>84.858341040000013</v>
      </c>
      <c r="H9" s="5">
        <v>420</v>
      </c>
      <c r="I9" s="5">
        <v>118.8</v>
      </c>
      <c r="J9" s="5">
        <v>36</v>
      </c>
      <c r="K9" s="8">
        <v>191.96</v>
      </c>
      <c r="L9" s="8">
        <v>8.4700000000000006</v>
      </c>
      <c r="M9" s="9">
        <f t="shared" si="0"/>
        <v>18.708784408322106</v>
      </c>
      <c r="N9" s="9">
        <v>18.5</v>
      </c>
      <c r="O9" s="8">
        <v>341.7</v>
      </c>
      <c r="P9" s="4"/>
      <c r="Q9" s="4"/>
      <c r="R9" s="4"/>
      <c r="S9" s="4"/>
      <c r="T9" s="4"/>
      <c r="U9" s="4"/>
      <c r="V9" s="4"/>
      <c r="W9" s="4"/>
      <c r="X9" s="4"/>
      <c r="Y9" s="4"/>
      <c r="Z9" s="4"/>
      <c r="AA9" s="4"/>
      <c r="AB9" s="4"/>
      <c r="AC9" s="4"/>
      <c r="AD9" s="4"/>
      <c r="AE9" s="4"/>
      <c r="AF9" s="4"/>
      <c r="AG9" s="4"/>
      <c r="AH9" s="4"/>
      <c r="AI9" s="6"/>
      <c r="AO9" s="76">
        <v>24</v>
      </c>
      <c r="AP9" s="27">
        <v>20</v>
      </c>
      <c r="AQ9" s="145">
        <f>AP9/AP10</f>
        <v>0.43478260869565216</v>
      </c>
    </row>
    <row r="10" spans="2:43" ht="15" customHeight="1" thickBot="1" x14ac:dyDescent="0.3">
      <c r="B10" s="53"/>
      <c r="E10" s="2" t="s">
        <v>13</v>
      </c>
      <c r="F10" s="7">
        <v>22</v>
      </c>
      <c r="G10" s="54">
        <v>103.20923448000003</v>
      </c>
      <c r="H10" s="5">
        <v>420</v>
      </c>
      <c r="I10" s="5">
        <v>118.8</v>
      </c>
      <c r="J10" s="5">
        <v>36</v>
      </c>
      <c r="K10" s="8">
        <v>191.96</v>
      </c>
      <c r="L10" s="8">
        <v>8.4700000000000006</v>
      </c>
      <c r="M10" s="9">
        <f t="shared" si="0"/>
        <v>18.617226790001496</v>
      </c>
      <c r="N10" s="9">
        <v>18.5</v>
      </c>
      <c r="O10" s="8">
        <v>307.60000000000002</v>
      </c>
      <c r="P10" s="4"/>
      <c r="Q10" s="4"/>
      <c r="R10" s="4"/>
      <c r="S10" s="4"/>
      <c r="T10" s="4"/>
      <c r="U10" s="4"/>
      <c r="V10" s="4"/>
      <c r="W10" s="4"/>
      <c r="X10" s="4"/>
      <c r="Y10" s="4"/>
      <c r="Z10" s="4"/>
      <c r="AA10" s="4"/>
      <c r="AB10" s="4"/>
      <c r="AC10" s="4"/>
      <c r="AD10" s="4"/>
      <c r="AE10" s="4"/>
      <c r="AF10" s="4"/>
      <c r="AG10" s="4"/>
      <c r="AH10" s="4"/>
      <c r="AI10" s="6"/>
      <c r="AO10" s="142"/>
      <c r="AP10" s="89">
        <f>AP7+AP8+AP9</f>
        <v>46</v>
      </c>
      <c r="AQ10" s="140"/>
    </row>
    <row r="11" spans="2:43" x14ac:dyDescent="0.25">
      <c r="B11" s="53"/>
      <c r="E11" s="2" t="s">
        <v>1</v>
      </c>
      <c r="F11" s="7">
        <v>22</v>
      </c>
      <c r="G11" s="54">
        <v>88.300951200000014</v>
      </c>
      <c r="H11" s="5">
        <v>420</v>
      </c>
      <c r="I11" s="5">
        <v>118.8</v>
      </c>
      <c r="J11" s="5">
        <v>36</v>
      </c>
      <c r="K11" s="8">
        <v>191.96</v>
      </c>
      <c r="L11" s="8">
        <v>8.4700000000000006</v>
      </c>
      <c r="M11" s="9">
        <f t="shared" si="0"/>
        <v>18.691608286184703</v>
      </c>
      <c r="N11" s="9">
        <v>18.5</v>
      </c>
      <c r="O11" s="8">
        <v>296.89999999999998</v>
      </c>
      <c r="P11" s="8"/>
      <c r="Q11" s="8"/>
      <c r="R11" s="4"/>
      <c r="S11" s="4"/>
      <c r="T11" s="4"/>
      <c r="U11" s="4"/>
      <c r="V11" s="4"/>
      <c r="W11" s="4"/>
      <c r="X11" s="4"/>
      <c r="Y11" s="4"/>
      <c r="Z11" s="4"/>
      <c r="AA11" s="4"/>
      <c r="AB11" s="4"/>
      <c r="AC11" s="4"/>
      <c r="AD11" s="4"/>
      <c r="AE11" s="4"/>
      <c r="AF11" s="4"/>
      <c r="AG11" s="4"/>
      <c r="AH11" s="4"/>
      <c r="AI11" s="6"/>
    </row>
    <row r="12" spans="2:43" x14ac:dyDescent="0.25">
      <c r="B12" s="53"/>
      <c r="E12" s="2" t="s">
        <v>19</v>
      </c>
      <c r="F12" s="7">
        <v>22</v>
      </c>
      <c r="G12" s="54">
        <v>53.896661280000004</v>
      </c>
      <c r="H12" s="5">
        <v>420</v>
      </c>
      <c r="I12" s="5">
        <v>118.8</v>
      </c>
      <c r="J12" s="5">
        <v>36</v>
      </c>
      <c r="K12" s="8">
        <v>191.96</v>
      </c>
      <c r="L12" s="8">
        <v>8.4700000000000006</v>
      </c>
      <c r="M12" s="9">
        <f t="shared" si="0"/>
        <v>18.863260683131269</v>
      </c>
      <c r="N12" s="9">
        <v>19</v>
      </c>
      <c r="O12" s="8">
        <v>296.10000000000002</v>
      </c>
      <c r="P12" s="8"/>
      <c r="Q12" s="8"/>
      <c r="R12" s="4"/>
      <c r="S12" s="4"/>
      <c r="T12" s="4"/>
      <c r="U12" s="4"/>
      <c r="V12" s="4"/>
      <c r="W12" s="4"/>
      <c r="X12" s="4"/>
      <c r="Y12" s="4"/>
      <c r="Z12" s="4"/>
      <c r="AA12" s="4"/>
      <c r="AB12" s="4"/>
      <c r="AC12" s="4"/>
      <c r="AD12" s="4"/>
      <c r="AE12" s="4"/>
      <c r="AF12" s="4"/>
      <c r="AG12" s="4"/>
      <c r="AH12" s="4"/>
      <c r="AI12" s="6"/>
    </row>
    <row r="13" spans="2:43" x14ac:dyDescent="0.25">
      <c r="B13" s="53"/>
      <c r="E13" s="2" t="s">
        <v>20</v>
      </c>
      <c r="F13" s="7">
        <v>22</v>
      </c>
      <c r="G13" s="54">
        <v>72.658341360000009</v>
      </c>
      <c r="H13" s="5">
        <v>420</v>
      </c>
      <c r="I13" s="5">
        <v>118.8</v>
      </c>
      <c r="J13" s="5">
        <v>36</v>
      </c>
      <c r="K13" s="8">
        <v>191.96</v>
      </c>
      <c r="L13" s="8">
        <v>8.4700000000000006</v>
      </c>
      <c r="M13" s="9">
        <f t="shared" si="0"/>
        <v>18.769653538093099</v>
      </c>
      <c r="N13" s="9">
        <v>19</v>
      </c>
      <c r="O13" s="8">
        <v>294</v>
      </c>
      <c r="P13" s="8"/>
      <c r="Q13" s="8"/>
      <c r="R13" s="4"/>
      <c r="S13" s="4"/>
      <c r="T13" s="4"/>
      <c r="U13" s="4"/>
      <c r="V13" s="4"/>
      <c r="W13" s="4"/>
      <c r="X13" s="4"/>
      <c r="Y13" s="4"/>
      <c r="Z13" s="4"/>
      <c r="AA13" s="4"/>
      <c r="AB13" s="4"/>
      <c r="AC13" s="4"/>
      <c r="AD13" s="4"/>
      <c r="AE13" s="4"/>
      <c r="AF13" s="4"/>
      <c r="AG13" s="4"/>
      <c r="AH13" s="4"/>
      <c r="AI13" s="6"/>
    </row>
    <row r="14" spans="2:43" x14ac:dyDescent="0.25">
      <c r="B14" s="53"/>
      <c r="E14" s="2" t="s">
        <v>21</v>
      </c>
      <c r="F14" s="7">
        <v>22</v>
      </c>
      <c r="G14" s="54">
        <v>40.137126480000006</v>
      </c>
      <c r="H14" s="5">
        <v>420</v>
      </c>
      <c r="I14" s="5">
        <v>118.8</v>
      </c>
      <c r="J14" s="5">
        <v>36</v>
      </c>
      <c r="K14" s="8">
        <v>191.96</v>
      </c>
      <c r="L14" s="8">
        <v>8.4700000000000006</v>
      </c>
      <c r="M14" s="9">
        <f t="shared" si="0"/>
        <v>18.931910759467147</v>
      </c>
      <c r="N14" s="9">
        <v>19</v>
      </c>
      <c r="O14" s="8">
        <v>323.39999999999998</v>
      </c>
      <c r="P14" s="8"/>
      <c r="Q14" s="8"/>
      <c r="R14" s="4"/>
      <c r="S14" s="4"/>
      <c r="T14" s="4"/>
      <c r="U14" s="4"/>
      <c r="V14" s="4"/>
      <c r="W14" s="4"/>
      <c r="X14" s="4"/>
      <c r="Y14" s="4"/>
      <c r="Z14" s="4"/>
      <c r="AA14" s="4"/>
      <c r="AB14" s="4"/>
      <c r="AC14" s="4"/>
      <c r="AD14" s="4"/>
      <c r="AE14" s="4"/>
      <c r="AF14" s="4"/>
      <c r="AG14" s="4"/>
      <c r="AH14" s="4"/>
      <c r="AI14" s="6"/>
    </row>
    <row r="15" spans="2:43" x14ac:dyDescent="0.25">
      <c r="B15" s="53"/>
      <c r="E15" s="2" t="s">
        <v>22</v>
      </c>
      <c r="F15" s="7">
        <v>22</v>
      </c>
      <c r="G15" s="54">
        <v>37.843264800000007</v>
      </c>
      <c r="H15" s="5">
        <v>420</v>
      </c>
      <c r="I15" s="5">
        <v>118.8</v>
      </c>
      <c r="J15" s="5">
        <v>36</v>
      </c>
      <c r="K15" s="8">
        <v>191.96</v>
      </c>
      <c r="L15" s="8">
        <v>8.4700000000000006</v>
      </c>
      <c r="M15" s="9">
        <f t="shared" si="0"/>
        <v>18.943355461757221</v>
      </c>
      <c r="N15" s="9">
        <v>19</v>
      </c>
      <c r="O15" s="8">
        <v>286.10000000000002</v>
      </c>
      <c r="P15" s="8"/>
      <c r="Q15" s="8"/>
      <c r="R15" s="4"/>
      <c r="S15" s="4"/>
      <c r="T15" s="4"/>
      <c r="U15" s="4"/>
      <c r="V15" s="4"/>
      <c r="W15" s="4"/>
      <c r="X15" s="4"/>
      <c r="Y15" s="4"/>
      <c r="Z15" s="4"/>
      <c r="AA15" s="4"/>
      <c r="AB15" s="4"/>
      <c r="AC15" s="4"/>
      <c r="AD15" s="4"/>
      <c r="AE15" s="4"/>
      <c r="AF15" s="4"/>
      <c r="AG15" s="4"/>
      <c r="AH15" s="4"/>
      <c r="AI15" s="6"/>
      <c r="AO15" s="82"/>
      <c r="AP15" s="82"/>
      <c r="AQ15" s="54"/>
    </row>
    <row r="16" spans="2:43" x14ac:dyDescent="0.25">
      <c r="B16" s="53"/>
      <c r="E16" s="2" t="s">
        <v>23</v>
      </c>
      <c r="F16" s="7">
        <v>22</v>
      </c>
      <c r="G16" s="54">
        <v>35.549403120000008</v>
      </c>
      <c r="H16" s="5">
        <v>420</v>
      </c>
      <c r="I16" s="5">
        <v>118.8</v>
      </c>
      <c r="J16" s="5">
        <v>36</v>
      </c>
      <c r="K16" s="8">
        <v>191.96</v>
      </c>
      <c r="L16" s="8">
        <v>8.4700000000000006</v>
      </c>
      <c r="M16" s="9">
        <f t="shared" si="0"/>
        <v>18.954800164047299</v>
      </c>
      <c r="N16" s="9">
        <v>19</v>
      </c>
      <c r="O16" s="8">
        <v>264.60000000000002</v>
      </c>
      <c r="P16" s="8"/>
      <c r="Q16" s="8"/>
      <c r="R16" s="4"/>
      <c r="S16" s="4"/>
      <c r="T16" s="4"/>
      <c r="U16" s="4"/>
      <c r="V16" s="4"/>
      <c r="W16" s="4"/>
      <c r="X16" s="4"/>
      <c r="Y16" s="4"/>
      <c r="Z16" s="4"/>
      <c r="AA16" s="4"/>
      <c r="AB16" s="4"/>
      <c r="AC16" s="4"/>
      <c r="AD16" s="4"/>
      <c r="AE16" s="4"/>
      <c r="AF16" s="4"/>
      <c r="AG16" s="4"/>
      <c r="AH16" s="4"/>
      <c r="AI16" s="6"/>
      <c r="AO16" s="82"/>
      <c r="AP16" s="82"/>
      <c r="AQ16" s="54"/>
    </row>
    <row r="17" spans="5:43" ht="14.15" customHeight="1" x14ac:dyDescent="0.3">
      <c r="E17" s="423" t="s">
        <v>3</v>
      </c>
      <c r="F17" s="424"/>
      <c r="G17" s="424"/>
      <c r="H17" s="424"/>
      <c r="I17" s="424"/>
      <c r="J17" s="424"/>
      <c r="K17" s="424"/>
      <c r="L17" s="424"/>
      <c r="M17" s="424"/>
      <c r="N17" s="425"/>
      <c r="O17" s="11">
        <f>SUM(O5:O16)</f>
        <v>3451.1</v>
      </c>
      <c r="P17" s="28">
        <f>16/24</f>
        <v>0.66666666666666663</v>
      </c>
      <c r="Q17" s="34">
        <f>24/1000</f>
        <v>2.4E-2</v>
      </c>
      <c r="R17" s="8">
        <v>3.59</v>
      </c>
      <c r="S17" s="8">
        <v>12.96</v>
      </c>
      <c r="T17" s="5">
        <f>O17</f>
        <v>3451.1</v>
      </c>
      <c r="U17" s="15">
        <f>P17*Q17*R17*S17*T17</f>
        <v>2569.0761446400002</v>
      </c>
      <c r="V17" s="5">
        <v>3.94</v>
      </c>
      <c r="W17" s="5">
        <v>12.96</v>
      </c>
      <c r="X17" s="5">
        <f>O17</f>
        <v>3451.1</v>
      </c>
      <c r="Y17" s="16">
        <f>(P17*Q17*V17*W17*X17)</f>
        <v>2819.5431782400001</v>
      </c>
      <c r="Z17" s="8">
        <v>2.13</v>
      </c>
      <c r="AA17" s="8">
        <v>41.904000000000003</v>
      </c>
      <c r="AB17" s="8">
        <f>O17</f>
        <v>3451.1</v>
      </c>
      <c r="AC17" s="17">
        <f>(P17*Q17*Z17*AA17*AB17)</f>
        <v>4928.4756011520003</v>
      </c>
      <c r="AD17" s="96">
        <f>L353</f>
        <v>3730.8223397961287</v>
      </c>
      <c r="AE17" s="18">
        <f>U17+Y17+AC17+AD17</f>
        <v>14047.917263828129</v>
      </c>
      <c r="AF17" s="4">
        <f>AE17*0.1</f>
        <v>1404.7917263828131</v>
      </c>
      <c r="AG17" s="19">
        <f>AE17+AF17</f>
        <v>15452.708990210942</v>
      </c>
      <c r="AH17" s="8">
        <v>3.1</v>
      </c>
      <c r="AI17" s="20">
        <f>ROUND((AG17/AH17),0)</f>
        <v>4985</v>
      </c>
      <c r="AJ17" s="39">
        <v>22</v>
      </c>
      <c r="AO17" s="82"/>
      <c r="AP17" s="82"/>
      <c r="AQ17" s="54"/>
    </row>
    <row r="18" spans="5:43" ht="15.5" x14ac:dyDescent="0.4">
      <c r="E18" s="2" t="s">
        <v>0</v>
      </c>
      <c r="F18" s="3"/>
      <c r="G18" s="5"/>
      <c r="H18" s="4"/>
      <c r="I18" s="4"/>
      <c r="J18" s="4"/>
      <c r="K18" s="4"/>
      <c r="L18" s="4"/>
      <c r="M18" s="3" t="s">
        <v>138</v>
      </c>
      <c r="N18" s="3" t="s">
        <v>137</v>
      </c>
      <c r="O18" s="8" t="s">
        <v>2</v>
      </c>
      <c r="P18" s="5"/>
      <c r="Q18" s="5"/>
      <c r="R18" s="4"/>
      <c r="S18" s="4"/>
      <c r="T18" s="4"/>
      <c r="U18" s="4"/>
      <c r="V18" s="4"/>
      <c r="W18" s="4"/>
      <c r="X18" s="4"/>
      <c r="Y18" s="4"/>
      <c r="Z18" s="4"/>
      <c r="AA18" s="4"/>
      <c r="AB18" s="4"/>
      <c r="AC18" s="4"/>
      <c r="AD18" s="4"/>
      <c r="AE18" s="4"/>
      <c r="AF18" s="4"/>
      <c r="AG18" s="4"/>
      <c r="AH18" s="4"/>
      <c r="AI18" s="6"/>
      <c r="AO18" s="53"/>
      <c r="AP18" s="54"/>
      <c r="AQ18" s="54"/>
    </row>
    <row r="19" spans="5:43" x14ac:dyDescent="0.25">
      <c r="E19" s="2" t="s">
        <v>15</v>
      </c>
      <c r="F19" s="7">
        <v>23</v>
      </c>
      <c r="G19" s="54">
        <v>36.694516320000005</v>
      </c>
      <c r="H19" s="5">
        <v>420</v>
      </c>
      <c r="I19" s="5">
        <v>118.8</v>
      </c>
      <c r="J19" s="5">
        <v>36</v>
      </c>
      <c r="K19" s="8">
        <v>191.96</v>
      </c>
      <c r="L19" s="8">
        <v>8.4700000000000006</v>
      </c>
      <c r="M19" s="9">
        <f>(F19-((G19+H19+I19+J19)/(K19+L19)))</f>
        <v>19.949086881604551</v>
      </c>
      <c r="N19" s="9">
        <v>20</v>
      </c>
      <c r="O19" s="8">
        <v>223</v>
      </c>
      <c r="P19" s="5"/>
      <c r="Q19" s="5"/>
      <c r="R19" s="4"/>
      <c r="S19" s="4"/>
      <c r="T19" s="4"/>
      <c r="U19" s="4"/>
      <c r="V19" s="4"/>
      <c r="W19" s="4"/>
      <c r="X19" s="4"/>
      <c r="Y19" s="4"/>
      <c r="Z19" s="4"/>
      <c r="AA19" s="4"/>
      <c r="AB19" s="4"/>
      <c r="AC19" s="4"/>
      <c r="AD19" s="4"/>
      <c r="AE19" s="4"/>
      <c r="AF19" s="4"/>
      <c r="AG19" s="4"/>
      <c r="AH19" s="4"/>
      <c r="AI19" s="6"/>
    </row>
    <row r="20" spans="5:43" x14ac:dyDescent="0.25">
      <c r="E20" s="2" t="s">
        <v>16</v>
      </c>
      <c r="F20" s="7">
        <v>23</v>
      </c>
      <c r="G20" s="54">
        <v>38.988378000000012</v>
      </c>
      <c r="H20" s="5">
        <v>420</v>
      </c>
      <c r="I20" s="5">
        <v>118.8</v>
      </c>
      <c r="J20" s="5">
        <v>36</v>
      </c>
      <c r="K20" s="8">
        <v>191.96</v>
      </c>
      <c r="L20" s="8">
        <v>8.4700000000000006</v>
      </c>
      <c r="M20" s="9">
        <f t="shared" ref="M20:M30" si="1">(F20-((G20+H20+I20+J20)/(K20+L20)))</f>
        <v>19.937642179314473</v>
      </c>
      <c r="N20" s="9">
        <v>20</v>
      </c>
      <c r="O20" s="8">
        <v>211.8</v>
      </c>
      <c r="P20" s="5"/>
      <c r="Q20" s="5"/>
      <c r="R20" s="4"/>
      <c r="S20" s="4"/>
      <c r="T20" s="4"/>
      <c r="U20" s="4"/>
      <c r="V20" s="4"/>
      <c r="W20" s="4"/>
      <c r="X20" s="4"/>
      <c r="Y20" s="4"/>
      <c r="Z20" s="4"/>
      <c r="AA20" s="4"/>
      <c r="AB20" s="4"/>
      <c r="AC20" s="4"/>
      <c r="AD20" s="4"/>
      <c r="AE20" s="4"/>
      <c r="AF20" s="4"/>
      <c r="AG20" s="4"/>
      <c r="AH20" s="4"/>
      <c r="AI20" s="6"/>
    </row>
    <row r="21" spans="5:43" x14ac:dyDescent="0.25">
      <c r="E21" s="2" t="s">
        <v>17</v>
      </c>
      <c r="F21" s="7">
        <v>23</v>
      </c>
      <c r="G21" s="54">
        <v>42.427352880000001</v>
      </c>
      <c r="H21" s="5">
        <v>420</v>
      </c>
      <c r="I21" s="5">
        <v>118.8</v>
      </c>
      <c r="J21" s="5">
        <v>36</v>
      </c>
      <c r="K21" s="8">
        <v>191.96</v>
      </c>
      <c r="L21" s="8">
        <v>8.4700000000000006</v>
      </c>
      <c r="M21" s="9">
        <f t="shared" si="1"/>
        <v>19.92048419458165</v>
      </c>
      <c r="N21" s="9">
        <v>20</v>
      </c>
      <c r="O21" s="8">
        <v>247.3</v>
      </c>
      <c r="P21" s="5"/>
      <c r="Q21" s="5"/>
      <c r="R21" s="4"/>
      <c r="S21" s="4"/>
      <c r="T21" s="4"/>
      <c r="U21" s="4"/>
      <c r="V21" s="4"/>
      <c r="W21" s="4"/>
      <c r="X21" s="4"/>
      <c r="Y21" s="4"/>
      <c r="Z21" s="4"/>
      <c r="AA21" s="4"/>
      <c r="AB21" s="4"/>
      <c r="AC21" s="4"/>
      <c r="AD21" s="4"/>
      <c r="AE21" s="4"/>
      <c r="AF21" s="4"/>
      <c r="AG21" s="4"/>
      <c r="AH21" s="4"/>
      <c r="AI21" s="6"/>
    </row>
    <row r="22" spans="5:43" x14ac:dyDescent="0.25">
      <c r="E22" s="2" t="s">
        <v>18</v>
      </c>
      <c r="F22" s="7">
        <v>23</v>
      </c>
      <c r="G22" s="54">
        <v>50.457686400000007</v>
      </c>
      <c r="H22" s="5">
        <v>420</v>
      </c>
      <c r="I22" s="5">
        <v>118.8</v>
      </c>
      <c r="J22" s="5">
        <v>36</v>
      </c>
      <c r="K22" s="8">
        <v>191.96</v>
      </c>
      <c r="L22" s="8">
        <v>8.4700000000000006</v>
      </c>
      <c r="M22" s="9">
        <f t="shared" si="1"/>
        <v>19.880418667864092</v>
      </c>
      <c r="N22" s="9">
        <v>20</v>
      </c>
      <c r="O22" s="8">
        <v>238.6</v>
      </c>
      <c r="P22" s="5"/>
      <c r="Q22" s="5"/>
      <c r="R22" s="4"/>
      <c r="S22" s="4"/>
      <c r="T22" s="4"/>
      <c r="U22" s="4"/>
      <c r="V22" s="4"/>
      <c r="W22" s="4"/>
      <c r="X22" s="4"/>
      <c r="Y22" s="4"/>
      <c r="Z22" s="4"/>
      <c r="AA22" s="4"/>
      <c r="AB22" s="4"/>
      <c r="AC22" s="4"/>
      <c r="AD22" s="4"/>
      <c r="AE22" s="4"/>
      <c r="AF22" s="4"/>
      <c r="AG22" s="4"/>
      <c r="AH22" s="4"/>
      <c r="AI22" s="6"/>
    </row>
    <row r="23" spans="5:43" x14ac:dyDescent="0.25">
      <c r="E23" s="2" t="s">
        <v>12</v>
      </c>
      <c r="F23" s="7">
        <v>23</v>
      </c>
      <c r="G23" s="54">
        <v>84.858341040000013</v>
      </c>
      <c r="H23" s="5">
        <v>420</v>
      </c>
      <c r="I23" s="5">
        <v>118.8</v>
      </c>
      <c r="J23" s="5">
        <v>36</v>
      </c>
      <c r="K23" s="8">
        <v>191.96</v>
      </c>
      <c r="L23" s="8">
        <v>8.4700000000000006</v>
      </c>
      <c r="M23" s="9">
        <f t="shared" si="1"/>
        <v>19.708784408322106</v>
      </c>
      <c r="N23" s="9">
        <v>19.5</v>
      </c>
      <c r="O23" s="8">
        <v>310.7</v>
      </c>
      <c r="P23" s="5"/>
      <c r="Q23" s="5"/>
      <c r="R23" s="4"/>
      <c r="S23" s="4"/>
      <c r="T23" s="4"/>
      <c r="U23" s="4"/>
      <c r="V23" s="4"/>
      <c r="W23" s="4"/>
      <c r="X23" s="4"/>
      <c r="Y23" s="4"/>
      <c r="Z23" s="4"/>
      <c r="AA23" s="4"/>
      <c r="AB23" s="4"/>
      <c r="AC23" s="4"/>
      <c r="AD23" s="4"/>
      <c r="AE23" s="4"/>
      <c r="AF23" s="4"/>
      <c r="AG23" s="4"/>
      <c r="AH23" s="4"/>
      <c r="AI23" s="6"/>
    </row>
    <row r="24" spans="5:43" x14ac:dyDescent="0.25">
      <c r="E24" s="2" t="s">
        <v>13</v>
      </c>
      <c r="F24" s="7">
        <v>23</v>
      </c>
      <c r="G24" s="54">
        <v>103.20923448000003</v>
      </c>
      <c r="H24" s="5">
        <v>420</v>
      </c>
      <c r="I24" s="5">
        <v>118.8</v>
      </c>
      <c r="J24" s="5">
        <v>36</v>
      </c>
      <c r="K24" s="8">
        <v>191.96</v>
      </c>
      <c r="L24" s="8">
        <v>8.4700000000000006</v>
      </c>
      <c r="M24" s="9">
        <f t="shared" si="1"/>
        <v>19.617226790001496</v>
      </c>
      <c r="N24" s="9">
        <v>19.5</v>
      </c>
      <c r="O24" s="8">
        <v>277.60000000000002</v>
      </c>
      <c r="P24" s="5"/>
      <c r="Q24" s="5"/>
      <c r="R24" s="4"/>
      <c r="S24" s="4"/>
      <c r="T24" s="4"/>
      <c r="U24" s="4"/>
      <c r="V24" s="4"/>
      <c r="W24" s="4"/>
      <c r="X24" s="4"/>
      <c r="Y24" s="4"/>
      <c r="Z24" s="4"/>
      <c r="AA24" s="4"/>
      <c r="AB24" s="4"/>
      <c r="AC24" s="4"/>
      <c r="AD24" s="4"/>
      <c r="AE24" s="4"/>
      <c r="AF24" s="4"/>
      <c r="AG24" s="4"/>
      <c r="AH24" s="4"/>
      <c r="AI24" s="6"/>
    </row>
    <row r="25" spans="5:43" x14ac:dyDescent="0.25">
      <c r="E25" s="2" t="s">
        <v>1</v>
      </c>
      <c r="F25" s="7">
        <v>23</v>
      </c>
      <c r="G25" s="54">
        <v>88.300951200000014</v>
      </c>
      <c r="H25" s="5">
        <v>420</v>
      </c>
      <c r="I25" s="5">
        <v>118.8</v>
      </c>
      <c r="J25" s="5">
        <v>36</v>
      </c>
      <c r="K25" s="8">
        <v>191.96</v>
      </c>
      <c r="L25" s="8">
        <v>8.4700000000000006</v>
      </c>
      <c r="M25" s="9">
        <f t="shared" si="1"/>
        <v>19.691608286184703</v>
      </c>
      <c r="N25" s="9">
        <v>19.5</v>
      </c>
      <c r="O25" s="8">
        <v>265.89999999999998</v>
      </c>
      <c r="P25" s="29"/>
      <c r="Q25" s="29"/>
      <c r="R25" s="4"/>
      <c r="S25" s="4"/>
      <c r="T25" s="4"/>
      <c r="U25" s="4"/>
      <c r="V25" s="4"/>
      <c r="W25" s="4"/>
      <c r="X25" s="4"/>
      <c r="Y25" s="4"/>
      <c r="Z25" s="4"/>
      <c r="AA25" s="4"/>
      <c r="AB25" s="4"/>
      <c r="AC25" s="4"/>
      <c r="AD25" s="4"/>
      <c r="AE25" s="4"/>
      <c r="AF25" s="4"/>
      <c r="AG25" s="4"/>
      <c r="AH25" s="4"/>
      <c r="AI25" s="6"/>
    </row>
    <row r="26" spans="5:43" x14ac:dyDescent="0.25">
      <c r="E26" s="2" t="s">
        <v>19</v>
      </c>
      <c r="F26" s="7">
        <v>23</v>
      </c>
      <c r="G26" s="54">
        <v>53.896661280000004</v>
      </c>
      <c r="H26" s="5">
        <v>420</v>
      </c>
      <c r="I26" s="5">
        <v>118.8</v>
      </c>
      <c r="J26" s="5">
        <v>36</v>
      </c>
      <c r="K26" s="8">
        <v>191.96</v>
      </c>
      <c r="L26" s="8">
        <v>8.4700000000000006</v>
      </c>
      <c r="M26" s="9">
        <f t="shared" si="1"/>
        <v>19.863260683131269</v>
      </c>
      <c r="N26" s="9">
        <v>20</v>
      </c>
      <c r="O26" s="8">
        <v>265.10000000000002</v>
      </c>
      <c r="P26" s="29"/>
      <c r="Q26" s="29"/>
      <c r="R26" s="4"/>
      <c r="S26" s="4"/>
      <c r="T26" s="4"/>
      <c r="U26" s="4"/>
      <c r="V26" s="4"/>
      <c r="W26" s="4"/>
      <c r="X26" s="4"/>
      <c r="Y26" s="4"/>
      <c r="Z26" s="4"/>
      <c r="AA26" s="4"/>
      <c r="AB26" s="4"/>
      <c r="AC26" s="4"/>
      <c r="AD26" s="4"/>
      <c r="AE26" s="4"/>
      <c r="AF26" s="4"/>
      <c r="AG26" s="4"/>
      <c r="AH26" s="4"/>
      <c r="AI26" s="6"/>
    </row>
    <row r="27" spans="5:43" x14ac:dyDescent="0.25">
      <c r="E27" s="2" t="s">
        <v>20</v>
      </c>
      <c r="F27" s="7">
        <v>23</v>
      </c>
      <c r="G27" s="54">
        <v>72.658341360000009</v>
      </c>
      <c r="H27" s="5">
        <v>420</v>
      </c>
      <c r="I27" s="5">
        <v>118.8</v>
      </c>
      <c r="J27" s="5">
        <v>36</v>
      </c>
      <c r="K27" s="8">
        <v>191.96</v>
      </c>
      <c r="L27" s="8">
        <v>8.4700000000000006</v>
      </c>
      <c r="M27" s="9">
        <f t="shared" si="1"/>
        <v>19.769653538093099</v>
      </c>
      <c r="N27" s="9">
        <v>20</v>
      </c>
      <c r="O27" s="8">
        <v>264</v>
      </c>
      <c r="P27" s="29"/>
      <c r="Q27" s="29"/>
      <c r="R27" s="4"/>
      <c r="S27" s="4"/>
      <c r="T27" s="4"/>
      <c r="U27" s="4"/>
      <c r="V27" s="4"/>
      <c r="W27" s="4"/>
      <c r="X27" s="4"/>
      <c r="Y27" s="4"/>
      <c r="Z27" s="4"/>
      <c r="AA27" s="4"/>
      <c r="AB27" s="4"/>
      <c r="AC27" s="4"/>
      <c r="AD27" s="4"/>
      <c r="AE27" s="4"/>
      <c r="AF27" s="4"/>
      <c r="AG27" s="4"/>
      <c r="AH27" s="4"/>
      <c r="AI27" s="6"/>
    </row>
    <row r="28" spans="5:43" x14ac:dyDescent="0.25">
      <c r="E28" s="2" t="s">
        <v>21</v>
      </c>
      <c r="F28" s="7">
        <v>23</v>
      </c>
      <c r="G28" s="54">
        <v>40.137126480000006</v>
      </c>
      <c r="H28" s="5">
        <v>420</v>
      </c>
      <c r="I28" s="5">
        <v>118.8</v>
      </c>
      <c r="J28" s="5">
        <v>36</v>
      </c>
      <c r="K28" s="8">
        <v>191.96</v>
      </c>
      <c r="L28" s="8">
        <v>8.4700000000000006</v>
      </c>
      <c r="M28" s="9">
        <f t="shared" si="1"/>
        <v>19.931910759467147</v>
      </c>
      <c r="N28" s="9">
        <v>20</v>
      </c>
      <c r="O28" s="8">
        <v>292.39999999999998</v>
      </c>
      <c r="P28" s="29"/>
      <c r="Q28" s="29"/>
      <c r="R28" s="4"/>
      <c r="S28" s="4"/>
      <c r="T28" s="4"/>
      <c r="U28" s="4"/>
      <c r="V28" s="4"/>
      <c r="W28" s="4"/>
      <c r="X28" s="4"/>
      <c r="Y28" s="4"/>
      <c r="Z28" s="4"/>
      <c r="AA28" s="4"/>
      <c r="AB28" s="4"/>
      <c r="AC28" s="4"/>
      <c r="AD28" s="4"/>
      <c r="AE28" s="4"/>
      <c r="AF28" s="4"/>
      <c r="AG28" s="4"/>
      <c r="AH28" s="4"/>
      <c r="AI28" s="6"/>
    </row>
    <row r="29" spans="5:43" x14ac:dyDescent="0.25">
      <c r="E29" s="2" t="s">
        <v>22</v>
      </c>
      <c r="F29" s="7">
        <v>23</v>
      </c>
      <c r="G29" s="54">
        <v>37.843264800000007</v>
      </c>
      <c r="H29" s="5">
        <v>420</v>
      </c>
      <c r="I29" s="5">
        <v>118.8</v>
      </c>
      <c r="J29" s="5">
        <v>36</v>
      </c>
      <c r="K29" s="8">
        <v>191.96</v>
      </c>
      <c r="L29" s="8">
        <v>8.4700000000000006</v>
      </c>
      <c r="M29" s="9">
        <f t="shared" si="1"/>
        <v>19.943355461757221</v>
      </c>
      <c r="N29" s="9">
        <v>20</v>
      </c>
      <c r="O29" s="8">
        <v>256.10000000000002</v>
      </c>
      <c r="P29" s="29"/>
      <c r="Q29" s="29"/>
      <c r="R29" s="4"/>
      <c r="S29" s="4"/>
      <c r="T29" s="4"/>
      <c r="U29" s="4"/>
      <c r="V29" s="4"/>
      <c r="W29" s="4"/>
      <c r="X29" s="4"/>
      <c r="Y29" s="4"/>
      <c r="Z29" s="4"/>
      <c r="AA29" s="4"/>
      <c r="AB29" s="4"/>
      <c r="AC29" s="4"/>
      <c r="AD29" s="4"/>
      <c r="AE29" s="4"/>
      <c r="AF29" s="4"/>
      <c r="AG29" s="4"/>
      <c r="AH29" s="4"/>
      <c r="AI29" s="6"/>
    </row>
    <row r="30" spans="5:43" x14ac:dyDescent="0.25">
      <c r="E30" s="2" t="s">
        <v>23</v>
      </c>
      <c r="F30" s="7">
        <v>23</v>
      </c>
      <c r="G30" s="54">
        <v>35.549403120000008</v>
      </c>
      <c r="H30" s="5">
        <v>420</v>
      </c>
      <c r="I30" s="5">
        <v>118.8</v>
      </c>
      <c r="J30" s="5">
        <v>36</v>
      </c>
      <c r="K30" s="8">
        <v>191.96</v>
      </c>
      <c r="L30" s="8">
        <v>8.4700000000000006</v>
      </c>
      <c r="M30" s="9">
        <f t="shared" si="1"/>
        <v>19.954800164047299</v>
      </c>
      <c r="N30" s="9">
        <v>20</v>
      </c>
      <c r="O30" s="8">
        <v>233.6</v>
      </c>
      <c r="P30" s="29"/>
      <c r="Q30" s="29"/>
      <c r="R30" s="4"/>
      <c r="S30" s="4"/>
      <c r="T30" s="4"/>
      <c r="U30" s="4"/>
      <c r="V30" s="4"/>
      <c r="W30" s="4"/>
      <c r="X30" s="4"/>
      <c r="Y30" s="4"/>
      <c r="Z30" s="4"/>
      <c r="AA30" s="4"/>
      <c r="AB30" s="4"/>
      <c r="AC30" s="4"/>
      <c r="AD30" s="4"/>
      <c r="AE30" s="4"/>
      <c r="AF30" s="4"/>
      <c r="AG30" s="4"/>
      <c r="AH30" s="4"/>
      <c r="AI30" s="6"/>
    </row>
    <row r="31" spans="5:43" x14ac:dyDescent="0.3">
      <c r="E31" s="423" t="s">
        <v>3</v>
      </c>
      <c r="F31" s="424"/>
      <c r="G31" s="424"/>
      <c r="H31" s="424"/>
      <c r="I31" s="424"/>
      <c r="J31" s="424"/>
      <c r="K31" s="424"/>
      <c r="L31" s="424"/>
      <c r="M31" s="424"/>
      <c r="N31" s="425"/>
      <c r="O31" s="11">
        <f>SUM(O19:O30)</f>
        <v>3086.1</v>
      </c>
      <c r="P31" s="28">
        <f>16/24</f>
        <v>0.66666666666666663</v>
      </c>
      <c r="Q31" s="28">
        <f>24/1000</f>
        <v>2.4E-2</v>
      </c>
      <c r="R31" s="8">
        <v>3.59</v>
      </c>
      <c r="S31" s="8">
        <v>12.96</v>
      </c>
      <c r="T31" s="5">
        <f>O31</f>
        <v>3086.1</v>
      </c>
      <c r="U31" s="15">
        <f>P31*Q31*R31*S31*T31</f>
        <v>2297.3619686400002</v>
      </c>
      <c r="V31" s="5">
        <v>3.94</v>
      </c>
      <c r="W31" s="5">
        <v>12.96</v>
      </c>
      <c r="X31" s="5">
        <f>O31</f>
        <v>3086.1</v>
      </c>
      <c r="Y31" s="16">
        <f>(P31*Q31*V31*W31*X31)</f>
        <v>2521.3387622400001</v>
      </c>
      <c r="Z31" s="8">
        <v>2.13</v>
      </c>
      <c r="AA31" s="8">
        <v>41.904000000000003</v>
      </c>
      <c r="AB31" s="8">
        <f>O31</f>
        <v>3086.1</v>
      </c>
      <c r="AC31" s="17">
        <f>(P31*Q31*Z31*AA31*AB31)</f>
        <v>4407.2233643520003</v>
      </c>
      <c r="AD31" s="96">
        <f>L354</f>
        <v>3653.4017184670151</v>
      </c>
      <c r="AE31" s="18">
        <f>U31+Y31+AC31+AD31</f>
        <v>12879.325813699015</v>
      </c>
      <c r="AF31" s="4">
        <f>AE31*0.1</f>
        <v>1287.9325813699015</v>
      </c>
      <c r="AG31" s="19">
        <f>AE31+AF31</f>
        <v>14167.258395068917</v>
      </c>
      <c r="AH31" s="8">
        <v>3.1</v>
      </c>
      <c r="AI31" s="20">
        <f>ROUND((AG31/AH31),0)</f>
        <v>4570</v>
      </c>
      <c r="AJ31" s="39">
        <v>23</v>
      </c>
    </row>
    <row r="32" spans="5:43" ht="15.5" x14ac:dyDescent="0.4">
      <c r="E32" s="2" t="s">
        <v>0</v>
      </c>
      <c r="F32" s="3"/>
      <c r="G32" s="5"/>
      <c r="H32" s="4"/>
      <c r="I32" s="4"/>
      <c r="J32" s="4"/>
      <c r="K32" s="4"/>
      <c r="L32" s="4"/>
      <c r="M32" s="3" t="s">
        <v>138</v>
      </c>
      <c r="N32" s="3" t="s">
        <v>137</v>
      </c>
      <c r="O32" s="8" t="s">
        <v>2</v>
      </c>
      <c r="P32" s="5"/>
      <c r="Q32" s="5"/>
      <c r="R32" s="4"/>
      <c r="S32" s="4"/>
      <c r="T32" s="4"/>
      <c r="U32" s="4"/>
      <c r="V32" s="4"/>
      <c r="W32" s="4"/>
      <c r="X32" s="4"/>
      <c r="Y32" s="4"/>
      <c r="Z32" s="4"/>
      <c r="AA32" s="4"/>
      <c r="AB32" s="4"/>
      <c r="AC32" s="4"/>
      <c r="AD32" s="4"/>
      <c r="AE32" s="4"/>
      <c r="AF32" s="4"/>
      <c r="AG32" s="4"/>
      <c r="AH32" s="4"/>
      <c r="AI32" s="6"/>
    </row>
    <row r="33" spans="5:43" x14ac:dyDescent="0.25">
      <c r="E33" s="2" t="s">
        <v>15</v>
      </c>
      <c r="F33" s="33">
        <v>24</v>
      </c>
      <c r="G33" s="54">
        <v>36.694516320000005</v>
      </c>
      <c r="H33" s="5">
        <v>420</v>
      </c>
      <c r="I33" s="5">
        <v>118.8</v>
      </c>
      <c r="J33" s="5">
        <v>36</v>
      </c>
      <c r="K33" s="8">
        <v>191.96</v>
      </c>
      <c r="L33" s="8">
        <v>8.4700000000000006</v>
      </c>
      <c r="M33" s="9">
        <f>(F33-((G33+H33+I33+J33)/(K33+L33)))</f>
        <v>20.949086881604551</v>
      </c>
      <c r="N33" s="9">
        <v>21</v>
      </c>
      <c r="O33" s="8">
        <v>192</v>
      </c>
      <c r="P33" s="5"/>
      <c r="Q33" s="5"/>
      <c r="R33" s="4"/>
      <c r="S33" s="4"/>
      <c r="T33" s="4"/>
      <c r="U33" s="4"/>
      <c r="V33" s="4"/>
      <c r="W33" s="4"/>
      <c r="X33" s="4"/>
      <c r="Y33" s="4"/>
      <c r="Z33" s="4"/>
      <c r="AA33" s="4"/>
      <c r="AB33" s="4"/>
      <c r="AC33" s="4"/>
      <c r="AD33" s="4"/>
      <c r="AE33" s="4"/>
      <c r="AF33" s="4"/>
      <c r="AG33" s="4"/>
      <c r="AH33" s="4"/>
      <c r="AI33" s="6"/>
    </row>
    <row r="34" spans="5:43" x14ac:dyDescent="0.25">
      <c r="E34" s="2" t="s">
        <v>16</v>
      </c>
      <c r="F34" s="33">
        <v>24</v>
      </c>
      <c r="G34" s="54">
        <v>38.988378000000012</v>
      </c>
      <c r="H34" s="5">
        <v>420</v>
      </c>
      <c r="I34" s="5">
        <v>118.8</v>
      </c>
      <c r="J34" s="5">
        <v>36</v>
      </c>
      <c r="K34" s="8">
        <v>191.96</v>
      </c>
      <c r="L34" s="8">
        <v>8.4700000000000006</v>
      </c>
      <c r="M34" s="9">
        <f t="shared" ref="M34:M44" si="2">(F34-((G34+H34+I34+J34)/(K34+L34)))</f>
        <v>20.937642179314473</v>
      </c>
      <c r="N34" s="9">
        <v>21</v>
      </c>
      <c r="O34" s="8">
        <v>183.8</v>
      </c>
      <c r="P34" s="5"/>
      <c r="Q34" s="5"/>
      <c r="R34" s="4"/>
      <c r="S34" s="4"/>
      <c r="T34" s="4"/>
      <c r="U34" s="4"/>
      <c r="V34" s="4"/>
      <c r="W34" s="4"/>
      <c r="X34" s="4"/>
      <c r="Y34" s="4"/>
      <c r="Z34" s="4"/>
      <c r="AA34" s="4"/>
      <c r="AB34" s="4"/>
      <c r="AC34" s="4"/>
      <c r="AD34" s="4"/>
      <c r="AE34" s="4"/>
      <c r="AF34" s="4"/>
      <c r="AG34" s="4"/>
      <c r="AH34" s="4"/>
      <c r="AI34" s="6"/>
    </row>
    <row r="35" spans="5:43" x14ac:dyDescent="0.25">
      <c r="E35" s="2" t="s">
        <v>17</v>
      </c>
      <c r="F35" s="33">
        <v>24</v>
      </c>
      <c r="G35" s="54">
        <v>42.427352880000001</v>
      </c>
      <c r="H35" s="5">
        <v>420</v>
      </c>
      <c r="I35" s="5">
        <v>118.8</v>
      </c>
      <c r="J35" s="5">
        <v>36</v>
      </c>
      <c r="K35" s="8">
        <v>191.96</v>
      </c>
      <c r="L35" s="8">
        <v>8.4700000000000006</v>
      </c>
      <c r="M35" s="9">
        <f t="shared" si="2"/>
        <v>20.92048419458165</v>
      </c>
      <c r="N35" s="9">
        <v>21</v>
      </c>
      <c r="O35" s="8">
        <v>216.3</v>
      </c>
      <c r="P35" s="5"/>
      <c r="Q35" s="5"/>
      <c r="R35" s="4"/>
      <c r="S35" s="4"/>
      <c r="T35" s="4"/>
      <c r="U35" s="4"/>
      <c r="V35" s="4"/>
      <c r="W35" s="4"/>
      <c r="X35" s="4"/>
      <c r="Y35" s="4"/>
      <c r="Z35" s="4"/>
      <c r="AA35" s="4"/>
      <c r="AB35" s="4"/>
      <c r="AC35" s="4"/>
      <c r="AD35" s="4"/>
      <c r="AE35" s="4"/>
      <c r="AF35" s="4"/>
      <c r="AG35" s="4"/>
      <c r="AH35" s="4"/>
      <c r="AI35" s="6"/>
    </row>
    <row r="36" spans="5:43" x14ac:dyDescent="0.25">
      <c r="E36" s="2" t="s">
        <v>18</v>
      </c>
      <c r="F36" s="33">
        <v>24</v>
      </c>
      <c r="G36" s="54">
        <v>50.457686400000007</v>
      </c>
      <c r="H36" s="5">
        <v>420</v>
      </c>
      <c r="I36" s="5">
        <v>118.8</v>
      </c>
      <c r="J36" s="5">
        <v>36</v>
      </c>
      <c r="K36" s="8">
        <v>191.96</v>
      </c>
      <c r="L36" s="8">
        <v>8.4700000000000006</v>
      </c>
      <c r="M36" s="9">
        <f t="shared" si="2"/>
        <v>20.880418667864092</v>
      </c>
      <c r="N36" s="9">
        <v>21</v>
      </c>
      <c r="O36" s="8">
        <v>208.6</v>
      </c>
      <c r="P36" s="5"/>
      <c r="Q36" s="5"/>
      <c r="R36" s="4"/>
      <c r="S36" s="4"/>
      <c r="T36" s="4"/>
      <c r="U36" s="4"/>
      <c r="V36" s="4"/>
      <c r="W36" s="4"/>
      <c r="X36" s="4"/>
      <c r="Y36" s="4"/>
      <c r="Z36" s="4"/>
      <c r="AA36" s="4"/>
      <c r="AB36" s="4"/>
      <c r="AC36" s="4"/>
      <c r="AD36" s="4"/>
      <c r="AE36" s="4"/>
      <c r="AF36" s="4"/>
      <c r="AG36" s="4"/>
      <c r="AH36" s="4"/>
      <c r="AI36" s="6"/>
    </row>
    <row r="37" spans="5:43" x14ac:dyDescent="0.25">
      <c r="E37" s="2" t="s">
        <v>12</v>
      </c>
      <c r="F37" s="33">
        <v>24</v>
      </c>
      <c r="G37" s="54">
        <v>84.858341040000013</v>
      </c>
      <c r="H37" s="5">
        <v>420</v>
      </c>
      <c r="I37" s="5">
        <v>118.8</v>
      </c>
      <c r="J37" s="5">
        <v>36</v>
      </c>
      <c r="K37" s="8">
        <v>191.96</v>
      </c>
      <c r="L37" s="8">
        <v>8.4700000000000006</v>
      </c>
      <c r="M37" s="9">
        <f t="shared" si="2"/>
        <v>20.708784408322106</v>
      </c>
      <c r="N37" s="9">
        <v>20.5</v>
      </c>
      <c r="O37" s="8">
        <v>279.7</v>
      </c>
      <c r="P37" s="5"/>
      <c r="Q37" s="5"/>
      <c r="R37" s="4"/>
      <c r="S37" s="4"/>
      <c r="T37" s="4"/>
      <c r="U37" s="4"/>
      <c r="V37" s="4"/>
      <c r="W37" s="4"/>
      <c r="X37" s="4"/>
      <c r="Y37" s="4"/>
      <c r="Z37" s="4"/>
      <c r="AA37" s="4"/>
      <c r="AB37" s="4"/>
      <c r="AC37" s="4"/>
      <c r="AD37" s="4"/>
      <c r="AE37" s="4"/>
      <c r="AF37" s="4"/>
      <c r="AG37" s="4"/>
      <c r="AH37" s="4"/>
      <c r="AI37" s="6"/>
    </row>
    <row r="38" spans="5:43" x14ac:dyDescent="0.25">
      <c r="E38" s="2" t="s">
        <v>13</v>
      </c>
      <c r="F38" s="33">
        <v>24</v>
      </c>
      <c r="G38" s="54">
        <v>103.20923448000003</v>
      </c>
      <c r="H38" s="5">
        <v>420</v>
      </c>
      <c r="I38" s="5">
        <v>118.8</v>
      </c>
      <c r="J38" s="5">
        <v>36</v>
      </c>
      <c r="K38" s="8">
        <v>191.96</v>
      </c>
      <c r="L38" s="8">
        <v>8.4700000000000006</v>
      </c>
      <c r="M38" s="9">
        <f t="shared" si="2"/>
        <v>20.617226790001496</v>
      </c>
      <c r="N38" s="9">
        <v>20.5</v>
      </c>
      <c r="O38" s="8">
        <v>247.6</v>
      </c>
      <c r="P38" s="5"/>
      <c r="Q38" s="5"/>
      <c r="R38" s="4"/>
      <c r="S38" s="4"/>
      <c r="T38" s="4"/>
      <c r="U38" s="4"/>
      <c r="V38" s="4"/>
      <c r="W38" s="4"/>
      <c r="X38" s="4"/>
      <c r="Y38" s="4"/>
      <c r="Z38" s="4"/>
      <c r="AA38" s="4"/>
      <c r="AB38" s="4"/>
      <c r="AC38" s="4"/>
      <c r="AD38" s="4"/>
      <c r="AE38" s="4"/>
      <c r="AF38" s="4"/>
      <c r="AG38" s="4"/>
      <c r="AH38" s="4"/>
      <c r="AI38" s="6"/>
    </row>
    <row r="39" spans="5:43" x14ac:dyDescent="0.25">
      <c r="E39" s="2" t="s">
        <v>24</v>
      </c>
      <c r="F39" s="33">
        <v>24</v>
      </c>
      <c r="G39" s="54">
        <v>88.300951200000014</v>
      </c>
      <c r="H39" s="5">
        <v>420</v>
      </c>
      <c r="I39" s="5">
        <v>118.8</v>
      </c>
      <c r="J39" s="5">
        <v>36</v>
      </c>
      <c r="K39" s="8">
        <v>191.96</v>
      </c>
      <c r="L39" s="8">
        <v>8.4700000000000006</v>
      </c>
      <c r="M39" s="9">
        <f t="shared" si="2"/>
        <v>20.691608286184703</v>
      </c>
      <c r="N39" s="9">
        <v>20.5</v>
      </c>
      <c r="O39" s="8">
        <v>234.9</v>
      </c>
      <c r="P39" s="5"/>
      <c r="Q39" s="5"/>
      <c r="R39" s="4"/>
      <c r="S39" s="4"/>
      <c r="T39" s="4"/>
      <c r="U39" s="4"/>
      <c r="V39" s="4"/>
      <c r="W39" s="4"/>
      <c r="X39" s="4"/>
      <c r="Y39" s="4"/>
      <c r="Z39" s="4"/>
      <c r="AA39" s="4"/>
      <c r="AB39" s="4"/>
      <c r="AC39" s="4"/>
      <c r="AD39" s="4"/>
      <c r="AE39" s="4"/>
      <c r="AF39" s="4"/>
      <c r="AG39" s="4"/>
      <c r="AH39" s="4"/>
      <c r="AI39" s="6"/>
    </row>
    <row r="40" spans="5:43" x14ac:dyDescent="0.25">
      <c r="E40" s="2" t="s">
        <v>19</v>
      </c>
      <c r="F40" s="33">
        <v>24</v>
      </c>
      <c r="G40" s="54">
        <v>53.896661280000004</v>
      </c>
      <c r="H40" s="5">
        <v>420</v>
      </c>
      <c r="I40" s="5">
        <v>118.8</v>
      </c>
      <c r="J40" s="5">
        <v>36</v>
      </c>
      <c r="K40" s="8">
        <v>191.96</v>
      </c>
      <c r="L40" s="8">
        <v>8.4700000000000006</v>
      </c>
      <c r="M40" s="9">
        <f t="shared" si="2"/>
        <v>20.863260683131269</v>
      </c>
      <c r="N40" s="9">
        <v>21</v>
      </c>
      <c r="O40" s="8">
        <v>234.1</v>
      </c>
      <c r="P40" s="5"/>
      <c r="Q40" s="5"/>
      <c r="R40" s="4"/>
      <c r="S40" s="4"/>
      <c r="T40" s="4"/>
      <c r="U40" s="4"/>
      <c r="V40" s="4"/>
      <c r="W40" s="4"/>
      <c r="X40" s="4"/>
      <c r="Y40" s="4"/>
      <c r="Z40" s="4"/>
      <c r="AA40" s="4"/>
      <c r="AB40" s="4"/>
      <c r="AC40" s="4"/>
      <c r="AD40" s="4"/>
      <c r="AE40" s="4"/>
      <c r="AF40" s="4"/>
      <c r="AG40" s="4"/>
      <c r="AH40" s="4"/>
      <c r="AI40" s="6"/>
    </row>
    <row r="41" spans="5:43" x14ac:dyDescent="0.25">
      <c r="E41" s="2" t="s">
        <v>20</v>
      </c>
      <c r="F41" s="33">
        <v>24</v>
      </c>
      <c r="G41" s="54">
        <v>72.658341360000009</v>
      </c>
      <c r="H41" s="5">
        <v>420</v>
      </c>
      <c r="I41" s="5">
        <v>118.8</v>
      </c>
      <c r="J41" s="5">
        <v>36</v>
      </c>
      <c r="K41" s="8">
        <v>191.96</v>
      </c>
      <c r="L41" s="8">
        <v>8.4700000000000006</v>
      </c>
      <c r="M41" s="9">
        <f t="shared" si="2"/>
        <v>20.769653538093099</v>
      </c>
      <c r="N41" s="9">
        <v>21</v>
      </c>
      <c r="O41" s="8">
        <v>234</v>
      </c>
      <c r="P41" s="5"/>
      <c r="Q41" s="5"/>
      <c r="R41" s="4"/>
      <c r="S41" s="4"/>
      <c r="T41" s="4"/>
      <c r="U41" s="4"/>
      <c r="V41" s="4"/>
      <c r="W41" s="4"/>
      <c r="X41" s="4"/>
      <c r="Y41" s="4"/>
      <c r="Z41" s="4"/>
      <c r="AA41" s="4"/>
      <c r="AB41" s="4"/>
      <c r="AC41" s="4"/>
      <c r="AD41" s="4"/>
      <c r="AE41" s="4"/>
      <c r="AF41" s="4"/>
      <c r="AG41" s="4"/>
      <c r="AH41" s="4"/>
      <c r="AI41" s="6"/>
    </row>
    <row r="42" spans="5:43" x14ac:dyDescent="0.25">
      <c r="E42" s="2" t="s">
        <v>21</v>
      </c>
      <c r="F42" s="33">
        <v>24</v>
      </c>
      <c r="G42" s="54">
        <v>40.137126480000006</v>
      </c>
      <c r="H42" s="5">
        <v>420</v>
      </c>
      <c r="I42" s="5">
        <v>118.8</v>
      </c>
      <c r="J42" s="5">
        <v>36</v>
      </c>
      <c r="K42" s="8">
        <v>191.96</v>
      </c>
      <c r="L42" s="8">
        <v>8.4700000000000006</v>
      </c>
      <c r="M42" s="9">
        <f t="shared" si="2"/>
        <v>20.931910759467147</v>
      </c>
      <c r="N42" s="9">
        <v>21</v>
      </c>
      <c r="O42" s="8">
        <v>261.39999999999998</v>
      </c>
      <c r="P42" s="5"/>
      <c r="Q42" s="5"/>
      <c r="R42" s="4"/>
      <c r="S42" s="4"/>
      <c r="T42" s="4"/>
      <c r="U42" s="4"/>
      <c r="V42" s="4"/>
      <c r="W42" s="4"/>
      <c r="X42" s="4"/>
      <c r="Y42" s="4"/>
      <c r="Z42" s="4"/>
      <c r="AA42" s="4"/>
      <c r="AB42" s="4"/>
      <c r="AC42" s="4"/>
      <c r="AD42" s="4"/>
      <c r="AE42" s="4"/>
      <c r="AF42" s="4"/>
      <c r="AG42" s="4"/>
      <c r="AH42" s="4"/>
      <c r="AI42" s="6"/>
    </row>
    <row r="43" spans="5:43" x14ac:dyDescent="0.25">
      <c r="E43" s="2" t="s">
        <v>22</v>
      </c>
      <c r="F43" s="33">
        <v>24</v>
      </c>
      <c r="G43" s="54">
        <v>37.843264800000007</v>
      </c>
      <c r="H43" s="5">
        <v>420</v>
      </c>
      <c r="I43" s="5">
        <v>118.8</v>
      </c>
      <c r="J43" s="5">
        <v>36</v>
      </c>
      <c r="K43" s="8">
        <v>191.96</v>
      </c>
      <c r="L43" s="8">
        <v>8.4700000000000006</v>
      </c>
      <c r="M43" s="9">
        <f t="shared" si="2"/>
        <v>20.943355461757221</v>
      </c>
      <c r="N43" s="9">
        <v>21</v>
      </c>
      <c r="O43" s="8">
        <v>226.1</v>
      </c>
      <c r="P43" s="5"/>
      <c r="Q43" s="5"/>
      <c r="R43" s="4"/>
      <c r="S43" s="4"/>
      <c r="T43" s="4"/>
      <c r="U43" s="4"/>
      <c r="V43" s="4"/>
      <c r="W43" s="4"/>
      <c r="X43" s="4"/>
      <c r="Y43" s="4"/>
      <c r="Z43" s="4"/>
      <c r="AA43" s="4"/>
      <c r="AB43" s="4"/>
      <c r="AC43" s="4"/>
      <c r="AD43" s="4"/>
      <c r="AE43" s="4"/>
      <c r="AF43" s="4"/>
      <c r="AG43" s="4"/>
      <c r="AH43" s="4"/>
      <c r="AI43" s="6"/>
    </row>
    <row r="44" spans="5:43" x14ac:dyDescent="0.25">
      <c r="E44" s="2" t="s">
        <v>23</v>
      </c>
      <c r="F44" s="33">
        <v>24</v>
      </c>
      <c r="G44" s="54">
        <v>35.549403120000008</v>
      </c>
      <c r="H44" s="5">
        <v>420</v>
      </c>
      <c r="I44" s="5">
        <v>118.8</v>
      </c>
      <c r="J44" s="5">
        <v>36</v>
      </c>
      <c r="K44" s="8">
        <v>191.96</v>
      </c>
      <c r="L44" s="8">
        <v>8.4700000000000006</v>
      </c>
      <c r="M44" s="9">
        <f t="shared" si="2"/>
        <v>20.954800164047299</v>
      </c>
      <c r="N44" s="9">
        <v>21</v>
      </c>
      <c r="O44" s="8">
        <v>202.6</v>
      </c>
      <c r="P44" s="5"/>
      <c r="Q44" s="5"/>
      <c r="R44" s="4"/>
      <c r="S44" s="4"/>
      <c r="T44" s="4"/>
      <c r="U44" s="4"/>
      <c r="V44" s="4"/>
      <c r="W44" s="4"/>
      <c r="X44" s="4"/>
      <c r="Y44" s="4"/>
      <c r="Z44" s="4"/>
      <c r="AA44" s="4"/>
      <c r="AB44" s="4"/>
      <c r="AC44" s="4"/>
      <c r="AD44" s="4"/>
      <c r="AE44" s="4"/>
      <c r="AF44" s="4"/>
      <c r="AG44" s="4"/>
      <c r="AH44" s="4"/>
      <c r="AI44" s="6"/>
    </row>
    <row r="45" spans="5:43" ht="13.5" thickBot="1" x14ac:dyDescent="0.35">
      <c r="E45" s="423" t="s">
        <v>3</v>
      </c>
      <c r="F45" s="424"/>
      <c r="G45" s="424"/>
      <c r="H45" s="424"/>
      <c r="I45" s="424"/>
      <c r="J45" s="424"/>
      <c r="K45" s="424"/>
      <c r="L45" s="424"/>
      <c r="M45" s="424"/>
      <c r="N45" s="425"/>
      <c r="O45" s="11">
        <f>SUM(O33:O44)</f>
        <v>2721.1</v>
      </c>
      <c r="P45" s="28">
        <f>16/24</f>
        <v>0.66666666666666663</v>
      </c>
      <c r="Q45" s="28">
        <f>24/1000</f>
        <v>2.4E-2</v>
      </c>
      <c r="R45" s="8">
        <v>3.59</v>
      </c>
      <c r="S45" s="8">
        <v>12.96</v>
      </c>
      <c r="T45" s="5">
        <f>O45</f>
        <v>2721.1</v>
      </c>
      <c r="U45" s="15">
        <f>P45*Q45*R45*S45*T45</f>
        <v>2025.64779264</v>
      </c>
      <c r="V45" s="5">
        <v>3.94</v>
      </c>
      <c r="W45" s="5">
        <v>12.96</v>
      </c>
      <c r="X45" s="5">
        <f>O45</f>
        <v>2721.1</v>
      </c>
      <c r="Y45" s="16">
        <f>(P45*Q45*V45*W45*X45)</f>
        <v>2223.13434624</v>
      </c>
      <c r="Z45" s="8">
        <v>2.13</v>
      </c>
      <c r="AA45" s="8">
        <v>41.904000000000003</v>
      </c>
      <c r="AB45" s="8">
        <f>O45</f>
        <v>2721.1</v>
      </c>
      <c r="AC45" s="17">
        <f>(P45*Q45*Z45*AA45*AB45)</f>
        <v>3885.9711275519999</v>
      </c>
      <c r="AD45" s="96">
        <f>L355</f>
        <v>3575.9810971379015</v>
      </c>
      <c r="AE45" s="18">
        <f>U45+Y45+AC45+AD45</f>
        <v>11710.734363569902</v>
      </c>
      <c r="AF45" s="4">
        <f>AE45*0.1</f>
        <v>1171.0734363569902</v>
      </c>
      <c r="AG45" s="19">
        <f>AE45+AF45</f>
        <v>12881.807799926892</v>
      </c>
      <c r="AH45" s="8">
        <v>3.1</v>
      </c>
      <c r="AI45" s="20">
        <f>ROUND((AG45/AH45),0)</f>
        <v>4155</v>
      </c>
      <c r="AJ45" s="39">
        <v>24</v>
      </c>
      <c r="AK45" s="122"/>
      <c r="AL45" s="122"/>
    </row>
    <row r="46" spans="5:43" ht="15.5" x14ac:dyDescent="0.4">
      <c r="E46" s="2" t="s">
        <v>0</v>
      </c>
      <c r="F46" s="4"/>
      <c r="G46" s="5"/>
      <c r="H46" s="4"/>
      <c r="I46" s="4"/>
      <c r="J46" s="4"/>
      <c r="K46" s="4"/>
      <c r="L46" s="4"/>
      <c r="M46" s="3" t="s">
        <v>138</v>
      </c>
      <c r="N46" s="3" t="s">
        <v>137</v>
      </c>
      <c r="O46" s="8" t="s">
        <v>2</v>
      </c>
      <c r="P46" s="5"/>
      <c r="Q46" s="5"/>
      <c r="R46" s="4"/>
      <c r="S46" s="4"/>
      <c r="T46" s="4"/>
      <c r="U46" s="4"/>
      <c r="V46" s="4"/>
      <c r="W46" s="4"/>
      <c r="X46" s="4"/>
      <c r="Y46" s="4"/>
      <c r="Z46" s="4"/>
      <c r="AA46" s="4"/>
      <c r="AB46" s="4"/>
      <c r="AC46" s="4"/>
      <c r="AD46" s="4"/>
      <c r="AE46" s="4"/>
      <c r="AF46" s="4"/>
      <c r="AG46" s="4"/>
      <c r="AH46" s="4"/>
      <c r="AI46" s="150">
        <f>(AI17*AQ7+AI31*AQ8+AI45*AQ9)</f>
        <v>4533.913043478261</v>
      </c>
      <c r="AO46" s="295" t="s">
        <v>203</v>
      </c>
      <c r="AP46" s="296"/>
      <c r="AQ46" s="297"/>
    </row>
    <row r="47" spans="5:43" x14ac:dyDescent="0.3">
      <c r="E47" s="2" t="s">
        <v>15</v>
      </c>
      <c r="F47" s="7">
        <v>25</v>
      </c>
      <c r="G47" s="54">
        <v>36.694516320000005</v>
      </c>
      <c r="H47" s="5">
        <v>420</v>
      </c>
      <c r="I47" s="5">
        <v>118.8</v>
      </c>
      <c r="J47" s="5">
        <v>36</v>
      </c>
      <c r="K47" s="8">
        <v>191.96</v>
      </c>
      <c r="L47" s="8">
        <v>8.4700000000000006</v>
      </c>
      <c r="M47" s="9">
        <f>(F47-((G47+H47+I47+J47)/(K47+L47)))</f>
        <v>21.949086881604551</v>
      </c>
      <c r="N47" s="9">
        <v>22</v>
      </c>
      <c r="O47" s="8">
        <v>161</v>
      </c>
      <c r="P47" s="5"/>
      <c r="Q47" s="5"/>
      <c r="R47" s="4"/>
      <c r="S47" s="4"/>
      <c r="T47" s="4"/>
      <c r="U47" s="4"/>
      <c r="V47" s="4"/>
      <c r="W47" s="4"/>
      <c r="X47" s="4"/>
      <c r="Y47" s="4"/>
      <c r="Z47" s="4"/>
      <c r="AA47" s="4"/>
      <c r="AB47" s="4"/>
      <c r="AC47" s="4"/>
      <c r="AD47" s="4"/>
      <c r="AE47" s="4"/>
      <c r="AF47" s="4"/>
      <c r="AG47" s="4"/>
      <c r="AH47" s="4"/>
      <c r="AI47" s="6"/>
      <c r="AN47" s="141"/>
      <c r="AO47" s="76" t="s">
        <v>195</v>
      </c>
      <c r="AP47" s="27" t="s">
        <v>196</v>
      </c>
      <c r="AQ47" s="86" t="s">
        <v>201</v>
      </c>
    </row>
    <row r="48" spans="5:43" ht="13.5" thickBot="1" x14ac:dyDescent="0.3">
      <c r="E48" s="2" t="s">
        <v>16</v>
      </c>
      <c r="F48" s="7">
        <v>25</v>
      </c>
      <c r="G48" s="54">
        <v>38.988378000000012</v>
      </c>
      <c r="H48" s="5">
        <v>420</v>
      </c>
      <c r="I48" s="5">
        <v>118.8</v>
      </c>
      <c r="J48" s="5">
        <v>36</v>
      </c>
      <c r="K48" s="8">
        <v>191.96</v>
      </c>
      <c r="L48" s="8">
        <v>8.4700000000000006</v>
      </c>
      <c r="M48" s="9">
        <f t="shared" ref="M48:M58" si="3">(F48-((G48+H48+I48+J48)/(K48+L48)))</f>
        <v>21.937642179314473</v>
      </c>
      <c r="N48" s="9">
        <v>22</v>
      </c>
      <c r="O48" s="8">
        <v>155.80000000000001</v>
      </c>
      <c r="P48" s="5"/>
      <c r="Q48" s="5"/>
      <c r="R48" s="4"/>
      <c r="S48" s="4"/>
      <c r="T48" s="4"/>
      <c r="U48" s="4"/>
      <c r="V48" s="4"/>
      <c r="W48" s="4"/>
      <c r="X48" s="4"/>
      <c r="Y48" s="4"/>
      <c r="Z48" s="4"/>
      <c r="AA48" s="4"/>
      <c r="AB48" s="4"/>
      <c r="AC48" s="4"/>
      <c r="AD48" s="4"/>
      <c r="AE48" s="4"/>
      <c r="AF48" s="4"/>
      <c r="AG48" s="4"/>
      <c r="AH48" s="4"/>
      <c r="AI48" s="6"/>
      <c r="AO48" s="142">
        <v>25</v>
      </c>
      <c r="AP48" s="89">
        <v>12</v>
      </c>
      <c r="AQ48" s="140">
        <v>100</v>
      </c>
    </row>
    <row r="49" spans="5:43" x14ac:dyDescent="0.25">
      <c r="E49" s="2" t="s">
        <v>17</v>
      </c>
      <c r="F49" s="7">
        <v>25</v>
      </c>
      <c r="G49" s="54">
        <v>42.427352880000001</v>
      </c>
      <c r="H49" s="5">
        <v>420</v>
      </c>
      <c r="I49" s="5">
        <v>118.8</v>
      </c>
      <c r="J49" s="5">
        <v>36</v>
      </c>
      <c r="K49" s="8">
        <v>191.96</v>
      </c>
      <c r="L49" s="8">
        <v>8.4700000000000006</v>
      </c>
      <c r="M49" s="9">
        <f t="shared" si="3"/>
        <v>21.92048419458165</v>
      </c>
      <c r="N49" s="9">
        <v>22</v>
      </c>
      <c r="O49" s="8">
        <v>185.3</v>
      </c>
      <c r="P49" s="5"/>
      <c r="Q49" s="5"/>
      <c r="R49" s="4"/>
      <c r="S49" s="4"/>
      <c r="T49" s="4"/>
      <c r="U49" s="4"/>
      <c r="V49" s="4"/>
      <c r="W49" s="4"/>
      <c r="X49" s="4"/>
      <c r="Y49" s="4"/>
      <c r="Z49" s="4"/>
      <c r="AA49" s="4"/>
      <c r="AB49" s="4"/>
      <c r="AC49" s="4"/>
      <c r="AD49" s="4"/>
      <c r="AE49" s="4"/>
      <c r="AF49" s="4"/>
      <c r="AG49" s="4"/>
      <c r="AH49" s="4"/>
      <c r="AI49" s="6"/>
    </row>
    <row r="50" spans="5:43" x14ac:dyDescent="0.25">
      <c r="E50" s="2" t="s">
        <v>18</v>
      </c>
      <c r="F50" s="7">
        <v>25</v>
      </c>
      <c r="G50" s="54">
        <v>50.457686400000007</v>
      </c>
      <c r="H50" s="5">
        <v>420</v>
      </c>
      <c r="I50" s="5">
        <v>118.8</v>
      </c>
      <c r="J50" s="5">
        <v>36</v>
      </c>
      <c r="K50" s="8">
        <v>191.96</v>
      </c>
      <c r="L50" s="8">
        <v>8.4700000000000006</v>
      </c>
      <c r="M50" s="9">
        <f t="shared" si="3"/>
        <v>21.880418667864092</v>
      </c>
      <c r="N50" s="9">
        <v>22</v>
      </c>
      <c r="O50" s="8">
        <v>178.6</v>
      </c>
      <c r="P50" s="5"/>
      <c r="Q50" s="5"/>
      <c r="R50" s="4"/>
      <c r="S50" s="4"/>
      <c r="T50" s="4"/>
      <c r="U50" s="4"/>
      <c r="V50" s="4"/>
      <c r="W50" s="4"/>
      <c r="X50" s="4"/>
      <c r="Y50" s="4"/>
      <c r="Z50" s="4"/>
      <c r="AA50" s="4"/>
      <c r="AB50" s="4"/>
      <c r="AC50" s="4"/>
      <c r="AD50" s="4"/>
      <c r="AE50" s="4"/>
      <c r="AF50" s="4"/>
      <c r="AG50" s="4"/>
      <c r="AH50" s="4"/>
      <c r="AI50" s="6"/>
      <c r="AO50" s="82"/>
      <c r="AP50" s="82"/>
      <c r="AQ50" s="54"/>
    </row>
    <row r="51" spans="5:43" x14ac:dyDescent="0.25">
      <c r="E51" s="2" t="s">
        <v>12</v>
      </c>
      <c r="F51" s="7">
        <v>25</v>
      </c>
      <c r="G51" s="54">
        <v>84.858341040000013</v>
      </c>
      <c r="H51" s="5">
        <v>420</v>
      </c>
      <c r="I51" s="5">
        <v>118.8</v>
      </c>
      <c r="J51" s="5">
        <v>36</v>
      </c>
      <c r="K51" s="8">
        <v>191.96</v>
      </c>
      <c r="L51" s="8">
        <v>8.4700000000000006</v>
      </c>
      <c r="M51" s="9">
        <f t="shared" si="3"/>
        <v>21.708784408322106</v>
      </c>
      <c r="N51" s="9">
        <v>21.5</v>
      </c>
      <c r="O51" s="8">
        <v>248.7</v>
      </c>
      <c r="P51" s="5"/>
      <c r="Q51" s="5"/>
      <c r="R51" s="4"/>
      <c r="S51" s="4"/>
      <c r="T51" s="4"/>
      <c r="U51" s="4"/>
      <c r="V51" s="4"/>
      <c r="W51" s="4"/>
      <c r="X51" s="4"/>
      <c r="Y51" s="4"/>
      <c r="Z51" s="4"/>
      <c r="AA51" s="4"/>
      <c r="AB51" s="4"/>
      <c r="AC51" s="4"/>
      <c r="AD51" s="4"/>
      <c r="AE51" s="4"/>
      <c r="AF51" s="4"/>
      <c r="AG51" s="4"/>
      <c r="AH51" s="4"/>
      <c r="AI51" s="6"/>
      <c r="AO51" s="82"/>
      <c r="AP51" s="82"/>
      <c r="AQ51" s="54"/>
    </row>
    <row r="52" spans="5:43" x14ac:dyDescent="0.25">
      <c r="E52" s="2" t="s">
        <v>13</v>
      </c>
      <c r="F52" s="7">
        <v>25</v>
      </c>
      <c r="G52" s="54">
        <v>103.20923448000003</v>
      </c>
      <c r="H52" s="5">
        <v>420</v>
      </c>
      <c r="I52" s="5">
        <v>118.8</v>
      </c>
      <c r="J52" s="5">
        <v>36</v>
      </c>
      <c r="K52" s="8">
        <v>191.96</v>
      </c>
      <c r="L52" s="8">
        <v>8.4700000000000006</v>
      </c>
      <c r="M52" s="9">
        <f t="shared" si="3"/>
        <v>21.617226790001496</v>
      </c>
      <c r="N52" s="9">
        <v>21.5</v>
      </c>
      <c r="O52" s="8">
        <v>217.6</v>
      </c>
      <c r="P52" s="5"/>
      <c r="Q52" s="5"/>
      <c r="R52" s="4"/>
      <c r="S52" s="4"/>
      <c r="T52" s="4"/>
      <c r="U52" s="4"/>
      <c r="V52" s="4"/>
      <c r="W52" s="4"/>
      <c r="X52" s="4"/>
      <c r="Y52" s="4"/>
      <c r="Z52" s="4"/>
      <c r="AA52" s="4"/>
      <c r="AB52" s="4"/>
      <c r="AC52" s="4"/>
      <c r="AD52" s="4"/>
      <c r="AE52" s="4"/>
      <c r="AF52" s="4"/>
      <c r="AG52" s="4"/>
      <c r="AH52" s="4"/>
      <c r="AI52" s="6"/>
      <c r="AO52" s="82"/>
      <c r="AP52" s="82"/>
      <c r="AQ52" s="54"/>
    </row>
    <row r="53" spans="5:43" x14ac:dyDescent="0.25">
      <c r="E53" s="2" t="s">
        <v>24</v>
      </c>
      <c r="F53" s="7">
        <v>25</v>
      </c>
      <c r="G53" s="54">
        <v>88.300951200000014</v>
      </c>
      <c r="H53" s="5">
        <v>420</v>
      </c>
      <c r="I53" s="5">
        <v>118.8</v>
      </c>
      <c r="J53" s="5">
        <v>36</v>
      </c>
      <c r="K53" s="8">
        <v>191.96</v>
      </c>
      <c r="L53" s="8">
        <v>8.4700000000000006</v>
      </c>
      <c r="M53" s="9">
        <f t="shared" si="3"/>
        <v>21.691608286184703</v>
      </c>
      <c r="N53" s="9">
        <v>21.5</v>
      </c>
      <c r="O53" s="8">
        <v>203.9</v>
      </c>
      <c r="P53" s="5"/>
      <c r="Q53" s="5"/>
      <c r="R53" s="4"/>
      <c r="S53" s="4"/>
      <c r="T53" s="4"/>
      <c r="U53" s="4"/>
      <c r="V53" s="4"/>
      <c r="W53" s="4"/>
      <c r="X53" s="4"/>
      <c r="Y53" s="4"/>
      <c r="Z53" s="4"/>
      <c r="AA53" s="4"/>
      <c r="AB53" s="4"/>
      <c r="AC53" s="4"/>
      <c r="AD53" s="4"/>
      <c r="AE53" s="4"/>
      <c r="AF53" s="4"/>
      <c r="AG53" s="4"/>
      <c r="AH53" s="4"/>
      <c r="AI53" s="6"/>
      <c r="AO53" s="82"/>
      <c r="AP53" s="82"/>
      <c r="AQ53" s="54"/>
    </row>
    <row r="54" spans="5:43" x14ac:dyDescent="0.25">
      <c r="E54" s="2" t="s">
        <v>19</v>
      </c>
      <c r="F54" s="7">
        <v>25</v>
      </c>
      <c r="G54" s="54">
        <v>53.896661280000004</v>
      </c>
      <c r="H54" s="5">
        <v>420</v>
      </c>
      <c r="I54" s="5">
        <v>118.8</v>
      </c>
      <c r="J54" s="5">
        <v>36</v>
      </c>
      <c r="K54" s="8">
        <v>191.96</v>
      </c>
      <c r="L54" s="8">
        <v>8.4700000000000006</v>
      </c>
      <c r="M54" s="9">
        <f t="shared" si="3"/>
        <v>21.863260683131269</v>
      </c>
      <c r="N54" s="9">
        <v>22</v>
      </c>
      <c r="O54" s="8">
        <v>203.1</v>
      </c>
      <c r="P54" s="5"/>
      <c r="Q54" s="5"/>
      <c r="R54" s="4"/>
      <c r="S54" s="4"/>
      <c r="T54" s="4"/>
      <c r="U54" s="4"/>
      <c r="V54" s="4"/>
      <c r="W54" s="4"/>
      <c r="X54" s="4"/>
      <c r="Y54" s="4"/>
      <c r="Z54" s="4"/>
      <c r="AA54" s="4"/>
      <c r="AB54" s="4"/>
      <c r="AC54" s="4"/>
      <c r="AD54" s="4"/>
      <c r="AE54" s="4"/>
      <c r="AF54" s="4"/>
      <c r="AG54" s="4"/>
      <c r="AH54" s="4"/>
      <c r="AI54" s="6"/>
    </row>
    <row r="55" spans="5:43" x14ac:dyDescent="0.25">
      <c r="E55" s="2" t="s">
        <v>20</v>
      </c>
      <c r="F55" s="7">
        <v>25</v>
      </c>
      <c r="G55" s="54">
        <v>72.658341360000009</v>
      </c>
      <c r="H55" s="5">
        <v>420</v>
      </c>
      <c r="I55" s="5">
        <v>118.8</v>
      </c>
      <c r="J55" s="5">
        <v>36</v>
      </c>
      <c r="K55" s="8">
        <v>191.96</v>
      </c>
      <c r="L55" s="8">
        <v>8.4700000000000006</v>
      </c>
      <c r="M55" s="9">
        <f t="shared" si="3"/>
        <v>21.769653538093099</v>
      </c>
      <c r="N55" s="9">
        <v>22</v>
      </c>
      <c r="O55" s="8">
        <v>204</v>
      </c>
      <c r="P55" s="5"/>
      <c r="Q55" s="5"/>
      <c r="R55" s="4"/>
      <c r="S55" s="4"/>
      <c r="T55" s="4"/>
      <c r="U55" s="4"/>
      <c r="V55" s="4"/>
      <c r="W55" s="4"/>
      <c r="X55" s="4"/>
      <c r="Y55" s="4"/>
      <c r="Z55" s="4"/>
      <c r="AA55" s="4"/>
      <c r="AB55" s="4"/>
      <c r="AC55" s="4"/>
      <c r="AD55" s="4"/>
      <c r="AE55" s="4"/>
      <c r="AF55" s="4"/>
      <c r="AG55" s="4"/>
      <c r="AH55" s="4"/>
      <c r="AI55" s="6"/>
    </row>
    <row r="56" spans="5:43" x14ac:dyDescent="0.25">
      <c r="E56" s="2" t="s">
        <v>21</v>
      </c>
      <c r="F56" s="7">
        <v>25</v>
      </c>
      <c r="G56" s="54">
        <v>40.137126480000006</v>
      </c>
      <c r="H56" s="5">
        <v>420</v>
      </c>
      <c r="I56" s="5">
        <v>118.8</v>
      </c>
      <c r="J56" s="5">
        <v>36</v>
      </c>
      <c r="K56" s="8">
        <v>191.96</v>
      </c>
      <c r="L56" s="8">
        <v>8.4700000000000006</v>
      </c>
      <c r="M56" s="9">
        <f t="shared" si="3"/>
        <v>21.931910759467147</v>
      </c>
      <c r="N56" s="9">
        <v>22</v>
      </c>
      <c r="O56" s="8">
        <v>230.4</v>
      </c>
      <c r="P56" s="5"/>
      <c r="Q56" s="5"/>
      <c r="R56" s="4"/>
      <c r="S56" s="4"/>
      <c r="T56" s="4"/>
      <c r="U56" s="4"/>
      <c r="V56" s="4"/>
      <c r="W56" s="4"/>
      <c r="X56" s="4"/>
      <c r="Y56" s="4"/>
      <c r="Z56" s="4"/>
      <c r="AA56" s="4"/>
      <c r="AB56" s="4"/>
      <c r="AC56" s="4"/>
      <c r="AD56" s="4"/>
      <c r="AE56" s="4"/>
      <c r="AF56" s="4"/>
      <c r="AG56" s="4"/>
      <c r="AH56" s="4"/>
      <c r="AI56" s="6"/>
    </row>
    <row r="57" spans="5:43" x14ac:dyDescent="0.25">
      <c r="E57" s="2" t="s">
        <v>22</v>
      </c>
      <c r="F57" s="7">
        <v>25</v>
      </c>
      <c r="G57" s="54">
        <v>37.843264800000007</v>
      </c>
      <c r="H57" s="5">
        <v>420</v>
      </c>
      <c r="I57" s="5">
        <v>118.8</v>
      </c>
      <c r="J57" s="5">
        <v>36</v>
      </c>
      <c r="K57" s="8">
        <v>191.96</v>
      </c>
      <c r="L57" s="8">
        <v>8.4700000000000006</v>
      </c>
      <c r="M57" s="9">
        <f t="shared" si="3"/>
        <v>21.943355461757221</v>
      </c>
      <c r="N57" s="9">
        <v>22</v>
      </c>
      <c r="O57" s="8">
        <v>196.1</v>
      </c>
      <c r="P57" s="5"/>
      <c r="Q57" s="5"/>
      <c r="R57" s="4"/>
      <c r="S57" s="4"/>
      <c r="T57" s="4"/>
      <c r="U57" s="4"/>
      <c r="V57" s="4"/>
      <c r="W57" s="4"/>
      <c r="X57" s="4"/>
      <c r="Y57" s="4"/>
      <c r="Z57" s="4"/>
      <c r="AA57" s="4"/>
      <c r="AB57" s="4"/>
      <c r="AC57" s="4"/>
      <c r="AD57" s="4"/>
      <c r="AE57" s="4"/>
      <c r="AF57" s="4"/>
      <c r="AG57" s="4"/>
      <c r="AH57" s="4"/>
      <c r="AI57" s="6"/>
      <c r="AO57" s="82"/>
      <c r="AP57" s="82"/>
      <c r="AQ57" s="54"/>
    </row>
    <row r="58" spans="5:43" x14ac:dyDescent="0.25">
      <c r="E58" s="2" t="s">
        <v>23</v>
      </c>
      <c r="F58" s="7">
        <v>25</v>
      </c>
      <c r="G58" s="54">
        <v>35.549403120000008</v>
      </c>
      <c r="H58" s="5">
        <v>420</v>
      </c>
      <c r="I58" s="5">
        <v>118.8</v>
      </c>
      <c r="J58" s="5">
        <v>36</v>
      </c>
      <c r="K58" s="8">
        <v>191.96</v>
      </c>
      <c r="L58" s="8">
        <v>8.4700000000000006</v>
      </c>
      <c r="M58" s="9">
        <f t="shared" si="3"/>
        <v>21.954800164047299</v>
      </c>
      <c r="N58" s="9">
        <v>22</v>
      </c>
      <c r="O58" s="8">
        <v>171.6</v>
      </c>
      <c r="P58" s="5"/>
      <c r="Q58" s="5"/>
      <c r="R58" s="4"/>
      <c r="S58" s="4"/>
      <c r="T58" s="4"/>
      <c r="U58" s="4"/>
      <c r="V58" s="4"/>
      <c r="W58" s="4"/>
      <c r="X58" s="4"/>
      <c r="Y58" s="4"/>
      <c r="Z58" s="4"/>
      <c r="AA58" s="4"/>
      <c r="AB58" s="4"/>
      <c r="AC58" s="4"/>
      <c r="AD58" s="4"/>
      <c r="AE58" s="4"/>
      <c r="AF58" s="4"/>
      <c r="AG58" s="4"/>
      <c r="AH58" s="4"/>
      <c r="AI58" s="6"/>
      <c r="AO58" s="82"/>
      <c r="AP58" s="82"/>
      <c r="AQ58" s="54"/>
    </row>
    <row r="59" spans="5:43" x14ac:dyDescent="0.3">
      <c r="E59" s="423" t="s">
        <v>3</v>
      </c>
      <c r="F59" s="424"/>
      <c r="G59" s="424"/>
      <c r="H59" s="424"/>
      <c r="I59" s="424"/>
      <c r="J59" s="424"/>
      <c r="K59" s="424"/>
      <c r="L59" s="424"/>
      <c r="M59" s="424"/>
      <c r="N59" s="425"/>
      <c r="O59" s="11">
        <f>SUM(O47:O58)</f>
        <v>2356.1</v>
      </c>
      <c r="P59" s="28">
        <f>16/24</f>
        <v>0.66666666666666663</v>
      </c>
      <c r="Q59" s="28">
        <f>24/1000</f>
        <v>2.4E-2</v>
      </c>
      <c r="R59" s="8">
        <v>3.59</v>
      </c>
      <c r="S59" s="8">
        <v>12.96</v>
      </c>
      <c r="T59" s="5">
        <f>O59</f>
        <v>2356.1</v>
      </c>
      <c r="U59" s="15">
        <f>P59*Q59*R59*S59*T59</f>
        <v>1753.9336166400001</v>
      </c>
      <c r="V59" s="5">
        <v>3.94</v>
      </c>
      <c r="W59" s="5">
        <v>12.96</v>
      </c>
      <c r="X59" s="5">
        <f>O59</f>
        <v>2356.1</v>
      </c>
      <c r="Y59" s="16">
        <f>(P59*Q59*V59*W59*X59)</f>
        <v>1924.92993024</v>
      </c>
      <c r="Z59" s="8">
        <v>2.13</v>
      </c>
      <c r="AA59" s="8">
        <v>41.904000000000003</v>
      </c>
      <c r="AB59" s="8">
        <f>O59</f>
        <v>2356.1</v>
      </c>
      <c r="AC59" s="17">
        <f>(P59*Q59*Z59*AA59*AB59)</f>
        <v>3364.7188907519999</v>
      </c>
      <c r="AD59" s="96">
        <f>L356</f>
        <v>3498.5604758087879</v>
      </c>
      <c r="AE59" s="18">
        <f>U59+Y59+AC59+AD59</f>
        <v>10542.142913440788</v>
      </c>
      <c r="AF59" s="4">
        <f>AE59*0.1</f>
        <v>1054.2142913440789</v>
      </c>
      <c r="AG59" s="19">
        <f>AE59+AF59</f>
        <v>11596.357204784867</v>
      </c>
      <c r="AH59" s="8">
        <v>3.1</v>
      </c>
      <c r="AI59" s="20">
        <f>ROUND((AG59/AH59),0)</f>
        <v>3741</v>
      </c>
      <c r="AJ59" s="39">
        <v>25</v>
      </c>
      <c r="AL59" s="173">
        <f>AI46-AI60</f>
        <v>792.91304347826099</v>
      </c>
      <c r="AO59" s="53"/>
      <c r="AP59" s="54"/>
      <c r="AQ59" s="54"/>
    </row>
    <row r="60" spans="5:43" ht="15.5" x14ac:dyDescent="0.4">
      <c r="E60" s="2" t="s">
        <v>0</v>
      </c>
      <c r="F60" s="3"/>
      <c r="G60" s="5"/>
      <c r="H60" s="4"/>
      <c r="I60" s="4"/>
      <c r="J60" s="4"/>
      <c r="K60" s="4"/>
      <c r="L60" s="4"/>
      <c r="M60" s="3" t="s">
        <v>138</v>
      </c>
      <c r="N60" s="3" t="s">
        <v>137</v>
      </c>
      <c r="O60" s="8" t="s">
        <v>2</v>
      </c>
      <c r="P60" s="5"/>
      <c r="Q60" s="5"/>
      <c r="R60" s="4"/>
      <c r="S60" s="4"/>
      <c r="T60" s="4"/>
      <c r="U60" s="4"/>
      <c r="V60" s="4"/>
      <c r="W60" s="4"/>
      <c r="X60" s="4"/>
      <c r="Y60" s="4"/>
      <c r="Z60" s="4"/>
      <c r="AA60" s="4"/>
      <c r="AB60" s="4"/>
      <c r="AC60" s="4"/>
      <c r="AD60" s="4"/>
      <c r="AE60" s="4"/>
      <c r="AF60" s="4"/>
      <c r="AG60" s="4"/>
      <c r="AH60" s="4"/>
      <c r="AI60" s="150">
        <f>AI59</f>
        <v>3741</v>
      </c>
    </row>
    <row r="61" spans="5:43" x14ac:dyDescent="0.25">
      <c r="E61" s="2" t="s">
        <v>15</v>
      </c>
      <c r="F61" s="7">
        <v>26</v>
      </c>
      <c r="G61" s="54">
        <v>36.694516320000005</v>
      </c>
      <c r="H61" s="5">
        <v>420</v>
      </c>
      <c r="I61" s="5">
        <v>118.8</v>
      </c>
      <c r="J61" s="5">
        <v>36</v>
      </c>
      <c r="K61" s="8">
        <v>191.96</v>
      </c>
      <c r="L61" s="8">
        <v>8.4700000000000006</v>
      </c>
      <c r="M61" s="9">
        <f>(F61-((G61+H61+I61+J61)/(K61+L61)))</f>
        <v>22.949086881604551</v>
      </c>
      <c r="N61" s="9">
        <v>23</v>
      </c>
      <c r="O61" s="8">
        <v>130</v>
      </c>
      <c r="P61" s="5"/>
      <c r="Q61" s="5"/>
      <c r="R61" s="4"/>
      <c r="S61" s="4"/>
      <c r="T61" s="4"/>
      <c r="U61" s="4"/>
      <c r="V61" s="4"/>
      <c r="W61" s="4"/>
      <c r="X61" s="4"/>
      <c r="Y61" s="4"/>
      <c r="Z61" s="4"/>
      <c r="AA61" s="4"/>
      <c r="AB61" s="4"/>
      <c r="AC61" s="4"/>
      <c r="AD61" s="4"/>
      <c r="AE61" s="4"/>
      <c r="AF61" s="4"/>
      <c r="AG61" s="4"/>
      <c r="AH61" s="4"/>
      <c r="AI61" s="6"/>
    </row>
    <row r="62" spans="5:43" x14ac:dyDescent="0.25">
      <c r="E62" s="2" t="s">
        <v>16</v>
      </c>
      <c r="F62" s="7">
        <v>26</v>
      </c>
      <c r="G62" s="54">
        <v>38.988378000000012</v>
      </c>
      <c r="H62" s="5">
        <v>420</v>
      </c>
      <c r="I62" s="5">
        <v>118.8</v>
      </c>
      <c r="J62" s="5">
        <v>36</v>
      </c>
      <c r="K62" s="8">
        <v>191.96</v>
      </c>
      <c r="L62" s="8">
        <v>8.4700000000000006</v>
      </c>
      <c r="M62" s="9">
        <f t="shared" ref="M62:M72" si="4">(F62-((G62+H62+I62+J62)/(K62+L62)))</f>
        <v>22.937642179314473</v>
      </c>
      <c r="N62" s="9">
        <v>23</v>
      </c>
      <c r="O62" s="8">
        <v>127.8</v>
      </c>
      <c r="P62" s="5"/>
      <c r="Q62" s="5"/>
      <c r="R62" s="4"/>
      <c r="S62" s="4"/>
      <c r="T62" s="4"/>
      <c r="U62" s="4"/>
      <c r="V62" s="4"/>
      <c r="W62" s="4"/>
      <c r="X62" s="4"/>
      <c r="Y62" s="4"/>
      <c r="Z62" s="4"/>
      <c r="AA62" s="4"/>
      <c r="AB62" s="4"/>
      <c r="AC62" s="4"/>
      <c r="AD62" s="4"/>
      <c r="AE62" s="4"/>
      <c r="AF62" s="4"/>
      <c r="AG62" s="4"/>
      <c r="AH62" s="4"/>
      <c r="AI62" s="6"/>
    </row>
    <row r="63" spans="5:43" x14ac:dyDescent="0.25">
      <c r="E63" s="2" t="s">
        <v>17</v>
      </c>
      <c r="F63" s="7">
        <v>26</v>
      </c>
      <c r="G63" s="54">
        <v>42.427352880000001</v>
      </c>
      <c r="H63" s="5">
        <v>420</v>
      </c>
      <c r="I63" s="5">
        <v>118.8</v>
      </c>
      <c r="J63" s="5">
        <v>36</v>
      </c>
      <c r="K63" s="8">
        <v>191.96</v>
      </c>
      <c r="L63" s="8">
        <v>8.4700000000000006</v>
      </c>
      <c r="M63" s="9">
        <f t="shared" si="4"/>
        <v>22.92048419458165</v>
      </c>
      <c r="N63" s="9">
        <v>23</v>
      </c>
      <c r="O63" s="8">
        <v>154.30000000000001</v>
      </c>
      <c r="P63" s="5"/>
      <c r="Q63" s="5"/>
      <c r="R63" s="4"/>
      <c r="S63" s="4"/>
      <c r="T63" s="4"/>
      <c r="U63" s="4"/>
      <c r="V63" s="4"/>
      <c r="W63" s="4"/>
      <c r="X63" s="4"/>
      <c r="Y63" s="4"/>
      <c r="Z63" s="4"/>
      <c r="AA63" s="4"/>
      <c r="AB63" s="4"/>
      <c r="AC63" s="4"/>
      <c r="AD63" s="4"/>
      <c r="AE63" s="4"/>
      <c r="AF63" s="4"/>
      <c r="AG63" s="4"/>
      <c r="AH63" s="4"/>
      <c r="AI63" s="6"/>
    </row>
    <row r="64" spans="5:43" x14ac:dyDescent="0.25">
      <c r="E64" s="2" t="s">
        <v>18</v>
      </c>
      <c r="F64" s="7">
        <v>26</v>
      </c>
      <c r="G64" s="54">
        <v>50.457686400000007</v>
      </c>
      <c r="H64" s="5">
        <v>420</v>
      </c>
      <c r="I64" s="5">
        <v>118.8</v>
      </c>
      <c r="J64" s="5">
        <v>36</v>
      </c>
      <c r="K64" s="8">
        <v>191.96</v>
      </c>
      <c r="L64" s="8">
        <v>8.4700000000000006</v>
      </c>
      <c r="M64" s="9">
        <f t="shared" si="4"/>
        <v>22.880418667864092</v>
      </c>
      <c r="N64" s="9">
        <v>23</v>
      </c>
      <c r="O64" s="8">
        <v>148.6</v>
      </c>
      <c r="P64" s="5"/>
      <c r="Q64" s="5"/>
      <c r="R64" s="4"/>
      <c r="S64" s="4"/>
      <c r="T64" s="4"/>
      <c r="U64" s="4"/>
      <c r="V64" s="4"/>
      <c r="W64" s="4"/>
      <c r="X64" s="4"/>
      <c r="Y64" s="4"/>
      <c r="Z64" s="4"/>
      <c r="AA64" s="4"/>
      <c r="AB64" s="4"/>
      <c r="AC64" s="4"/>
      <c r="AD64" s="4"/>
      <c r="AE64" s="4"/>
      <c r="AF64" s="4"/>
      <c r="AG64" s="4"/>
      <c r="AH64" s="4"/>
      <c r="AI64" s="6"/>
    </row>
    <row r="65" spans="5:43" x14ac:dyDescent="0.25">
      <c r="E65" s="2" t="s">
        <v>12</v>
      </c>
      <c r="F65" s="7">
        <v>26</v>
      </c>
      <c r="G65" s="54">
        <v>84.858341040000013</v>
      </c>
      <c r="H65" s="5">
        <v>420</v>
      </c>
      <c r="I65" s="5">
        <v>118.8</v>
      </c>
      <c r="J65" s="5">
        <v>36</v>
      </c>
      <c r="K65" s="8">
        <v>191.96</v>
      </c>
      <c r="L65" s="8">
        <v>8.4700000000000006</v>
      </c>
      <c r="M65" s="9">
        <f t="shared" si="4"/>
        <v>22.708784408322106</v>
      </c>
      <c r="N65" s="9">
        <v>22.5</v>
      </c>
      <c r="O65" s="8">
        <v>217.7</v>
      </c>
      <c r="P65" s="5"/>
      <c r="Q65" s="5"/>
      <c r="R65" s="4"/>
      <c r="S65" s="4"/>
      <c r="T65" s="4"/>
      <c r="U65" s="4"/>
      <c r="V65" s="4"/>
      <c r="W65" s="4"/>
      <c r="X65" s="4"/>
      <c r="Y65" s="4"/>
      <c r="Z65" s="4"/>
      <c r="AA65" s="4"/>
      <c r="AB65" s="4"/>
      <c r="AC65" s="4"/>
      <c r="AD65" s="4"/>
      <c r="AE65" s="4"/>
      <c r="AF65" s="4"/>
      <c r="AG65" s="4"/>
      <c r="AH65" s="4"/>
      <c r="AI65" s="6"/>
    </row>
    <row r="66" spans="5:43" x14ac:dyDescent="0.25">
      <c r="E66" s="2" t="s">
        <v>13</v>
      </c>
      <c r="F66" s="7">
        <v>26</v>
      </c>
      <c r="G66" s="54">
        <v>103.20923448000003</v>
      </c>
      <c r="H66" s="5">
        <v>420</v>
      </c>
      <c r="I66" s="5">
        <v>118.8</v>
      </c>
      <c r="J66" s="5">
        <v>36</v>
      </c>
      <c r="K66" s="8">
        <v>191.96</v>
      </c>
      <c r="L66" s="8">
        <v>8.4700000000000006</v>
      </c>
      <c r="M66" s="9">
        <f t="shared" si="4"/>
        <v>22.617226790001496</v>
      </c>
      <c r="N66" s="9">
        <v>22.5</v>
      </c>
      <c r="O66" s="8">
        <v>187.6</v>
      </c>
      <c r="P66" s="5"/>
      <c r="Q66" s="5"/>
      <c r="R66" s="4"/>
      <c r="S66" s="4"/>
      <c r="T66" s="4"/>
      <c r="U66" s="4"/>
      <c r="V66" s="4"/>
      <c r="W66" s="4"/>
      <c r="X66" s="4"/>
      <c r="Y66" s="4"/>
      <c r="Z66" s="4"/>
      <c r="AA66" s="4"/>
      <c r="AB66" s="4"/>
      <c r="AC66" s="4"/>
      <c r="AD66" s="4"/>
      <c r="AE66" s="4"/>
      <c r="AF66" s="4"/>
      <c r="AG66" s="4"/>
      <c r="AH66" s="4"/>
      <c r="AI66" s="6"/>
    </row>
    <row r="67" spans="5:43" x14ac:dyDescent="0.25">
      <c r="E67" s="2" t="s">
        <v>1</v>
      </c>
      <c r="F67" s="7">
        <v>26</v>
      </c>
      <c r="G67" s="54">
        <v>88.300951200000014</v>
      </c>
      <c r="H67" s="5">
        <v>420</v>
      </c>
      <c r="I67" s="5">
        <v>118.8</v>
      </c>
      <c r="J67" s="5">
        <v>36</v>
      </c>
      <c r="K67" s="8">
        <v>191.96</v>
      </c>
      <c r="L67" s="8">
        <v>8.4700000000000006</v>
      </c>
      <c r="M67" s="9">
        <f t="shared" si="4"/>
        <v>22.691608286184703</v>
      </c>
      <c r="N67" s="9">
        <v>22.5</v>
      </c>
      <c r="O67" s="8">
        <v>172.9</v>
      </c>
      <c r="P67" s="27"/>
      <c r="Q67" s="27"/>
      <c r="R67" s="4"/>
      <c r="S67" s="4"/>
      <c r="T67" s="4"/>
      <c r="U67" s="4"/>
      <c r="V67" s="4"/>
      <c r="W67" s="4"/>
      <c r="X67" s="4"/>
      <c r="Y67" s="4"/>
      <c r="Z67" s="4"/>
      <c r="AA67" s="4"/>
      <c r="AB67" s="4"/>
      <c r="AC67" s="4"/>
      <c r="AD67" s="4"/>
      <c r="AE67" s="4"/>
      <c r="AF67" s="4"/>
      <c r="AG67" s="4"/>
      <c r="AH67" s="4"/>
      <c r="AI67" s="6"/>
    </row>
    <row r="68" spans="5:43" x14ac:dyDescent="0.25">
      <c r="E68" s="2" t="s">
        <v>19</v>
      </c>
      <c r="F68" s="7">
        <v>26</v>
      </c>
      <c r="G68" s="54">
        <v>53.896661280000004</v>
      </c>
      <c r="H68" s="5">
        <v>420</v>
      </c>
      <c r="I68" s="5">
        <v>118.8</v>
      </c>
      <c r="J68" s="5">
        <v>36</v>
      </c>
      <c r="K68" s="8">
        <v>191.96</v>
      </c>
      <c r="L68" s="8">
        <v>8.4700000000000006</v>
      </c>
      <c r="M68" s="9">
        <f t="shared" si="4"/>
        <v>22.863260683131269</v>
      </c>
      <c r="N68" s="9">
        <v>23</v>
      </c>
      <c r="O68" s="8">
        <v>172.1</v>
      </c>
      <c r="P68" s="27"/>
      <c r="Q68" s="27"/>
      <c r="R68" s="4"/>
      <c r="S68" s="4"/>
      <c r="T68" s="4"/>
      <c r="U68" s="4"/>
      <c r="V68" s="4"/>
      <c r="W68" s="4"/>
      <c r="X68" s="4"/>
      <c r="Y68" s="4"/>
      <c r="Z68" s="4"/>
      <c r="AA68" s="4"/>
      <c r="AB68" s="4"/>
      <c r="AC68" s="4"/>
      <c r="AD68" s="4"/>
      <c r="AE68" s="4"/>
      <c r="AF68" s="4"/>
      <c r="AG68" s="4"/>
      <c r="AH68" s="4"/>
      <c r="AI68" s="6"/>
    </row>
    <row r="69" spans="5:43" x14ac:dyDescent="0.25">
      <c r="E69" s="2" t="s">
        <v>20</v>
      </c>
      <c r="F69" s="7">
        <v>26</v>
      </c>
      <c r="G69" s="54">
        <v>72.658341360000009</v>
      </c>
      <c r="H69" s="5">
        <v>420</v>
      </c>
      <c r="I69" s="5">
        <v>118.8</v>
      </c>
      <c r="J69" s="5">
        <v>36</v>
      </c>
      <c r="K69" s="8">
        <v>191.96</v>
      </c>
      <c r="L69" s="8">
        <v>8.4700000000000006</v>
      </c>
      <c r="M69" s="9">
        <f t="shared" si="4"/>
        <v>22.769653538093099</v>
      </c>
      <c r="N69" s="9">
        <v>23</v>
      </c>
      <c r="O69" s="8">
        <v>174</v>
      </c>
      <c r="P69" s="27"/>
      <c r="Q69" s="27"/>
      <c r="R69" s="4"/>
      <c r="S69" s="4"/>
      <c r="T69" s="4"/>
      <c r="U69" s="4"/>
      <c r="V69" s="4"/>
      <c r="W69" s="4"/>
      <c r="X69" s="4"/>
      <c r="Y69" s="4"/>
      <c r="Z69" s="4"/>
      <c r="AA69" s="4"/>
      <c r="AB69" s="4"/>
      <c r="AC69" s="4"/>
      <c r="AD69" s="4"/>
      <c r="AE69" s="4"/>
      <c r="AF69" s="4"/>
      <c r="AG69" s="4"/>
      <c r="AH69" s="4"/>
      <c r="AI69" s="6"/>
    </row>
    <row r="70" spans="5:43" x14ac:dyDescent="0.25">
      <c r="E70" s="2" t="s">
        <v>21</v>
      </c>
      <c r="F70" s="7">
        <v>26</v>
      </c>
      <c r="G70" s="54">
        <v>40.137126480000006</v>
      </c>
      <c r="H70" s="5">
        <v>420</v>
      </c>
      <c r="I70" s="5">
        <v>118.8</v>
      </c>
      <c r="J70" s="5">
        <v>36</v>
      </c>
      <c r="K70" s="8">
        <v>191.96</v>
      </c>
      <c r="L70" s="8">
        <v>8.4700000000000006</v>
      </c>
      <c r="M70" s="9">
        <f t="shared" si="4"/>
        <v>22.931910759467147</v>
      </c>
      <c r="N70" s="9">
        <v>23</v>
      </c>
      <c r="O70" s="8">
        <v>199.4</v>
      </c>
      <c r="P70" s="27"/>
      <c r="Q70" s="27"/>
      <c r="R70" s="4"/>
      <c r="S70" s="4"/>
      <c r="T70" s="4"/>
      <c r="U70" s="4"/>
      <c r="V70" s="4"/>
      <c r="W70" s="4"/>
      <c r="X70" s="4"/>
      <c r="Y70" s="4"/>
      <c r="Z70" s="4"/>
      <c r="AA70" s="4"/>
      <c r="AB70" s="4"/>
      <c r="AC70" s="4"/>
      <c r="AD70" s="4"/>
      <c r="AE70" s="4"/>
      <c r="AF70" s="4"/>
      <c r="AG70" s="4"/>
      <c r="AH70" s="4"/>
      <c r="AI70" s="6"/>
    </row>
    <row r="71" spans="5:43" x14ac:dyDescent="0.25">
      <c r="E71" s="2" t="s">
        <v>22</v>
      </c>
      <c r="F71" s="7">
        <v>26</v>
      </c>
      <c r="G71" s="54">
        <v>37.843264800000007</v>
      </c>
      <c r="H71" s="5">
        <v>420</v>
      </c>
      <c r="I71" s="5">
        <v>118.8</v>
      </c>
      <c r="J71" s="5">
        <v>36</v>
      </c>
      <c r="K71" s="8">
        <v>191.96</v>
      </c>
      <c r="L71" s="8">
        <v>8.4700000000000006</v>
      </c>
      <c r="M71" s="9">
        <f t="shared" si="4"/>
        <v>22.943355461757221</v>
      </c>
      <c r="N71" s="9">
        <v>23</v>
      </c>
      <c r="O71" s="8">
        <v>166.1</v>
      </c>
      <c r="P71" s="27"/>
      <c r="Q71" s="27"/>
      <c r="R71" s="4"/>
      <c r="S71" s="4"/>
      <c r="T71" s="4"/>
      <c r="U71" s="4"/>
      <c r="V71" s="4"/>
      <c r="W71" s="4"/>
      <c r="X71" s="4"/>
      <c r="Y71" s="4"/>
      <c r="Z71" s="4"/>
      <c r="AA71" s="4"/>
      <c r="AB71" s="4"/>
      <c r="AC71" s="4"/>
      <c r="AD71" s="4"/>
      <c r="AE71" s="4"/>
      <c r="AF71" s="4"/>
      <c r="AG71" s="4"/>
      <c r="AH71" s="4"/>
      <c r="AI71" s="6"/>
    </row>
    <row r="72" spans="5:43" x14ac:dyDescent="0.25">
      <c r="E72" s="2" t="s">
        <v>23</v>
      </c>
      <c r="F72" s="7">
        <v>26</v>
      </c>
      <c r="G72" s="54">
        <v>35.549403120000008</v>
      </c>
      <c r="H72" s="5">
        <v>420</v>
      </c>
      <c r="I72" s="5">
        <v>118.8</v>
      </c>
      <c r="J72" s="5">
        <v>36</v>
      </c>
      <c r="K72" s="8">
        <v>191.96</v>
      </c>
      <c r="L72" s="8">
        <v>8.4700000000000006</v>
      </c>
      <c r="M72" s="9">
        <f t="shared" si="4"/>
        <v>22.954800164047299</v>
      </c>
      <c r="N72" s="9">
        <v>23</v>
      </c>
      <c r="O72" s="8">
        <v>140.6</v>
      </c>
      <c r="P72" s="27"/>
      <c r="Q72" s="27"/>
      <c r="R72" s="4"/>
      <c r="S72" s="4"/>
      <c r="T72" s="4"/>
      <c r="U72" s="4"/>
      <c r="V72" s="4"/>
      <c r="W72" s="4"/>
      <c r="X72" s="4"/>
      <c r="Y72" s="4"/>
      <c r="Z72" s="4"/>
      <c r="AA72" s="4"/>
      <c r="AB72" s="4"/>
      <c r="AC72" s="4"/>
      <c r="AD72" s="4"/>
      <c r="AE72" s="4"/>
      <c r="AF72" s="4"/>
      <c r="AG72" s="4"/>
      <c r="AH72" s="4"/>
      <c r="AI72" s="6"/>
    </row>
    <row r="73" spans="5:43" x14ac:dyDescent="0.3">
      <c r="E73" s="423" t="s">
        <v>3</v>
      </c>
      <c r="F73" s="424"/>
      <c r="G73" s="424"/>
      <c r="H73" s="424"/>
      <c r="I73" s="424"/>
      <c r="J73" s="424"/>
      <c r="K73" s="424"/>
      <c r="L73" s="424"/>
      <c r="M73" s="424"/>
      <c r="N73" s="425"/>
      <c r="O73" s="11">
        <f>SUM(O61:O72)</f>
        <v>1991.1</v>
      </c>
      <c r="P73" s="28">
        <f>16/24</f>
        <v>0.66666666666666663</v>
      </c>
      <c r="Q73" s="28">
        <f>24/1000</f>
        <v>2.4E-2</v>
      </c>
      <c r="R73" s="8">
        <v>3.59</v>
      </c>
      <c r="S73" s="8">
        <v>12.96</v>
      </c>
      <c r="T73" s="5">
        <f>O73</f>
        <v>1991.1</v>
      </c>
      <c r="U73" s="15">
        <f>P73*Q73*R73*S73*T73</f>
        <v>1482.2194406399999</v>
      </c>
      <c r="V73" s="5">
        <v>3.94</v>
      </c>
      <c r="W73" s="5">
        <v>12.96</v>
      </c>
      <c r="X73" s="5">
        <f>O73</f>
        <v>1991.1</v>
      </c>
      <c r="Y73" s="16">
        <f>(P73*Q73*V73*W73*X73)</f>
        <v>1626.7255142399999</v>
      </c>
      <c r="Z73" s="8">
        <v>2.13</v>
      </c>
      <c r="AA73" s="8">
        <v>41.904000000000003</v>
      </c>
      <c r="AB73" s="8">
        <f>O73</f>
        <v>1991.1</v>
      </c>
      <c r="AC73" s="17">
        <f>(P73*Q73*Z73*AA73*AB73)</f>
        <v>2843.4666539519999</v>
      </c>
      <c r="AD73" s="96">
        <f>L357</f>
        <v>3421.1398544796743</v>
      </c>
      <c r="AE73" s="18">
        <f>U73+Y73+AC73+AD73</f>
        <v>9373.5514633116745</v>
      </c>
      <c r="AF73" s="4">
        <f>AE73*0.1</f>
        <v>937.35514633116748</v>
      </c>
      <c r="AG73" s="19">
        <f>AE73+AF73</f>
        <v>10310.906609642841</v>
      </c>
      <c r="AH73" s="8">
        <v>3.1</v>
      </c>
      <c r="AI73" s="20">
        <f>ROUND((AG73/AH73),0)</f>
        <v>3326</v>
      </c>
      <c r="AJ73" s="39">
        <v>26</v>
      </c>
      <c r="AK73" s="122"/>
      <c r="AL73" s="122"/>
    </row>
    <row r="74" spans="5:43" ht="16" thickBot="1" x14ac:dyDescent="0.45">
      <c r="E74" s="2" t="s">
        <v>0</v>
      </c>
      <c r="F74" s="3"/>
      <c r="G74" s="5"/>
      <c r="H74" s="4"/>
      <c r="I74" s="4"/>
      <c r="J74" s="4"/>
      <c r="K74" s="4"/>
      <c r="L74" s="4"/>
      <c r="M74" s="3" t="s">
        <v>138</v>
      </c>
      <c r="N74" s="3" t="s">
        <v>137</v>
      </c>
      <c r="O74" s="8" t="s">
        <v>2</v>
      </c>
      <c r="P74" s="5"/>
      <c r="Q74" s="5"/>
      <c r="R74" s="4"/>
      <c r="S74" s="4"/>
      <c r="T74" s="4"/>
      <c r="U74" s="4"/>
      <c r="V74" s="4"/>
      <c r="W74" s="4"/>
      <c r="X74" s="4"/>
      <c r="Y74" s="4"/>
      <c r="Z74" s="4"/>
      <c r="AA74" s="4"/>
      <c r="AB74" s="4"/>
      <c r="AC74" s="4"/>
      <c r="AD74" s="4"/>
      <c r="AE74" s="4"/>
      <c r="AF74" s="4"/>
      <c r="AG74" s="4"/>
      <c r="AH74" s="4"/>
      <c r="AI74" s="6"/>
    </row>
    <row r="75" spans="5:43" x14ac:dyDescent="0.3">
      <c r="E75" s="2" t="s">
        <v>15</v>
      </c>
      <c r="F75" s="7">
        <v>27</v>
      </c>
      <c r="G75" s="54">
        <v>36.694516320000005</v>
      </c>
      <c r="H75" s="5">
        <v>420</v>
      </c>
      <c r="I75" s="5">
        <v>118.8</v>
      </c>
      <c r="J75" s="5">
        <v>36</v>
      </c>
      <c r="K75" s="8">
        <v>191.96</v>
      </c>
      <c r="L75" s="8">
        <v>8.4700000000000006</v>
      </c>
      <c r="M75" s="9">
        <f>(F75-((G75+H75+I75+J75)/(K75+L75)))</f>
        <v>23.949086881604551</v>
      </c>
      <c r="N75" s="9">
        <v>24</v>
      </c>
      <c r="O75" s="8">
        <v>99</v>
      </c>
      <c r="P75" s="5"/>
      <c r="Q75" s="5"/>
      <c r="R75" s="4"/>
      <c r="S75" s="4"/>
      <c r="T75" s="4"/>
      <c r="U75" s="4"/>
      <c r="V75" s="4"/>
      <c r="W75" s="4"/>
      <c r="X75" s="4"/>
      <c r="Y75" s="4"/>
      <c r="Z75" s="4"/>
      <c r="AA75" s="4"/>
      <c r="AB75" s="4"/>
      <c r="AC75" s="4"/>
      <c r="AD75" s="4"/>
      <c r="AE75" s="4"/>
      <c r="AF75" s="4"/>
      <c r="AG75" s="4"/>
      <c r="AH75" s="4"/>
      <c r="AI75" s="6"/>
      <c r="AN75" s="141"/>
      <c r="AO75" s="295" t="s">
        <v>204</v>
      </c>
      <c r="AP75" s="296"/>
      <c r="AQ75" s="297"/>
    </row>
    <row r="76" spans="5:43" x14ac:dyDescent="0.25">
      <c r="E76" s="2" t="s">
        <v>16</v>
      </c>
      <c r="F76" s="7">
        <v>27</v>
      </c>
      <c r="G76" s="54">
        <v>38.988378000000012</v>
      </c>
      <c r="H76" s="5">
        <v>420</v>
      </c>
      <c r="I76" s="5">
        <v>118.8</v>
      </c>
      <c r="J76" s="5">
        <v>36</v>
      </c>
      <c r="K76" s="8">
        <v>191.96</v>
      </c>
      <c r="L76" s="8">
        <v>8.4700000000000006</v>
      </c>
      <c r="M76" s="9">
        <f t="shared" ref="M76:M86" si="5">(F76-((G76+H76+I76+J76)/(K76+L76)))</f>
        <v>23.937642179314473</v>
      </c>
      <c r="N76" s="9">
        <v>24</v>
      </c>
      <c r="O76" s="8">
        <v>100</v>
      </c>
      <c r="P76" s="5"/>
      <c r="Q76" s="5"/>
      <c r="R76" s="4"/>
      <c r="S76" s="4"/>
      <c r="T76" s="4"/>
      <c r="U76" s="4"/>
      <c r="V76" s="4"/>
      <c r="W76" s="4"/>
      <c r="X76" s="4"/>
      <c r="Y76" s="4"/>
      <c r="Z76" s="4"/>
      <c r="AA76" s="4"/>
      <c r="AB76" s="4"/>
      <c r="AC76" s="4"/>
      <c r="AD76" s="4"/>
      <c r="AE76" s="4"/>
      <c r="AF76" s="4"/>
      <c r="AG76" s="4"/>
      <c r="AH76" s="4"/>
      <c r="AI76" s="6"/>
      <c r="AO76" s="76" t="s">
        <v>195</v>
      </c>
      <c r="AP76" s="27" t="s">
        <v>196</v>
      </c>
      <c r="AQ76" s="86" t="s">
        <v>201</v>
      </c>
    </row>
    <row r="77" spans="5:43" x14ac:dyDescent="0.25">
      <c r="E77" s="2" t="s">
        <v>17</v>
      </c>
      <c r="F77" s="7">
        <v>27</v>
      </c>
      <c r="G77" s="54">
        <v>42.427352880000001</v>
      </c>
      <c r="H77" s="5">
        <v>420</v>
      </c>
      <c r="I77" s="5">
        <v>118.8</v>
      </c>
      <c r="J77" s="5">
        <v>36</v>
      </c>
      <c r="K77" s="8">
        <v>191.96</v>
      </c>
      <c r="L77" s="8">
        <v>8.4700000000000006</v>
      </c>
      <c r="M77" s="9">
        <f t="shared" si="5"/>
        <v>23.92048419458165</v>
      </c>
      <c r="N77" s="9">
        <v>24</v>
      </c>
      <c r="O77" s="8">
        <v>123.3</v>
      </c>
      <c r="P77" s="5"/>
      <c r="Q77" s="5"/>
      <c r="R77" s="4"/>
      <c r="S77" s="4"/>
      <c r="T77" s="4"/>
      <c r="U77" s="4"/>
      <c r="V77" s="4"/>
      <c r="W77" s="4"/>
      <c r="X77" s="4"/>
      <c r="Y77" s="4"/>
      <c r="Z77" s="4"/>
      <c r="AA77" s="4"/>
      <c r="AB77" s="4"/>
      <c r="AC77" s="4"/>
      <c r="AD77" s="4"/>
      <c r="AE77" s="4"/>
      <c r="AF77" s="4"/>
      <c r="AG77" s="4"/>
      <c r="AH77" s="4"/>
      <c r="AI77" s="6"/>
      <c r="AO77" s="76">
        <v>26</v>
      </c>
      <c r="AP77" s="27">
        <v>10</v>
      </c>
      <c r="AQ77" s="35">
        <f>AP77/AP80</f>
        <v>0.5</v>
      </c>
    </row>
    <row r="78" spans="5:43" x14ac:dyDescent="0.25">
      <c r="E78" s="2" t="s">
        <v>18</v>
      </c>
      <c r="F78" s="7">
        <v>27</v>
      </c>
      <c r="G78" s="54">
        <v>50.457686400000007</v>
      </c>
      <c r="H78" s="5">
        <v>420</v>
      </c>
      <c r="I78" s="5">
        <v>118.8</v>
      </c>
      <c r="J78" s="5">
        <v>36</v>
      </c>
      <c r="K78" s="8">
        <v>191.96</v>
      </c>
      <c r="L78" s="8">
        <v>8.4700000000000006</v>
      </c>
      <c r="M78" s="9">
        <f t="shared" si="5"/>
        <v>23.880418667864092</v>
      </c>
      <c r="N78" s="9">
        <v>24</v>
      </c>
      <c r="O78" s="8">
        <v>118.6</v>
      </c>
      <c r="P78" s="5"/>
      <c r="Q78" s="5"/>
      <c r="R78" s="4"/>
      <c r="S78" s="4"/>
      <c r="T78" s="4"/>
      <c r="U78" s="4"/>
      <c r="V78" s="4"/>
      <c r="W78" s="4"/>
      <c r="X78" s="4"/>
      <c r="Y78" s="4"/>
      <c r="Z78" s="4"/>
      <c r="AA78" s="4"/>
      <c r="AB78" s="4"/>
      <c r="AC78" s="4"/>
      <c r="AD78" s="4"/>
      <c r="AE78" s="4"/>
      <c r="AF78" s="4"/>
      <c r="AG78" s="4"/>
      <c r="AH78" s="4"/>
      <c r="AI78" s="6"/>
      <c r="AO78" s="76">
        <v>27</v>
      </c>
      <c r="AP78" s="27">
        <v>8</v>
      </c>
      <c r="AQ78" s="35">
        <f>AP78/AP80</f>
        <v>0.4</v>
      </c>
    </row>
    <row r="79" spans="5:43" x14ac:dyDescent="0.25">
      <c r="E79" s="2" t="s">
        <v>12</v>
      </c>
      <c r="F79" s="7">
        <v>27</v>
      </c>
      <c r="G79" s="54">
        <v>84.858341040000013</v>
      </c>
      <c r="H79" s="5">
        <v>420</v>
      </c>
      <c r="I79" s="5">
        <v>118.8</v>
      </c>
      <c r="J79" s="5">
        <v>36</v>
      </c>
      <c r="K79" s="8">
        <v>191.96</v>
      </c>
      <c r="L79" s="8">
        <v>8.4700000000000006</v>
      </c>
      <c r="M79" s="9">
        <f t="shared" si="5"/>
        <v>23.708784408322106</v>
      </c>
      <c r="N79" s="9">
        <v>23.5</v>
      </c>
      <c r="O79" s="8">
        <v>186.7</v>
      </c>
      <c r="P79" s="5"/>
      <c r="Q79" s="5"/>
      <c r="R79" s="4"/>
      <c r="S79" s="4"/>
      <c r="T79" s="4"/>
      <c r="U79" s="4"/>
      <c r="V79" s="4"/>
      <c r="W79" s="4"/>
      <c r="X79" s="4"/>
      <c r="Y79" s="4"/>
      <c r="Z79" s="4"/>
      <c r="AA79" s="4"/>
      <c r="AB79" s="4"/>
      <c r="AC79" s="4"/>
      <c r="AD79" s="4"/>
      <c r="AE79" s="4"/>
      <c r="AF79" s="4"/>
      <c r="AG79" s="4"/>
      <c r="AH79" s="4"/>
      <c r="AI79" s="6"/>
      <c r="AO79" s="76">
        <v>28</v>
      </c>
      <c r="AP79" s="27">
        <v>2</v>
      </c>
      <c r="AQ79" s="35">
        <f>AP79/AP80</f>
        <v>0.1</v>
      </c>
    </row>
    <row r="80" spans="5:43" ht="13.5" thickBot="1" x14ac:dyDescent="0.3">
      <c r="E80" s="2" t="s">
        <v>13</v>
      </c>
      <c r="F80" s="7">
        <v>27</v>
      </c>
      <c r="G80" s="54">
        <v>103.20923448000003</v>
      </c>
      <c r="H80" s="5">
        <v>420</v>
      </c>
      <c r="I80" s="5">
        <v>118.8</v>
      </c>
      <c r="J80" s="5">
        <v>36</v>
      </c>
      <c r="K80" s="8">
        <v>191.96</v>
      </c>
      <c r="L80" s="8">
        <v>8.4700000000000006</v>
      </c>
      <c r="M80" s="9">
        <f t="shared" si="5"/>
        <v>23.617226790001496</v>
      </c>
      <c r="N80" s="9">
        <v>23.5</v>
      </c>
      <c r="O80" s="8">
        <v>157.6</v>
      </c>
      <c r="P80" s="5"/>
      <c r="Q80" s="5"/>
      <c r="R80" s="4"/>
      <c r="S80" s="4"/>
      <c r="T80" s="4"/>
      <c r="U80" s="4"/>
      <c r="V80" s="4"/>
      <c r="W80" s="4"/>
      <c r="X80" s="4"/>
      <c r="Y80" s="4"/>
      <c r="Z80" s="4"/>
      <c r="AA80" s="4"/>
      <c r="AB80" s="4"/>
      <c r="AC80" s="4"/>
      <c r="AD80" s="4"/>
      <c r="AE80" s="4"/>
      <c r="AF80" s="4"/>
      <c r="AG80" s="4"/>
      <c r="AH80" s="4"/>
      <c r="AI80" s="6"/>
      <c r="AO80" s="142"/>
      <c r="AP80" s="89">
        <f>AP77+AP78+AP79</f>
        <v>20</v>
      </c>
      <c r="AQ80" s="140"/>
    </row>
    <row r="81" spans="5:43" x14ac:dyDescent="0.25">
      <c r="E81" s="2" t="s">
        <v>24</v>
      </c>
      <c r="F81" s="7">
        <v>27</v>
      </c>
      <c r="G81" s="54">
        <v>88.300951200000014</v>
      </c>
      <c r="H81" s="5">
        <v>420</v>
      </c>
      <c r="I81" s="5">
        <v>118.8</v>
      </c>
      <c r="J81" s="5">
        <v>36</v>
      </c>
      <c r="K81" s="8">
        <v>191.96</v>
      </c>
      <c r="L81" s="8">
        <v>8.4700000000000006</v>
      </c>
      <c r="M81" s="9">
        <f t="shared" si="5"/>
        <v>23.691608286184703</v>
      </c>
      <c r="N81" s="9">
        <v>23.5</v>
      </c>
      <c r="O81" s="8">
        <v>142.1</v>
      </c>
      <c r="P81" s="27"/>
      <c r="Q81" s="27"/>
      <c r="R81" s="4"/>
      <c r="S81" s="4"/>
      <c r="T81" s="4"/>
      <c r="U81" s="4"/>
      <c r="V81" s="4"/>
      <c r="W81" s="4"/>
      <c r="X81" s="4"/>
      <c r="Y81" s="4"/>
      <c r="Z81" s="4"/>
      <c r="AA81" s="4"/>
      <c r="AB81" s="4"/>
      <c r="AC81" s="4"/>
      <c r="AD81" s="4"/>
      <c r="AE81" s="4"/>
      <c r="AF81" s="4"/>
      <c r="AG81" s="4"/>
      <c r="AH81" s="4"/>
      <c r="AI81" s="6"/>
      <c r="AO81" s="143"/>
      <c r="AP81" s="143"/>
      <c r="AQ81" s="144"/>
    </row>
    <row r="82" spans="5:43" x14ac:dyDescent="0.25">
      <c r="E82" s="2" t="s">
        <v>19</v>
      </c>
      <c r="F82" s="7">
        <v>27</v>
      </c>
      <c r="G82" s="54">
        <v>53.896661280000004</v>
      </c>
      <c r="H82" s="5">
        <v>420</v>
      </c>
      <c r="I82" s="5">
        <v>118.8</v>
      </c>
      <c r="J82" s="5">
        <v>36</v>
      </c>
      <c r="K82" s="8">
        <v>191.96</v>
      </c>
      <c r="L82" s="8">
        <v>8.4700000000000006</v>
      </c>
      <c r="M82" s="9">
        <f t="shared" si="5"/>
        <v>23.863260683131269</v>
      </c>
      <c r="N82" s="9">
        <v>24</v>
      </c>
      <c r="O82" s="8">
        <v>141.1</v>
      </c>
      <c r="P82" s="27"/>
      <c r="Q82" s="27"/>
      <c r="R82" s="4"/>
      <c r="S82" s="4"/>
      <c r="T82" s="4"/>
      <c r="U82" s="4"/>
      <c r="V82" s="4"/>
      <c r="W82" s="4"/>
      <c r="X82" s="4"/>
      <c r="Y82" s="4"/>
      <c r="Z82" s="4"/>
      <c r="AA82" s="4"/>
      <c r="AB82" s="4"/>
      <c r="AC82" s="4"/>
      <c r="AD82" s="4"/>
      <c r="AE82" s="4"/>
      <c r="AF82" s="4"/>
      <c r="AG82" s="4"/>
      <c r="AH82" s="4"/>
      <c r="AI82" s="6"/>
      <c r="AO82" s="82"/>
      <c r="AP82" s="82"/>
      <c r="AQ82" s="54"/>
    </row>
    <row r="83" spans="5:43" x14ac:dyDescent="0.25">
      <c r="E83" s="2" t="s">
        <v>20</v>
      </c>
      <c r="F83" s="7">
        <v>27</v>
      </c>
      <c r="G83" s="54">
        <v>72.658341360000009</v>
      </c>
      <c r="H83" s="5">
        <v>420</v>
      </c>
      <c r="I83" s="5">
        <v>118.8</v>
      </c>
      <c r="J83" s="5">
        <v>36</v>
      </c>
      <c r="K83" s="8">
        <v>191.96</v>
      </c>
      <c r="L83" s="8">
        <v>8.4700000000000006</v>
      </c>
      <c r="M83" s="9">
        <f t="shared" si="5"/>
        <v>23.769653538093099</v>
      </c>
      <c r="N83" s="9">
        <v>24</v>
      </c>
      <c r="O83" s="8">
        <v>144</v>
      </c>
      <c r="P83" s="27"/>
      <c r="Q83" s="27"/>
      <c r="R83" s="4"/>
      <c r="S83" s="4"/>
      <c r="T83" s="4"/>
      <c r="U83" s="4"/>
      <c r="V83" s="4"/>
      <c r="W83" s="4"/>
      <c r="X83" s="4"/>
      <c r="Y83" s="4"/>
      <c r="Z83" s="4"/>
      <c r="AA83" s="4"/>
      <c r="AB83" s="4"/>
      <c r="AC83" s="4"/>
      <c r="AD83" s="4"/>
      <c r="AE83" s="4"/>
      <c r="AF83" s="4"/>
      <c r="AG83" s="4"/>
      <c r="AH83" s="4"/>
      <c r="AI83" s="6"/>
      <c r="AO83" s="82"/>
      <c r="AP83" s="82"/>
      <c r="AQ83" s="54"/>
    </row>
    <row r="84" spans="5:43" x14ac:dyDescent="0.25">
      <c r="E84" s="2" t="s">
        <v>21</v>
      </c>
      <c r="F84" s="7">
        <v>27</v>
      </c>
      <c r="G84" s="54">
        <v>40.137126480000006</v>
      </c>
      <c r="H84" s="5">
        <v>420</v>
      </c>
      <c r="I84" s="5">
        <v>118.8</v>
      </c>
      <c r="J84" s="5">
        <v>36</v>
      </c>
      <c r="K84" s="8">
        <v>191.96</v>
      </c>
      <c r="L84" s="8">
        <v>8.4700000000000006</v>
      </c>
      <c r="M84" s="9">
        <f t="shared" si="5"/>
        <v>23.931910759467147</v>
      </c>
      <c r="N84" s="9">
        <v>24</v>
      </c>
      <c r="O84" s="8">
        <v>168.4</v>
      </c>
      <c r="P84" s="27"/>
      <c r="Q84" s="27"/>
      <c r="R84" s="4"/>
      <c r="S84" s="4"/>
      <c r="T84" s="4"/>
      <c r="U84" s="4"/>
      <c r="V84" s="4"/>
      <c r="W84" s="4"/>
      <c r="X84" s="4"/>
      <c r="Y84" s="4"/>
      <c r="Z84" s="4"/>
      <c r="AA84" s="4"/>
      <c r="AB84" s="4"/>
      <c r="AC84" s="4"/>
      <c r="AD84" s="4"/>
      <c r="AE84" s="4"/>
      <c r="AF84" s="4"/>
      <c r="AG84" s="4"/>
      <c r="AH84" s="4"/>
      <c r="AI84" s="6"/>
      <c r="AO84" s="82"/>
      <c r="AP84" s="82"/>
      <c r="AQ84" s="54"/>
    </row>
    <row r="85" spans="5:43" x14ac:dyDescent="0.25">
      <c r="E85" s="2" t="s">
        <v>22</v>
      </c>
      <c r="F85" s="7">
        <v>27</v>
      </c>
      <c r="G85" s="54">
        <v>37.843264800000007</v>
      </c>
      <c r="H85" s="5">
        <v>420</v>
      </c>
      <c r="I85" s="5">
        <v>118.8</v>
      </c>
      <c r="J85" s="5">
        <v>36</v>
      </c>
      <c r="K85" s="8">
        <v>191.96</v>
      </c>
      <c r="L85" s="8">
        <v>8.4700000000000006</v>
      </c>
      <c r="M85" s="9">
        <f t="shared" si="5"/>
        <v>23.943355461757221</v>
      </c>
      <c r="N85" s="9">
        <v>24</v>
      </c>
      <c r="O85" s="8">
        <v>136.1</v>
      </c>
      <c r="P85" s="27"/>
      <c r="Q85" s="27"/>
      <c r="R85" s="4"/>
      <c r="S85" s="4"/>
      <c r="T85" s="4"/>
      <c r="U85" s="4"/>
      <c r="V85" s="4"/>
      <c r="W85" s="4"/>
      <c r="X85" s="4"/>
      <c r="Y85" s="4"/>
      <c r="Z85" s="4"/>
      <c r="AA85" s="4"/>
      <c r="AB85" s="4"/>
      <c r="AC85" s="4"/>
      <c r="AD85" s="4"/>
      <c r="AE85" s="4"/>
      <c r="AF85" s="4"/>
      <c r="AG85" s="4"/>
      <c r="AH85" s="4"/>
      <c r="AI85" s="6"/>
    </row>
    <row r="86" spans="5:43" x14ac:dyDescent="0.25">
      <c r="E86" s="2" t="s">
        <v>23</v>
      </c>
      <c r="F86" s="7">
        <v>27</v>
      </c>
      <c r="G86" s="54">
        <v>35.549403120000008</v>
      </c>
      <c r="H86" s="5">
        <v>420</v>
      </c>
      <c r="I86" s="5">
        <v>118.8</v>
      </c>
      <c r="J86" s="5">
        <v>36</v>
      </c>
      <c r="K86" s="8">
        <v>191.96</v>
      </c>
      <c r="L86" s="8">
        <v>8.4700000000000006</v>
      </c>
      <c r="M86" s="9">
        <f t="shared" si="5"/>
        <v>23.954800164047299</v>
      </c>
      <c r="N86" s="9">
        <v>24</v>
      </c>
      <c r="O86" s="8">
        <v>109.7</v>
      </c>
      <c r="P86" s="27"/>
      <c r="Q86" s="27"/>
      <c r="R86" s="4"/>
      <c r="S86" s="4"/>
      <c r="T86" s="4"/>
      <c r="U86" s="4"/>
      <c r="V86" s="4"/>
      <c r="W86" s="4"/>
      <c r="X86" s="4"/>
      <c r="Y86" s="4"/>
      <c r="Z86" s="4"/>
      <c r="AA86" s="4"/>
      <c r="AB86" s="4"/>
      <c r="AC86" s="4"/>
      <c r="AD86" s="4"/>
      <c r="AE86" s="4"/>
      <c r="AF86" s="4"/>
      <c r="AG86" s="4"/>
      <c r="AH86" s="4"/>
      <c r="AI86" s="6"/>
    </row>
    <row r="87" spans="5:43" x14ac:dyDescent="0.3">
      <c r="E87" s="423" t="s">
        <v>3</v>
      </c>
      <c r="F87" s="424"/>
      <c r="G87" s="424"/>
      <c r="H87" s="424"/>
      <c r="I87" s="424"/>
      <c r="J87" s="424"/>
      <c r="K87" s="424"/>
      <c r="L87" s="424"/>
      <c r="M87" s="424"/>
      <c r="N87" s="425"/>
      <c r="O87" s="14">
        <f>SUM(O75:O86)</f>
        <v>1626.6</v>
      </c>
      <c r="P87" s="28">
        <f>16/24</f>
        <v>0.66666666666666663</v>
      </c>
      <c r="Q87" s="28">
        <f>24/1000</f>
        <v>2.4E-2</v>
      </c>
      <c r="R87" s="8">
        <v>3.59</v>
      </c>
      <c r="S87" s="8">
        <v>12.96</v>
      </c>
      <c r="T87" s="5">
        <f>O87</f>
        <v>1626.6</v>
      </c>
      <c r="U87" s="15">
        <f>P87*Q87*R87*S87*T87</f>
        <v>1210.87747584</v>
      </c>
      <c r="V87" s="5">
        <v>3.94</v>
      </c>
      <c r="W87" s="5">
        <v>12.96</v>
      </c>
      <c r="X87" s="5">
        <f>O87</f>
        <v>1626.6</v>
      </c>
      <c r="Y87" s="16">
        <f>(P87*Q87*V87*W87*X87)</f>
        <v>1328.92959744</v>
      </c>
      <c r="Z87" s="8">
        <v>2.13</v>
      </c>
      <c r="AA87" s="8">
        <v>41.904000000000003</v>
      </c>
      <c r="AB87" s="8">
        <f>O87</f>
        <v>1626.6</v>
      </c>
      <c r="AC87" s="17">
        <f>(P87*Q87*Z87*AA87*AB87)</f>
        <v>2322.9284613119999</v>
      </c>
      <c r="AD87" s="96">
        <f>L358</f>
        <v>3343.7192331505607</v>
      </c>
      <c r="AE87" s="18">
        <f>U87+Y87+AC87+AD87</f>
        <v>8206.4547677425599</v>
      </c>
      <c r="AF87" s="4">
        <f>AE87*0.1</f>
        <v>820.64547677425605</v>
      </c>
      <c r="AG87" s="19">
        <f>AE87+AF87</f>
        <v>9027.100244516816</v>
      </c>
      <c r="AH87" s="8">
        <v>3.1</v>
      </c>
      <c r="AI87" s="20">
        <f>ROUND((AG87/AH87),0)</f>
        <v>2912</v>
      </c>
      <c r="AJ87" s="39">
        <v>27</v>
      </c>
    </row>
    <row r="88" spans="5:43" ht="15.5" x14ac:dyDescent="0.4">
      <c r="E88" s="2" t="s">
        <v>0</v>
      </c>
      <c r="F88" s="3"/>
      <c r="G88" s="5"/>
      <c r="H88" s="4"/>
      <c r="I88" s="4"/>
      <c r="J88" s="4"/>
      <c r="K88" s="4"/>
      <c r="L88" s="4"/>
      <c r="M88" s="3" t="s">
        <v>138</v>
      </c>
      <c r="N88" s="3" t="s">
        <v>137</v>
      </c>
      <c r="O88" s="8" t="s">
        <v>2</v>
      </c>
      <c r="P88" s="5"/>
      <c r="Q88" s="5"/>
      <c r="R88" s="4"/>
      <c r="S88" s="4"/>
      <c r="T88" s="4"/>
      <c r="U88" s="4"/>
      <c r="V88" s="4"/>
      <c r="W88" s="4"/>
      <c r="X88" s="4"/>
      <c r="Y88" s="4"/>
      <c r="Z88" s="4"/>
      <c r="AA88" s="4"/>
      <c r="AB88" s="4"/>
      <c r="AC88" s="4"/>
      <c r="AD88" s="4"/>
      <c r="AE88" s="4"/>
      <c r="AF88" s="4"/>
      <c r="AG88" s="4"/>
      <c r="AH88" s="4"/>
      <c r="AI88" s="6"/>
      <c r="AO88" s="53"/>
      <c r="AP88" s="54"/>
      <c r="AQ88" s="54"/>
    </row>
    <row r="89" spans="5:43" x14ac:dyDescent="0.25">
      <c r="E89" s="2" t="s">
        <v>15</v>
      </c>
      <c r="F89" s="7">
        <v>28</v>
      </c>
      <c r="G89" s="54">
        <v>36.694516320000005</v>
      </c>
      <c r="H89" s="5">
        <v>420</v>
      </c>
      <c r="I89" s="5">
        <v>118.8</v>
      </c>
      <c r="J89" s="5">
        <v>36</v>
      </c>
      <c r="K89" s="8">
        <v>191.96</v>
      </c>
      <c r="L89" s="8">
        <v>8.4700000000000006</v>
      </c>
      <c r="M89" s="9">
        <f>(F89-((G89+H89+I89+J89)/(K89+L89)))</f>
        <v>24.949086881604551</v>
      </c>
      <c r="N89" s="9">
        <v>25</v>
      </c>
      <c r="O89" s="8">
        <v>70.2</v>
      </c>
      <c r="P89" s="5"/>
      <c r="Q89" s="5"/>
      <c r="R89" s="4"/>
      <c r="S89" s="4"/>
      <c r="T89" s="4"/>
      <c r="U89" s="4"/>
      <c r="V89" s="4"/>
      <c r="W89" s="4"/>
      <c r="X89" s="4"/>
      <c r="Y89" s="4"/>
      <c r="Z89" s="4"/>
      <c r="AA89" s="4"/>
      <c r="AB89" s="4"/>
      <c r="AC89" s="4"/>
      <c r="AD89" s="4"/>
      <c r="AE89" s="4"/>
      <c r="AF89" s="4"/>
      <c r="AG89" s="4"/>
      <c r="AH89" s="4"/>
      <c r="AI89" s="6"/>
    </row>
    <row r="90" spans="5:43" x14ac:dyDescent="0.25">
      <c r="E90" s="2" t="s">
        <v>16</v>
      </c>
      <c r="F90" s="7">
        <v>28</v>
      </c>
      <c r="G90" s="54">
        <v>38.988378000000012</v>
      </c>
      <c r="H90" s="5">
        <v>420</v>
      </c>
      <c r="I90" s="5">
        <v>118.8</v>
      </c>
      <c r="J90" s="5">
        <v>36</v>
      </c>
      <c r="K90" s="8">
        <v>191.96</v>
      </c>
      <c r="L90" s="8">
        <v>8.4700000000000006</v>
      </c>
      <c r="M90" s="9">
        <f t="shared" ref="M90:M100" si="6">(F90-((G90+H90+I90+J90)/(K90+L90)))</f>
        <v>24.937642179314473</v>
      </c>
      <c r="N90" s="9">
        <v>25</v>
      </c>
      <c r="O90" s="8">
        <v>72.900000000000006</v>
      </c>
      <c r="P90" s="5"/>
      <c r="Q90" s="5"/>
      <c r="R90" s="4"/>
      <c r="S90" s="4"/>
      <c r="T90" s="4"/>
      <c r="U90" s="4"/>
      <c r="V90" s="4"/>
      <c r="W90" s="4"/>
      <c r="X90" s="4"/>
      <c r="Y90" s="4"/>
      <c r="Z90" s="4"/>
      <c r="AA90" s="4"/>
      <c r="AB90" s="4"/>
      <c r="AC90" s="4"/>
      <c r="AD90" s="4"/>
      <c r="AE90" s="4"/>
      <c r="AF90" s="4"/>
      <c r="AG90" s="4"/>
      <c r="AH90" s="4"/>
      <c r="AI90" s="6"/>
    </row>
    <row r="91" spans="5:43" x14ac:dyDescent="0.25">
      <c r="E91" s="2" t="s">
        <v>17</v>
      </c>
      <c r="F91" s="7">
        <v>28</v>
      </c>
      <c r="G91" s="54">
        <v>42.427352880000001</v>
      </c>
      <c r="H91" s="5">
        <v>420</v>
      </c>
      <c r="I91" s="5">
        <v>118.8</v>
      </c>
      <c r="J91" s="5">
        <v>36</v>
      </c>
      <c r="K91" s="8">
        <v>191.96</v>
      </c>
      <c r="L91" s="8">
        <v>8.4700000000000006</v>
      </c>
      <c r="M91" s="9">
        <f t="shared" si="6"/>
        <v>24.92048419458165</v>
      </c>
      <c r="N91" s="9">
        <v>25</v>
      </c>
      <c r="O91" s="8">
        <v>93</v>
      </c>
      <c r="P91" s="5"/>
      <c r="Q91" s="5"/>
      <c r="R91" s="4"/>
      <c r="S91" s="4"/>
      <c r="T91" s="4"/>
      <c r="U91" s="4"/>
      <c r="V91" s="4"/>
      <c r="W91" s="4"/>
      <c r="X91" s="4"/>
      <c r="Y91" s="4"/>
      <c r="Z91" s="4"/>
      <c r="AA91" s="4"/>
      <c r="AB91" s="4"/>
      <c r="AC91" s="4"/>
      <c r="AD91" s="4"/>
      <c r="AE91" s="4"/>
      <c r="AF91" s="4"/>
      <c r="AG91" s="4"/>
      <c r="AH91" s="4"/>
      <c r="AI91" s="6"/>
    </row>
    <row r="92" spans="5:43" x14ac:dyDescent="0.25">
      <c r="E92" s="2" t="s">
        <v>18</v>
      </c>
      <c r="F92" s="7">
        <v>28</v>
      </c>
      <c r="G92" s="54">
        <v>50.457686400000007</v>
      </c>
      <c r="H92" s="5">
        <v>420</v>
      </c>
      <c r="I92" s="5">
        <v>118.8</v>
      </c>
      <c r="J92" s="5">
        <v>36</v>
      </c>
      <c r="K92" s="8">
        <v>191.96</v>
      </c>
      <c r="L92" s="8">
        <v>8.4700000000000006</v>
      </c>
      <c r="M92" s="9">
        <f t="shared" si="6"/>
        <v>24.880418667864092</v>
      </c>
      <c r="N92" s="9">
        <v>25</v>
      </c>
      <c r="O92" s="8">
        <v>89.4</v>
      </c>
      <c r="P92" s="5"/>
      <c r="Q92" s="5"/>
      <c r="R92" s="4"/>
      <c r="S92" s="4"/>
      <c r="T92" s="4"/>
      <c r="U92" s="4"/>
      <c r="V92" s="4"/>
      <c r="W92" s="4"/>
      <c r="X92" s="4"/>
      <c r="Y92" s="4"/>
      <c r="Z92" s="4"/>
      <c r="AA92" s="4"/>
      <c r="AB92" s="4"/>
      <c r="AC92" s="4"/>
      <c r="AD92" s="4"/>
      <c r="AE92" s="4"/>
      <c r="AF92" s="4"/>
      <c r="AG92" s="4"/>
      <c r="AH92" s="4"/>
      <c r="AI92" s="6"/>
    </row>
    <row r="93" spans="5:43" x14ac:dyDescent="0.25">
      <c r="E93" s="2" t="s">
        <v>12</v>
      </c>
      <c r="F93" s="7">
        <v>28</v>
      </c>
      <c r="G93" s="54">
        <v>84.858341040000013</v>
      </c>
      <c r="H93" s="5">
        <v>420</v>
      </c>
      <c r="I93" s="5">
        <v>118.8</v>
      </c>
      <c r="J93" s="5">
        <v>36</v>
      </c>
      <c r="K93" s="8">
        <v>191.96</v>
      </c>
      <c r="L93" s="8">
        <v>8.4700000000000006</v>
      </c>
      <c r="M93" s="9">
        <f t="shared" si="6"/>
        <v>24.708784408322106</v>
      </c>
      <c r="N93" s="9">
        <v>24.5</v>
      </c>
      <c r="O93" s="8">
        <v>155.69999999999999</v>
      </c>
      <c r="P93" s="5"/>
      <c r="Q93" s="5"/>
      <c r="R93" s="4"/>
      <c r="S93" s="4"/>
      <c r="T93" s="4"/>
      <c r="U93" s="4"/>
      <c r="V93" s="4"/>
      <c r="W93" s="4"/>
      <c r="X93" s="4"/>
      <c r="Y93" s="4"/>
      <c r="Z93" s="4"/>
      <c r="AA93" s="4"/>
      <c r="AB93" s="4"/>
      <c r="AC93" s="4"/>
      <c r="AD93" s="4"/>
      <c r="AE93" s="4"/>
      <c r="AF93" s="4"/>
      <c r="AG93" s="4"/>
      <c r="AH93" s="4"/>
      <c r="AI93" s="6"/>
    </row>
    <row r="94" spans="5:43" x14ac:dyDescent="0.25">
      <c r="E94" s="2" t="s">
        <v>13</v>
      </c>
      <c r="F94" s="7">
        <v>28</v>
      </c>
      <c r="G94" s="54">
        <v>103.20923448000003</v>
      </c>
      <c r="H94" s="5">
        <v>420</v>
      </c>
      <c r="I94" s="5">
        <v>118.8</v>
      </c>
      <c r="J94" s="5">
        <v>36</v>
      </c>
      <c r="K94" s="8">
        <v>191.96</v>
      </c>
      <c r="L94" s="8">
        <v>8.4700000000000006</v>
      </c>
      <c r="M94" s="9">
        <f t="shared" si="6"/>
        <v>24.617226790001496</v>
      </c>
      <c r="N94" s="9">
        <v>24.5</v>
      </c>
      <c r="O94" s="8">
        <v>127.7</v>
      </c>
      <c r="P94" s="5"/>
      <c r="Q94" s="5"/>
      <c r="R94" s="4"/>
      <c r="S94" s="4"/>
      <c r="T94" s="4"/>
      <c r="U94" s="4"/>
      <c r="V94" s="4"/>
      <c r="W94" s="4"/>
      <c r="X94" s="4"/>
      <c r="Y94" s="4"/>
      <c r="Z94" s="4"/>
      <c r="AA94" s="4"/>
      <c r="AB94" s="4"/>
      <c r="AC94" s="4"/>
      <c r="AD94" s="4"/>
      <c r="AE94" s="4"/>
      <c r="AF94" s="4"/>
      <c r="AG94" s="4"/>
      <c r="AH94" s="4"/>
      <c r="AI94" s="6"/>
    </row>
    <row r="95" spans="5:43" x14ac:dyDescent="0.25">
      <c r="E95" s="2" t="s">
        <v>24</v>
      </c>
      <c r="F95" s="7">
        <v>28</v>
      </c>
      <c r="G95" s="54">
        <v>88.300951200000014</v>
      </c>
      <c r="H95" s="5">
        <v>420</v>
      </c>
      <c r="I95" s="5">
        <v>118.8</v>
      </c>
      <c r="J95" s="5">
        <v>36</v>
      </c>
      <c r="K95" s="8">
        <v>191.96</v>
      </c>
      <c r="L95" s="8">
        <v>8.4700000000000006</v>
      </c>
      <c r="M95" s="9">
        <f t="shared" si="6"/>
        <v>24.691608286184703</v>
      </c>
      <c r="N95" s="9">
        <v>24.5</v>
      </c>
      <c r="O95" s="8">
        <v>112.3</v>
      </c>
      <c r="P95" s="18"/>
      <c r="Q95" s="18"/>
      <c r="R95" s="4"/>
      <c r="S95" s="4"/>
      <c r="T95" s="4"/>
      <c r="U95" s="4"/>
      <c r="V95" s="4"/>
      <c r="W95" s="4"/>
      <c r="X95" s="4"/>
      <c r="Y95" s="4"/>
      <c r="Z95" s="4"/>
      <c r="AA95" s="4"/>
      <c r="AB95" s="4"/>
      <c r="AC95" s="4"/>
      <c r="AD95" s="4"/>
      <c r="AE95" s="4"/>
      <c r="AF95" s="4"/>
      <c r="AG95" s="4"/>
      <c r="AH95" s="4"/>
      <c r="AI95" s="6"/>
    </row>
    <row r="96" spans="5:43" x14ac:dyDescent="0.25">
      <c r="E96" s="2" t="s">
        <v>19</v>
      </c>
      <c r="F96" s="7">
        <v>28</v>
      </c>
      <c r="G96" s="54">
        <v>53.896661280000004</v>
      </c>
      <c r="H96" s="5">
        <v>420</v>
      </c>
      <c r="I96" s="5">
        <v>118.8</v>
      </c>
      <c r="J96" s="5">
        <v>36</v>
      </c>
      <c r="K96" s="8">
        <v>191.96</v>
      </c>
      <c r="L96" s="8">
        <v>8.4700000000000006</v>
      </c>
      <c r="M96" s="9">
        <f t="shared" si="6"/>
        <v>24.863260683131269</v>
      </c>
      <c r="N96" s="9">
        <v>25</v>
      </c>
      <c r="O96" s="8">
        <v>110.8</v>
      </c>
      <c r="P96" s="18"/>
      <c r="Q96" s="18"/>
      <c r="R96" s="4"/>
      <c r="S96" s="4"/>
      <c r="T96" s="4"/>
      <c r="U96" s="4"/>
      <c r="V96" s="4"/>
      <c r="W96" s="4"/>
      <c r="X96" s="4"/>
      <c r="Y96" s="4"/>
      <c r="Z96" s="4"/>
      <c r="AA96" s="4"/>
      <c r="AB96" s="4"/>
      <c r="AC96" s="4"/>
      <c r="AD96" s="4"/>
      <c r="AE96" s="4"/>
      <c r="AF96" s="4"/>
      <c r="AG96" s="4"/>
      <c r="AH96" s="4"/>
      <c r="AI96" s="6"/>
    </row>
    <row r="97" spans="2:40" x14ac:dyDescent="0.25">
      <c r="E97" s="2" t="s">
        <v>20</v>
      </c>
      <c r="F97" s="7">
        <v>28</v>
      </c>
      <c r="G97" s="54">
        <v>72.658341360000009</v>
      </c>
      <c r="H97" s="5">
        <v>420</v>
      </c>
      <c r="I97" s="5">
        <v>118.8</v>
      </c>
      <c r="J97" s="5">
        <v>36</v>
      </c>
      <c r="K97" s="8">
        <v>191.96</v>
      </c>
      <c r="L97" s="8">
        <v>8.4700000000000006</v>
      </c>
      <c r="M97" s="9">
        <f t="shared" si="6"/>
        <v>24.769653538093099</v>
      </c>
      <c r="N97" s="9">
        <v>25</v>
      </c>
      <c r="O97" s="8">
        <v>114.5</v>
      </c>
      <c r="P97" s="18"/>
      <c r="Q97" s="18"/>
      <c r="R97" s="4"/>
      <c r="S97" s="4"/>
      <c r="T97" s="4"/>
      <c r="U97" s="4"/>
      <c r="V97" s="4"/>
      <c r="W97" s="4"/>
      <c r="X97" s="4"/>
      <c r="Y97" s="4"/>
      <c r="Z97" s="4"/>
      <c r="AA97" s="4"/>
      <c r="AB97" s="4"/>
      <c r="AC97" s="4"/>
      <c r="AD97" s="4"/>
      <c r="AE97" s="4"/>
      <c r="AF97" s="4"/>
      <c r="AG97" s="4"/>
      <c r="AH97" s="4"/>
      <c r="AI97" s="6"/>
    </row>
    <row r="98" spans="2:40" x14ac:dyDescent="0.25">
      <c r="E98" s="2" t="s">
        <v>21</v>
      </c>
      <c r="F98" s="7">
        <v>28</v>
      </c>
      <c r="G98" s="54">
        <v>40.137126480000006</v>
      </c>
      <c r="H98" s="5">
        <v>420</v>
      </c>
      <c r="I98" s="5">
        <v>118.8</v>
      </c>
      <c r="J98" s="5">
        <v>36</v>
      </c>
      <c r="K98" s="8">
        <v>191.96</v>
      </c>
      <c r="L98" s="8">
        <v>8.4700000000000006</v>
      </c>
      <c r="M98" s="9">
        <f t="shared" si="6"/>
        <v>24.931910759467147</v>
      </c>
      <c r="N98" s="9">
        <v>25</v>
      </c>
      <c r="O98" s="8">
        <v>137.80000000000001</v>
      </c>
      <c r="P98" s="18"/>
      <c r="Q98" s="18"/>
      <c r="R98" s="4"/>
      <c r="S98" s="4"/>
      <c r="T98" s="4"/>
      <c r="U98" s="4"/>
      <c r="V98" s="4"/>
      <c r="W98" s="4"/>
      <c r="X98" s="4"/>
      <c r="Y98" s="4"/>
      <c r="Z98" s="4"/>
      <c r="AA98" s="4"/>
      <c r="AB98" s="4"/>
      <c r="AC98" s="4"/>
      <c r="AD98" s="4"/>
      <c r="AE98" s="4"/>
      <c r="AF98" s="4"/>
      <c r="AG98" s="4"/>
      <c r="AH98" s="4"/>
      <c r="AI98" s="6"/>
    </row>
    <row r="99" spans="2:40" x14ac:dyDescent="0.25">
      <c r="E99" s="2" t="s">
        <v>22</v>
      </c>
      <c r="F99" s="7">
        <v>28</v>
      </c>
      <c r="G99" s="54">
        <v>37.843264800000007</v>
      </c>
      <c r="H99" s="5">
        <v>420</v>
      </c>
      <c r="I99" s="5">
        <v>118.8</v>
      </c>
      <c r="J99" s="5">
        <v>36</v>
      </c>
      <c r="K99" s="8">
        <v>191.96</v>
      </c>
      <c r="L99" s="8">
        <v>8.4700000000000006</v>
      </c>
      <c r="M99" s="9">
        <f t="shared" si="6"/>
        <v>24.943355461757221</v>
      </c>
      <c r="N99" s="9">
        <v>25</v>
      </c>
      <c r="O99" s="8">
        <v>106.4</v>
      </c>
      <c r="P99" s="18"/>
      <c r="Q99" s="18"/>
      <c r="R99" s="30"/>
      <c r="S99" s="30"/>
      <c r="T99" s="30"/>
      <c r="U99" s="4"/>
      <c r="V99" s="30"/>
      <c r="W99" s="30"/>
      <c r="X99" s="30"/>
      <c r="Y99" s="4"/>
      <c r="Z99" s="30"/>
      <c r="AA99" s="30"/>
      <c r="AB99" s="30"/>
      <c r="AC99" s="4"/>
      <c r="AD99" s="30"/>
      <c r="AE99" s="30"/>
      <c r="AF99" s="30"/>
      <c r="AG99" s="30"/>
      <c r="AH99" s="30"/>
      <c r="AI99" s="31"/>
    </row>
    <row r="100" spans="2:40" x14ac:dyDescent="0.25">
      <c r="E100" s="2" t="s">
        <v>23</v>
      </c>
      <c r="F100" s="7">
        <v>28</v>
      </c>
      <c r="G100" s="54">
        <v>35.549403120000008</v>
      </c>
      <c r="H100" s="5">
        <v>420</v>
      </c>
      <c r="I100" s="5">
        <v>118.8</v>
      </c>
      <c r="J100" s="5">
        <v>36</v>
      </c>
      <c r="K100" s="8">
        <v>191.96</v>
      </c>
      <c r="L100" s="8">
        <v>8.4700000000000006</v>
      </c>
      <c r="M100" s="9">
        <f t="shared" si="6"/>
        <v>24.954800164047299</v>
      </c>
      <c r="N100" s="9">
        <v>25</v>
      </c>
      <c r="O100" s="8">
        <v>80.2</v>
      </c>
      <c r="P100" s="18"/>
      <c r="Q100" s="18"/>
      <c r="R100" s="30"/>
      <c r="S100" s="30"/>
      <c r="T100" s="30"/>
      <c r="U100" s="4"/>
      <c r="V100" s="30"/>
      <c r="W100" s="30"/>
      <c r="X100" s="30"/>
      <c r="Y100" s="4"/>
      <c r="Z100" s="30"/>
      <c r="AA100" s="30"/>
      <c r="AB100" s="30"/>
      <c r="AC100" s="4"/>
      <c r="AD100" s="30"/>
      <c r="AE100" s="30"/>
      <c r="AF100" s="30"/>
      <c r="AG100" s="30"/>
      <c r="AH100" s="30"/>
      <c r="AI100" s="31"/>
    </row>
    <row r="101" spans="2:40" ht="13.5" thickBot="1" x14ac:dyDescent="0.35">
      <c r="E101" s="430" t="s">
        <v>3</v>
      </c>
      <c r="F101" s="431"/>
      <c r="G101" s="431"/>
      <c r="H101" s="431"/>
      <c r="I101" s="431"/>
      <c r="J101" s="431"/>
      <c r="K101" s="431"/>
      <c r="L101" s="431"/>
      <c r="M101" s="431"/>
      <c r="N101" s="432"/>
      <c r="O101" s="36">
        <f>SUM(O89:O100)</f>
        <v>1270.9000000000001</v>
      </c>
      <c r="P101" s="28">
        <f>16/24</f>
        <v>0.66666666666666663</v>
      </c>
      <c r="Q101" s="28">
        <f>24/1000</f>
        <v>2.4E-2</v>
      </c>
      <c r="R101" s="21">
        <v>3.59</v>
      </c>
      <c r="S101" s="21">
        <v>12.96</v>
      </c>
      <c r="T101" s="22">
        <f>O101</f>
        <v>1270.9000000000001</v>
      </c>
      <c r="U101" s="15">
        <f>P101*Q101*R101*S101*T101</f>
        <v>946.08642816000008</v>
      </c>
      <c r="V101" s="22">
        <v>3.94</v>
      </c>
      <c r="W101" s="22">
        <v>12.96</v>
      </c>
      <c r="X101" s="22">
        <f>O101</f>
        <v>1270.9000000000001</v>
      </c>
      <c r="Y101" s="16">
        <f>(P101*Q101*V101*W101*X101)</f>
        <v>1038.3232665600001</v>
      </c>
      <c r="Z101" s="21">
        <v>2.13</v>
      </c>
      <c r="AA101" s="21">
        <v>41.904000000000003</v>
      </c>
      <c r="AB101" s="21">
        <f>O101</f>
        <v>1270.9000000000001</v>
      </c>
      <c r="AC101" s="17">
        <f>(P101*Q101*Z101*AA101*AB101)</f>
        <v>1814.9574458880002</v>
      </c>
      <c r="AD101" s="97">
        <f>L359</f>
        <v>3266.2986118214471</v>
      </c>
      <c r="AE101" s="23">
        <f>U101+Y101+AC101+AD101</f>
        <v>7065.6657524294478</v>
      </c>
      <c r="AF101" s="24">
        <f>AE101*0.1</f>
        <v>706.56657524294485</v>
      </c>
      <c r="AG101" s="25">
        <f>AE101+AF101</f>
        <v>7772.2323276723928</v>
      </c>
      <c r="AH101" s="21">
        <v>3.1</v>
      </c>
      <c r="AI101" s="26">
        <f>ROUND((AG101/AH101),0)</f>
        <v>2507</v>
      </c>
      <c r="AJ101" s="39">
        <v>28</v>
      </c>
      <c r="AK101" s="122"/>
      <c r="AL101" s="122"/>
    </row>
    <row r="102" spans="2:40" x14ac:dyDescent="0.3">
      <c r="AI102" s="150">
        <f>(AI73*AQ77+AI87*AQ78+AI101*AQ79)</f>
        <v>3078.5</v>
      </c>
    </row>
    <row r="103" spans="2:40" x14ac:dyDescent="0.3">
      <c r="AL103" s="173">
        <f>AI46-AI102</f>
        <v>1455.413043478261</v>
      </c>
      <c r="AN103" s="123"/>
    </row>
    <row r="104" spans="2:40" ht="13.5" thickBot="1" x14ac:dyDescent="0.3"/>
    <row r="105" spans="2:40" ht="15" x14ac:dyDescent="0.4">
      <c r="B105" s="409" t="s">
        <v>83</v>
      </c>
      <c r="C105" s="410"/>
      <c r="E105" s="308" t="s">
        <v>59</v>
      </c>
      <c r="F105" s="309"/>
      <c r="G105" s="309"/>
      <c r="H105" s="309"/>
      <c r="I105" s="309"/>
      <c r="J105" s="309"/>
      <c r="K105" s="309"/>
      <c r="L105" s="309"/>
      <c r="M105" s="309"/>
      <c r="N105" s="309"/>
      <c r="O105" s="309"/>
      <c r="P105" s="309"/>
      <c r="Q105" s="309"/>
      <c r="R105" s="309"/>
      <c r="S105" s="104"/>
    </row>
    <row r="106" spans="2:40" ht="15" x14ac:dyDescent="0.4">
      <c r="B106" s="411"/>
      <c r="C106" s="412"/>
      <c r="E106" s="413" t="s">
        <v>132</v>
      </c>
      <c r="F106" s="414"/>
      <c r="G106" s="414"/>
      <c r="H106" s="414"/>
      <c r="I106" s="414"/>
      <c r="J106" s="414"/>
      <c r="K106" s="414"/>
      <c r="L106" s="414"/>
      <c r="M106" s="414"/>
      <c r="N106" s="414"/>
      <c r="O106" s="414"/>
      <c r="P106" s="414"/>
      <c r="Q106" s="414"/>
      <c r="R106" s="414"/>
      <c r="S106" s="104"/>
    </row>
    <row r="107" spans="2:40" ht="21.65" customHeight="1" x14ac:dyDescent="0.25">
      <c r="B107" s="76" t="s">
        <v>57</v>
      </c>
      <c r="C107" s="77" t="s">
        <v>34</v>
      </c>
      <c r="E107" s="43" t="s">
        <v>0</v>
      </c>
      <c r="F107" s="42" t="s">
        <v>37</v>
      </c>
      <c r="G107" s="42" t="s">
        <v>36</v>
      </c>
      <c r="H107" s="42" t="s">
        <v>35</v>
      </c>
      <c r="I107" s="42" t="s">
        <v>47</v>
      </c>
      <c r="J107" s="47" t="s">
        <v>56</v>
      </c>
      <c r="K107" s="47" t="s">
        <v>50</v>
      </c>
      <c r="L107" s="47" t="s">
        <v>51</v>
      </c>
      <c r="M107" s="47" t="s">
        <v>48</v>
      </c>
      <c r="N107" s="47" t="s">
        <v>52</v>
      </c>
      <c r="O107" s="37" t="s">
        <v>53</v>
      </c>
      <c r="P107" s="37" t="s">
        <v>54</v>
      </c>
      <c r="Q107" s="37" t="s">
        <v>49</v>
      </c>
      <c r="R107" s="48" t="s">
        <v>55</v>
      </c>
    </row>
    <row r="108" spans="2:40" ht="15.65" customHeight="1" x14ac:dyDescent="0.25">
      <c r="B108" s="76" t="s">
        <v>65</v>
      </c>
      <c r="C108" s="77">
        <v>1</v>
      </c>
      <c r="E108" s="2" t="s">
        <v>15</v>
      </c>
      <c r="F108" s="71">
        <v>31.6</v>
      </c>
      <c r="G108" s="71">
        <v>6.8</v>
      </c>
      <c r="H108" s="71">
        <f>G108/2</f>
        <v>3.4</v>
      </c>
      <c r="I108" s="71">
        <f>F108-H108</f>
        <v>28.200000000000003</v>
      </c>
      <c r="J108" s="59">
        <f t="shared" ref="J108:J119" si="7">C$124</f>
        <v>1.75</v>
      </c>
      <c r="K108" s="45">
        <v>22</v>
      </c>
      <c r="L108" s="45">
        <f>25.5-K108</f>
        <v>3.5</v>
      </c>
      <c r="M108" s="45">
        <f>I108-29.4</f>
        <v>-1.1999999999999957</v>
      </c>
      <c r="N108" s="8">
        <f t="shared" ref="N108:N119" si="8">J108+L108+M108</f>
        <v>4.0500000000000043</v>
      </c>
      <c r="O108" s="8">
        <v>3.75</v>
      </c>
      <c r="P108" s="8">
        <v>1.296</v>
      </c>
      <c r="Q108" s="8">
        <f>31*16</f>
        <v>496</v>
      </c>
      <c r="R108" s="40">
        <f>(N108*O108*P108*Q108)/1000</f>
        <v>9.7627680000000101</v>
      </c>
    </row>
    <row r="109" spans="2:40" ht="15" customHeight="1" x14ac:dyDescent="0.25">
      <c r="B109" s="76" t="s">
        <v>66</v>
      </c>
      <c r="C109" s="77">
        <v>1</v>
      </c>
      <c r="E109" s="2" t="s">
        <v>16</v>
      </c>
      <c r="F109" s="71">
        <v>31.7</v>
      </c>
      <c r="G109" s="71">
        <v>7.1</v>
      </c>
      <c r="H109" s="71">
        <f t="shared" ref="H109:H119" si="9">G109/2</f>
        <v>3.55</v>
      </c>
      <c r="I109" s="71">
        <f t="shared" ref="I109:I119" si="10">F109-H109</f>
        <v>28.15</v>
      </c>
      <c r="J109" s="45">
        <f t="shared" si="7"/>
        <v>1.75</v>
      </c>
      <c r="K109" s="45">
        <v>22</v>
      </c>
      <c r="L109" s="45">
        <f t="shared" ref="L109:L119" si="11">25.5-K109</f>
        <v>3.5</v>
      </c>
      <c r="M109" s="45">
        <f t="shared" ref="M109:M119" si="12">I109-29.4</f>
        <v>-1.25</v>
      </c>
      <c r="N109" s="8">
        <f t="shared" si="8"/>
        <v>4</v>
      </c>
      <c r="O109" s="8">
        <v>3.75</v>
      </c>
      <c r="P109" s="8">
        <v>1.296</v>
      </c>
      <c r="Q109" s="8">
        <f>28*16</f>
        <v>448</v>
      </c>
      <c r="R109" s="40">
        <f t="shared" ref="R109:R119" si="13">(N109*O109*P109*Q109)/1000</f>
        <v>8.7091200000000004</v>
      </c>
    </row>
    <row r="110" spans="2:40" ht="16" customHeight="1" x14ac:dyDescent="0.25">
      <c r="B110" s="76" t="s">
        <v>67</v>
      </c>
      <c r="C110" s="77">
        <v>0</v>
      </c>
      <c r="E110" s="2" t="s">
        <v>17</v>
      </c>
      <c r="F110" s="71">
        <v>32.200000000000003</v>
      </c>
      <c r="G110" s="71">
        <v>7.3</v>
      </c>
      <c r="H110" s="71">
        <f t="shared" si="9"/>
        <v>3.65</v>
      </c>
      <c r="I110" s="71">
        <f t="shared" si="10"/>
        <v>28.550000000000004</v>
      </c>
      <c r="J110" s="45">
        <f t="shared" si="7"/>
        <v>1.75</v>
      </c>
      <c r="K110" s="45">
        <v>22</v>
      </c>
      <c r="L110" s="45">
        <f t="shared" si="11"/>
        <v>3.5</v>
      </c>
      <c r="M110" s="45">
        <f t="shared" si="12"/>
        <v>-0.84999999999999432</v>
      </c>
      <c r="N110" s="8">
        <f t="shared" si="8"/>
        <v>4.4000000000000057</v>
      </c>
      <c r="O110" s="8">
        <v>3.75</v>
      </c>
      <c r="P110" s="8">
        <v>1.296</v>
      </c>
      <c r="Q110" s="8">
        <f>31*16</f>
        <v>496</v>
      </c>
      <c r="R110" s="40">
        <f t="shared" si="13"/>
        <v>10.606464000000015</v>
      </c>
    </row>
    <row r="111" spans="2:40" ht="16" customHeight="1" x14ac:dyDescent="0.25">
      <c r="B111" s="76" t="s">
        <v>68</v>
      </c>
      <c r="C111" s="77">
        <v>-1</v>
      </c>
      <c r="E111" s="2" t="s">
        <v>18</v>
      </c>
      <c r="F111" s="71">
        <v>32.200000000000003</v>
      </c>
      <c r="G111" s="71">
        <v>7.3</v>
      </c>
      <c r="H111" s="71">
        <f t="shared" si="9"/>
        <v>3.65</v>
      </c>
      <c r="I111" s="71">
        <f t="shared" si="10"/>
        <v>28.550000000000004</v>
      </c>
      <c r="J111" s="45">
        <f t="shared" si="7"/>
        <v>1.75</v>
      </c>
      <c r="K111" s="45">
        <v>22</v>
      </c>
      <c r="L111" s="45">
        <f t="shared" si="11"/>
        <v>3.5</v>
      </c>
      <c r="M111" s="45">
        <f t="shared" si="12"/>
        <v>-0.84999999999999432</v>
      </c>
      <c r="N111" s="8">
        <f t="shared" si="8"/>
        <v>4.4000000000000057</v>
      </c>
      <c r="O111" s="8">
        <v>3.75</v>
      </c>
      <c r="P111" s="8">
        <v>1.296</v>
      </c>
      <c r="Q111" s="8">
        <f>30*16</f>
        <v>480</v>
      </c>
      <c r="R111" s="40">
        <f t="shared" si="13"/>
        <v>10.264320000000014</v>
      </c>
    </row>
    <row r="112" spans="2:40" ht="16" customHeight="1" x14ac:dyDescent="0.25">
      <c r="B112" s="76" t="s">
        <v>69</v>
      </c>
      <c r="C112" s="77">
        <v>-1</v>
      </c>
      <c r="E112" s="2" t="s">
        <v>12</v>
      </c>
      <c r="F112" s="71">
        <v>32.4</v>
      </c>
      <c r="G112" s="71">
        <v>7.7</v>
      </c>
      <c r="H112" s="71">
        <f t="shared" si="9"/>
        <v>3.85</v>
      </c>
      <c r="I112" s="71">
        <f t="shared" si="10"/>
        <v>28.549999999999997</v>
      </c>
      <c r="J112" s="45">
        <f t="shared" si="7"/>
        <v>1.75</v>
      </c>
      <c r="K112" s="45">
        <v>22</v>
      </c>
      <c r="L112" s="45">
        <f t="shared" si="11"/>
        <v>3.5</v>
      </c>
      <c r="M112" s="45">
        <f t="shared" si="12"/>
        <v>-0.85000000000000142</v>
      </c>
      <c r="N112" s="8">
        <f t="shared" si="8"/>
        <v>4.3999999999999986</v>
      </c>
      <c r="O112" s="8">
        <v>3.75</v>
      </c>
      <c r="P112" s="8">
        <v>1.296</v>
      </c>
      <c r="Q112" s="8">
        <f>31*16</f>
        <v>496</v>
      </c>
      <c r="R112" s="40">
        <f t="shared" si="13"/>
        <v>10.606463999999995</v>
      </c>
    </row>
    <row r="113" spans="2:19" ht="15" customHeight="1" x14ac:dyDescent="0.25">
      <c r="B113" s="76" t="s">
        <v>70</v>
      </c>
      <c r="C113" s="77">
        <v>-1</v>
      </c>
      <c r="E113" s="2" t="s">
        <v>13</v>
      </c>
      <c r="F113" s="71">
        <v>32.200000000000003</v>
      </c>
      <c r="G113" s="71">
        <v>7.5</v>
      </c>
      <c r="H113" s="71">
        <f t="shared" si="9"/>
        <v>3.75</v>
      </c>
      <c r="I113" s="71">
        <f t="shared" si="10"/>
        <v>28.450000000000003</v>
      </c>
      <c r="J113" s="45">
        <f t="shared" si="7"/>
        <v>1.75</v>
      </c>
      <c r="K113" s="45">
        <v>22</v>
      </c>
      <c r="L113" s="45">
        <f t="shared" si="11"/>
        <v>3.5</v>
      </c>
      <c r="M113" s="45">
        <f t="shared" si="12"/>
        <v>-0.94999999999999574</v>
      </c>
      <c r="N113" s="8">
        <f t="shared" si="8"/>
        <v>4.3000000000000043</v>
      </c>
      <c r="O113" s="8">
        <v>3.75</v>
      </c>
      <c r="P113" s="8">
        <v>1.296</v>
      </c>
      <c r="Q113" s="8">
        <f>30*16</f>
        <v>480</v>
      </c>
      <c r="R113" s="40">
        <f t="shared" si="13"/>
        <v>10.031040000000008</v>
      </c>
    </row>
    <row r="114" spans="2:19" ht="15.65" customHeight="1" x14ac:dyDescent="0.25">
      <c r="B114" s="78" t="s">
        <v>38</v>
      </c>
      <c r="C114" s="79">
        <v>-1</v>
      </c>
      <c r="E114" s="2" t="s">
        <v>24</v>
      </c>
      <c r="F114" s="41">
        <v>32.1</v>
      </c>
      <c r="G114" s="98">
        <v>7.8</v>
      </c>
      <c r="H114" s="71">
        <f t="shared" si="9"/>
        <v>3.9</v>
      </c>
      <c r="I114" s="71">
        <f t="shared" si="10"/>
        <v>28.200000000000003</v>
      </c>
      <c r="J114" s="45">
        <f t="shared" si="7"/>
        <v>1.75</v>
      </c>
      <c r="K114" s="45">
        <v>22</v>
      </c>
      <c r="L114" s="45">
        <f t="shared" si="11"/>
        <v>3.5</v>
      </c>
      <c r="M114" s="45">
        <f t="shared" si="12"/>
        <v>-1.1999999999999957</v>
      </c>
      <c r="N114" s="8">
        <f t="shared" si="8"/>
        <v>4.0500000000000043</v>
      </c>
      <c r="O114" s="8">
        <v>3.75</v>
      </c>
      <c r="P114" s="8">
        <v>1.296</v>
      </c>
      <c r="Q114" s="8">
        <f>31*16</f>
        <v>496</v>
      </c>
      <c r="R114" s="40">
        <f t="shared" si="13"/>
        <v>9.7627680000000101</v>
      </c>
    </row>
    <row r="115" spans="2:19" ht="15.65" customHeight="1" x14ac:dyDescent="0.25">
      <c r="B115" s="78" t="s">
        <v>39</v>
      </c>
      <c r="C115" s="79">
        <v>-1</v>
      </c>
      <c r="E115" s="2" t="s">
        <v>19</v>
      </c>
      <c r="F115" s="41">
        <v>32.5</v>
      </c>
      <c r="G115" s="98">
        <v>8.1999999999999993</v>
      </c>
      <c r="H115" s="71">
        <f t="shared" si="9"/>
        <v>4.0999999999999996</v>
      </c>
      <c r="I115" s="71">
        <f t="shared" si="10"/>
        <v>28.4</v>
      </c>
      <c r="J115" s="45">
        <f t="shared" si="7"/>
        <v>1.75</v>
      </c>
      <c r="K115" s="45">
        <v>22</v>
      </c>
      <c r="L115" s="45">
        <f t="shared" si="11"/>
        <v>3.5</v>
      </c>
      <c r="M115" s="45">
        <f t="shared" si="12"/>
        <v>-1</v>
      </c>
      <c r="N115" s="8">
        <f t="shared" si="8"/>
        <v>4.25</v>
      </c>
      <c r="O115" s="8">
        <v>3.75</v>
      </c>
      <c r="P115" s="8">
        <v>1.296</v>
      </c>
      <c r="Q115" s="8">
        <f>31*16</f>
        <v>496</v>
      </c>
      <c r="R115" s="40">
        <f t="shared" si="13"/>
        <v>10.24488</v>
      </c>
    </row>
    <row r="116" spans="2:19" ht="15" customHeight="1" x14ac:dyDescent="0.25">
      <c r="B116" s="78" t="s">
        <v>40</v>
      </c>
      <c r="C116" s="79">
        <v>0</v>
      </c>
      <c r="E116" s="2" t="s">
        <v>20</v>
      </c>
      <c r="F116" s="41">
        <v>32.799999999999997</v>
      </c>
      <c r="G116" s="98">
        <v>8.8000000000000007</v>
      </c>
      <c r="H116" s="71">
        <f t="shared" si="9"/>
        <v>4.4000000000000004</v>
      </c>
      <c r="I116" s="71">
        <f t="shared" si="10"/>
        <v>28.4</v>
      </c>
      <c r="J116" s="45">
        <f t="shared" si="7"/>
        <v>1.75</v>
      </c>
      <c r="K116" s="45">
        <v>22</v>
      </c>
      <c r="L116" s="45">
        <f t="shared" si="11"/>
        <v>3.5</v>
      </c>
      <c r="M116" s="45">
        <f t="shared" si="12"/>
        <v>-1</v>
      </c>
      <c r="N116" s="8">
        <f t="shared" si="8"/>
        <v>4.25</v>
      </c>
      <c r="O116" s="8">
        <v>3.75</v>
      </c>
      <c r="P116" s="8">
        <v>1.296</v>
      </c>
      <c r="Q116" s="8">
        <f>30*16</f>
        <v>480</v>
      </c>
      <c r="R116" s="40">
        <f t="shared" si="13"/>
        <v>9.9144000000000023</v>
      </c>
    </row>
    <row r="117" spans="2:19" ht="16.5" customHeight="1" x14ac:dyDescent="0.25">
      <c r="B117" s="78" t="s">
        <v>41</v>
      </c>
      <c r="C117" s="79">
        <v>7</v>
      </c>
      <c r="E117" s="2" t="s">
        <v>21</v>
      </c>
      <c r="F117" s="41">
        <v>32.5</v>
      </c>
      <c r="G117" s="98">
        <v>8.5</v>
      </c>
      <c r="H117" s="71">
        <f t="shared" si="9"/>
        <v>4.25</v>
      </c>
      <c r="I117" s="71">
        <f t="shared" si="10"/>
        <v>28.25</v>
      </c>
      <c r="J117" s="45">
        <f t="shared" si="7"/>
        <v>1.75</v>
      </c>
      <c r="K117" s="45">
        <v>22</v>
      </c>
      <c r="L117" s="45">
        <f t="shared" si="11"/>
        <v>3.5</v>
      </c>
      <c r="M117" s="45">
        <f t="shared" si="12"/>
        <v>-1.1499999999999986</v>
      </c>
      <c r="N117" s="8">
        <f t="shared" si="8"/>
        <v>4.1000000000000014</v>
      </c>
      <c r="O117" s="8">
        <v>3.75</v>
      </c>
      <c r="P117" s="8">
        <v>1.296</v>
      </c>
      <c r="Q117" s="8">
        <f>31*16</f>
        <v>496</v>
      </c>
      <c r="R117" s="40">
        <f t="shared" si="13"/>
        <v>9.8832960000000032</v>
      </c>
    </row>
    <row r="118" spans="2:19" ht="14.5" customHeight="1" x14ac:dyDescent="0.25">
      <c r="B118" s="78" t="s">
        <v>42</v>
      </c>
      <c r="C118" s="79">
        <v>7</v>
      </c>
      <c r="E118" s="2" t="s">
        <v>22</v>
      </c>
      <c r="F118" s="41">
        <v>32.200000000000003</v>
      </c>
      <c r="G118" s="98">
        <v>7.8</v>
      </c>
      <c r="H118" s="71">
        <f t="shared" si="9"/>
        <v>3.9</v>
      </c>
      <c r="I118" s="71">
        <f t="shared" si="10"/>
        <v>28.300000000000004</v>
      </c>
      <c r="J118" s="45">
        <f t="shared" si="7"/>
        <v>1.75</v>
      </c>
      <c r="K118" s="45">
        <v>22</v>
      </c>
      <c r="L118" s="45">
        <f t="shared" si="11"/>
        <v>3.5</v>
      </c>
      <c r="M118" s="45">
        <f t="shared" si="12"/>
        <v>-1.0999999999999943</v>
      </c>
      <c r="N118" s="8">
        <f t="shared" si="8"/>
        <v>4.1500000000000057</v>
      </c>
      <c r="O118" s="8">
        <v>3.75</v>
      </c>
      <c r="P118" s="8">
        <v>1.296</v>
      </c>
      <c r="Q118" s="8">
        <f>30*16</f>
        <v>480</v>
      </c>
      <c r="R118" s="40">
        <f t="shared" si="13"/>
        <v>9.6811200000000142</v>
      </c>
    </row>
    <row r="119" spans="2:19" ht="14.5" customHeight="1" x14ac:dyDescent="0.25">
      <c r="B119" s="78" t="s">
        <v>43</v>
      </c>
      <c r="C119" s="79">
        <v>6</v>
      </c>
      <c r="E119" s="2" t="s">
        <v>23</v>
      </c>
      <c r="F119" s="41">
        <v>32.1</v>
      </c>
      <c r="G119" s="98">
        <v>7.3</v>
      </c>
      <c r="H119" s="71">
        <f t="shared" si="9"/>
        <v>3.65</v>
      </c>
      <c r="I119" s="71">
        <f t="shared" si="10"/>
        <v>28.450000000000003</v>
      </c>
      <c r="J119" s="45">
        <f t="shared" si="7"/>
        <v>1.75</v>
      </c>
      <c r="K119" s="45">
        <v>22</v>
      </c>
      <c r="L119" s="45">
        <f t="shared" si="11"/>
        <v>3.5</v>
      </c>
      <c r="M119" s="45">
        <f t="shared" si="12"/>
        <v>-0.94999999999999574</v>
      </c>
      <c r="N119" s="8">
        <f t="shared" si="8"/>
        <v>4.3000000000000043</v>
      </c>
      <c r="O119" s="8">
        <v>3.75</v>
      </c>
      <c r="P119" s="8">
        <v>1.296</v>
      </c>
      <c r="Q119" s="8">
        <f>31*16</f>
        <v>496</v>
      </c>
      <c r="R119" s="40">
        <f t="shared" si="13"/>
        <v>10.365408000000009</v>
      </c>
    </row>
    <row r="120" spans="2:19" ht="14.5" customHeight="1" x14ac:dyDescent="0.25">
      <c r="B120" s="78" t="s">
        <v>44</v>
      </c>
      <c r="C120" s="79">
        <v>4</v>
      </c>
      <c r="E120" s="417" t="s">
        <v>58</v>
      </c>
      <c r="F120" s="418"/>
      <c r="G120" s="418"/>
      <c r="H120" s="418"/>
      <c r="I120" s="418"/>
      <c r="J120" s="418"/>
      <c r="K120" s="418"/>
      <c r="L120" s="418"/>
      <c r="M120" s="418"/>
      <c r="N120" s="418"/>
      <c r="O120" s="418"/>
      <c r="P120" s="418"/>
      <c r="Q120" s="419"/>
      <c r="R120" s="69">
        <f>SUM(R108:R119)</f>
        <v>119.83204800000007</v>
      </c>
      <c r="S120" s="105"/>
    </row>
    <row r="121" spans="2:19" ht="14.5" customHeight="1" x14ac:dyDescent="0.25">
      <c r="B121" s="78" t="s">
        <v>45</v>
      </c>
      <c r="C121" s="79">
        <v>3</v>
      </c>
      <c r="E121" s="394" t="s">
        <v>131</v>
      </c>
      <c r="F121" s="395"/>
      <c r="G121" s="395"/>
      <c r="H121" s="395"/>
      <c r="I121" s="395"/>
      <c r="J121" s="395"/>
      <c r="K121" s="395"/>
      <c r="L121" s="395"/>
      <c r="M121" s="395"/>
      <c r="N121" s="395"/>
      <c r="O121" s="395"/>
      <c r="P121" s="395"/>
      <c r="Q121" s="395"/>
      <c r="R121" s="396"/>
      <c r="S121" s="106"/>
    </row>
    <row r="122" spans="2:19" ht="14" x14ac:dyDescent="0.25">
      <c r="B122" s="78" t="s">
        <v>46</v>
      </c>
      <c r="C122" s="79">
        <v>2</v>
      </c>
      <c r="E122" s="2" t="s">
        <v>15</v>
      </c>
      <c r="F122" s="71">
        <v>31.6</v>
      </c>
      <c r="G122" s="71">
        <v>6.8</v>
      </c>
      <c r="H122" s="71">
        <f>G122/2</f>
        <v>3.4</v>
      </c>
      <c r="I122" s="71">
        <f>F122-H122</f>
        <v>28.200000000000003</v>
      </c>
      <c r="J122" s="59">
        <f t="shared" ref="J122:J133" si="14">C$124</f>
        <v>1.75</v>
      </c>
      <c r="K122" s="45">
        <v>23</v>
      </c>
      <c r="L122" s="45">
        <f>25.5-K122</f>
        <v>2.5</v>
      </c>
      <c r="M122" s="45">
        <f>I122-29.4</f>
        <v>-1.1999999999999957</v>
      </c>
      <c r="N122" s="8">
        <f t="shared" ref="N122:N133" si="15">J122+L122+M122</f>
        <v>3.0500000000000043</v>
      </c>
      <c r="O122" s="8">
        <v>3.75</v>
      </c>
      <c r="P122" s="8">
        <v>1.296</v>
      </c>
      <c r="Q122" s="8">
        <f>31*16</f>
        <v>496</v>
      </c>
      <c r="R122" s="40">
        <f>(N122*O122*P122*Q122)/1000</f>
        <v>7.3522080000000107</v>
      </c>
    </row>
    <row r="123" spans="2:19" ht="14" x14ac:dyDescent="0.25">
      <c r="B123" s="78" t="s">
        <v>71</v>
      </c>
      <c r="C123" s="79">
        <v>2</v>
      </c>
      <c r="E123" s="2" t="s">
        <v>16</v>
      </c>
      <c r="F123" s="71">
        <v>31.7</v>
      </c>
      <c r="G123" s="71">
        <v>7.1</v>
      </c>
      <c r="H123" s="71">
        <f t="shared" ref="H123:H133" si="16">G123/2</f>
        <v>3.55</v>
      </c>
      <c r="I123" s="71">
        <f t="shared" ref="I123:I133" si="17">F123-H123</f>
        <v>28.15</v>
      </c>
      <c r="J123" s="45">
        <f t="shared" si="14"/>
        <v>1.75</v>
      </c>
      <c r="K123" s="45">
        <v>23</v>
      </c>
      <c r="L123" s="45">
        <f t="shared" ref="L123:L133" si="18">25.5-K123</f>
        <v>2.5</v>
      </c>
      <c r="M123" s="45">
        <f t="shared" ref="M123:M133" si="19">I123-29.4</f>
        <v>-1.25</v>
      </c>
      <c r="N123" s="8">
        <f t="shared" si="15"/>
        <v>3</v>
      </c>
      <c r="O123" s="8">
        <v>3.75</v>
      </c>
      <c r="P123" s="8">
        <v>1.296</v>
      </c>
      <c r="Q123" s="8">
        <f>28*16</f>
        <v>448</v>
      </c>
      <c r="R123" s="40">
        <f t="shared" ref="R123:R133" si="20">(N123*O123*P123*Q123)/1000</f>
        <v>6.5318399999999999</v>
      </c>
    </row>
    <row r="124" spans="2:19" ht="16" thickBot="1" x14ac:dyDescent="0.3">
      <c r="B124" s="80" t="s">
        <v>77</v>
      </c>
      <c r="C124" s="81">
        <f>AVERAGE(C108:C123)</f>
        <v>1.75</v>
      </c>
      <c r="E124" s="2" t="s">
        <v>17</v>
      </c>
      <c r="F124" s="71">
        <v>32.200000000000003</v>
      </c>
      <c r="G124" s="71">
        <v>7.3</v>
      </c>
      <c r="H124" s="71">
        <f t="shared" si="16"/>
        <v>3.65</v>
      </c>
      <c r="I124" s="71">
        <f t="shared" si="17"/>
        <v>28.550000000000004</v>
      </c>
      <c r="J124" s="45">
        <f t="shared" si="14"/>
        <v>1.75</v>
      </c>
      <c r="K124" s="45">
        <v>23</v>
      </c>
      <c r="L124" s="45">
        <f t="shared" si="18"/>
        <v>2.5</v>
      </c>
      <c r="M124" s="45">
        <f t="shared" si="19"/>
        <v>-0.84999999999999432</v>
      </c>
      <c r="N124" s="8">
        <f t="shared" si="15"/>
        <v>3.4000000000000057</v>
      </c>
      <c r="O124" s="8">
        <v>3.75</v>
      </c>
      <c r="P124" s="8">
        <v>1.296</v>
      </c>
      <c r="Q124" s="8">
        <f>31*16</f>
        <v>496</v>
      </c>
      <c r="R124" s="40">
        <f t="shared" si="20"/>
        <v>8.1959040000000147</v>
      </c>
    </row>
    <row r="125" spans="2:19" ht="14" x14ac:dyDescent="0.25">
      <c r="E125" s="2" t="s">
        <v>18</v>
      </c>
      <c r="F125" s="71">
        <v>32.200000000000003</v>
      </c>
      <c r="G125" s="71">
        <v>7.3</v>
      </c>
      <c r="H125" s="71">
        <f t="shared" si="16"/>
        <v>3.65</v>
      </c>
      <c r="I125" s="71">
        <f t="shared" si="17"/>
        <v>28.550000000000004</v>
      </c>
      <c r="J125" s="45">
        <f t="shared" si="14"/>
        <v>1.75</v>
      </c>
      <c r="K125" s="45">
        <v>23</v>
      </c>
      <c r="L125" s="45">
        <f t="shared" si="18"/>
        <v>2.5</v>
      </c>
      <c r="M125" s="45">
        <f t="shared" si="19"/>
        <v>-0.84999999999999432</v>
      </c>
      <c r="N125" s="8">
        <f t="shared" si="15"/>
        <v>3.4000000000000057</v>
      </c>
      <c r="O125" s="8">
        <v>3.75</v>
      </c>
      <c r="P125" s="8">
        <v>1.296</v>
      </c>
      <c r="Q125" s="8">
        <f>30*16</f>
        <v>480</v>
      </c>
      <c r="R125" s="40">
        <f t="shared" si="20"/>
        <v>7.9315200000000141</v>
      </c>
    </row>
    <row r="126" spans="2:19" ht="14" x14ac:dyDescent="0.25">
      <c r="E126" s="2" t="s">
        <v>12</v>
      </c>
      <c r="F126" s="71">
        <v>32.4</v>
      </c>
      <c r="G126" s="71">
        <v>7.7</v>
      </c>
      <c r="H126" s="71">
        <f t="shared" si="16"/>
        <v>3.85</v>
      </c>
      <c r="I126" s="71">
        <f t="shared" si="17"/>
        <v>28.549999999999997</v>
      </c>
      <c r="J126" s="45">
        <f t="shared" si="14"/>
        <v>1.75</v>
      </c>
      <c r="K126" s="45">
        <v>23</v>
      </c>
      <c r="L126" s="45">
        <f t="shared" si="18"/>
        <v>2.5</v>
      </c>
      <c r="M126" s="45">
        <f t="shared" si="19"/>
        <v>-0.85000000000000142</v>
      </c>
      <c r="N126" s="8">
        <f t="shared" si="15"/>
        <v>3.3999999999999986</v>
      </c>
      <c r="O126" s="8">
        <v>3.75</v>
      </c>
      <c r="P126" s="8">
        <v>1.296</v>
      </c>
      <c r="Q126" s="8">
        <f>31*16</f>
        <v>496</v>
      </c>
      <c r="R126" s="40">
        <f t="shared" si="20"/>
        <v>8.195903999999997</v>
      </c>
    </row>
    <row r="127" spans="2:19" ht="14" x14ac:dyDescent="0.25">
      <c r="E127" s="2" t="s">
        <v>13</v>
      </c>
      <c r="F127" s="71">
        <v>32.200000000000003</v>
      </c>
      <c r="G127" s="71">
        <v>7.5</v>
      </c>
      <c r="H127" s="71">
        <f t="shared" si="16"/>
        <v>3.75</v>
      </c>
      <c r="I127" s="71">
        <f t="shared" si="17"/>
        <v>28.450000000000003</v>
      </c>
      <c r="J127" s="45">
        <f t="shared" si="14"/>
        <v>1.75</v>
      </c>
      <c r="K127" s="45">
        <v>23</v>
      </c>
      <c r="L127" s="45">
        <f t="shared" si="18"/>
        <v>2.5</v>
      </c>
      <c r="M127" s="45">
        <f t="shared" si="19"/>
        <v>-0.94999999999999574</v>
      </c>
      <c r="N127" s="8">
        <f t="shared" si="15"/>
        <v>3.3000000000000043</v>
      </c>
      <c r="O127" s="8">
        <v>3.75</v>
      </c>
      <c r="P127" s="8">
        <v>1.296</v>
      </c>
      <c r="Q127" s="8">
        <f>30*16</f>
        <v>480</v>
      </c>
      <c r="R127" s="40">
        <f t="shared" si="20"/>
        <v>7.6982400000000109</v>
      </c>
    </row>
    <row r="128" spans="2:19" ht="14" x14ac:dyDescent="0.25">
      <c r="E128" s="2" t="s">
        <v>24</v>
      </c>
      <c r="F128" s="41">
        <v>32.1</v>
      </c>
      <c r="G128" s="98">
        <v>7.8</v>
      </c>
      <c r="H128" s="71">
        <f t="shared" si="16"/>
        <v>3.9</v>
      </c>
      <c r="I128" s="71">
        <f t="shared" si="17"/>
        <v>28.200000000000003</v>
      </c>
      <c r="J128" s="45">
        <f t="shared" si="14"/>
        <v>1.75</v>
      </c>
      <c r="K128" s="45">
        <v>23</v>
      </c>
      <c r="L128" s="45">
        <f t="shared" si="18"/>
        <v>2.5</v>
      </c>
      <c r="M128" s="45">
        <f t="shared" si="19"/>
        <v>-1.1999999999999957</v>
      </c>
      <c r="N128" s="8">
        <f t="shared" si="15"/>
        <v>3.0500000000000043</v>
      </c>
      <c r="O128" s="8">
        <v>3.75</v>
      </c>
      <c r="P128" s="8">
        <v>1.296</v>
      </c>
      <c r="Q128" s="8">
        <f>31*16</f>
        <v>496</v>
      </c>
      <c r="R128" s="40">
        <f t="shared" si="20"/>
        <v>7.3522080000000107</v>
      </c>
    </row>
    <row r="129" spans="5:19" ht="14" x14ac:dyDescent="0.25">
      <c r="E129" s="2" t="s">
        <v>19</v>
      </c>
      <c r="F129" s="41">
        <v>32.5</v>
      </c>
      <c r="G129" s="98">
        <v>8.1999999999999993</v>
      </c>
      <c r="H129" s="71">
        <f t="shared" si="16"/>
        <v>4.0999999999999996</v>
      </c>
      <c r="I129" s="71">
        <f t="shared" si="17"/>
        <v>28.4</v>
      </c>
      <c r="J129" s="45">
        <f t="shared" si="14"/>
        <v>1.75</v>
      </c>
      <c r="K129" s="45">
        <v>23</v>
      </c>
      <c r="L129" s="45">
        <f t="shared" si="18"/>
        <v>2.5</v>
      </c>
      <c r="M129" s="45">
        <f t="shared" si="19"/>
        <v>-1</v>
      </c>
      <c r="N129" s="8">
        <f t="shared" si="15"/>
        <v>3.25</v>
      </c>
      <c r="O129" s="8">
        <v>3.75</v>
      </c>
      <c r="P129" s="8">
        <v>1.296</v>
      </c>
      <c r="Q129" s="8">
        <f>31*16</f>
        <v>496</v>
      </c>
      <c r="R129" s="40">
        <f t="shared" si="20"/>
        <v>7.83432</v>
      </c>
    </row>
    <row r="130" spans="5:19" ht="14" x14ac:dyDescent="0.25">
      <c r="E130" s="2" t="s">
        <v>20</v>
      </c>
      <c r="F130" s="41">
        <v>32.799999999999997</v>
      </c>
      <c r="G130" s="98">
        <v>8.8000000000000007</v>
      </c>
      <c r="H130" s="71">
        <f t="shared" si="16"/>
        <v>4.4000000000000004</v>
      </c>
      <c r="I130" s="71">
        <f t="shared" si="17"/>
        <v>28.4</v>
      </c>
      <c r="J130" s="45">
        <f t="shared" si="14"/>
        <v>1.75</v>
      </c>
      <c r="K130" s="45">
        <v>23</v>
      </c>
      <c r="L130" s="45">
        <f t="shared" si="18"/>
        <v>2.5</v>
      </c>
      <c r="M130" s="45">
        <f t="shared" si="19"/>
        <v>-1</v>
      </c>
      <c r="N130" s="8">
        <f t="shared" si="15"/>
        <v>3.25</v>
      </c>
      <c r="O130" s="8">
        <v>3.75</v>
      </c>
      <c r="P130" s="8">
        <v>1.296</v>
      </c>
      <c r="Q130" s="8">
        <f>30*16</f>
        <v>480</v>
      </c>
      <c r="R130" s="40">
        <f t="shared" si="20"/>
        <v>7.5816000000000008</v>
      </c>
    </row>
    <row r="131" spans="5:19" ht="14" x14ac:dyDescent="0.25">
      <c r="E131" s="2" t="s">
        <v>21</v>
      </c>
      <c r="F131" s="41">
        <v>32.5</v>
      </c>
      <c r="G131" s="98">
        <v>8.5</v>
      </c>
      <c r="H131" s="71">
        <f t="shared" si="16"/>
        <v>4.25</v>
      </c>
      <c r="I131" s="71">
        <f t="shared" si="17"/>
        <v>28.25</v>
      </c>
      <c r="J131" s="45">
        <f t="shared" si="14"/>
        <v>1.75</v>
      </c>
      <c r="K131" s="45">
        <v>23</v>
      </c>
      <c r="L131" s="45">
        <f t="shared" si="18"/>
        <v>2.5</v>
      </c>
      <c r="M131" s="45">
        <f t="shared" si="19"/>
        <v>-1.1499999999999986</v>
      </c>
      <c r="N131" s="8">
        <f t="shared" si="15"/>
        <v>3.1000000000000014</v>
      </c>
      <c r="O131" s="8">
        <v>3.75</v>
      </c>
      <c r="P131" s="8">
        <v>1.296</v>
      </c>
      <c r="Q131" s="8">
        <f>31*16</f>
        <v>496</v>
      </c>
      <c r="R131" s="40">
        <f t="shared" si="20"/>
        <v>7.4727360000000038</v>
      </c>
    </row>
    <row r="132" spans="5:19" ht="14" x14ac:dyDescent="0.25">
      <c r="E132" s="2" t="s">
        <v>22</v>
      </c>
      <c r="F132" s="41">
        <v>32.200000000000003</v>
      </c>
      <c r="G132" s="98">
        <v>7.8</v>
      </c>
      <c r="H132" s="71">
        <f t="shared" si="16"/>
        <v>3.9</v>
      </c>
      <c r="I132" s="71">
        <f t="shared" si="17"/>
        <v>28.300000000000004</v>
      </c>
      <c r="J132" s="45">
        <f t="shared" si="14"/>
        <v>1.75</v>
      </c>
      <c r="K132" s="45">
        <v>23</v>
      </c>
      <c r="L132" s="45">
        <f t="shared" si="18"/>
        <v>2.5</v>
      </c>
      <c r="M132" s="45">
        <f t="shared" si="19"/>
        <v>-1.0999999999999943</v>
      </c>
      <c r="N132" s="8">
        <f t="shared" si="15"/>
        <v>3.1500000000000057</v>
      </c>
      <c r="O132" s="8">
        <v>3.75</v>
      </c>
      <c r="P132" s="8">
        <v>1.296</v>
      </c>
      <c r="Q132" s="8">
        <f>30*16</f>
        <v>480</v>
      </c>
      <c r="R132" s="40">
        <f t="shared" si="20"/>
        <v>7.3483200000000135</v>
      </c>
    </row>
    <row r="133" spans="5:19" ht="14" x14ac:dyDescent="0.25">
      <c r="E133" s="2" t="s">
        <v>23</v>
      </c>
      <c r="F133" s="41">
        <v>32.1</v>
      </c>
      <c r="G133" s="98">
        <v>7.3</v>
      </c>
      <c r="H133" s="71">
        <f t="shared" si="16"/>
        <v>3.65</v>
      </c>
      <c r="I133" s="71">
        <f t="shared" si="17"/>
        <v>28.450000000000003</v>
      </c>
      <c r="J133" s="45">
        <f t="shared" si="14"/>
        <v>1.75</v>
      </c>
      <c r="K133" s="45">
        <v>23</v>
      </c>
      <c r="L133" s="45">
        <f t="shared" si="18"/>
        <v>2.5</v>
      </c>
      <c r="M133" s="45">
        <f t="shared" si="19"/>
        <v>-0.94999999999999574</v>
      </c>
      <c r="N133" s="8">
        <f t="shared" si="15"/>
        <v>3.3000000000000043</v>
      </c>
      <c r="O133" s="8">
        <v>3.75</v>
      </c>
      <c r="P133" s="8">
        <v>1.296</v>
      </c>
      <c r="Q133" s="8">
        <f>31*16</f>
        <v>496</v>
      </c>
      <c r="R133" s="40">
        <f t="shared" si="20"/>
        <v>7.9548480000000108</v>
      </c>
    </row>
    <row r="134" spans="5:19" ht="15" x14ac:dyDescent="0.25">
      <c r="E134" s="417" t="s">
        <v>58</v>
      </c>
      <c r="F134" s="418"/>
      <c r="G134" s="418"/>
      <c r="H134" s="418"/>
      <c r="I134" s="418"/>
      <c r="J134" s="418"/>
      <c r="K134" s="418"/>
      <c r="L134" s="418"/>
      <c r="M134" s="418"/>
      <c r="N134" s="418"/>
      <c r="O134" s="418"/>
      <c r="P134" s="418"/>
      <c r="Q134" s="418"/>
      <c r="R134" s="107">
        <f>SUM(R122:R133)</f>
        <v>91.449648000000082</v>
      </c>
      <c r="S134" s="105"/>
    </row>
    <row r="135" spans="5:19" ht="15" x14ac:dyDescent="0.4">
      <c r="E135" s="413" t="s">
        <v>72</v>
      </c>
      <c r="F135" s="414"/>
      <c r="G135" s="414"/>
      <c r="H135" s="414"/>
      <c r="I135" s="414"/>
      <c r="J135" s="414"/>
      <c r="K135" s="414"/>
      <c r="L135" s="414"/>
      <c r="M135" s="414"/>
      <c r="N135" s="414"/>
      <c r="O135" s="414"/>
      <c r="P135" s="414"/>
      <c r="Q135" s="414"/>
      <c r="R135" s="414"/>
      <c r="S135" s="104"/>
    </row>
    <row r="136" spans="5:19" ht="14" x14ac:dyDescent="0.25">
      <c r="E136" s="2" t="s">
        <v>15</v>
      </c>
      <c r="F136" s="71">
        <v>31.6</v>
      </c>
      <c r="G136" s="71">
        <v>6.8</v>
      </c>
      <c r="H136" s="71">
        <f>G136/2</f>
        <v>3.4</v>
      </c>
      <c r="I136" s="71">
        <f>F136-H136</f>
        <v>28.200000000000003</v>
      </c>
      <c r="J136" s="45">
        <f t="shared" ref="J136:J147" si="21">C$124</f>
        <v>1.75</v>
      </c>
      <c r="K136" s="45">
        <v>24</v>
      </c>
      <c r="L136" s="72">
        <f>25.5-K136</f>
        <v>1.5</v>
      </c>
      <c r="M136" s="72">
        <f>I136-29.4</f>
        <v>-1.1999999999999957</v>
      </c>
      <c r="N136" s="8">
        <f t="shared" ref="N136:N147" si="22">J136+L136+M136</f>
        <v>2.0500000000000043</v>
      </c>
      <c r="O136" s="8">
        <v>3.75</v>
      </c>
      <c r="P136" s="8">
        <v>1.296</v>
      </c>
      <c r="Q136" s="8">
        <f>31*16</f>
        <v>496</v>
      </c>
      <c r="R136" s="40">
        <f>(N136*O136*P136*Q136)/1000</f>
        <v>4.9416480000000105</v>
      </c>
    </row>
    <row r="137" spans="5:19" ht="14" x14ac:dyDescent="0.25">
      <c r="E137" s="2" t="s">
        <v>16</v>
      </c>
      <c r="F137" s="71">
        <v>31.7</v>
      </c>
      <c r="G137" s="71">
        <v>7.1</v>
      </c>
      <c r="H137" s="71">
        <f t="shared" ref="H137:H147" si="23">G137/2</f>
        <v>3.55</v>
      </c>
      <c r="I137" s="71">
        <f t="shared" ref="I137:I147" si="24">F137-H137</f>
        <v>28.15</v>
      </c>
      <c r="J137" s="45">
        <f t="shared" si="21"/>
        <v>1.75</v>
      </c>
      <c r="K137" s="45">
        <v>24</v>
      </c>
      <c r="L137" s="72">
        <f t="shared" ref="L137:L147" si="25">25.5-K137</f>
        <v>1.5</v>
      </c>
      <c r="M137" s="72">
        <f t="shared" ref="M137:M147" si="26">I137-29.4</f>
        <v>-1.25</v>
      </c>
      <c r="N137" s="8">
        <f t="shared" si="22"/>
        <v>2</v>
      </c>
      <c r="O137" s="8">
        <v>3.75</v>
      </c>
      <c r="P137" s="8">
        <v>1.296</v>
      </c>
      <c r="Q137" s="8">
        <f>28*16</f>
        <v>448</v>
      </c>
      <c r="R137" s="40">
        <f t="shared" ref="R137:R147" si="27">(N137*O137*P137*Q137)/1000</f>
        <v>4.3545600000000002</v>
      </c>
    </row>
    <row r="138" spans="5:19" ht="14" x14ac:dyDescent="0.25">
      <c r="E138" s="2" t="s">
        <v>17</v>
      </c>
      <c r="F138" s="71">
        <v>32.200000000000003</v>
      </c>
      <c r="G138" s="71">
        <v>7.3</v>
      </c>
      <c r="H138" s="71">
        <f t="shared" si="23"/>
        <v>3.65</v>
      </c>
      <c r="I138" s="71">
        <f t="shared" si="24"/>
        <v>28.550000000000004</v>
      </c>
      <c r="J138" s="45">
        <f t="shared" si="21"/>
        <v>1.75</v>
      </c>
      <c r="K138" s="45">
        <v>24</v>
      </c>
      <c r="L138" s="72">
        <f t="shared" si="25"/>
        <v>1.5</v>
      </c>
      <c r="M138" s="72">
        <f t="shared" si="26"/>
        <v>-0.84999999999999432</v>
      </c>
      <c r="N138" s="8">
        <f t="shared" si="22"/>
        <v>2.4000000000000057</v>
      </c>
      <c r="O138" s="8">
        <v>3.75</v>
      </c>
      <c r="P138" s="8">
        <v>1.296</v>
      </c>
      <c r="Q138" s="8">
        <f>31*16</f>
        <v>496</v>
      </c>
      <c r="R138" s="40">
        <f t="shared" si="27"/>
        <v>5.7853440000000136</v>
      </c>
    </row>
    <row r="139" spans="5:19" ht="14" x14ac:dyDescent="0.25">
      <c r="E139" s="2" t="s">
        <v>18</v>
      </c>
      <c r="F139" s="71">
        <v>32.200000000000003</v>
      </c>
      <c r="G139" s="71">
        <v>7.3</v>
      </c>
      <c r="H139" s="71">
        <f t="shared" si="23"/>
        <v>3.65</v>
      </c>
      <c r="I139" s="71">
        <f t="shared" si="24"/>
        <v>28.550000000000004</v>
      </c>
      <c r="J139" s="45">
        <f t="shared" si="21"/>
        <v>1.75</v>
      </c>
      <c r="K139" s="45">
        <v>24</v>
      </c>
      <c r="L139" s="72">
        <f t="shared" si="25"/>
        <v>1.5</v>
      </c>
      <c r="M139" s="72">
        <f t="shared" si="26"/>
        <v>-0.84999999999999432</v>
      </c>
      <c r="N139" s="8">
        <f t="shared" si="22"/>
        <v>2.4000000000000057</v>
      </c>
      <c r="O139" s="8">
        <v>3.75</v>
      </c>
      <c r="P139" s="8">
        <v>1.296</v>
      </c>
      <c r="Q139" s="8">
        <f>30*16</f>
        <v>480</v>
      </c>
      <c r="R139" s="40">
        <f t="shared" si="27"/>
        <v>5.5987200000000135</v>
      </c>
    </row>
    <row r="140" spans="5:19" ht="14" x14ac:dyDescent="0.25">
      <c r="E140" s="2" t="s">
        <v>12</v>
      </c>
      <c r="F140" s="71">
        <v>32.4</v>
      </c>
      <c r="G140" s="71">
        <v>7.7</v>
      </c>
      <c r="H140" s="71">
        <f t="shared" si="23"/>
        <v>3.85</v>
      </c>
      <c r="I140" s="71">
        <f t="shared" si="24"/>
        <v>28.549999999999997</v>
      </c>
      <c r="J140" s="45">
        <f t="shared" si="21"/>
        <v>1.75</v>
      </c>
      <c r="K140" s="45">
        <v>24</v>
      </c>
      <c r="L140" s="72">
        <f t="shared" si="25"/>
        <v>1.5</v>
      </c>
      <c r="M140" s="72">
        <f t="shared" si="26"/>
        <v>-0.85000000000000142</v>
      </c>
      <c r="N140" s="8">
        <f t="shared" si="22"/>
        <v>2.3999999999999986</v>
      </c>
      <c r="O140" s="8">
        <v>3.75</v>
      </c>
      <c r="P140" s="8">
        <v>1.296</v>
      </c>
      <c r="Q140" s="8">
        <f>31*16</f>
        <v>496</v>
      </c>
      <c r="R140" s="40">
        <f t="shared" si="27"/>
        <v>5.7853439999999967</v>
      </c>
    </row>
    <row r="141" spans="5:19" ht="14" x14ac:dyDescent="0.25">
      <c r="E141" s="2" t="s">
        <v>13</v>
      </c>
      <c r="F141" s="71">
        <v>32.200000000000003</v>
      </c>
      <c r="G141" s="71">
        <v>7.5</v>
      </c>
      <c r="H141" s="71">
        <f t="shared" si="23"/>
        <v>3.75</v>
      </c>
      <c r="I141" s="71">
        <f t="shared" si="24"/>
        <v>28.450000000000003</v>
      </c>
      <c r="J141" s="45">
        <f t="shared" si="21"/>
        <v>1.75</v>
      </c>
      <c r="K141" s="45">
        <v>24</v>
      </c>
      <c r="L141" s="72">
        <f t="shared" si="25"/>
        <v>1.5</v>
      </c>
      <c r="M141" s="72">
        <f t="shared" si="26"/>
        <v>-0.94999999999999574</v>
      </c>
      <c r="N141" s="8">
        <f t="shared" si="22"/>
        <v>2.3000000000000043</v>
      </c>
      <c r="O141" s="8">
        <v>3.75</v>
      </c>
      <c r="P141" s="8">
        <v>1.296</v>
      </c>
      <c r="Q141" s="8">
        <f>30*16</f>
        <v>480</v>
      </c>
      <c r="R141" s="40">
        <f t="shared" si="27"/>
        <v>5.3654400000000093</v>
      </c>
    </row>
    <row r="142" spans="5:19" ht="14" x14ac:dyDescent="0.25">
      <c r="E142" s="2" t="s">
        <v>24</v>
      </c>
      <c r="F142" s="41">
        <v>32.1</v>
      </c>
      <c r="G142" s="98">
        <v>7.8</v>
      </c>
      <c r="H142" s="71">
        <f t="shared" si="23"/>
        <v>3.9</v>
      </c>
      <c r="I142" s="71">
        <f t="shared" si="24"/>
        <v>28.200000000000003</v>
      </c>
      <c r="J142" s="45">
        <f t="shared" si="21"/>
        <v>1.75</v>
      </c>
      <c r="K142" s="45">
        <v>24</v>
      </c>
      <c r="L142" s="72">
        <f t="shared" si="25"/>
        <v>1.5</v>
      </c>
      <c r="M142" s="72">
        <f t="shared" si="26"/>
        <v>-1.1999999999999957</v>
      </c>
      <c r="N142" s="8">
        <f t="shared" si="22"/>
        <v>2.0500000000000043</v>
      </c>
      <c r="O142" s="8">
        <v>3.75</v>
      </c>
      <c r="P142" s="8">
        <v>1.296</v>
      </c>
      <c r="Q142" s="8">
        <f>31*16</f>
        <v>496</v>
      </c>
      <c r="R142" s="40">
        <f t="shared" si="27"/>
        <v>4.9416480000000105</v>
      </c>
    </row>
    <row r="143" spans="5:19" ht="14" x14ac:dyDescent="0.25">
      <c r="E143" s="2" t="s">
        <v>19</v>
      </c>
      <c r="F143" s="41">
        <v>32.5</v>
      </c>
      <c r="G143" s="98">
        <v>8.1999999999999993</v>
      </c>
      <c r="H143" s="71">
        <f t="shared" si="23"/>
        <v>4.0999999999999996</v>
      </c>
      <c r="I143" s="71">
        <f t="shared" si="24"/>
        <v>28.4</v>
      </c>
      <c r="J143" s="45">
        <f t="shared" si="21"/>
        <v>1.75</v>
      </c>
      <c r="K143" s="45">
        <v>24</v>
      </c>
      <c r="L143" s="72">
        <f t="shared" si="25"/>
        <v>1.5</v>
      </c>
      <c r="M143" s="72">
        <f t="shared" si="26"/>
        <v>-1</v>
      </c>
      <c r="N143" s="8">
        <f t="shared" si="22"/>
        <v>2.25</v>
      </c>
      <c r="O143" s="8">
        <v>3.75</v>
      </c>
      <c r="P143" s="8">
        <v>1.296</v>
      </c>
      <c r="Q143" s="8">
        <f>31*16</f>
        <v>496</v>
      </c>
      <c r="R143" s="40">
        <f t="shared" si="27"/>
        <v>5.4237600000000006</v>
      </c>
    </row>
    <row r="144" spans="5:19" ht="14" x14ac:dyDescent="0.25">
      <c r="E144" s="2" t="s">
        <v>20</v>
      </c>
      <c r="F144" s="41">
        <v>32.799999999999997</v>
      </c>
      <c r="G144" s="98">
        <v>8.8000000000000007</v>
      </c>
      <c r="H144" s="71">
        <f t="shared" si="23"/>
        <v>4.4000000000000004</v>
      </c>
      <c r="I144" s="71">
        <f t="shared" si="24"/>
        <v>28.4</v>
      </c>
      <c r="J144" s="45">
        <f t="shared" si="21"/>
        <v>1.75</v>
      </c>
      <c r="K144" s="45">
        <v>24</v>
      </c>
      <c r="L144" s="72">
        <f t="shared" si="25"/>
        <v>1.5</v>
      </c>
      <c r="M144" s="72">
        <f t="shared" si="26"/>
        <v>-1</v>
      </c>
      <c r="N144" s="8">
        <f t="shared" si="22"/>
        <v>2.25</v>
      </c>
      <c r="O144" s="8">
        <v>3.75</v>
      </c>
      <c r="P144" s="8">
        <v>1.296</v>
      </c>
      <c r="Q144" s="8">
        <f>30*16</f>
        <v>480</v>
      </c>
      <c r="R144" s="40">
        <f t="shared" si="27"/>
        <v>5.2488000000000001</v>
      </c>
    </row>
    <row r="145" spans="5:19" ht="14" x14ac:dyDescent="0.25">
      <c r="E145" s="2" t="s">
        <v>21</v>
      </c>
      <c r="F145" s="41">
        <v>32.5</v>
      </c>
      <c r="G145" s="98">
        <v>8.5</v>
      </c>
      <c r="H145" s="71">
        <f t="shared" si="23"/>
        <v>4.25</v>
      </c>
      <c r="I145" s="71">
        <f t="shared" si="24"/>
        <v>28.25</v>
      </c>
      <c r="J145" s="45">
        <f t="shared" si="21"/>
        <v>1.75</v>
      </c>
      <c r="K145" s="45">
        <v>24</v>
      </c>
      <c r="L145" s="72">
        <f t="shared" si="25"/>
        <v>1.5</v>
      </c>
      <c r="M145" s="72">
        <f t="shared" si="26"/>
        <v>-1.1499999999999986</v>
      </c>
      <c r="N145" s="8">
        <f t="shared" si="22"/>
        <v>2.1000000000000014</v>
      </c>
      <c r="O145" s="8">
        <v>3.75</v>
      </c>
      <c r="P145" s="8">
        <v>1.296</v>
      </c>
      <c r="Q145" s="8">
        <f>31*16</f>
        <v>496</v>
      </c>
      <c r="R145" s="40">
        <f t="shared" si="27"/>
        <v>5.0621760000000027</v>
      </c>
    </row>
    <row r="146" spans="5:19" ht="14" x14ac:dyDescent="0.25">
      <c r="E146" s="2" t="s">
        <v>22</v>
      </c>
      <c r="F146" s="41">
        <v>32.200000000000003</v>
      </c>
      <c r="G146" s="98">
        <v>7.8</v>
      </c>
      <c r="H146" s="71">
        <f t="shared" si="23"/>
        <v>3.9</v>
      </c>
      <c r="I146" s="71">
        <f t="shared" si="24"/>
        <v>28.300000000000004</v>
      </c>
      <c r="J146" s="45">
        <f t="shared" si="21"/>
        <v>1.75</v>
      </c>
      <c r="K146" s="45">
        <v>24</v>
      </c>
      <c r="L146" s="72">
        <f t="shared" si="25"/>
        <v>1.5</v>
      </c>
      <c r="M146" s="72">
        <f t="shared" si="26"/>
        <v>-1.0999999999999943</v>
      </c>
      <c r="N146" s="8">
        <f t="shared" si="22"/>
        <v>2.1500000000000057</v>
      </c>
      <c r="O146" s="8">
        <v>3.75</v>
      </c>
      <c r="P146" s="8">
        <v>1.296</v>
      </c>
      <c r="Q146" s="8">
        <f>30*16</f>
        <v>480</v>
      </c>
      <c r="R146" s="40">
        <f t="shared" si="27"/>
        <v>5.0155200000000129</v>
      </c>
    </row>
    <row r="147" spans="5:19" ht="14" x14ac:dyDescent="0.25">
      <c r="E147" s="2" t="s">
        <v>23</v>
      </c>
      <c r="F147" s="41">
        <v>32.1</v>
      </c>
      <c r="G147" s="98">
        <v>7.3</v>
      </c>
      <c r="H147" s="71">
        <f t="shared" si="23"/>
        <v>3.65</v>
      </c>
      <c r="I147" s="71">
        <f t="shared" si="24"/>
        <v>28.450000000000003</v>
      </c>
      <c r="J147" s="45">
        <f t="shared" si="21"/>
        <v>1.75</v>
      </c>
      <c r="K147" s="45">
        <v>24</v>
      </c>
      <c r="L147" s="72">
        <f t="shared" si="25"/>
        <v>1.5</v>
      </c>
      <c r="M147" s="72">
        <f t="shared" si="26"/>
        <v>-0.94999999999999574</v>
      </c>
      <c r="N147" s="8">
        <f t="shared" si="22"/>
        <v>2.3000000000000043</v>
      </c>
      <c r="O147" s="8">
        <v>3.75</v>
      </c>
      <c r="P147" s="8">
        <v>1.296</v>
      </c>
      <c r="Q147" s="8">
        <f>31*16</f>
        <v>496</v>
      </c>
      <c r="R147" s="108">
        <f t="shared" si="27"/>
        <v>5.5442880000000105</v>
      </c>
      <c r="S147" s="109"/>
    </row>
    <row r="148" spans="5:19" ht="15" x14ac:dyDescent="0.25">
      <c r="E148" s="417" t="s">
        <v>60</v>
      </c>
      <c r="F148" s="418"/>
      <c r="G148" s="418"/>
      <c r="H148" s="418"/>
      <c r="I148" s="418"/>
      <c r="J148" s="418"/>
      <c r="K148" s="418"/>
      <c r="L148" s="418"/>
      <c r="M148" s="418"/>
      <c r="N148" s="418"/>
      <c r="O148" s="418"/>
      <c r="P148" s="418"/>
      <c r="Q148" s="419"/>
      <c r="R148" s="107">
        <f>SUM(R136:R147)</f>
        <v>63.067248000000077</v>
      </c>
      <c r="S148" s="105"/>
    </row>
    <row r="149" spans="5:19" ht="15" x14ac:dyDescent="0.4">
      <c r="E149" s="413" t="s">
        <v>73</v>
      </c>
      <c r="F149" s="414"/>
      <c r="G149" s="414"/>
      <c r="H149" s="414"/>
      <c r="I149" s="414"/>
      <c r="J149" s="414"/>
      <c r="K149" s="414"/>
      <c r="L149" s="414"/>
      <c r="M149" s="414"/>
      <c r="N149" s="414"/>
      <c r="O149" s="414"/>
      <c r="P149" s="414"/>
      <c r="Q149" s="414"/>
      <c r="R149" s="414"/>
      <c r="S149" s="104"/>
    </row>
    <row r="150" spans="5:19" ht="14" x14ac:dyDescent="0.25">
      <c r="E150" s="2" t="s">
        <v>15</v>
      </c>
      <c r="F150" s="71">
        <v>31.6</v>
      </c>
      <c r="G150" s="71">
        <v>6.8</v>
      </c>
      <c r="H150" s="41">
        <f>G150/2</f>
        <v>3.4</v>
      </c>
      <c r="I150" s="71">
        <f>F150-H150</f>
        <v>28.200000000000003</v>
      </c>
      <c r="J150" s="8">
        <f t="shared" ref="J150:J161" si="28">C$124</f>
        <v>1.75</v>
      </c>
      <c r="K150" s="8">
        <v>25</v>
      </c>
      <c r="L150" s="8">
        <f>25.5-K150</f>
        <v>0.5</v>
      </c>
      <c r="M150" s="8">
        <f t="shared" ref="M150:M161" si="29">I150-29.4</f>
        <v>-1.1999999999999957</v>
      </c>
      <c r="N150" s="8">
        <f t="shared" ref="N150:N161" si="30">J150+L150+M150</f>
        <v>1.0500000000000043</v>
      </c>
      <c r="O150" s="8">
        <v>3.75</v>
      </c>
      <c r="P150" s="8">
        <v>1.296</v>
      </c>
      <c r="Q150" s="8">
        <f>31*16</f>
        <v>496</v>
      </c>
      <c r="R150" s="108">
        <f t="shared" ref="R150:R161" si="31">(N150*O150*P150*Q150)/1000</f>
        <v>2.5310880000000107</v>
      </c>
      <c r="S150" s="109"/>
    </row>
    <row r="151" spans="5:19" ht="14" x14ac:dyDescent="0.25">
      <c r="E151" s="2" t="s">
        <v>16</v>
      </c>
      <c r="F151" s="71">
        <v>31.7</v>
      </c>
      <c r="G151" s="71">
        <v>7.1</v>
      </c>
      <c r="H151" s="41">
        <f t="shared" ref="H151:H161" si="32">G151/2</f>
        <v>3.55</v>
      </c>
      <c r="I151" s="71">
        <f t="shared" ref="I151:I161" si="33">F151-H151</f>
        <v>28.15</v>
      </c>
      <c r="J151" s="8">
        <f t="shared" si="28"/>
        <v>1.75</v>
      </c>
      <c r="K151" s="8">
        <v>25</v>
      </c>
      <c r="L151" s="8">
        <f t="shared" ref="L151:L161" si="34">25.5-K151</f>
        <v>0.5</v>
      </c>
      <c r="M151" s="8">
        <f t="shared" si="29"/>
        <v>-1.25</v>
      </c>
      <c r="N151" s="8">
        <f t="shared" si="30"/>
        <v>1</v>
      </c>
      <c r="O151" s="8">
        <v>3.75</v>
      </c>
      <c r="P151" s="8">
        <v>1.296</v>
      </c>
      <c r="Q151" s="8">
        <f>28*16</f>
        <v>448</v>
      </c>
      <c r="R151" s="108">
        <f t="shared" si="31"/>
        <v>2.1772800000000001</v>
      </c>
      <c r="S151" s="109"/>
    </row>
    <row r="152" spans="5:19" ht="14" x14ac:dyDescent="0.25">
      <c r="E152" s="2" t="s">
        <v>17</v>
      </c>
      <c r="F152" s="71">
        <v>32.200000000000003</v>
      </c>
      <c r="G152" s="71">
        <v>7.3</v>
      </c>
      <c r="H152" s="41">
        <f t="shared" si="32"/>
        <v>3.65</v>
      </c>
      <c r="I152" s="71">
        <f t="shared" si="33"/>
        <v>28.550000000000004</v>
      </c>
      <c r="J152" s="8">
        <f t="shared" si="28"/>
        <v>1.75</v>
      </c>
      <c r="K152" s="8">
        <v>25</v>
      </c>
      <c r="L152" s="8">
        <f t="shared" si="34"/>
        <v>0.5</v>
      </c>
      <c r="M152" s="8">
        <f t="shared" si="29"/>
        <v>-0.84999999999999432</v>
      </c>
      <c r="N152" s="8">
        <f t="shared" si="30"/>
        <v>1.4000000000000057</v>
      </c>
      <c r="O152" s="8">
        <v>3.75</v>
      </c>
      <c r="P152" s="8">
        <v>1.296</v>
      </c>
      <c r="Q152" s="8">
        <f>31*16</f>
        <v>496</v>
      </c>
      <c r="R152" s="108">
        <f t="shared" si="31"/>
        <v>3.3747840000000138</v>
      </c>
      <c r="S152" s="109"/>
    </row>
    <row r="153" spans="5:19" ht="14" x14ac:dyDescent="0.25">
      <c r="E153" s="2" t="s">
        <v>18</v>
      </c>
      <c r="F153" s="71">
        <v>32.200000000000003</v>
      </c>
      <c r="G153" s="71">
        <v>7.3</v>
      </c>
      <c r="H153" s="41">
        <f t="shared" si="32"/>
        <v>3.65</v>
      </c>
      <c r="I153" s="71">
        <f t="shared" si="33"/>
        <v>28.550000000000004</v>
      </c>
      <c r="J153" s="8">
        <f t="shared" si="28"/>
        <v>1.75</v>
      </c>
      <c r="K153" s="8">
        <v>25</v>
      </c>
      <c r="L153" s="8">
        <f t="shared" si="34"/>
        <v>0.5</v>
      </c>
      <c r="M153" s="8">
        <f t="shared" si="29"/>
        <v>-0.84999999999999432</v>
      </c>
      <c r="N153" s="8">
        <f t="shared" si="30"/>
        <v>1.4000000000000057</v>
      </c>
      <c r="O153" s="8">
        <v>3.75</v>
      </c>
      <c r="P153" s="8">
        <v>1.296</v>
      </c>
      <c r="Q153" s="8">
        <f>30*16</f>
        <v>480</v>
      </c>
      <c r="R153" s="108">
        <f t="shared" si="31"/>
        <v>3.2659200000000133</v>
      </c>
      <c r="S153" s="109"/>
    </row>
    <row r="154" spans="5:19" ht="14" x14ac:dyDescent="0.25">
      <c r="E154" s="2" t="s">
        <v>12</v>
      </c>
      <c r="F154" s="71">
        <v>32.4</v>
      </c>
      <c r="G154" s="71">
        <v>7.7</v>
      </c>
      <c r="H154" s="41">
        <f t="shared" si="32"/>
        <v>3.85</v>
      </c>
      <c r="I154" s="71">
        <f t="shared" si="33"/>
        <v>28.549999999999997</v>
      </c>
      <c r="J154" s="8">
        <f t="shared" si="28"/>
        <v>1.75</v>
      </c>
      <c r="K154" s="8">
        <v>25</v>
      </c>
      <c r="L154" s="8">
        <f t="shared" si="34"/>
        <v>0.5</v>
      </c>
      <c r="M154" s="8">
        <f t="shared" si="29"/>
        <v>-0.85000000000000142</v>
      </c>
      <c r="N154" s="8">
        <f t="shared" si="30"/>
        <v>1.3999999999999986</v>
      </c>
      <c r="O154" s="8">
        <v>3.75</v>
      </c>
      <c r="P154" s="8">
        <v>1.296</v>
      </c>
      <c r="Q154" s="8">
        <f>31*16</f>
        <v>496</v>
      </c>
      <c r="R154" s="108">
        <f t="shared" si="31"/>
        <v>3.3747839999999965</v>
      </c>
      <c r="S154" s="109"/>
    </row>
    <row r="155" spans="5:19" ht="14" x14ac:dyDescent="0.25">
      <c r="E155" s="2" t="s">
        <v>13</v>
      </c>
      <c r="F155" s="71">
        <v>32.200000000000003</v>
      </c>
      <c r="G155" s="71">
        <v>7.5</v>
      </c>
      <c r="H155" s="41">
        <f t="shared" si="32"/>
        <v>3.75</v>
      </c>
      <c r="I155" s="71">
        <f t="shared" si="33"/>
        <v>28.450000000000003</v>
      </c>
      <c r="J155" s="8">
        <f t="shared" si="28"/>
        <v>1.75</v>
      </c>
      <c r="K155" s="8">
        <v>25</v>
      </c>
      <c r="L155" s="8">
        <f t="shared" si="34"/>
        <v>0.5</v>
      </c>
      <c r="M155" s="8">
        <f t="shared" si="29"/>
        <v>-0.94999999999999574</v>
      </c>
      <c r="N155" s="8">
        <f t="shared" si="30"/>
        <v>1.3000000000000043</v>
      </c>
      <c r="O155" s="8">
        <v>3.75</v>
      </c>
      <c r="P155" s="8">
        <v>1.296</v>
      </c>
      <c r="Q155" s="8">
        <f>30*16</f>
        <v>480</v>
      </c>
      <c r="R155" s="108">
        <f t="shared" si="31"/>
        <v>3.03264000000001</v>
      </c>
      <c r="S155" s="109"/>
    </row>
    <row r="156" spans="5:19" ht="14" x14ac:dyDescent="0.25">
      <c r="E156" s="2" t="s">
        <v>24</v>
      </c>
      <c r="F156" s="41">
        <v>32.1</v>
      </c>
      <c r="G156" s="98">
        <v>7.8</v>
      </c>
      <c r="H156" s="41">
        <f t="shared" si="32"/>
        <v>3.9</v>
      </c>
      <c r="I156" s="71">
        <f t="shared" si="33"/>
        <v>28.200000000000003</v>
      </c>
      <c r="J156" s="8">
        <f t="shared" si="28"/>
        <v>1.75</v>
      </c>
      <c r="K156" s="8">
        <v>25</v>
      </c>
      <c r="L156" s="8">
        <f t="shared" si="34"/>
        <v>0.5</v>
      </c>
      <c r="M156" s="8">
        <f t="shared" si="29"/>
        <v>-1.1999999999999957</v>
      </c>
      <c r="N156" s="8">
        <f t="shared" si="30"/>
        <v>1.0500000000000043</v>
      </c>
      <c r="O156" s="8">
        <v>3.75</v>
      </c>
      <c r="P156" s="8">
        <v>1.296</v>
      </c>
      <c r="Q156" s="8">
        <f>31*16</f>
        <v>496</v>
      </c>
      <c r="R156" s="108">
        <f t="shared" si="31"/>
        <v>2.5310880000000107</v>
      </c>
      <c r="S156" s="109"/>
    </row>
    <row r="157" spans="5:19" ht="14" x14ac:dyDescent="0.25">
      <c r="E157" s="2" t="s">
        <v>19</v>
      </c>
      <c r="F157" s="41">
        <v>32.5</v>
      </c>
      <c r="G157" s="98">
        <v>8.1999999999999993</v>
      </c>
      <c r="H157" s="41">
        <f t="shared" si="32"/>
        <v>4.0999999999999996</v>
      </c>
      <c r="I157" s="71">
        <f t="shared" si="33"/>
        <v>28.4</v>
      </c>
      <c r="J157" s="8">
        <f t="shared" si="28"/>
        <v>1.75</v>
      </c>
      <c r="K157" s="8">
        <v>25</v>
      </c>
      <c r="L157" s="8">
        <f t="shared" si="34"/>
        <v>0.5</v>
      </c>
      <c r="M157" s="8">
        <f t="shared" si="29"/>
        <v>-1</v>
      </c>
      <c r="N157" s="8">
        <f t="shared" si="30"/>
        <v>1.25</v>
      </c>
      <c r="O157" s="8">
        <v>3.75</v>
      </c>
      <c r="P157" s="8">
        <v>1.296</v>
      </c>
      <c r="Q157" s="8">
        <f>31*16</f>
        <v>496</v>
      </c>
      <c r="R157" s="108">
        <f t="shared" si="31"/>
        <v>3.0132000000000003</v>
      </c>
      <c r="S157" s="109"/>
    </row>
    <row r="158" spans="5:19" ht="14" x14ac:dyDescent="0.25">
      <c r="E158" s="2" t="s">
        <v>20</v>
      </c>
      <c r="F158" s="41">
        <v>32.799999999999997</v>
      </c>
      <c r="G158" s="98">
        <v>8.8000000000000007</v>
      </c>
      <c r="H158" s="41">
        <f t="shared" si="32"/>
        <v>4.4000000000000004</v>
      </c>
      <c r="I158" s="71">
        <f t="shared" si="33"/>
        <v>28.4</v>
      </c>
      <c r="J158" s="8">
        <f t="shared" si="28"/>
        <v>1.75</v>
      </c>
      <c r="K158" s="8">
        <v>25</v>
      </c>
      <c r="L158" s="8">
        <f t="shared" si="34"/>
        <v>0.5</v>
      </c>
      <c r="M158" s="8">
        <f t="shared" si="29"/>
        <v>-1</v>
      </c>
      <c r="N158" s="8">
        <f t="shared" si="30"/>
        <v>1.25</v>
      </c>
      <c r="O158" s="8">
        <v>3.75</v>
      </c>
      <c r="P158" s="8">
        <v>1.296</v>
      </c>
      <c r="Q158" s="8">
        <f>30*16</f>
        <v>480</v>
      </c>
      <c r="R158" s="108">
        <f t="shared" si="31"/>
        <v>2.9159999999999999</v>
      </c>
      <c r="S158" s="109"/>
    </row>
    <row r="159" spans="5:19" ht="14" x14ac:dyDescent="0.25">
      <c r="E159" s="2" t="s">
        <v>21</v>
      </c>
      <c r="F159" s="41">
        <v>32.5</v>
      </c>
      <c r="G159" s="98">
        <v>8.5</v>
      </c>
      <c r="H159" s="41">
        <f t="shared" si="32"/>
        <v>4.25</v>
      </c>
      <c r="I159" s="71">
        <f t="shared" si="33"/>
        <v>28.25</v>
      </c>
      <c r="J159" s="8">
        <f t="shared" si="28"/>
        <v>1.75</v>
      </c>
      <c r="K159" s="8">
        <v>25</v>
      </c>
      <c r="L159" s="8">
        <f t="shared" si="34"/>
        <v>0.5</v>
      </c>
      <c r="M159" s="8">
        <f t="shared" si="29"/>
        <v>-1.1499999999999986</v>
      </c>
      <c r="N159" s="8">
        <f t="shared" si="30"/>
        <v>1.1000000000000014</v>
      </c>
      <c r="O159" s="8">
        <v>3.75</v>
      </c>
      <c r="P159" s="8">
        <v>1.296</v>
      </c>
      <c r="Q159" s="8">
        <f>31*16</f>
        <v>496</v>
      </c>
      <c r="R159" s="108">
        <f t="shared" si="31"/>
        <v>2.6516160000000037</v>
      </c>
      <c r="S159" s="109"/>
    </row>
    <row r="160" spans="5:19" ht="14" x14ac:dyDescent="0.25">
      <c r="E160" s="2" t="s">
        <v>22</v>
      </c>
      <c r="F160" s="41">
        <v>32.200000000000003</v>
      </c>
      <c r="G160" s="98">
        <v>7.8</v>
      </c>
      <c r="H160" s="41">
        <f t="shared" si="32"/>
        <v>3.9</v>
      </c>
      <c r="I160" s="71">
        <f t="shared" si="33"/>
        <v>28.300000000000004</v>
      </c>
      <c r="J160" s="8">
        <f t="shared" si="28"/>
        <v>1.75</v>
      </c>
      <c r="K160" s="8">
        <v>25</v>
      </c>
      <c r="L160" s="8">
        <f t="shared" si="34"/>
        <v>0.5</v>
      </c>
      <c r="M160" s="8">
        <f t="shared" si="29"/>
        <v>-1.0999999999999943</v>
      </c>
      <c r="N160" s="8">
        <f t="shared" si="30"/>
        <v>1.1500000000000057</v>
      </c>
      <c r="O160" s="8">
        <v>3.75</v>
      </c>
      <c r="P160" s="8">
        <v>1.296</v>
      </c>
      <c r="Q160" s="8">
        <f>30*16</f>
        <v>480</v>
      </c>
      <c r="R160" s="108">
        <f t="shared" si="31"/>
        <v>2.6827200000000135</v>
      </c>
      <c r="S160" s="109"/>
    </row>
    <row r="161" spans="5:19" ht="14" x14ac:dyDescent="0.25">
      <c r="E161" s="2" t="s">
        <v>23</v>
      </c>
      <c r="F161" s="41">
        <v>32.1</v>
      </c>
      <c r="G161" s="98">
        <v>7.3</v>
      </c>
      <c r="H161" s="41">
        <f t="shared" si="32"/>
        <v>3.65</v>
      </c>
      <c r="I161" s="71">
        <f t="shared" si="33"/>
        <v>28.450000000000003</v>
      </c>
      <c r="J161" s="8">
        <f t="shared" si="28"/>
        <v>1.75</v>
      </c>
      <c r="K161" s="8">
        <v>25</v>
      </c>
      <c r="L161" s="8">
        <f t="shared" si="34"/>
        <v>0.5</v>
      </c>
      <c r="M161" s="8">
        <f t="shared" si="29"/>
        <v>-0.94999999999999574</v>
      </c>
      <c r="N161" s="8">
        <f t="shared" si="30"/>
        <v>1.3000000000000043</v>
      </c>
      <c r="O161" s="8">
        <v>3.75</v>
      </c>
      <c r="P161" s="8">
        <v>1.296</v>
      </c>
      <c r="Q161" s="8">
        <f>31*16</f>
        <v>496</v>
      </c>
      <c r="R161" s="108">
        <f t="shared" si="31"/>
        <v>3.1337280000000107</v>
      </c>
      <c r="S161" s="109"/>
    </row>
    <row r="162" spans="5:19" ht="15" x14ac:dyDescent="0.25">
      <c r="E162" s="417" t="s">
        <v>61</v>
      </c>
      <c r="F162" s="418"/>
      <c r="G162" s="418"/>
      <c r="H162" s="418"/>
      <c r="I162" s="418"/>
      <c r="J162" s="418"/>
      <c r="K162" s="418"/>
      <c r="L162" s="418"/>
      <c r="M162" s="418"/>
      <c r="N162" s="418"/>
      <c r="O162" s="418"/>
      <c r="P162" s="418"/>
      <c r="Q162" s="419"/>
      <c r="R162" s="107">
        <f>SUM(R150:R161)</f>
        <v>34.684848000000088</v>
      </c>
      <c r="S162" s="105"/>
    </row>
    <row r="163" spans="5:19" ht="15" x14ac:dyDescent="0.4">
      <c r="E163" s="413" t="s">
        <v>74</v>
      </c>
      <c r="F163" s="414"/>
      <c r="G163" s="414"/>
      <c r="H163" s="414"/>
      <c r="I163" s="414"/>
      <c r="J163" s="414"/>
      <c r="K163" s="414"/>
      <c r="L163" s="414"/>
      <c r="M163" s="414"/>
      <c r="N163" s="414"/>
      <c r="O163" s="414"/>
      <c r="P163" s="414"/>
      <c r="Q163" s="414"/>
      <c r="R163" s="414"/>
      <c r="S163" s="104"/>
    </row>
    <row r="164" spans="5:19" ht="14" x14ac:dyDescent="0.25">
      <c r="E164" s="2" t="s">
        <v>15</v>
      </c>
      <c r="F164" s="71">
        <v>31.6</v>
      </c>
      <c r="G164" s="71">
        <v>6.8</v>
      </c>
      <c r="H164" s="41">
        <f>G164/2</f>
        <v>3.4</v>
      </c>
      <c r="I164" s="71">
        <f>F164-H164</f>
        <v>28.200000000000003</v>
      </c>
      <c r="J164" s="5">
        <f t="shared" ref="J164:J175" si="35">C$124</f>
        <v>1.75</v>
      </c>
      <c r="K164" s="5">
        <v>26</v>
      </c>
      <c r="L164" s="5">
        <f>25.5-K164</f>
        <v>-0.5</v>
      </c>
      <c r="M164" s="8">
        <f t="shared" ref="M164:M175" si="36">I164-29.4</f>
        <v>-1.1999999999999957</v>
      </c>
      <c r="N164" s="8">
        <f t="shared" ref="N164:N175" si="37">J164+L164+M164</f>
        <v>5.0000000000004263E-2</v>
      </c>
      <c r="O164" s="8">
        <v>3.75</v>
      </c>
      <c r="P164" s="8">
        <v>1.296</v>
      </c>
      <c r="Q164" s="8">
        <f>31*16</f>
        <v>496</v>
      </c>
      <c r="R164" s="108">
        <f t="shared" ref="R164:R175" si="38">(N164*O164*P164*Q164)/1000</f>
        <v>0.12052800000001028</v>
      </c>
      <c r="S164" s="109"/>
    </row>
    <row r="165" spans="5:19" ht="14" x14ac:dyDescent="0.25">
      <c r="E165" s="2" t="s">
        <v>16</v>
      </c>
      <c r="F165" s="71">
        <v>31.7</v>
      </c>
      <c r="G165" s="71">
        <v>7.1</v>
      </c>
      <c r="H165" s="41">
        <f t="shared" ref="H165:H175" si="39">G165/2</f>
        <v>3.55</v>
      </c>
      <c r="I165" s="71">
        <f t="shared" ref="I165:I175" si="40">F165-H165</f>
        <v>28.15</v>
      </c>
      <c r="J165" s="5">
        <f t="shared" si="35"/>
        <v>1.75</v>
      </c>
      <c r="K165" s="5">
        <v>26</v>
      </c>
      <c r="L165" s="5">
        <f t="shared" ref="L165:L175" si="41">25.5-K165</f>
        <v>-0.5</v>
      </c>
      <c r="M165" s="8">
        <f t="shared" si="36"/>
        <v>-1.25</v>
      </c>
      <c r="N165" s="8">
        <f t="shared" si="37"/>
        <v>0</v>
      </c>
      <c r="O165" s="8">
        <v>3.75</v>
      </c>
      <c r="P165" s="8">
        <v>1.296</v>
      </c>
      <c r="Q165" s="8">
        <f>28*16</f>
        <v>448</v>
      </c>
      <c r="R165" s="108">
        <f t="shared" si="38"/>
        <v>0</v>
      </c>
      <c r="S165" s="109"/>
    </row>
    <row r="166" spans="5:19" ht="14" x14ac:dyDescent="0.25">
      <c r="E166" s="2" t="s">
        <v>17</v>
      </c>
      <c r="F166" s="71">
        <v>32.200000000000003</v>
      </c>
      <c r="G166" s="71">
        <v>7.3</v>
      </c>
      <c r="H166" s="41">
        <f t="shared" si="39"/>
        <v>3.65</v>
      </c>
      <c r="I166" s="71">
        <f t="shared" si="40"/>
        <v>28.550000000000004</v>
      </c>
      <c r="J166" s="5">
        <f t="shared" si="35"/>
        <v>1.75</v>
      </c>
      <c r="K166" s="5">
        <v>26</v>
      </c>
      <c r="L166" s="5">
        <f t="shared" si="41"/>
        <v>-0.5</v>
      </c>
      <c r="M166" s="8">
        <f t="shared" si="36"/>
        <v>-0.84999999999999432</v>
      </c>
      <c r="N166" s="8">
        <f t="shared" si="37"/>
        <v>0.40000000000000568</v>
      </c>
      <c r="O166" s="8">
        <v>3.75</v>
      </c>
      <c r="P166" s="8">
        <v>1.296</v>
      </c>
      <c r="Q166" s="8">
        <f>31*16</f>
        <v>496</v>
      </c>
      <c r="R166" s="108">
        <f t="shared" si="38"/>
        <v>0.96422400000001374</v>
      </c>
      <c r="S166" s="109"/>
    </row>
    <row r="167" spans="5:19" ht="14" x14ac:dyDescent="0.25">
      <c r="E167" s="2" t="s">
        <v>18</v>
      </c>
      <c r="F167" s="71">
        <v>32.200000000000003</v>
      </c>
      <c r="G167" s="71">
        <v>7.3</v>
      </c>
      <c r="H167" s="41">
        <f t="shared" si="39"/>
        <v>3.65</v>
      </c>
      <c r="I167" s="71">
        <f t="shared" si="40"/>
        <v>28.550000000000004</v>
      </c>
      <c r="J167" s="5">
        <f t="shared" si="35"/>
        <v>1.75</v>
      </c>
      <c r="K167" s="5">
        <v>26</v>
      </c>
      <c r="L167" s="5">
        <f t="shared" si="41"/>
        <v>-0.5</v>
      </c>
      <c r="M167" s="8">
        <f t="shared" si="36"/>
        <v>-0.84999999999999432</v>
      </c>
      <c r="N167" s="8">
        <f t="shared" si="37"/>
        <v>0.40000000000000568</v>
      </c>
      <c r="O167" s="8">
        <v>3.75</v>
      </c>
      <c r="P167" s="8">
        <v>1.296</v>
      </c>
      <c r="Q167" s="8">
        <f>30*16</f>
        <v>480</v>
      </c>
      <c r="R167" s="108">
        <f t="shared" si="38"/>
        <v>0.93312000000001327</v>
      </c>
      <c r="S167" s="109"/>
    </row>
    <row r="168" spans="5:19" ht="14" x14ac:dyDescent="0.25">
      <c r="E168" s="2" t="s">
        <v>12</v>
      </c>
      <c r="F168" s="71">
        <v>32.4</v>
      </c>
      <c r="G168" s="71">
        <v>7.7</v>
      </c>
      <c r="H168" s="41">
        <f t="shared" si="39"/>
        <v>3.85</v>
      </c>
      <c r="I168" s="71">
        <f t="shared" si="40"/>
        <v>28.549999999999997</v>
      </c>
      <c r="J168" s="5">
        <f t="shared" si="35"/>
        <v>1.75</v>
      </c>
      <c r="K168" s="5">
        <v>26</v>
      </c>
      <c r="L168" s="5">
        <f t="shared" si="41"/>
        <v>-0.5</v>
      </c>
      <c r="M168" s="8">
        <f t="shared" si="36"/>
        <v>-0.85000000000000142</v>
      </c>
      <c r="N168" s="8">
        <f t="shared" si="37"/>
        <v>0.39999999999999858</v>
      </c>
      <c r="O168" s="8">
        <v>3.75</v>
      </c>
      <c r="P168" s="8">
        <v>1.296</v>
      </c>
      <c r="Q168" s="8">
        <f>31*16</f>
        <v>496</v>
      </c>
      <c r="R168" s="108">
        <f t="shared" si="38"/>
        <v>0.96422399999999653</v>
      </c>
      <c r="S168" s="109"/>
    </row>
    <row r="169" spans="5:19" ht="14" x14ac:dyDescent="0.25">
      <c r="E169" s="2" t="s">
        <v>13</v>
      </c>
      <c r="F169" s="71">
        <v>32.200000000000003</v>
      </c>
      <c r="G169" s="71">
        <v>7.5</v>
      </c>
      <c r="H169" s="41">
        <f t="shared" si="39"/>
        <v>3.75</v>
      </c>
      <c r="I169" s="71">
        <f t="shared" si="40"/>
        <v>28.450000000000003</v>
      </c>
      <c r="J169" s="5">
        <f t="shared" si="35"/>
        <v>1.75</v>
      </c>
      <c r="K169" s="5">
        <v>26</v>
      </c>
      <c r="L169" s="5">
        <f t="shared" si="41"/>
        <v>-0.5</v>
      </c>
      <c r="M169" s="8">
        <f t="shared" si="36"/>
        <v>-0.94999999999999574</v>
      </c>
      <c r="N169" s="8">
        <f t="shared" si="37"/>
        <v>0.30000000000000426</v>
      </c>
      <c r="O169" s="8">
        <v>3.75</v>
      </c>
      <c r="P169" s="8">
        <v>1.296</v>
      </c>
      <c r="Q169" s="8">
        <f>30*16</f>
        <v>480</v>
      </c>
      <c r="R169" s="108">
        <f t="shared" si="38"/>
        <v>0.69984000000001001</v>
      </c>
      <c r="S169" s="109"/>
    </row>
    <row r="170" spans="5:19" ht="14" x14ac:dyDescent="0.25">
      <c r="E170" s="2" t="s">
        <v>24</v>
      </c>
      <c r="F170" s="41">
        <v>32.1</v>
      </c>
      <c r="G170" s="98">
        <v>7.8</v>
      </c>
      <c r="H170" s="41">
        <f t="shared" si="39"/>
        <v>3.9</v>
      </c>
      <c r="I170" s="71">
        <f t="shared" si="40"/>
        <v>28.200000000000003</v>
      </c>
      <c r="J170" s="5">
        <f t="shared" si="35"/>
        <v>1.75</v>
      </c>
      <c r="K170" s="5">
        <v>26</v>
      </c>
      <c r="L170" s="5">
        <f t="shared" si="41"/>
        <v>-0.5</v>
      </c>
      <c r="M170" s="8">
        <f t="shared" si="36"/>
        <v>-1.1999999999999957</v>
      </c>
      <c r="N170" s="8">
        <f t="shared" si="37"/>
        <v>5.0000000000004263E-2</v>
      </c>
      <c r="O170" s="8">
        <v>3.75</v>
      </c>
      <c r="P170" s="8">
        <v>1.296</v>
      </c>
      <c r="Q170" s="8">
        <f>31*16</f>
        <v>496</v>
      </c>
      <c r="R170" s="108">
        <f t="shared" si="38"/>
        <v>0.12052800000001028</v>
      </c>
      <c r="S170" s="109"/>
    </row>
    <row r="171" spans="5:19" ht="14" x14ac:dyDescent="0.25">
      <c r="E171" s="2" t="s">
        <v>19</v>
      </c>
      <c r="F171" s="41">
        <v>32.5</v>
      </c>
      <c r="G171" s="98">
        <v>8.1999999999999993</v>
      </c>
      <c r="H171" s="41">
        <f t="shared" si="39"/>
        <v>4.0999999999999996</v>
      </c>
      <c r="I171" s="71">
        <f t="shared" si="40"/>
        <v>28.4</v>
      </c>
      <c r="J171" s="5">
        <f t="shared" si="35"/>
        <v>1.75</v>
      </c>
      <c r="K171" s="5">
        <v>26</v>
      </c>
      <c r="L171" s="5">
        <f t="shared" si="41"/>
        <v>-0.5</v>
      </c>
      <c r="M171" s="8">
        <f t="shared" si="36"/>
        <v>-1</v>
      </c>
      <c r="N171" s="8">
        <f t="shared" si="37"/>
        <v>0.25</v>
      </c>
      <c r="O171" s="8">
        <v>3.75</v>
      </c>
      <c r="P171" s="8">
        <v>1.296</v>
      </c>
      <c r="Q171" s="8">
        <f>31*16</f>
        <v>496</v>
      </c>
      <c r="R171" s="108">
        <f t="shared" si="38"/>
        <v>0.60263999999999995</v>
      </c>
      <c r="S171" s="109"/>
    </row>
    <row r="172" spans="5:19" ht="14" x14ac:dyDescent="0.25">
      <c r="E172" s="2" t="s">
        <v>20</v>
      </c>
      <c r="F172" s="41">
        <v>32.799999999999997</v>
      </c>
      <c r="G172" s="98">
        <v>8.8000000000000007</v>
      </c>
      <c r="H172" s="41">
        <f t="shared" si="39"/>
        <v>4.4000000000000004</v>
      </c>
      <c r="I172" s="71">
        <f t="shared" si="40"/>
        <v>28.4</v>
      </c>
      <c r="J172" s="5">
        <f t="shared" si="35"/>
        <v>1.75</v>
      </c>
      <c r="K172" s="5">
        <v>26</v>
      </c>
      <c r="L172" s="5">
        <f t="shared" si="41"/>
        <v>-0.5</v>
      </c>
      <c r="M172" s="8">
        <f t="shared" si="36"/>
        <v>-1</v>
      </c>
      <c r="N172" s="8">
        <f t="shared" si="37"/>
        <v>0.25</v>
      </c>
      <c r="O172" s="8">
        <v>3.75</v>
      </c>
      <c r="P172" s="8">
        <v>1.296</v>
      </c>
      <c r="Q172" s="8">
        <f>30*16</f>
        <v>480</v>
      </c>
      <c r="R172" s="108">
        <f t="shared" si="38"/>
        <v>0.58320000000000005</v>
      </c>
      <c r="S172" s="109"/>
    </row>
    <row r="173" spans="5:19" ht="14" x14ac:dyDescent="0.25">
      <c r="E173" s="2" t="s">
        <v>21</v>
      </c>
      <c r="F173" s="41">
        <v>32.5</v>
      </c>
      <c r="G173" s="98">
        <v>8.5</v>
      </c>
      <c r="H173" s="41">
        <f t="shared" si="39"/>
        <v>4.25</v>
      </c>
      <c r="I173" s="71">
        <f t="shared" si="40"/>
        <v>28.25</v>
      </c>
      <c r="J173" s="5">
        <f t="shared" si="35"/>
        <v>1.75</v>
      </c>
      <c r="K173" s="5">
        <v>26</v>
      </c>
      <c r="L173" s="5">
        <f t="shared" si="41"/>
        <v>-0.5</v>
      </c>
      <c r="M173" s="8">
        <f t="shared" si="36"/>
        <v>-1.1499999999999986</v>
      </c>
      <c r="N173" s="8">
        <f t="shared" si="37"/>
        <v>0.10000000000000142</v>
      </c>
      <c r="O173" s="8">
        <v>3.75</v>
      </c>
      <c r="P173" s="8">
        <v>1.296</v>
      </c>
      <c r="Q173" s="8">
        <f>31*16</f>
        <v>496</v>
      </c>
      <c r="R173" s="108">
        <f t="shared" si="38"/>
        <v>0.24105600000000343</v>
      </c>
      <c r="S173" s="109"/>
    </row>
    <row r="174" spans="5:19" ht="14" x14ac:dyDescent="0.25">
      <c r="E174" s="2" t="s">
        <v>22</v>
      </c>
      <c r="F174" s="41">
        <v>32.200000000000003</v>
      </c>
      <c r="G174" s="98">
        <v>7.8</v>
      </c>
      <c r="H174" s="41">
        <f t="shared" si="39"/>
        <v>3.9</v>
      </c>
      <c r="I174" s="71">
        <f t="shared" si="40"/>
        <v>28.300000000000004</v>
      </c>
      <c r="J174" s="5">
        <f t="shared" si="35"/>
        <v>1.75</v>
      </c>
      <c r="K174" s="5">
        <v>26</v>
      </c>
      <c r="L174" s="5">
        <f t="shared" si="41"/>
        <v>-0.5</v>
      </c>
      <c r="M174" s="8">
        <f t="shared" si="36"/>
        <v>-1.0999999999999943</v>
      </c>
      <c r="N174" s="8">
        <f t="shared" si="37"/>
        <v>0.15000000000000568</v>
      </c>
      <c r="O174" s="8">
        <v>3.75</v>
      </c>
      <c r="P174" s="8">
        <v>1.296</v>
      </c>
      <c r="Q174" s="8">
        <f>30*16</f>
        <v>480</v>
      </c>
      <c r="R174" s="108">
        <f t="shared" si="38"/>
        <v>0.34992000000001328</v>
      </c>
      <c r="S174" s="109"/>
    </row>
    <row r="175" spans="5:19" ht="14" x14ac:dyDescent="0.25">
      <c r="E175" s="2" t="s">
        <v>23</v>
      </c>
      <c r="F175" s="41">
        <v>32.1</v>
      </c>
      <c r="G175" s="98">
        <v>7.3</v>
      </c>
      <c r="H175" s="41">
        <f t="shared" si="39"/>
        <v>3.65</v>
      </c>
      <c r="I175" s="71">
        <f t="shared" si="40"/>
        <v>28.450000000000003</v>
      </c>
      <c r="J175" s="5">
        <f t="shared" si="35"/>
        <v>1.75</v>
      </c>
      <c r="K175" s="5">
        <v>26</v>
      </c>
      <c r="L175" s="5">
        <f t="shared" si="41"/>
        <v>-0.5</v>
      </c>
      <c r="M175" s="8">
        <f t="shared" si="36"/>
        <v>-0.94999999999999574</v>
      </c>
      <c r="N175" s="8">
        <f t="shared" si="37"/>
        <v>0.30000000000000426</v>
      </c>
      <c r="O175" s="8">
        <v>3.75</v>
      </c>
      <c r="P175" s="8">
        <v>1.296</v>
      </c>
      <c r="Q175" s="8">
        <f>31*16</f>
        <v>496</v>
      </c>
      <c r="R175" s="108">
        <f t="shared" si="38"/>
        <v>0.72316800000001036</v>
      </c>
      <c r="S175" s="109"/>
    </row>
    <row r="176" spans="5:19" ht="15" x14ac:dyDescent="0.25">
      <c r="E176" s="417" t="s">
        <v>61</v>
      </c>
      <c r="F176" s="418"/>
      <c r="G176" s="418"/>
      <c r="H176" s="418"/>
      <c r="I176" s="418"/>
      <c r="J176" s="418"/>
      <c r="K176" s="418"/>
      <c r="L176" s="418"/>
      <c r="M176" s="418"/>
      <c r="N176" s="418"/>
      <c r="O176" s="418"/>
      <c r="P176" s="418"/>
      <c r="Q176" s="419"/>
      <c r="R176" s="107">
        <f>SUM(R164:R175)</f>
        <v>6.30244800000008</v>
      </c>
      <c r="S176" s="105"/>
    </row>
    <row r="177" spans="5:19" ht="15" x14ac:dyDescent="0.4">
      <c r="E177" s="413" t="s">
        <v>75</v>
      </c>
      <c r="F177" s="414"/>
      <c r="G177" s="414"/>
      <c r="H177" s="414"/>
      <c r="I177" s="414"/>
      <c r="J177" s="414"/>
      <c r="K177" s="414"/>
      <c r="L177" s="414"/>
      <c r="M177" s="414"/>
      <c r="N177" s="414"/>
      <c r="O177" s="414"/>
      <c r="P177" s="414"/>
      <c r="Q177" s="414"/>
      <c r="R177" s="414"/>
      <c r="S177" s="104"/>
    </row>
    <row r="178" spans="5:19" ht="14" x14ac:dyDescent="0.25">
      <c r="E178" s="2" t="s">
        <v>15</v>
      </c>
      <c r="F178" s="71">
        <v>31.6</v>
      </c>
      <c r="G178" s="71">
        <v>6.8</v>
      </c>
      <c r="H178" s="41">
        <f>G178/2</f>
        <v>3.4</v>
      </c>
      <c r="I178" s="71">
        <f>F178-H178</f>
        <v>28.200000000000003</v>
      </c>
      <c r="J178" s="5">
        <f t="shared" ref="J178:J189" si="42">C$124</f>
        <v>1.75</v>
      </c>
      <c r="K178" s="5">
        <v>27</v>
      </c>
      <c r="L178" s="5">
        <f>25.5-K178</f>
        <v>-1.5</v>
      </c>
      <c r="M178" s="8">
        <f t="shared" ref="M178:M189" si="43">I178-29.4</f>
        <v>-1.1999999999999957</v>
      </c>
      <c r="N178" s="8">
        <f t="shared" ref="N178:N189" si="44">J178+L178+M178</f>
        <v>-0.94999999999999574</v>
      </c>
      <c r="O178" s="8">
        <v>3.75</v>
      </c>
      <c r="P178" s="8">
        <v>1.296</v>
      </c>
      <c r="Q178" s="8">
        <f>31*16</f>
        <v>496</v>
      </c>
      <c r="R178" s="108">
        <f t="shared" ref="R178:R189" si="45">(N178*O178*P178*Q178)/1000</f>
        <v>-2.2900319999999899</v>
      </c>
      <c r="S178" s="109"/>
    </row>
    <row r="179" spans="5:19" ht="14" x14ac:dyDescent="0.25">
      <c r="E179" s="2" t="s">
        <v>16</v>
      </c>
      <c r="F179" s="71">
        <v>31.7</v>
      </c>
      <c r="G179" s="71">
        <v>7.1</v>
      </c>
      <c r="H179" s="41">
        <f t="shared" ref="H179:H189" si="46">G179/2</f>
        <v>3.55</v>
      </c>
      <c r="I179" s="71">
        <f t="shared" ref="I179:I189" si="47">F179-H179</f>
        <v>28.15</v>
      </c>
      <c r="J179" s="5">
        <f t="shared" si="42"/>
        <v>1.75</v>
      </c>
      <c r="K179" s="5">
        <v>27</v>
      </c>
      <c r="L179" s="5">
        <f t="shared" ref="L179:L189" si="48">25.5-K179</f>
        <v>-1.5</v>
      </c>
      <c r="M179" s="8">
        <f t="shared" si="43"/>
        <v>-1.25</v>
      </c>
      <c r="N179" s="8">
        <f t="shared" si="44"/>
        <v>-1</v>
      </c>
      <c r="O179" s="8">
        <v>3.75</v>
      </c>
      <c r="P179" s="8">
        <v>1.296</v>
      </c>
      <c r="Q179" s="8">
        <f>28*16</f>
        <v>448</v>
      </c>
      <c r="R179" s="108">
        <f t="shared" si="45"/>
        <v>-2.1772800000000001</v>
      </c>
      <c r="S179" s="109"/>
    </row>
    <row r="180" spans="5:19" ht="14" x14ac:dyDescent="0.25">
      <c r="E180" s="2" t="s">
        <v>17</v>
      </c>
      <c r="F180" s="71">
        <v>32.200000000000003</v>
      </c>
      <c r="G180" s="71">
        <v>7.3</v>
      </c>
      <c r="H180" s="41">
        <f t="shared" si="46"/>
        <v>3.65</v>
      </c>
      <c r="I180" s="71">
        <f t="shared" si="47"/>
        <v>28.550000000000004</v>
      </c>
      <c r="J180" s="5">
        <f t="shared" si="42"/>
        <v>1.75</v>
      </c>
      <c r="K180" s="5">
        <v>27</v>
      </c>
      <c r="L180" s="5">
        <f t="shared" si="48"/>
        <v>-1.5</v>
      </c>
      <c r="M180" s="8">
        <f t="shared" si="43"/>
        <v>-0.84999999999999432</v>
      </c>
      <c r="N180" s="8">
        <f t="shared" si="44"/>
        <v>-0.59999999999999432</v>
      </c>
      <c r="O180" s="8">
        <v>3.75</v>
      </c>
      <c r="P180" s="8">
        <v>1.296</v>
      </c>
      <c r="Q180" s="8">
        <f>31*16</f>
        <v>496</v>
      </c>
      <c r="R180" s="108">
        <f t="shared" si="45"/>
        <v>-1.4463359999999863</v>
      </c>
      <c r="S180" s="109"/>
    </row>
    <row r="181" spans="5:19" ht="14" x14ac:dyDescent="0.25">
      <c r="E181" s="2" t="s">
        <v>18</v>
      </c>
      <c r="F181" s="71">
        <v>32.200000000000003</v>
      </c>
      <c r="G181" s="71">
        <v>7.3</v>
      </c>
      <c r="H181" s="41">
        <f t="shared" si="46"/>
        <v>3.65</v>
      </c>
      <c r="I181" s="71">
        <f t="shared" si="47"/>
        <v>28.550000000000004</v>
      </c>
      <c r="J181" s="5">
        <f t="shared" si="42"/>
        <v>1.75</v>
      </c>
      <c r="K181" s="5">
        <v>27</v>
      </c>
      <c r="L181" s="5">
        <f t="shared" si="48"/>
        <v>-1.5</v>
      </c>
      <c r="M181" s="8">
        <f t="shared" si="43"/>
        <v>-0.84999999999999432</v>
      </c>
      <c r="N181" s="8">
        <f t="shared" si="44"/>
        <v>-0.59999999999999432</v>
      </c>
      <c r="O181" s="8">
        <v>3.75</v>
      </c>
      <c r="P181" s="8">
        <v>1.296</v>
      </c>
      <c r="Q181" s="8">
        <f>30*16</f>
        <v>480</v>
      </c>
      <c r="R181" s="108">
        <f t="shared" si="45"/>
        <v>-1.3996799999999867</v>
      </c>
      <c r="S181" s="109"/>
    </row>
    <row r="182" spans="5:19" ht="14" x14ac:dyDescent="0.25">
      <c r="E182" s="2" t="s">
        <v>12</v>
      </c>
      <c r="F182" s="71">
        <v>32.4</v>
      </c>
      <c r="G182" s="71">
        <v>7.7</v>
      </c>
      <c r="H182" s="41">
        <f t="shared" si="46"/>
        <v>3.85</v>
      </c>
      <c r="I182" s="71">
        <f t="shared" si="47"/>
        <v>28.549999999999997</v>
      </c>
      <c r="J182" s="5">
        <f t="shared" si="42"/>
        <v>1.75</v>
      </c>
      <c r="K182" s="5">
        <v>27</v>
      </c>
      <c r="L182" s="5">
        <f t="shared" si="48"/>
        <v>-1.5</v>
      </c>
      <c r="M182" s="8">
        <f t="shared" si="43"/>
        <v>-0.85000000000000142</v>
      </c>
      <c r="N182" s="8">
        <f t="shared" si="44"/>
        <v>-0.60000000000000142</v>
      </c>
      <c r="O182" s="8">
        <v>3.75</v>
      </c>
      <c r="P182" s="8">
        <v>1.296</v>
      </c>
      <c r="Q182" s="8">
        <f>31*16</f>
        <v>496</v>
      </c>
      <c r="R182" s="108">
        <f t="shared" si="45"/>
        <v>-1.4463360000000034</v>
      </c>
      <c r="S182" s="109"/>
    </row>
    <row r="183" spans="5:19" ht="14" x14ac:dyDescent="0.25">
      <c r="E183" s="2" t="s">
        <v>13</v>
      </c>
      <c r="F183" s="71">
        <v>32.200000000000003</v>
      </c>
      <c r="G183" s="71">
        <v>7.5</v>
      </c>
      <c r="H183" s="41">
        <f t="shared" si="46"/>
        <v>3.75</v>
      </c>
      <c r="I183" s="71">
        <f t="shared" si="47"/>
        <v>28.450000000000003</v>
      </c>
      <c r="J183" s="5">
        <f t="shared" si="42"/>
        <v>1.75</v>
      </c>
      <c r="K183" s="5">
        <v>27</v>
      </c>
      <c r="L183" s="5">
        <f t="shared" si="48"/>
        <v>-1.5</v>
      </c>
      <c r="M183" s="8">
        <f t="shared" si="43"/>
        <v>-0.94999999999999574</v>
      </c>
      <c r="N183" s="8">
        <f t="shared" si="44"/>
        <v>-0.69999999999999574</v>
      </c>
      <c r="O183" s="8">
        <v>3.75</v>
      </c>
      <c r="P183" s="8">
        <v>1.296</v>
      </c>
      <c r="Q183" s="8">
        <f>30*16</f>
        <v>480</v>
      </c>
      <c r="R183" s="108">
        <f t="shared" si="45"/>
        <v>-1.63295999999999</v>
      </c>
      <c r="S183" s="109"/>
    </row>
    <row r="184" spans="5:19" ht="14" x14ac:dyDescent="0.25">
      <c r="E184" s="2" t="s">
        <v>24</v>
      </c>
      <c r="F184" s="41">
        <v>32.1</v>
      </c>
      <c r="G184" s="98">
        <v>7.8</v>
      </c>
      <c r="H184" s="41">
        <f t="shared" si="46"/>
        <v>3.9</v>
      </c>
      <c r="I184" s="71">
        <f t="shared" si="47"/>
        <v>28.200000000000003</v>
      </c>
      <c r="J184" s="5">
        <f t="shared" si="42"/>
        <v>1.75</v>
      </c>
      <c r="K184" s="5">
        <v>27</v>
      </c>
      <c r="L184" s="5">
        <f t="shared" si="48"/>
        <v>-1.5</v>
      </c>
      <c r="M184" s="8">
        <f t="shared" si="43"/>
        <v>-1.1999999999999957</v>
      </c>
      <c r="N184" s="8">
        <f t="shared" si="44"/>
        <v>-0.94999999999999574</v>
      </c>
      <c r="O184" s="8">
        <v>3.75</v>
      </c>
      <c r="P184" s="8">
        <v>1.296</v>
      </c>
      <c r="Q184" s="8">
        <f>31*16</f>
        <v>496</v>
      </c>
      <c r="R184" s="108">
        <f t="shared" si="45"/>
        <v>-2.2900319999999899</v>
      </c>
      <c r="S184" s="109"/>
    </row>
    <row r="185" spans="5:19" ht="14" x14ac:dyDescent="0.25">
      <c r="E185" s="2" t="s">
        <v>19</v>
      </c>
      <c r="F185" s="41">
        <v>32.5</v>
      </c>
      <c r="G185" s="98">
        <v>8.1999999999999993</v>
      </c>
      <c r="H185" s="41">
        <f t="shared" si="46"/>
        <v>4.0999999999999996</v>
      </c>
      <c r="I185" s="71">
        <f t="shared" si="47"/>
        <v>28.4</v>
      </c>
      <c r="J185" s="5">
        <f t="shared" si="42"/>
        <v>1.75</v>
      </c>
      <c r="K185" s="5">
        <v>27</v>
      </c>
      <c r="L185" s="5">
        <f t="shared" si="48"/>
        <v>-1.5</v>
      </c>
      <c r="M185" s="8">
        <f t="shared" si="43"/>
        <v>-1</v>
      </c>
      <c r="N185" s="8">
        <f t="shared" si="44"/>
        <v>-0.75</v>
      </c>
      <c r="O185" s="8">
        <v>3.75</v>
      </c>
      <c r="P185" s="8">
        <v>1.296</v>
      </c>
      <c r="Q185" s="8">
        <f>31*16</f>
        <v>496</v>
      </c>
      <c r="R185" s="108">
        <f t="shared" si="45"/>
        <v>-1.80792</v>
      </c>
      <c r="S185" s="109"/>
    </row>
    <row r="186" spans="5:19" ht="14" x14ac:dyDescent="0.25">
      <c r="E186" s="2" t="s">
        <v>20</v>
      </c>
      <c r="F186" s="41">
        <v>32.799999999999997</v>
      </c>
      <c r="G186" s="98">
        <v>8.8000000000000007</v>
      </c>
      <c r="H186" s="41">
        <f t="shared" si="46"/>
        <v>4.4000000000000004</v>
      </c>
      <c r="I186" s="71">
        <f t="shared" si="47"/>
        <v>28.4</v>
      </c>
      <c r="J186" s="5">
        <f t="shared" si="42"/>
        <v>1.75</v>
      </c>
      <c r="K186" s="5">
        <v>27</v>
      </c>
      <c r="L186" s="5">
        <f t="shared" si="48"/>
        <v>-1.5</v>
      </c>
      <c r="M186" s="8">
        <f t="shared" si="43"/>
        <v>-1</v>
      </c>
      <c r="N186" s="8">
        <f t="shared" si="44"/>
        <v>-0.75</v>
      </c>
      <c r="O186" s="8">
        <v>3.75</v>
      </c>
      <c r="P186" s="8">
        <v>1.296</v>
      </c>
      <c r="Q186" s="8">
        <f>30*16</f>
        <v>480</v>
      </c>
      <c r="R186" s="108">
        <f t="shared" si="45"/>
        <v>-1.7495999999999998</v>
      </c>
      <c r="S186" s="109"/>
    </row>
    <row r="187" spans="5:19" ht="14" x14ac:dyDescent="0.25">
      <c r="E187" s="2" t="s">
        <v>21</v>
      </c>
      <c r="F187" s="41">
        <v>32.5</v>
      </c>
      <c r="G187" s="98">
        <v>8.5</v>
      </c>
      <c r="H187" s="41">
        <f t="shared" si="46"/>
        <v>4.25</v>
      </c>
      <c r="I187" s="71">
        <f t="shared" si="47"/>
        <v>28.25</v>
      </c>
      <c r="J187" s="5">
        <f t="shared" si="42"/>
        <v>1.75</v>
      </c>
      <c r="K187" s="5">
        <v>27</v>
      </c>
      <c r="L187" s="5">
        <f t="shared" si="48"/>
        <v>-1.5</v>
      </c>
      <c r="M187" s="8">
        <f t="shared" si="43"/>
        <v>-1.1499999999999986</v>
      </c>
      <c r="N187" s="8">
        <f t="shared" si="44"/>
        <v>-0.89999999999999858</v>
      </c>
      <c r="O187" s="8">
        <v>3.75</v>
      </c>
      <c r="P187" s="8">
        <v>1.296</v>
      </c>
      <c r="Q187" s="8">
        <f>31*16</f>
        <v>496</v>
      </c>
      <c r="R187" s="108">
        <f t="shared" si="45"/>
        <v>-2.1695039999999968</v>
      </c>
      <c r="S187" s="109"/>
    </row>
    <row r="188" spans="5:19" ht="14" x14ac:dyDescent="0.25">
      <c r="E188" s="2" t="s">
        <v>22</v>
      </c>
      <c r="F188" s="41">
        <v>32.200000000000003</v>
      </c>
      <c r="G188" s="98">
        <v>7.8</v>
      </c>
      <c r="H188" s="41">
        <f t="shared" si="46"/>
        <v>3.9</v>
      </c>
      <c r="I188" s="71">
        <f t="shared" si="47"/>
        <v>28.300000000000004</v>
      </c>
      <c r="J188" s="5">
        <f t="shared" si="42"/>
        <v>1.75</v>
      </c>
      <c r="K188" s="5">
        <v>27</v>
      </c>
      <c r="L188" s="5">
        <f t="shared" si="48"/>
        <v>-1.5</v>
      </c>
      <c r="M188" s="8">
        <f t="shared" si="43"/>
        <v>-1.0999999999999943</v>
      </c>
      <c r="N188" s="8">
        <f t="shared" si="44"/>
        <v>-0.84999999999999432</v>
      </c>
      <c r="O188" s="8">
        <v>3.75</v>
      </c>
      <c r="P188" s="8">
        <v>1.296</v>
      </c>
      <c r="Q188" s="8">
        <f>30*16</f>
        <v>480</v>
      </c>
      <c r="R188" s="108">
        <f t="shared" si="45"/>
        <v>-1.9828799999999869</v>
      </c>
      <c r="S188" s="109"/>
    </row>
    <row r="189" spans="5:19" ht="14" x14ac:dyDescent="0.25">
      <c r="E189" s="2" t="s">
        <v>23</v>
      </c>
      <c r="F189" s="41">
        <v>32.1</v>
      </c>
      <c r="G189" s="98">
        <v>7.3</v>
      </c>
      <c r="H189" s="41">
        <f t="shared" si="46"/>
        <v>3.65</v>
      </c>
      <c r="I189" s="71">
        <f t="shared" si="47"/>
        <v>28.450000000000003</v>
      </c>
      <c r="J189" s="5">
        <f t="shared" si="42"/>
        <v>1.75</v>
      </c>
      <c r="K189" s="5">
        <v>27</v>
      </c>
      <c r="L189" s="5">
        <f t="shared" si="48"/>
        <v>-1.5</v>
      </c>
      <c r="M189" s="8">
        <f t="shared" si="43"/>
        <v>-0.94999999999999574</v>
      </c>
      <c r="N189" s="8">
        <f t="shared" si="44"/>
        <v>-0.69999999999999574</v>
      </c>
      <c r="O189" s="8">
        <v>3.75</v>
      </c>
      <c r="P189" s="8">
        <v>1.296</v>
      </c>
      <c r="Q189" s="8">
        <f>31*16</f>
        <v>496</v>
      </c>
      <c r="R189" s="108">
        <f t="shared" si="45"/>
        <v>-1.6873919999999898</v>
      </c>
      <c r="S189" s="109"/>
    </row>
    <row r="190" spans="5:19" ht="15" x14ac:dyDescent="0.25">
      <c r="E190" s="417" t="s">
        <v>61</v>
      </c>
      <c r="F190" s="418"/>
      <c r="G190" s="418"/>
      <c r="H190" s="418"/>
      <c r="I190" s="418"/>
      <c r="J190" s="418"/>
      <c r="K190" s="418"/>
      <c r="L190" s="418"/>
      <c r="M190" s="418"/>
      <c r="N190" s="418"/>
      <c r="O190" s="418"/>
      <c r="P190" s="418"/>
      <c r="Q190" s="419"/>
      <c r="R190" s="107">
        <f>SUM(R178:R189)</f>
        <v>-22.079951999999917</v>
      </c>
      <c r="S190" s="105"/>
    </row>
    <row r="191" spans="5:19" ht="15" x14ac:dyDescent="0.4">
      <c r="E191" s="413" t="s">
        <v>76</v>
      </c>
      <c r="F191" s="414"/>
      <c r="G191" s="414"/>
      <c r="H191" s="414"/>
      <c r="I191" s="414"/>
      <c r="J191" s="414"/>
      <c r="K191" s="414"/>
      <c r="L191" s="414"/>
      <c r="M191" s="414"/>
      <c r="N191" s="414"/>
      <c r="O191" s="414"/>
      <c r="P191" s="414"/>
      <c r="Q191" s="414"/>
      <c r="R191" s="414"/>
      <c r="S191" s="104"/>
    </row>
    <row r="192" spans="5:19" ht="14" x14ac:dyDescent="0.25">
      <c r="E192" s="2" t="s">
        <v>15</v>
      </c>
      <c r="F192" s="71">
        <v>31.6</v>
      </c>
      <c r="G192" s="71">
        <v>6.8</v>
      </c>
      <c r="H192" s="41">
        <f>G192/2</f>
        <v>3.4</v>
      </c>
      <c r="I192" s="71">
        <f>F192-H192</f>
        <v>28.200000000000003</v>
      </c>
      <c r="J192" s="5">
        <f t="shared" ref="J192:J203" si="49">C$124</f>
        <v>1.75</v>
      </c>
      <c r="K192" s="5">
        <v>28</v>
      </c>
      <c r="L192" s="5">
        <f>25.5-K192</f>
        <v>-2.5</v>
      </c>
      <c r="M192" s="8">
        <f t="shared" ref="M192:M203" si="50">I192-29.4</f>
        <v>-1.1999999999999957</v>
      </c>
      <c r="N192" s="8">
        <f t="shared" ref="N192:N203" si="51">J192+L192+M192</f>
        <v>-1.9499999999999957</v>
      </c>
      <c r="O192" s="8">
        <v>3.75</v>
      </c>
      <c r="P192" s="8">
        <v>1.296</v>
      </c>
      <c r="Q192" s="8">
        <f>31*16</f>
        <v>496</v>
      </c>
      <c r="R192" s="108">
        <f t="shared" ref="R192:R203" si="52">(N192*O192*P192*Q192)/1000</f>
        <v>-4.7005919999999897</v>
      </c>
      <c r="S192" s="109"/>
    </row>
    <row r="193" spans="5:19" ht="14" x14ac:dyDescent="0.25">
      <c r="E193" s="2" t="s">
        <v>16</v>
      </c>
      <c r="F193" s="71">
        <v>31.7</v>
      </c>
      <c r="G193" s="71">
        <v>7.1</v>
      </c>
      <c r="H193" s="41">
        <f t="shared" ref="H193:H203" si="53">G193/2</f>
        <v>3.55</v>
      </c>
      <c r="I193" s="71">
        <f t="shared" ref="I193:I203" si="54">F193-H193</f>
        <v>28.15</v>
      </c>
      <c r="J193" s="5">
        <f t="shared" si="49"/>
        <v>1.75</v>
      </c>
      <c r="K193" s="5">
        <v>28</v>
      </c>
      <c r="L193" s="5">
        <f t="shared" ref="L193:L203" si="55">25.5-K193</f>
        <v>-2.5</v>
      </c>
      <c r="M193" s="8">
        <f t="shared" si="50"/>
        <v>-1.25</v>
      </c>
      <c r="N193" s="8">
        <f t="shared" si="51"/>
        <v>-2</v>
      </c>
      <c r="O193" s="8">
        <v>3.75</v>
      </c>
      <c r="P193" s="8">
        <v>1.296</v>
      </c>
      <c r="Q193" s="8">
        <f>28*16</f>
        <v>448</v>
      </c>
      <c r="R193" s="108">
        <f t="shared" si="52"/>
        <v>-4.3545600000000002</v>
      </c>
      <c r="S193" s="109"/>
    </row>
    <row r="194" spans="5:19" ht="14" x14ac:dyDescent="0.25">
      <c r="E194" s="2" t="s">
        <v>17</v>
      </c>
      <c r="F194" s="71">
        <v>32.200000000000003</v>
      </c>
      <c r="G194" s="71">
        <v>7.3</v>
      </c>
      <c r="H194" s="41">
        <f t="shared" si="53"/>
        <v>3.65</v>
      </c>
      <c r="I194" s="71">
        <f t="shared" si="54"/>
        <v>28.550000000000004</v>
      </c>
      <c r="J194" s="5">
        <f t="shared" si="49"/>
        <v>1.75</v>
      </c>
      <c r="K194" s="5">
        <v>28</v>
      </c>
      <c r="L194" s="5">
        <f t="shared" si="55"/>
        <v>-2.5</v>
      </c>
      <c r="M194" s="8">
        <f t="shared" si="50"/>
        <v>-0.84999999999999432</v>
      </c>
      <c r="N194" s="8">
        <f t="shared" si="51"/>
        <v>-1.5999999999999943</v>
      </c>
      <c r="O194" s="8">
        <v>3.75</v>
      </c>
      <c r="P194" s="8">
        <v>1.296</v>
      </c>
      <c r="Q194" s="8">
        <f>31*16</f>
        <v>496</v>
      </c>
      <c r="R194" s="108">
        <f t="shared" si="52"/>
        <v>-3.8568959999999861</v>
      </c>
      <c r="S194" s="109"/>
    </row>
    <row r="195" spans="5:19" ht="14" x14ac:dyDescent="0.25">
      <c r="E195" s="2" t="s">
        <v>18</v>
      </c>
      <c r="F195" s="71">
        <v>32.200000000000003</v>
      </c>
      <c r="G195" s="71">
        <v>7.3</v>
      </c>
      <c r="H195" s="41">
        <f t="shared" si="53"/>
        <v>3.65</v>
      </c>
      <c r="I195" s="71">
        <f t="shared" si="54"/>
        <v>28.550000000000004</v>
      </c>
      <c r="J195" s="5">
        <f t="shared" si="49"/>
        <v>1.75</v>
      </c>
      <c r="K195" s="5">
        <v>28</v>
      </c>
      <c r="L195" s="5">
        <f t="shared" si="55"/>
        <v>-2.5</v>
      </c>
      <c r="M195" s="8">
        <f t="shared" si="50"/>
        <v>-0.84999999999999432</v>
      </c>
      <c r="N195" s="8">
        <f t="shared" si="51"/>
        <v>-1.5999999999999943</v>
      </c>
      <c r="O195" s="8">
        <v>3.75</v>
      </c>
      <c r="P195" s="8">
        <v>1.296</v>
      </c>
      <c r="Q195" s="8">
        <f>30*16</f>
        <v>480</v>
      </c>
      <c r="R195" s="108">
        <f t="shared" si="52"/>
        <v>-3.7324799999999869</v>
      </c>
      <c r="S195" s="109"/>
    </row>
    <row r="196" spans="5:19" ht="14" x14ac:dyDescent="0.25">
      <c r="E196" s="2" t="s">
        <v>12</v>
      </c>
      <c r="F196" s="71">
        <v>32.4</v>
      </c>
      <c r="G196" s="71">
        <v>7.7</v>
      </c>
      <c r="H196" s="41">
        <f t="shared" si="53"/>
        <v>3.85</v>
      </c>
      <c r="I196" s="71">
        <f t="shared" si="54"/>
        <v>28.549999999999997</v>
      </c>
      <c r="J196" s="5">
        <f t="shared" si="49"/>
        <v>1.75</v>
      </c>
      <c r="K196" s="5">
        <v>28</v>
      </c>
      <c r="L196" s="5">
        <f t="shared" si="55"/>
        <v>-2.5</v>
      </c>
      <c r="M196" s="8">
        <f t="shared" si="50"/>
        <v>-0.85000000000000142</v>
      </c>
      <c r="N196" s="8">
        <f t="shared" si="51"/>
        <v>-1.6000000000000014</v>
      </c>
      <c r="O196" s="8">
        <v>3.75</v>
      </c>
      <c r="P196" s="8">
        <v>1.296</v>
      </c>
      <c r="Q196" s="8">
        <f>31*16</f>
        <v>496</v>
      </c>
      <c r="R196" s="108">
        <f t="shared" si="52"/>
        <v>-3.8568960000000034</v>
      </c>
      <c r="S196" s="109"/>
    </row>
    <row r="197" spans="5:19" ht="14" x14ac:dyDescent="0.25">
      <c r="E197" s="2" t="s">
        <v>13</v>
      </c>
      <c r="F197" s="71">
        <v>32.200000000000003</v>
      </c>
      <c r="G197" s="71">
        <v>7.5</v>
      </c>
      <c r="H197" s="41">
        <f t="shared" si="53"/>
        <v>3.75</v>
      </c>
      <c r="I197" s="71">
        <f t="shared" si="54"/>
        <v>28.450000000000003</v>
      </c>
      <c r="J197" s="5">
        <f t="shared" si="49"/>
        <v>1.75</v>
      </c>
      <c r="K197" s="5">
        <v>28</v>
      </c>
      <c r="L197" s="5">
        <f t="shared" si="55"/>
        <v>-2.5</v>
      </c>
      <c r="M197" s="8">
        <f t="shared" si="50"/>
        <v>-0.94999999999999574</v>
      </c>
      <c r="N197" s="8">
        <f t="shared" si="51"/>
        <v>-1.6999999999999957</v>
      </c>
      <c r="O197" s="8">
        <v>3.75</v>
      </c>
      <c r="P197" s="8">
        <v>1.296</v>
      </c>
      <c r="Q197" s="8">
        <f>30*16</f>
        <v>480</v>
      </c>
      <c r="R197" s="108">
        <f t="shared" si="52"/>
        <v>-3.9657599999999902</v>
      </c>
      <c r="S197" s="109"/>
    </row>
    <row r="198" spans="5:19" ht="14" x14ac:dyDescent="0.25">
      <c r="E198" s="2" t="s">
        <v>24</v>
      </c>
      <c r="F198" s="41">
        <v>32.1</v>
      </c>
      <c r="G198" s="98">
        <v>7.8</v>
      </c>
      <c r="H198" s="41">
        <f t="shared" si="53"/>
        <v>3.9</v>
      </c>
      <c r="I198" s="71">
        <f t="shared" si="54"/>
        <v>28.200000000000003</v>
      </c>
      <c r="J198" s="5">
        <f t="shared" si="49"/>
        <v>1.75</v>
      </c>
      <c r="K198" s="5">
        <v>28</v>
      </c>
      <c r="L198" s="5">
        <f t="shared" si="55"/>
        <v>-2.5</v>
      </c>
      <c r="M198" s="8">
        <f t="shared" si="50"/>
        <v>-1.1999999999999957</v>
      </c>
      <c r="N198" s="8">
        <f t="shared" si="51"/>
        <v>-1.9499999999999957</v>
      </c>
      <c r="O198" s="8">
        <v>3.75</v>
      </c>
      <c r="P198" s="8">
        <v>1.296</v>
      </c>
      <c r="Q198" s="8">
        <f>31*16</f>
        <v>496</v>
      </c>
      <c r="R198" s="108">
        <f t="shared" si="52"/>
        <v>-4.7005919999999897</v>
      </c>
      <c r="S198" s="109"/>
    </row>
    <row r="199" spans="5:19" ht="14" x14ac:dyDescent="0.25">
      <c r="E199" s="2" t="s">
        <v>19</v>
      </c>
      <c r="F199" s="41">
        <v>32.5</v>
      </c>
      <c r="G199" s="98">
        <v>8.1999999999999993</v>
      </c>
      <c r="H199" s="41">
        <f t="shared" si="53"/>
        <v>4.0999999999999996</v>
      </c>
      <c r="I199" s="71">
        <f t="shared" si="54"/>
        <v>28.4</v>
      </c>
      <c r="J199" s="5">
        <f t="shared" si="49"/>
        <v>1.75</v>
      </c>
      <c r="K199" s="5">
        <v>28</v>
      </c>
      <c r="L199" s="5">
        <f t="shared" si="55"/>
        <v>-2.5</v>
      </c>
      <c r="M199" s="8">
        <f t="shared" si="50"/>
        <v>-1</v>
      </c>
      <c r="N199" s="8">
        <f t="shared" si="51"/>
        <v>-1.75</v>
      </c>
      <c r="O199" s="8">
        <v>3.75</v>
      </c>
      <c r="P199" s="8">
        <v>1.296</v>
      </c>
      <c r="Q199" s="8">
        <f>31*16</f>
        <v>496</v>
      </c>
      <c r="R199" s="108">
        <f t="shared" si="52"/>
        <v>-4.2184800000000005</v>
      </c>
      <c r="S199" s="109"/>
    </row>
    <row r="200" spans="5:19" ht="14" x14ac:dyDescent="0.25">
      <c r="E200" s="2" t="s">
        <v>20</v>
      </c>
      <c r="F200" s="41">
        <v>32.799999999999997</v>
      </c>
      <c r="G200" s="98">
        <v>8.8000000000000007</v>
      </c>
      <c r="H200" s="41">
        <f t="shared" si="53"/>
        <v>4.4000000000000004</v>
      </c>
      <c r="I200" s="71">
        <f t="shared" si="54"/>
        <v>28.4</v>
      </c>
      <c r="J200" s="5">
        <f t="shared" si="49"/>
        <v>1.75</v>
      </c>
      <c r="K200" s="5">
        <v>28</v>
      </c>
      <c r="L200" s="5">
        <f t="shared" si="55"/>
        <v>-2.5</v>
      </c>
      <c r="M200" s="8">
        <f t="shared" si="50"/>
        <v>-1</v>
      </c>
      <c r="N200" s="8">
        <f t="shared" si="51"/>
        <v>-1.75</v>
      </c>
      <c r="O200" s="8">
        <v>3.75</v>
      </c>
      <c r="P200" s="8">
        <v>1.296</v>
      </c>
      <c r="Q200" s="8">
        <f>30*16</f>
        <v>480</v>
      </c>
      <c r="R200" s="108">
        <f t="shared" si="52"/>
        <v>-4.0824000000000007</v>
      </c>
      <c r="S200" s="109"/>
    </row>
    <row r="201" spans="5:19" ht="14" x14ac:dyDescent="0.25">
      <c r="E201" s="2" t="s">
        <v>21</v>
      </c>
      <c r="F201" s="41">
        <v>32.5</v>
      </c>
      <c r="G201" s="98">
        <v>8.5</v>
      </c>
      <c r="H201" s="41">
        <f t="shared" si="53"/>
        <v>4.25</v>
      </c>
      <c r="I201" s="71">
        <f t="shared" si="54"/>
        <v>28.25</v>
      </c>
      <c r="J201" s="5">
        <f t="shared" si="49"/>
        <v>1.75</v>
      </c>
      <c r="K201" s="5">
        <v>28</v>
      </c>
      <c r="L201" s="5">
        <f t="shared" si="55"/>
        <v>-2.5</v>
      </c>
      <c r="M201" s="8">
        <f t="shared" si="50"/>
        <v>-1.1499999999999986</v>
      </c>
      <c r="N201" s="8">
        <f t="shared" si="51"/>
        <v>-1.8999999999999986</v>
      </c>
      <c r="O201" s="8">
        <v>3.75</v>
      </c>
      <c r="P201" s="8">
        <v>1.296</v>
      </c>
      <c r="Q201" s="8">
        <f>31*16</f>
        <v>496</v>
      </c>
      <c r="R201" s="108">
        <f t="shared" si="52"/>
        <v>-4.5800639999999966</v>
      </c>
      <c r="S201" s="109"/>
    </row>
    <row r="202" spans="5:19" ht="14" x14ac:dyDescent="0.25">
      <c r="E202" s="2" t="s">
        <v>22</v>
      </c>
      <c r="F202" s="41">
        <v>32.200000000000003</v>
      </c>
      <c r="G202" s="98">
        <v>7.8</v>
      </c>
      <c r="H202" s="41">
        <f t="shared" si="53"/>
        <v>3.9</v>
      </c>
      <c r="I202" s="71">
        <f t="shared" si="54"/>
        <v>28.300000000000004</v>
      </c>
      <c r="J202" s="5">
        <f t="shared" si="49"/>
        <v>1.75</v>
      </c>
      <c r="K202" s="5">
        <v>28</v>
      </c>
      <c r="L202" s="5">
        <f t="shared" si="55"/>
        <v>-2.5</v>
      </c>
      <c r="M202" s="8">
        <f t="shared" si="50"/>
        <v>-1.0999999999999943</v>
      </c>
      <c r="N202" s="8">
        <f t="shared" si="51"/>
        <v>-1.8499999999999943</v>
      </c>
      <c r="O202" s="8">
        <v>3.75</v>
      </c>
      <c r="P202" s="8">
        <v>1.296</v>
      </c>
      <c r="Q202" s="8">
        <f>30*16</f>
        <v>480</v>
      </c>
      <c r="R202" s="108">
        <f t="shared" si="52"/>
        <v>-4.3156799999999871</v>
      </c>
      <c r="S202" s="109"/>
    </row>
    <row r="203" spans="5:19" ht="14" x14ac:dyDescent="0.25">
      <c r="E203" s="2" t="s">
        <v>23</v>
      </c>
      <c r="F203" s="41">
        <v>32.1</v>
      </c>
      <c r="G203" s="98">
        <v>7.3</v>
      </c>
      <c r="H203" s="41">
        <f t="shared" si="53"/>
        <v>3.65</v>
      </c>
      <c r="I203" s="71">
        <f t="shared" si="54"/>
        <v>28.450000000000003</v>
      </c>
      <c r="J203" s="5">
        <f t="shared" si="49"/>
        <v>1.75</v>
      </c>
      <c r="K203" s="5">
        <v>28</v>
      </c>
      <c r="L203" s="5">
        <f t="shared" si="55"/>
        <v>-2.5</v>
      </c>
      <c r="M203" s="8">
        <f t="shared" si="50"/>
        <v>-0.94999999999999574</v>
      </c>
      <c r="N203" s="8">
        <f t="shared" si="51"/>
        <v>-1.6999999999999957</v>
      </c>
      <c r="O203" s="8">
        <v>3.75</v>
      </c>
      <c r="P203" s="8">
        <v>1.296</v>
      </c>
      <c r="Q203" s="8">
        <f>31*16</f>
        <v>496</v>
      </c>
      <c r="R203" s="108">
        <f t="shared" si="52"/>
        <v>-4.0979519999999896</v>
      </c>
      <c r="S203" s="109"/>
    </row>
    <row r="204" spans="5:19" ht="15.5" thickBot="1" x14ac:dyDescent="0.3">
      <c r="E204" s="420" t="s">
        <v>61</v>
      </c>
      <c r="F204" s="421"/>
      <c r="G204" s="421"/>
      <c r="H204" s="421"/>
      <c r="I204" s="421"/>
      <c r="J204" s="421"/>
      <c r="K204" s="421"/>
      <c r="L204" s="421"/>
      <c r="M204" s="421"/>
      <c r="N204" s="421"/>
      <c r="O204" s="421"/>
      <c r="P204" s="421"/>
      <c r="Q204" s="422"/>
      <c r="R204" s="107">
        <f>SUM(R192:R203)</f>
        <v>-50.462351999999925</v>
      </c>
      <c r="S204" s="105"/>
    </row>
    <row r="207" spans="5:19" ht="13.5" thickBot="1" x14ac:dyDescent="0.3"/>
    <row r="208" spans="5:19" x14ac:dyDescent="0.3">
      <c r="E208" s="295" t="s">
        <v>81</v>
      </c>
      <c r="F208" s="296"/>
      <c r="G208" s="296"/>
      <c r="H208" s="296"/>
      <c r="I208" s="296"/>
      <c r="J208" s="296"/>
      <c r="K208" s="297"/>
    </row>
    <row r="209" spans="5:11" ht="15" x14ac:dyDescent="0.25">
      <c r="E209" s="253" t="s">
        <v>78</v>
      </c>
      <c r="F209" s="254" t="s">
        <v>63</v>
      </c>
      <c r="G209" s="254" t="s">
        <v>64</v>
      </c>
      <c r="H209" s="254" t="s">
        <v>79</v>
      </c>
      <c r="I209" s="254" t="s">
        <v>82</v>
      </c>
      <c r="J209" s="254" t="s">
        <v>57</v>
      </c>
      <c r="K209" s="73" t="s">
        <v>80</v>
      </c>
    </row>
    <row r="210" spans="5:11" x14ac:dyDescent="0.25">
      <c r="E210" s="44" t="s">
        <v>15</v>
      </c>
      <c r="F210" s="8">
        <v>0.55000000000000004</v>
      </c>
      <c r="G210" s="8">
        <v>0.51</v>
      </c>
      <c r="H210" s="63">
        <v>100.94</v>
      </c>
      <c r="I210" s="8">
        <v>1.296</v>
      </c>
      <c r="J210" s="8">
        <f>31*16</f>
        <v>496</v>
      </c>
      <c r="K210" s="40">
        <f>(F210*G210*H210*I210*J210)/1000</f>
        <v>18.200480094720003</v>
      </c>
    </row>
    <row r="211" spans="5:11" x14ac:dyDescent="0.25">
      <c r="E211" s="44" t="s">
        <v>16</v>
      </c>
      <c r="F211" s="8">
        <v>0.55000000000000004</v>
      </c>
      <c r="G211" s="8">
        <v>0.51</v>
      </c>
      <c r="H211" s="63">
        <v>107.25</v>
      </c>
      <c r="I211" s="8">
        <v>1.296</v>
      </c>
      <c r="J211" s="8">
        <f>28*16</f>
        <v>448</v>
      </c>
      <c r="K211" s="40">
        <f t="shared" ref="K211:K221" si="56">(F211*G211*H211*I211*J211)/1000</f>
        <v>17.466793344000003</v>
      </c>
    </row>
    <row r="212" spans="5:11" x14ac:dyDescent="0.25">
      <c r="E212" s="44" t="s">
        <v>17</v>
      </c>
      <c r="F212" s="8">
        <v>0.55000000000000004</v>
      </c>
      <c r="G212" s="8">
        <v>0.51</v>
      </c>
      <c r="H212" s="63">
        <v>116.71</v>
      </c>
      <c r="I212" s="8">
        <v>1.296</v>
      </c>
      <c r="J212" s="8">
        <f>31*16</f>
        <v>496</v>
      </c>
      <c r="K212" s="40">
        <f t="shared" si="56"/>
        <v>21.043967028480001</v>
      </c>
    </row>
    <row r="213" spans="5:11" x14ac:dyDescent="0.25">
      <c r="E213" s="44" t="s">
        <v>18</v>
      </c>
      <c r="F213" s="8">
        <v>0.55000000000000004</v>
      </c>
      <c r="G213" s="8">
        <v>0.51</v>
      </c>
      <c r="H213" s="63">
        <v>138.80000000000001</v>
      </c>
      <c r="I213" s="8">
        <v>1.296</v>
      </c>
      <c r="J213" s="8">
        <f>30*16</f>
        <v>480</v>
      </c>
      <c r="K213" s="40">
        <f t="shared" si="56"/>
        <v>24.219689472000002</v>
      </c>
    </row>
    <row r="214" spans="5:11" x14ac:dyDescent="0.25">
      <c r="E214" s="44" t="s">
        <v>12</v>
      </c>
      <c r="F214" s="8">
        <v>0.55000000000000004</v>
      </c>
      <c r="G214" s="8">
        <v>0.51</v>
      </c>
      <c r="H214" s="63">
        <v>233.43</v>
      </c>
      <c r="I214" s="8">
        <v>1.296</v>
      </c>
      <c r="J214" s="8">
        <f>31*16</f>
        <v>496</v>
      </c>
      <c r="K214" s="40">
        <f t="shared" si="56"/>
        <v>42.089737155840005</v>
      </c>
    </row>
    <row r="215" spans="5:11" x14ac:dyDescent="0.25">
      <c r="E215" s="44" t="s">
        <v>13</v>
      </c>
      <c r="F215" s="8">
        <v>0.55000000000000004</v>
      </c>
      <c r="G215" s="8">
        <v>0.51</v>
      </c>
      <c r="H215" s="63">
        <v>283.91000000000003</v>
      </c>
      <c r="I215" s="8">
        <v>1.296</v>
      </c>
      <c r="J215" s="8">
        <f>30*16</f>
        <v>480</v>
      </c>
      <c r="K215" s="40">
        <f t="shared" si="56"/>
        <v>49.540432550400006</v>
      </c>
    </row>
    <row r="216" spans="5:11" x14ac:dyDescent="0.25">
      <c r="E216" s="44" t="s">
        <v>24</v>
      </c>
      <c r="F216" s="8">
        <v>0.55000000000000004</v>
      </c>
      <c r="G216" s="8">
        <v>0.51</v>
      </c>
      <c r="H216" s="118">
        <v>242.9</v>
      </c>
      <c r="I216" s="8">
        <v>1.296</v>
      </c>
      <c r="J216" s="8">
        <f>31*16</f>
        <v>496</v>
      </c>
      <c r="K216" s="40">
        <f t="shared" si="56"/>
        <v>43.797271795200011</v>
      </c>
    </row>
    <row r="217" spans="5:11" x14ac:dyDescent="0.25">
      <c r="E217" s="44" t="s">
        <v>19</v>
      </c>
      <c r="F217" s="8">
        <v>0.55000000000000004</v>
      </c>
      <c r="G217" s="8">
        <v>0.51</v>
      </c>
      <c r="H217" s="118">
        <v>148.26</v>
      </c>
      <c r="I217" s="8">
        <v>1.296</v>
      </c>
      <c r="J217" s="8">
        <f>31*16</f>
        <v>496</v>
      </c>
      <c r="K217" s="40">
        <f t="shared" si="56"/>
        <v>26.732743994880003</v>
      </c>
    </row>
    <row r="218" spans="5:11" x14ac:dyDescent="0.25">
      <c r="E218" s="44" t="s">
        <v>20</v>
      </c>
      <c r="F218" s="8">
        <v>0.55000000000000004</v>
      </c>
      <c r="G218" s="8">
        <v>0.51</v>
      </c>
      <c r="H218" s="118">
        <v>199.87</v>
      </c>
      <c r="I218" s="8">
        <v>1.296</v>
      </c>
      <c r="J218" s="8">
        <f>30*16</f>
        <v>480</v>
      </c>
      <c r="K218" s="40">
        <f t="shared" si="56"/>
        <v>34.876003852800004</v>
      </c>
    </row>
    <row r="219" spans="5:11" x14ac:dyDescent="0.25">
      <c r="E219" s="44" t="s">
        <v>21</v>
      </c>
      <c r="F219" s="8">
        <v>0.55000000000000004</v>
      </c>
      <c r="G219" s="8">
        <v>0.51</v>
      </c>
      <c r="H219" s="118">
        <v>110.41</v>
      </c>
      <c r="I219" s="8">
        <v>1.296</v>
      </c>
      <c r="J219" s="8">
        <f>31*16</f>
        <v>496</v>
      </c>
      <c r="K219" s="40">
        <f t="shared" si="56"/>
        <v>19.908014734079998</v>
      </c>
    </row>
    <row r="220" spans="5:11" x14ac:dyDescent="0.25">
      <c r="E220" s="44" t="s">
        <v>22</v>
      </c>
      <c r="F220" s="8">
        <v>0.55000000000000004</v>
      </c>
      <c r="G220" s="8">
        <v>0.51</v>
      </c>
      <c r="H220" s="63">
        <v>104.1</v>
      </c>
      <c r="I220" s="8">
        <v>1.296</v>
      </c>
      <c r="J220" s="8">
        <f>30*16</f>
        <v>480</v>
      </c>
      <c r="K220" s="40">
        <f t="shared" si="56"/>
        <v>18.164767103999999</v>
      </c>
    </row>
    <row r="221" spans="5:11" x14ac:dyDescent="0.25">
      <c r="E221" s="44" t="s">
        <v>23</v>
      </c>
      <c r="F221" s="8">
        <v>0.55000000000000004</v>
      </c>
      <c r="G221" s="8">
        <v>0.51</v>
      </c>
      <c r="H221" s="63">
        <v>97.79</v>
      </c>
      <c r="I221" s="8">
        <v>1.296</v>
      </c>
      <c r="J221" s="8">
        <f>31*16</f>
        <v>496</v>
      </c>
      <c r="K221" s="40">
        <f t="shared" si="56"/>
        <v>17.632503947520004</v>
      </c>
    </row>
    <row r="222" spans="5:11" ht="15.5" thickBot="1" x14ac:dyDescent="0.45">
      <c r="E222" s="310" t="s">
        <v>80</v>
      </c>
      <c r="F222" s="311"/>
      <c r="G222" s="311"/>
      <c r="H222" s="311"/>
      <c r="I222" s="311"/>
      <c r="J222" s="311"/>
      <c r="K222" s="74">
        <f>SUM(K210:K221)</f>
        <v>333.67240507392</v>
      </c>
    </row>
    <row r="225" spans="5:18" ht="13.5" thickBot="1" x14ac:dyDescent="0.3"/>
    <row r="226" spans="5:18" x14ac:dyDescent="0.3">
      <c r="E226" s="295" t="s">
        <v>89</v>
      </c>
      <c r="F226" s="296"/>
      <c r="G226" s="296"/>
      <c r="H226" s="296"/>
      <c r="I226" s="296"/>
      <c r="J226" s="296"/>
      <c r="K226" s="296"/>
      <c r="L226" s="296"/>
      <c r="M226" s="296"/>
      <c r="N226" s="296"/>
      <c r="O226" s="296"/>
      <c r="P226" s="296"/>
      <c r="Q226" s="296"/>
      <c r="R226" s="297"/>
    </row>
    <row r="227" spans="5:18" ht="21" customHeight="1" x14ac:dyDescent="0.25">
      <c r="E227" s="46" t="s">
        <v>0</v>
      </c>
      <c r="F227" s="37" t="s">
        <v>84</v>
      </c>
      <c r="G227" s="37" t="s">
        <v>95</v>
      </c>
      <c r="H227" s="37" t="s">
        <v>96</v>
      </c>
      <c r="I227" s="37" t="s">
        <v>97</v>
      </c>
      <c r="J227" s="37" t="s">
        <v>98</v>
      </c>
      <c r="K227" s="37" t="s">
        <v>99</v>
      </c>
      <c r="L227" s="37" t="s">
        <v>100</v>
      </c>
      <c r="M227" s="37" t="s">
        <v>101</v>
      </c>
      <c r="N227" s="37"/>
      <c r="O227" s="37" t="s">
        <v>85</v>
      </c>
      <c r="P227" s="37" t="s">
        <v>102</v>
      </c>
      <c r="Q227" s="37" t="s">
        <v>86</v>
      </c>
      <c r="R227" s="73" t="s">
        <v>103</v>
      </c>
    </row>
    <row r="228" spans="5:18" ht="15" customHeight="1" x14ac:dyDescent="0.25">
      <c r="E228" s="44" t="s">
        <v>15</v>
      </c>
      <c r="F228" s="8">
        <v>0.6</v>
      </c>
      <c r="G228" s="8">
        <v>38.880000000000003</v>
      </c>
      <c r="H228" s="8">
        <v>1.0049999999999999</v>
      </c>
      <c r="I228" s="8">
        <v>1.2929999999999999</v>
      </c>
      <c r="J228" s="71">
        <v>31.6</v>
      </c>
      <c r="K228" s="8">
        <v>22</v>
      </c>
      <c r="L228" s="8">
        <f>J228-K228</f>
        <v>9.6000000000000014</v>
      </c>
      <c r="M228" s="27">
        <f>F228*G228*H228*I228*L228</f>
        <v>291.01362739199999</v>
      </c>
      <c r="N228" s="27"/>
      <c r="O228" s="8">
        <v>0.27700000000000002</v>
      </c>
      <c r="P228" s="18">
        <f>M228*O228</f>
        <v>80.610774787584006</v>
      </c>
      <c r="Q228" s="8">
        <f>31*16</f>
        <v>496</v>
      </c>
      <c r="R228" s="40">
        <f>(P228*Q228)/1000</f>
        <v>39.982944294641669</v>
      </c>
    </row>
    <row r="229" spans="5:18" ht="15" customHeight="1" x14ac:dyDescent="0.25">
      <c r="E229" s="44" t="s">
        <v>16</v>
      </c>
      <c r="F229" s="8">
        <v>0.6</v>
      </c>
      <c r="G229" s="8">
        <v>38.880000000000003</v>
      </c>
      <c r="H229" s="8">
        <v>1.0049999999999999</v>
      </c>
      <c r="I229" s="8">
        <v>1.2929999999999999</v>
      </c>
      <c r="J229" s="71">
        <v>31.7</v>
      </c>
      <c r="K229" s="8">
        <v>22</v>
      </c>
      <c r="L229" s="8">
        <f t="shared" ref="L229:L239" si="57">J229-K229</f>
        <v>9.6999999999999993</v>
      </c>
      <c r="M229" s="27">
        <f t="shared" ref="M229:M239" si="58">F229*G229*H229*I229*L229</f>
        <v>294.04501934399991</v>
      </c>
      <c r="N229" s="27"/>
      <c r="O229" s="8">
        <v>0.27700000000000002</v>
      </c>
      <c r="P229" s="18">
        <f t="shared" ref="P229:P239" si="59">M229*O229</f>
        <v>81.450470358287987</v>
      </c>
      <c r="Q229" s="8">
        <f>28*16</f>
        <v>448</v>
      </c>
      <c r="R229" s="40">
        <f t="shared" ref="R229:R239" si="60">(P229*Q229)/1000</f>
        <v>36.48981072051302</v>
      </c>
    </row>
    <row r="230" spans="5:18" ht="15" customHeight="1" x14ac:dyDescent="0.25">
      <c r="E230" s="44" t="s">
        <v>17</v>
      </c>
      <c r="F230" s="8">
        <v>0.6</v>
      </c>
      <c r="G230" s="8">
        <v>38.880000000000003</v>
      </c>
      <c r="H230" s="8">
        <v>1.0049999999999999</v>
      </c>
      <c r="I230" s="8">
        <v>1.2929999999999999</v>
      </c>
      <c r="J230" s="71">
        <v>32.200000000000003</v>
      </c>
      <c r="K230" s="8">
        <v>22</v>
      </c>
      <c r="L230" s="8">
        <f t="shared" si="57"/>
        <v>10.200000000000003</v>
      </c>
      <c r="M230" s="27">
        <f t="shared" si="58"/>
        <v>309.20197910399997</v>
      </c>
      <c r="N230" s="27"/>
      <c r="O230" s="8">
        <v>0.27700000000000002</v>
      </c>
      <c r="P230" s="18">
        <f t="shared" si="59"/>
        <v>85.648948211808005</v>
      </c>
      <c r="Q230" s="8">
        <f>31*16</f>
        <v>496</v>
      </c>
      <c r="R230" s="40">
        <f t="shared" si="60"/>
        <v>42.481878313056768</v>
      </c>
    </row>
    <row r="231" spans="5:18" ht="15" customHeight="1" x14ac:dyDescent="0.25">
      <c r="E231" s="44" t="s">
        <v>18</v>
      </c>
      <c r="F231" s="8">
        <v>0.6</v>
      </c>
      <c r="G231" s="8">
        <v>38.880000000000003</v>
      </c>
      <c r="H231" s="8">
        <v>1.0049999999999999</v>
      </c>
      <c r="I231" s="8">
        <v>1.2929999999999999</v>
      </c>
      <c r="J231" s="71">
        <v>32.200000000000003</v>
      </c>
      <c r="K231" s="8">
        <v>22</v>
      </c>
      <c r="L231" s="8">
        <f t="shared" si="57"/>
        <v>10.200000000000003</v>
      </c>
      <c r="M231" s="27">
        <f t="shared" si="58"/>
        <v>309.20197910399997</v>
      </c>
      <c r="N231" s="27"/>
      <c r="O231" s="8">
        <v>0.27700000000000002</v>
      </c>
      <c r="P231" s="18">
        <f t="shared" si="59"/>
        <v>85.648948211808005</v>
      </c>
      <c r="Q231" s="8">
        <f>30*16</f>
        <v>480</v>
      </c>
      <c r="R231" s="40">
        <f t="shared" si="60"/>
        <v>41.111495141667845</v>
      </c>
    </row>
    <row r="232" spans="5:18" ht="15" customHeight="1" x14ac:dyDescent="0.25">
      <c r="E232" s="44" t="s">
        <v>12</v>
      </c>
      <c r="F232" s="8">
        <v>0.6</v>
      </c>
      <c r="G232" s="8">
        <v>38.880000000000003</v>
      </c>
      <c r="H232" s="8">
        <v>1.0049999999999999</v>
      </c>
      <c r="I232" s="8">
        <v>1.2929999999999999</v>
      </c>
      <c r="J232" s="71">
        <v>32.4</v>
      </c>
      <c r="K232" s="8">
        <v>22</v>
      </c>
      <c r="L232" s="8">
        <f t="shared" si="57"/>
        <v>10.399999999999999</v>
      </c>
      <c r="M232" s="27">
        <f t="shared" si="58"/>
        <v>315.26476300799987</v>
      </c>
      <c r="N232" s="27"/>
      <c r="O232" s="8">
        <v>0.27700000000000002</v>
      </c>
      <c r="P232" s="18">
        <f t="shared" si="59"/>
        <v>87.328339353215966</v>
      </c>
      <c r="Q232" s="8">
        <f>31*16</f>
        <v>496</v>
      </c>
      <c r="R232" s="40">
        <f t="shared" si="60"/>
        <v>43.314856319195115</v>
      </c>
    </row>
    <row r="233" spans="5:18" ht="15" customHeight="1" x14ac:dyDescent="0.25">
      <c r="E233" s="44" t="s">
        <v>13</v>
      </c>
      <c r="F233" s="8">
        <v>0.6</v>
      </c>
      <c r="G233" s="8">
        <v>38.880000000000003</v>
      </c>
      <c r="H233" s="8">
        <v>1.0049999999999999</v>
      </c>
      <c r="I233" s="8">
        <v>1.2929999999999999</v>
      </c>
      <c r="J233" s="71">
        <v>32.200000000000003</v>
      </c>
      <c r="K233" s="8">
        <v>22</v>
      </c>
      <c r="L233" s="8">
        <f t="shared" si="57"/>
        <v>10.200000000000003</v>
      </c>
      <c r="M233" s="27">
        <f t="shared" si="58"/>
        <v>309.20197910399997</v>
      </c>
      <c r="N233" s="27"/>
      <c r="O233" s="8">
        <v>0.27700000000000002</v>
      </c>
      <c r="P233" s="18">
        <f t="shared" si="59"/>
        <v>85.648948211808005</v>
      </c>
      <c r="Q233" s="8">
        <f>30*16</f>
        <v>480</v>
      </c>
      <c r="R233" s="40">
        <f t="shared" si="60"/>
        <v>41.111495141667845</v>
      </c>
    </row>
    <row r="234" spans="5:18" ht="15" customHeight="1" x14ac:dyDescent="0.25">
      <c r="E234" s="44" t="s">
        <v>24</v>
      </c>
      <c r="F234" s="8">
        <v>0.6</v>
      </c>
      <c r="G234" s="8">
        <v>38.880000000000003</v>
      </c>
      <c r="H234" s="8">
        <v>1.0049999999999999</v>
      </c>
      <c r="I234" s="8">
        <v>1.2929999999999999</v>
      </c>
      <c r="J234" s="41">
        <v>32.1</v>
      </c>
      <c r="K234" s="8">
        <v>22</v>
      </c>
      <c r="L234" s="8">
        <f t="shared" si="57"/>
        <v>10.100000000000001</v>
      </c>
      <c r="M234" s="27">
        <f t="shared" si="58"/>
        <v>306.17058715199994</v>
      </c>
      <c r="N234" s="27"/>
      <c r="O234" s="8">
        <v>0.27700000000000002</v>
      </c>
      <c r="P234" s="18">
        <f t="shared" si="59"/>
        <v>84.809252641103996</v>
      </c>
      <c r="Q234" s="8">
        <f>31*16</f>
        <v>496</v>
      </c>
      <c r="R234" s="40">
        <f t="shared" si="60"/>
        <v>42.06538930998758</v>
      </c>
    </row>
    <row r="235" spans="5:18" ht="15" customHeight="1" x14ac:dyDescent="0.25">
      <c r="E235" s="44" t="s">
        <v>19</v>
      </c>
      <c r="F235" s="8">
        <v>0.6</v>
      </c>
      <c r="G235" s="8">
        <v>38.880000000000003</v>
      </c>
      <c r="H235" s="8">
        <v>1.0049999999999999</v>
      </c>
      <c r="I235" s="8">
        <v>1.2929999999999999</v>
      </c>
      <c r="J235" s="41">
        <v>32.5</v>
      </c>
      <c r="K235" s="8">
        <v>22</v>
      </c>
      <c r="L235" s="8">
        <f t="shared" si="57"/>
        <v>10.5</v>
      </c>
      <c r="M235" s="27">
        <f t="shared" si="58"/>
        <v>318.29615495999991</v>
      </c>
      <c r="N235" s="27"/>
      <c r="O235" s="8">
        <v>0.27700000000000002</v>
      </c>
      <c r="P235" s="18">
        <f t="shared" si="59"/>
        <v>88.16803492391999</v>
      </c>
      <c r="Q235" s="8">
        <f>31*16</f>
        <v>496</v>
      </c>
      <c r="R235" s="40">
        <f t="shared" si="60"/>
        <v>43.731345322264318</v>
      </c>
    </row>
    <row r="236" spans="5:18" ht="15" customHeight="1" x14ac:dyDescent="0.25">
      <c r="E236" s="44" t="s">
        <v>20</v>
      </c>
      <c r="F236" s="8">
        <v>0.6</v>
      </c>
      <c r="G236" s="8">
        <v>38.880000000000003</v>
      </c>
      <c r="H236" s="8">
        <v>1.0049999999999999</v>
      </c>
      <c r="I236" s="8">
        <v>1.2929999999999999</v>
      </c>
      <c r="J236" s="41">
        <v>32.799999999999997</v>
      </c>
      <c r="K236" s="8">
        <v>22</v>
      </c>
      <c r="L236" s="8">
        <f t="shared" si="57"/>
        <v>10.799999999999997</v>
      </c>
      <c r="M236" s="27">
        <f t="shared" si="58"/>
        <v>327.39033081599985</v>
      </c>
      <c r="N236" s="27"/>
      <c r="O236" s="8">
        <v>0.27700000000000002</v>
      </c>
      <c r="P236" s="18">
        <f t="shared" si="59"/>
        <v>90.687121636031961</v>
      </c>
      <c r="Q236" s="8">
        <f>30*16</f>
        <v>480</v>
      </c>
      <c r="R236" s="40">
        <f t="shared" si="60"/>
        <v>43.529818385295343</v>
      </c>
    </row>
    <row r="237" spans="5:18" ht="15" customHeight="1" x14ac:dyDescent="0.25">
      <c r="E237" s="44" t="s">
        <v>21</v>
      </c>
      <c r="F237" s="8">
        <v>0.6</v>
      </c>
      <c r="G237" s="8">
        <v>38.880000000000003</v>
      </c>
      <c r="H237" s="8">
        <v>1.0049999999999999</v>
      </c>
      <c r="I237" s="8">
        <v>1.2929999999999999</v>
      </c>
      <c r="J237" s="41">
        <v>32.5</v>
      </c>
      <c r="K237" s="8">
        <v>22</v>
      </c>
      <c r="L237" s="8">
        <f t="shared" si="57"/>
        <v>10.5</v>
      </c>
      <c r="M237" s="27">
        <f t="shared" si="58"/>
        <v>318.29615495999991</v>
      </c>
      <c r="N237" s="27"/>
      <c r="O237" s="8">
        <v>0.27700000000000002</v>
      </c>
      <c r="P237" s="18">
        <f t="shared" si="59"/>
        <v>88.16803492391999</v>
      </c>
      <c r="Q237" s="8">
        <f>31*16</f>
        <v>496</v>
      </c>
      <c r="R237" s="40">
        <f t="shared" si="60"/>
        <v>43.731345322264318</v>
      </c>
    </row>
    <row r="238" spans="5:18" ht="15" customHeight="1" x14ac:dyDescent="0.25">
      <c r="E238" s="44" t="s">
        <v>22</v>
      </c>
      <c r="F238" s="8">
        <v>0.6</v>
      </c>
      <c r="G238" s="8">
        <v>38.880000000000003</v>
      </c>
      <c r="H238" s="8">
        <v>1.0049999999999999</v>
      </c>
      <c r="I238" s="8">
        <v>1.2929999999999999</v>
      </c>
      <c r="J238" s="41">
        <v>32.200000000000003</v>
      </c>
      <c r="K238" s="8">
        <v>22</v>
      </c>
      <c r="L238" s="8">
        <f t="shared" si="57"/>
        <v>10.200000000000003</v>
      </c>
      <c r="M238" s="27">
        <f t="shared" si="58"/>
        <v>309.20197910399997</v>
      </c>
      <c r="N238" s="27"/>
      <c r="O238" s="8">
        <v>0.27700000000000002</v>
      </c>
      <c r="P238" s="18">
        <f t="shared" si="59"/>
        <v>85.648948211808005</v>
      </c>
      <c r="Q238" s="8">
        <f>30*16</f>
        <v>480</v>
      </c>
      <c r="R238" s="40">
        <f t="shared" si="60"/>
        <v>41.111495141667845</v>
      </c>
    </row>
    <row r="239" spans="5:18" ht="15" customHeight="1" x14ac:dyDescent="0.25">
      <c r="E239" s="44" t="s">
        <v>23</v>
      </c>
      <c r="F239" s="8">
        <v>0.6</v>
      </c>
      <c r="G239" s="8">
        <v>38.880000000000003</v>
      </c>
      <c r="H239" s="8">
        <v>1.0049999999999999</v>
      </c>
      <c r="I239" s="8">
        <v>1.2929999999999999</v>
      </c>
      <c r="J239" s="41">
        <v>32.1</v>
      </c>
      <c r="K239" s="8">
        <v>22</v>
      </c>
      <c r="L239" s="8">
        <f t="shared" si="57"/>
        <v>10.100000000000001</v>
      </c>
      <c r="M239" s="27">
        <f t="shared" si="58"/>
        <v>306.17058715199994</v>
      </c>
      <c r="N239" s="27"/>
      <c r="O239" s="8">
        <v>0.27700000000000002</v>
      </c>
      <c r="P239" s="18">
        <f t="shared" si="59"/>
        <v>84.809252641103996</v>
      </c>
      <c r="Q239" s="8">
        <f>31*16</f>
        <v>496</v>
      </c>
      <c r="R239" s="40">
        <f t="shared" si="60"/>
        <v>42.06538930998758</v>
      </c>
    </row>
    <row r="240" spans="5:18" ht="15" customHeight="1" x14ac:dyDescent="0.4">
      <c r="E240" s="314" t="s">
        <v>133</v>
      </c>
      <c r="F240" s="315"/>
      <c r="G240" s="315"/>
      <c r="H240" s="315"/>
      <c r="I240" s="315"/>
      <c r="J240" s="315"/>
      <c r="K240" s="315"/>
      <c r="L240" s="315"/>
      <c r="M240" s="315"/>
      <c r="N240" s="315"/>
      <c r="O240" s="315"/>
      <c r="P240" s="315"/>
      <c r="Q240" s="315"/>
      <c r="R240" s="84">
        <f>SUM(R228:R239)</f>
        <v>500.72726272220916</v>
      </c>
    </row>
    <row r="241" spans="5:18" ht="14" x14ac:dyDescent="0.25">
      <c r="E241" s="44" t="s">
        <v>15</v>
      </c>
      <c r="F241" s="8">
        <v>0.6</v>
      </c>
      <c r="G241" s="8">
        <v>38.880000000000003</v>
      </c>
      <c r="H241" s="8">
        <v>1.0049999999999999</v>
      </c>
      <c r="I241" s="8">
        <v>1.2929999999999999</v>
      </c>
      <c r="J241" s="71">
        <v>31.6</v>
      </c>
      <c r="K241" s="8">
        <v>23</v>
      </c>
      <c r="L241" s="8">
        <f>J241-K241</f>
        <v>8.6000000000000014</v>
      </c>
      <c r="M241" s="27">
        <f>F241*G241*H241*I241*L241</f>
        <v>260.69970787199998</v>
      </c>
      <c r="N241" s="27"/>
      <c r="O241" s="8">
        <v>0.27700000000000002</v>
      </c>
      <c r="P241" s="18">
        <f>M241*O241</f>
        <v>72.213819080543999</v>
      </c>
      <c r="Q241" s="8">
        <f>31*16</f>
        <v>496</v>
      </c>
      <c r="R241" s="40">
        <f>(P241*Q241)/1000</f>
        <v>35.818054263949826</v>
      </c>
    </row>
    <row r="242" spans="5:18" ht="14" x14ac:dyDescent="0.25">
      <c r="E242" s="44" t="s">
        <v>16</v>
      </c>
      <c r="F242" s="8">
        <v>0.6</v>
      </c>
      <c r="G242" s="8">
        <v>38.880000000000003</v>
      </c>
      <c r="H242" s="8">
        <v>1.0049999999999999</v>
      </c>
      <c r="I242" s="8">
        <v>1.2929999999999999</v>
      </c>
      <c r="J242" s="71">
        <v>31.7</v>
      </c>
      <c r="K242" s="8">
        <v>23</v>
      </c>
      <c r="L242" s="8">
        <f t="shared" ref="L242:L252" si="61">J242-K242</f>
        <v>8.6999999999999993</v>
      </c>
      <c r="M242" s="27">
        <f t="shared" ref="M242:M252" si="62">F242*G242*H242*I242*L242</f>
        <v>263.7310998239999</v>
      </c>
      <c r="N242" s="27"/>
      <c r="O242" s="8">
        <v>0.27700000000000002</v>
      </c>
      <c r="P242" s="18">
        <f t="shared" ref="P242:P252" si="63">M242*O242</f>
        <v>73.05351465124798</v>
      </c>
      <c r="Q242" s="8">
        <f>28*16</f>
        <v>448</v>
      </c>
      <c r="R242" s="40">
        <f t="shared" ref="R242:R252" si="64">(P242*Q242)/1000</f>
        <v>32.727974563759098</v>
      </c>
    </row>
    <row r="243" spans="5:18" ht="14" x14ac:dyDescent="0.25">
      <c r="E243" s="44" t="s">
        <v>17</v>
      </c>
      <c r="F243" s="8">
        <v>0.6</v>
      </c>
      <c r="G243" s="8">
        <v>38.880000000000003</v>
      </c>
      <c r="H243" s="8">
        <v>1.0049999999999999</v>
      </c>
      <c r="I243" s="8">
        <v>1.2929999999999999</v>
      </c>
      <c r="J243" s="71">
        <v>32.200000000000003</v>
      </c>
      <c r="K243" s="8">
        <v>23</v>
      </c>
      <c r="L243" s="8">
        <f t="shared" si="61"/>
        <v>9.2000000000000028</v>
      </c>
      <c r="M243" s="27">
        <f t="shared" si="62"/>
        <v>278.88805958400002</v>
      </c>
      <c r="N243" s="27"/>
      <c r="O243" s="8">
        <v>0.27700000000000002</v>
      </c>
      <c r="P243" s="18">
        <f t="shared" si="63"/>
        <v>77.251992504768012</v>
      </c>
      <c r="Q243" s="8">
        <f>31*16</f>
        <v>496</v>
      </c>
      <c r="R243" s="40">
        <f t="shared" si="64"/>
        <v>38.316988282364932</v>
      </c>
    </row>
    <row r="244" spans="5:18" ht="14" x14ac:dyDescent="0.25">
      <c r="E244" s="44" t="s">
        <v>18</v>
      </c>
      <c r="F244" s="8">
        <v>0.6</v>
      </c>
      <c r="G244" s="8">
        <v>38.880000000000003</v>
      </c>
      <c r="H244" s="8">
        <v>1.0049999999999999</v>
      </c>
      <c r="I244" s="8">
        <v>1.2929999999999999</v>
      </c>
      <c r="J244" s="71">
        <v>32.200000000000003</v>
      </c>
      <c r="K244" s="8">
        <v>23</v>
      </c>
      <c r="L244" s="8">
        <f t="shared" si="61"/>
        <v>9.2000000000000028</v>
      </c>
      <c r="M244" s="27">
        <f t="shared" si="62"/>
        <v>278.88805958400002</v>
      </c>
      <c r="N244" s="27"/>
      <c r="O244" s="8">
        <v>0.27700000000000002</v>
      </c>
      <c r="P244" s="18">
        <f t="shared" si="63"/>
        <v>77.251992504768012</v>
      </c>
      <c r="Q244" s="8">
        <f>30*16</f>
        <v>480</v>
      </c>
      <c r="R244" s="40">
        <f t="shared" si="64"/>
        <v>37.080956402288649</v>
      </c>
    </row>
    <row r="245" spans="5:18" ht="14" x14ac:dyDescent="0.25">
      <c r="E245" s="44" t="s">
        <v>12</v>
      </c>
      <c r="F245" s="8">
        <v>0.6</v>
      </c>
      <c r="G245" s="8">
        <v>38.880000000000003</v>
      </c>
      <c r="H245" s="8">
        <v>1.0049999999999999</v>
      </c>
      <c r="I245" s="8">
        <v>1.2929999999999999</v>
      </c>
      <c r="J245" s="71">
        <v>32.4</v>
      </c>
      <c r="K245" s="8">
        <v>23</v>
      </c>
      <c r="L245" s="8">
        <f t="shared" si="61"/>
        <v>9.3999999999999986</v>
      </c>
      <c r="M245" s="27">
        <f t="shared" si="62"/>
        <v>284.95084348799986</v>
      </c>
      <c r="N245" s="27"/>
      <c r="O245" s="8">
        <v>0.27700000000000002</v>
      </c>
      <c r="P245" s="18">
        <f t="shared" si="63"/>
        <v>78.931383646175973</v>
      </c>
      <c r="Q245" s="8">
        <f>31*16</f>
        <v>496</v>
      </c>
      <c r="R245" s="40">
        <f t="shared" si="64"/>
        <v>39.149966288503279</v>
      </c>
    </row>
    <row r="246" spans="5:18" ht="14" x14ac:dyDescent="0.25">
      <c r="E246" s="44" t="s">
        <v>13</v>
      </c>
      <c r="F246" s="8">
        <v>0.6</v>
      </c>
      <c r="G246" s="8">
        <v>38.880000000000003</v>
      </c>
      <c r="H246" s="8">
        <v>1.0049999999999999</v>
      </c>
      <c r="I246" s="8">
        <v>1.2929999999999999</v>
      </c>
      <c r="J246" s="71">
        <v>32.200000000000003</v>
      </c>
      <c r="K246" s="8">
        <v>23</v>
      </c>
      <c r="L246" s="8">
        <f t="shared" si="61"/>
        <v>9.2000000000000028</v>
      </c>
      <c r="M246" s="27">
        <f t="shared" si="62"/>
        <v>278.88805958400002</v>
      </c>
      <c r="N246" s="27"/>
      <c r="O246" s="8">
        <v>0.27700000000000002</v>
      </c>
      <c r="P246" s="18">
        <f t="shared" si="63"/>
        <v>77.251992504768012</v>
      </c>
      <c r="Q246" s="8">
        <f>30*16</f>
        <v>480</v>
      </c>
      <c r="R246" s="40">
        <f t="shared" si="64"/>
        <v>37.080956402288649</v>
      </c>
    </row>
    <row r="247" spans="5:18" ht="14" x14ac:dyDescent="0.25">
      <c r="E247" s="44" t="s">
        <v>24</v>
      </c>
      <c r="F247" s="8">
        <v>0.6</v>
      </c>
      <c r="G247" s="8">
        <v>38.880000000000003</v>
      </c>
      <c r="H247" s="8">
        <v>1.0049999999999999</v>
      </c>
      <c r="I247" s="8">
        <v>1.2929999999999999</v>
      </c>
      <c r="J247" s="41">
        <v>32.1</v>
      </c>
      <c r="K247" s="8">
        <v>23</v>
      </c>
      <c r="L247" s="8">
        <f t="shared" si="61"/>
        <v>9.1000000000000014</v>
      </c>
      <c r="M247" s="27">
        <f t="shared" si="62"/>
        <v>275.85666763199998</v>
      </c>
      <c r="N247" s="27"/>
      <c r="O247" s="8">
        <v>0.27700000000000002</v>
      </c>
      <c r="P247" s="18">
        <f t="shared" si="63"/>
        <v>76.412296934064003</v>
      </c>
      <c r="Q247" s="8">
        <f>31*16</f>
        <v>496</v>
      </c>
      <c r="R247" s="40">
        <f t="shared" si="64"/>
        <v>37.900499279295744</v>
      </c>
    </row>
    <row r="248" spans="5:18" ht="14" x14ac:dyDescent="0.25">
      <c r="E248" s="44" t="s">
        <v>19</v>
      </c>
      <c r="F248" s="8">
        <v>0.6</v>
      </c>
      <c r="G248" s="8">
        <v>38.880000000000003</v>
      </c>
      <c r="H248" s="8">
        <v>1.0049999999999999</v>
      </c>
      <c r="I248" s="8">
        <v>1.2929999999999999</v>
      </c>
      <c r="J248" s="41">
        <v>32.5</v>
      </c>
      <c r="K248" s="8">
        <v>23</v>
      </c>
      <c r="L248" s="8">
        <f t="shared" si="61"/>
        <v>9.5</v>
      </c>
      <c r="M248" s="27">
        <f t="shared" si="62"/>
        <v>287.9822354399999</v>
      </c>
      <c r="N248" s="27"/>
      <c r="O248" s="8">
        <v>0.27700000000000002</v>
      </c>
      <c r="P248" s="18">
        <f t="shared" si="63"/>
        <v>79.771079216879983</v>
      </c>
      <c r="Q248" s="8">
        <f>31*16</f>
        <v>496</v>
      </c>
      <c r="R248" s="40">
        <f t="shared" si="64"/>
        <v>39.566455291572474</v>
      </c>
    </row>
    <row r="249" spans="5:18" ht="14" x14ac:dyDescent="0.25">
      <c r="E249" s="44" t="s">
        <v>20</v>
      </c>
      <c r="F249" s="8">
        <v>0.6</v>
      </c>
      <c r="G249" s="8">
        <v>38.880000000000003</v>
      </c>
      <c r="H249" s="8">
        <v>1.0049999999999999</v>
      </c>
      <c r="I249" s="8">
        <v>1.2929999999999999</v>
      </c>
      <c r="J249" s="41">
        <v>32.799999999999997</v>
      </c>
      <c r="K249" s="8">
        <v>23</v>
      </c>
      <c r="L249" s="8">
        <f t="shared" si="61"/>
        <v>9.7999999999999972</v>
      </c>
      <c r="M249" s="27">
        <f t="shared" si="62"/>
        <v>297.07641129599983</v>
      </c>
      <c r="N249" s="27"/>
      <c r="O249" s="8">
        <v>0.27700000000000002</v>
      </c>
      <c r="P249" s="18">
        <f t="shared" si="63"/>
        <v>82.290165928991968</v>
      </c>
      <c r="Q249" s="8">
        <f>30*16</f>
        <v>480</v>
      </c>
      <c r="R249" s="40">
        <f t="shared" si="64"/>
        <v>39.499279645916147</v>
      </c>
    </row>
    <row r="250" spans="5:18" ht="14" x14ac:dyDescent="0.25">
      <c r="E250" s="44" t="s">
        <v>21</v>
      </c>
      <c r="F250" s="8">
        <v>0.6</v>
      </c>
      <c r="G250" s="8">
        <v>38.880000000000003</v>
      </c>
      <c r="H250" s="8">
        <v>1.0049999999999999</v>
      </c>
      <c r="I250" s="8">
        <v>1.2929999999999999</v>
      </c>
      <c r="J250" s="41">
        <v>32.5</v>
      </c>
      <c r="K250" s="8">
        <v>23</v>
      </c>
      <c r="L250" s="8">
        <f t="shared" si="61"/>
        <v>9.5</v>
      </c>
      <c r="M250" s="27">
        <f t="shared" si="62"/>
        <v>287.9822354399999</v>
      </c>
      <c r="N250" s="27"/>
      <c r="O250" s="8">
        <v>0.27700000000000002</v>
      </c>
      <c r="P250" s="18">
        <f t="shared" si="63"/>
        <v>79.771079216879983</v>
      </c>
      <c r="Q250" s="8">
        <f>31*16</f>
        <v>496</v>
      </c>
      <c r="R250" s="40">
        <f t="shared" si="64"/>
        <v>39.566455291572474</v>
      </c>
    </row>
    <row r="251" spans="5:18" ht="14" x14ac:dyDescent="0.25">
      <c r="E251" s="44" t="s">
        <v>22</v>
      </c>
      <c r="F251" s="8">
        <v>0.6</v>
      </c>
      <c r="G251" s="8">
        <v>38.880000000000003</v>
      </c>
      <c r="H251" s="8">
        <v>1.0049999999999999</v>
      </c>
      <c r="I251" s="8">
        <v>1.2929999999999999</v>
      </c>
      <c r="J251" s="41">
        <v>32.200000000000003</v>
      </c>
      <c r="K251" s="8">
        <v>23</v>
      </c>
      <c r="L251" s="8">
        <f t="shared" si="61"/>
        <v>9.2000000000000028</v>
      </c>
      <c r="M251" s="27">
        <f t="shared" si="62"/>
        <v>278.88805958400002</v>
      </c>
      <c r="N251" s="27"/>
      <c r="O251" s="8">
        <v>0.27700000000000002</v>
      </c>
      <c r="P251" s="18">
        <f t="shared" si="63"/>
        <v>77.251992504768012</v>
      </c>
      <c r="Q251" s="8">
        <f>30*16</f>
        <v>480</v>
      </c>
      <c r="R251" s="40">
        <f t="shared" si="64"/>
        <v>37.080956402288649</v>
      </c>
    </row>
    <row r="252" spans="5:18" ht="14" x14ac:dyDescent="0.25">
      <c r="E252" s="44" t="s">
        <v>23</v>
      </c>
      <c r="F252" s="8">
        <v>0.6</v>
      </c>
      <c r="G252" s="8">
        <v>38.880000000000003</v>
      </c>
      <c r="H252" s="8">
        <v>1.0049999999999999</v>
      </c>
      <c r="I252" s="8">
        <v>1.2929999999999999</v>
      </c>
      <c r="J252" s="41">
        <v>32.1</v>
      </c>
      <c r="K252" s="8">
        <v>23</v>
      </c>
      <c r="L252" s="8">
        <f t="shared" si="61"/>
        <v>9.1000000000000014</v>
      </c>
      <c r="M252" s="27">
        <f t="shared" si="62"/>
        <v>275.85666763199998</v>
      </c>
      <c r="N252" s="27"/>
      <c r="O252" s="8">
        <v>0.27700000000000002</v>
      </c>
      <c r="P252" s="18">
        <f t="shared" si="63"/>
        <v>76.412296934064003</v>
      </c>
      <c r="Q252" s="8">
        <f>31*16</f>
        <v>496</v>
      </c>
      <c r="R252" s="40">
        <f t="shared" si="64"/>
        <v>37.900499279295744</v>
      </c>
    </row>
    <row r="253" spans="5:18" ht="15" x14ac:dyDescent="0.4">
      <c r="E253" s="314" t="s">
        <v>88</v>
      </c>
      <c r="F253" s="315"/>
      <c r="G253" s="315"/>
      <c r="H253" s="315"/>
      <c r="I253" s="315"/>
      <c r="J253" s="315"/>
      <c r="K253" s="315"/>
      <c r="L253" s="315"/>
      <c r="M253" s="315"/>
      <c r="N253" s="315"/>
      <c r="O253" s="315"/>
      <c r="P253" s="315"/>
      <c r="Q253" s="315"/>
      <c r="R253" s="84">
        <f>SUM(R241:R252)</f>
        <v>451.68904139309569</v>
      </c>
    </row>
    <row r="254" spans="5:18" ht="14" x14ac:dyDescent="0.25">
      <c r="E254" s="44" t="s">
        <v>15</v>
      </c>
      <c r="F254" s="8">
        <v>0.6</v>
      </c>
      <c r="G254" s="8">
        <v>38.880000000000003</v>
      </c>
      <c r="H254" s="8">
        <v>1.0049999999999999</v>
      </c>
      <c r="I254" s="8">
        <v>1.2929999999999999</v>
      </c>
      <c r="J254" s="71">
        <v>31.6</v>
      </c>
      <c r="K254" s="8">
        <v>24</v>
      </c>
      <c r="L254" s="8">
        <f>J254-K254</f>
        <v>7.6000000000000014</v>
      </c>
      <c r="M254" s="27">
        <f>F254*G254*H254*I254*L254</f>
        <v>230.38578835199999</v>
      </c>
      <c r="N254" s="27"/>
      <c r="O254" s="8">
        <v>0.27700000000000002</v>
      </c>
      <c r="P254" s="18">
        <f>M254*O254</f>
        <v>63.816863373504006</v>
      </c>
      <c r="Q254" s="8">
        <f>31*16</f>
        <v>496</v>
      </c>
      <c r="R254" s="40">
        <f>(P254*Q254)/1000</f>
        <v>31.653164233257986</v>
      </c>
    </row>
    <row r="255" spans="5:18" ht="14" x14ac:dyDescent="0.25">
      <c r="E255" s="44" t="s">
        <v>16</v>
      </c>
      <c r="F255" s="8">
        <v>0.6</v>
      </c>
      <c r="G255" s="8">
        <v>38.880000000000003</v>
      </c>
      <c r="H255" s="8">
        <v>1.0049999999999999</v>
      </c>
      <c r="I255" s="8">
        <v>1.2929999999999999</v>
      </c>
      <c r="J255" s="71">
        <v>31.7</v>
      </c>
      <c r="K255" s="8">
        <v>24</v>
      </c>
      <c r="L255" s="8">
        <f t="shared" ref="L255:L265" si="65">J255-K255</f>
        <v>7.6999999999999993</v>
      </c>
      <c r="M255" s="27">
        <f t="shared" ref="M255:M265" si="66">F255*G255*H255*I255*L255</f>
        <v>233.41718030399991</v>
      </c>
      <c r="N255" s="27"/>
      <c r="O255" s="8">
        <v>0.27700000000000002</v>
      </c>
      <c r="P255" s="18">
        <f t="shared" ref="P255:P265" si="67">M255*O255</f>
        <v>64.656558944207987</v>
      </c>
      <c r="Q255" s="8">
        <f>28*16</f>
        <v>448</v>
      </c>
      <c r="R255" s="40">
        <f t="shared" ref="R255:R265" si="68">(P255*Q255)/1000</f>
        <v>28.966138407005179</v>
      </c>
    </row>
    <row r="256" spans="5:18" ht="14" x14ac:dyDescent="0.25">
      <c r="E256" s="44" t="s">
        <v>17</v>
      </c>
      <c r="F256" s="8">
        <v>0.6</v>
      </c>
      <c r="G256" s="8">
        <v>38.880000000000003</v>
      </c>
      <c r="H256" s="8">
        <v>1.0049999999999999</v>
      </c>
      <c r="I256" s="8">
        <v>1.2929999999999999</v>
      </c>
      <c r="J256" s="71">
        <v>32.200000000000003</v>
      </c>
      <c r="K256" s="8">
        <v>24</v>
      </c>
      <c r="L256" s="8">
        <f t="shared" si="65"/>
        <v>8.2000000000000028</v>
      </c>
      <c r="M256" s="27">
        <f t="shared" si="66"/>
        <v>248.57414006400001</v>
      </c>
      <c r="N256" s="27"/>
      <c r="O256" s="8">
        <v>0.27700000000000002</v>
      </c>
      <c r="P256" s="18">
        <f t="shared" si="67"/>
        <v>68.855036797728005</v>
      </c>
      <c r="Q256" s="8">
        <f>31*16</f>
        <v>496</v>
      </c>
      <c r="R256" s="40">
        <f t="shared" si="68"/>
        <v>34.152098251673088</v>
      </c>
    </row>
    <row r="257" spans="5:18" ht="14" x14ac:dyDescent="0.25">
      <c r="E257" s="44" t="s">
        <v>18</v>
      </c>
      <c r="F257" s="8">
        <v>0.6</v>
      </c>
      <c r="G257" s="8">
        <v>38.880000000000003</v>
      </c>
      <c r="H257" s="8">
        <v>1.0049999999999999</v>
      </c>
      <c r="I257" s="8">
        <v>1.2929999999999999</v>
      </c>
      <c r="J257" s="71">
        <v>32.200000000000003</v>
      </c>
      <c r="K257" s="8">
        <v>24</v>
      </c>
      <c r="L257" s="8">
        <f t="shared" si="65"/>
        <v>8.2000000000000028</v>
      </c>
      <c r="M257" s="27">
        <f t="shared" si="66"/>
        <v>248.57414006400001</v>
      </c>
      <c r="N257" s="27"/>
      <c r="O257" s="8">
        <v>0.27700000000000002</v>
      </c>
      <c r="P257" s="18">
        <f t="shared" si="67"/>
        <v>68.855036797728005</v>
      </c>
      <c r="Q257" s="8">
        <f>30*16</f>
        <v>480</v>
      </c>
      <c r="R257" s="40">
        <f t="shared" si="68"/>
        <v>33.050417662909446</v>
      </c>
    </row>
    <row r="258" spans="5:18" ht="14" x14ac:dyDescent="0.25">
      <c r="E258" s="44" t="s">
        <v>12</v>
      </c>
      <c r="F258" s="8">
        <v>0.6</v>
      </c>
      <c r="G258" s="8">
        <v>38.880000000000003</v>
      </c>
      <c r="H258" s="8">
        <v>1.0049999999999999</v>
      </c>
      <c r="I258" s="8">
        <v>1.2929999999999999</v>
      </c>
      <c r="J258" s="71">
        <v>32.4</v>
      </c>
      <c r="K258" s="8">
        <v>24</v>
      </c>
      <c r="L258" s="8">
        <f t="shared" si="65"/>
        <v>8.3999999999999986</v>
      </c>
      <c r="M258" s="27">
        <f t="shared" si="66"/>
        <v>254.63692396799988</v>
      </c>
      <c r="N258" s="27"/>
      <c r="O258" s="8">
        <v>0.27700000000000002</v>
      </c>
      <c r="P258" s="18">
        <f t="shared" si="67"/>
        <v>70.534427939135966</v>
      </c>
      <c r="Q258" s="8">
        <f>31*16</f>
        <v>496</v>
      </c>
      <c r="R258" s="40">
        <f t="shared" si="68"/>
        <v>34.985076257811436</v>
      </c>
    </row>
    <row r="259" spans="5:18" ht="14" x14ac:dyDescent="0.25">
      <c r="E259" s="44" t="s">
        <v>13</v>
      </c>
      <c r="F259" s="8">
        <v>0.6</v>
      </c>
      <c r="G259" s="8">
        <v>38.880000000000003</v>
      </c>
      <c r="H259" s="8">
        <v>1.0049999999999999</v>
      </c>
      <c r="I259" s="8">
        <v>1.2929999999999999</v>
      </c>
      <c r="J259" s="71">
        <v>32.200000000000003</v>
      </c>
      <c r="K259" s="8">
        <v>24</v>
      </c>
      <c r="L259" s="8">
        <f t="shared" si="65"/>
        <v>8.2000000000000028</v>
      </c>
      <c r="M259" s="27">
        <f t="shared" si="66"/>
        <v>248.57414006400001</v>
      </c>
      <c r="N259" s="27"/>
      <c r="O259" s="8">
        <v>0.27700000000000002</v>
      </c>
      <c r="P259" s="18">
        <f t="shared" si="67"/>
        <v>68.855036797728005</v>
      </c>
      <c r="Q259" s="8">
        <f>30*16</f>
        <v>480</v>
      </c>
      <c r="R259" s="40">
        <f t="shared" si="68"/>
        <v>33.050417662909446</v>
      </c>
    </row>
    <row r="260" spans="5:18" ht="14" x14ac:dyDescent="0.25">
      <c r="E260" s="44" t="s">
        <v>24</v>
      </c>
      <c r="F260" s="8">
        <v>0.6</v>
      </c>
      <c r="G260" s="8">
        <v>38.880000000000003</v>
      </c>
      <c r="H260" s="8">
        <v>1.0049999999999999</v>
      </c>
      <c r="I260" s="8">
        <v>1.2929999999999999</v>
      </c>
      <c r="J260" s="41">
        <v>32.1</v>
      </c>
      <c r="K260" s="8">
        <v>24</v>
      </c>
      <c r="L260" s="8">
        <f t="shared" si="65"/>
        <v>8.1000000000000014</v>
      </c>
      <c r="M260" s="27">
        <f t="shared" si="66"/>
        <v>245.54274811199997</v>
      </c>
      <c r="N260" s="27"/>
      <c r="O260" s="8">
        <v>0.27700000000000002</v>
      </c>
      <c r="P260" s="18">
        <f t="shared" si="67"/>
        <v>68.015341227023995</v>
      </c>
      <c r="Q260" s="8">
        <f>31*16</f>
        <v>496</v>
      </c>
      <c r="R260" s="40">
        <f t="shared" si="68"/>
        <v>33.735609248603907</v>
      </c>
    </row>
    <row r="261" spans="5:18" ht="14" x14ac:dyDescent="0.25">
      <c r="E261" s="44" t="s">
        <v>19</v>
      </c>
      <c r="F261" s="8">
        <v>0.6</v>
      </c>
      <c r="G261" s="8">
        <v>38.880000000000003</v>
      </c>
      <c r="H261" s="8">
        <v>1.0049999999999999</v>
      </c>
      <c r="I261" s="8">
        <v>1.2929999999999999</v>
      </c>
      <c r="J261" s="41">
        <v>32.5</v>
      </c>
      <c r="K261" s="8">
        <v>24</v>
      </c>
      <c r="L261" s="8">
        <f t="shared" si="65"/>
        <v>8.5</v>
      </c>
      <c r="M261" s="27">
        <f t="shared" si="66"/>
        <v>257.66831591999994</v>
      </c>
      <c r="N261" s="27"/>
      <c r="O261" s="8">
        <v>0.27700000000000002</v>
      </c>
      <c r="P261" s="18">
        <f t="shared" si="67"/>
        <v>71.37412350983999</v>
      </c>
      <c r="Q261" s="8">
        <f>31*16</f>
        <v>496</v>
      </c>
      <c r="R261" s="40">
        <f t="shared" si="68"/>
        <v>35.401565260880631</v>
      </c>
    </row>
    <row r="262" spans="5:18" ht="14" x14ac:dyDescent="0.25">
      <c r="E262" s="44" t="s">
        <v>20</v>
      </c>
      <c r="F262" s="8">
        <v>0.6</v>
      </c>
      <c r="G262" s="8">
        <v>38.880000000000003</v>
      </c>
      <c r="H262" s="8">
        <v>1.0049999999999999</v>
      </c>
      <c r="I262" s="8">
        <v>1.2929999999999999</v>
      </c>
      <c r="J262" s="41">
        <v>32.799999999999997</v>
      </c>
      <c r="K262" s="8">
        <v>24</v>
      </c>
      <c r="L262" s="8">
        <f t="shared" si="65"/>
        <v>8.7999999999999972</v>
      </c>
      <c r="M262" s="27">
        <f t="shared" si="66"/>
        <v>266.76249177599982</v>
      </c>
      <c r="N262" s="27"/>
      <c r="O262" s="8">
        <v>0.27700000000000002</v>
      </c>
      <c r="P262" s="18">
        <f t="shared" si="67"/>
        <v>73.893210221951961</v>
      </c>
      <c r="Q262" s="8">
        <f>30*16</f>
        <v>480</v>
      </c>
      <c r="R262" s="40">
        <f t="shared" si="68"/>
        <v>35.468740906536944</v>
      </c>
    </row>
    <row r="263" spans="5:18" ht="14" x14ac:dyDescent="0.25">
      <c r="E263" s="44" t="s">
        <v>21</v>
      </c>
      <c r="F263" s="8">
        <v>0.6</v>
      </c>
      <c r="G263" s="8">
        <v>38.880000000000003</v>
      </c>
      <c r="H263" s="8">
        <v>1.0049999999999999</v>
      </c>
      <c r="I263" s="8">
        <v>1.2929999999999999</v>
      </c>
      <c r="J263" s="41">
        <v>32.5</v>
      </c>
      <c r="K263" s="8">
        <v>24</v>
      </c>
      <c r="L263" s="8">
        <f t="shared" si="65"/>
        <v>8.5</v>
      </c>
      <c r="M263" s="27">
        <f t="shared" si="66"/>
        <v>257.66831591999994</v>
      </c>
      <c r="N263" s="27"/>
      <c r="O263" s="8">
        <v>0.27700000000000002</v>
      </c>
      <c r="P263" s="18">
        <f t="shared" si="67"/>
        <v>71.37412350983999</v>
      </c>
      <c r="Q263" s="8">
        <f>31*16</f>
        <v>496</v>
      </c>
      <c r="R263" s="40">
        <f t="shared" si="68"/>
        <v>35.401565260880631</v>
      </c>
    </row>
    <row r="264" spans="5:18" ht="14" x14ac:dyDescent="0.25">
      <c r="E264" s="44" t="s">
        <v>22</v>
      </c>
      <c r="F264" s="8">
        <v>0.6</v>
      </c>
      <c r="G264" s="8">
        <v>38.880000000000003</v>
      </c>
      <c r="H264" s="8">
        <v>1.0049999999999999</v>
      </c>
      <c r="I264" s="8">
        <v>1.2929999999999999</v>
      </c>
      <c r="J264" s="41">
        <v>32.200000000000003</v>
      </c>
      <c r="K264" s="8">
        <v>24</v>
      </c>
      <c r="L264" s="8">
        <f t="shared" si="65"/>
        <v>8.2000000000000028</v>
      </c>
      <c r="M264" s="27">
        <f t="shared" si="66"/>
        <v>248.57414006400001</v>
      </c>
      <c r="N264" s="27"/>
      <c r="O264" s="8">
        <v>0.27700000000000002</v>
      </c>
      <c r="P264" s="18">
        <f t="shared" si="67"/>
        <v>68.855036797728005</v>
      </c>
      <c r="Q264" s="8">
        <f>30*16</f>
        <v>480</v>
      </c>
      <c r="R264" s="40">
        <f t="shared" si="68"/>
        <v>33.050417662909446</v>
      </c>
    </row>
    <row r="265" spans="5:18" ht="14" x14ac:dyDescent="0.25">
      <c r="E265" s="44" t="s">
        <v>23</v>
      </c>
      <c r="F265" s="8">
        <v>0.6</v>
      </c>
      <c r="G265" s="8">
        <v>38.880000000000003</v>
      </c>
      <c r="H265" s="8">
        <v>1.0049999999999999</v>
      </c>
      <c r="I265" s="8">
        <v>1.2929999999999999</v>
      </c>
      <c r="J265" s="41">
        <v>32.1</v>
      </c>
      <c r="K265" s="8">
        <v>24</v>
      </c>
      <c r="L265" s="8">
        <f t="shared" si="65"/>
        <v>8.1000000000000014</v>
      </c>
      <c r="M265" s="27">
        <f t="shared" si="66"/>
        <v>245.54274811199997</v>
      </c>
      <c r="N265" s="27"/>
      <c r="O265" s="8">
        <v>0.27700000000000002</v>
      </c>
      <c r="P265" s="18">
        <f t="shared" si="67"/>
        <v>68.015341227023995</v>
      </c>
      <c r="Q265" s="8">
        <f>31*16</f>
        <v>496</v>
      </c>
      <c r="R265" s="40">
        <f t="shared" si="68"/>
        <v>33.735609248603907</v>
      </c>
    </row>
    <row r="266" spans="5:18" ht="15" x14ac:dyDescent="0.4">
      <c r="E266" s="314" t="s">
        <v>90</v>
      </c>
      <c r="F266" s="315"/>
      <c r="G266" s="315"/>
      <c r="H266" s="315"/>
      <c r="I266" s="315"/>
      <c r="J266" s="315"/>
      <c r="K266" s="315"/>
      <c r="L266" s="315"/>
      <c r="M266" s="315"/>
      <c r="N266" s="315"/>
      <c r="O266" s="315"/>
      <c r="P266" s="315"/>
      <c r="Q266" s="315"/>
      <c r="R266" s="84">
        <f>SUM(R254:R265)</f>
        <v>402.65082006398205</v>
      </c>
    </row>
    <row r="267" spans="5:18" ht="14" x14ac:dyDescent="0.25">
      <c r="E267" s="44" t="s">
        <v>15</v>
      </c>
      <c r="F267" s="8">
        <v>0.6</v>
      </c>
      <c r="G267" s="8">
        <v>38.880000000000003</v>
      </c>
      <c r="H267" s="8">
        <v>1.0049999999999999</v>
      </c>
      <c r="I267" s="8">
        <v>1.2929999999999999</v>
      </c>
      <c r="J267" s="71">
        <v>31.6</v>
      </c>
      <c r="K267" s="8">
        <v>25</v>
      </c>
      <c r="L267" s="8">
        <f>J267-K267</f>
        <v>6.6000000000000014</v>
      </c>
      <c r="M267" s="27">
        <f>F267*G267*H267*I267*L267</f>
        <v>200.07186883199998</v>
      </c>
      <c r="N267" s="27"/>
      <c r="O267" s="8">
        <v>0.27700000000000002</v>
      </c>
      <c r="P267" s="18">
        <f>M267*O267</f>
        <v>55.419907666463999</v>
      </c>
      <c r="Q267" s="8">
        <f>31*16</f>
        <v>496</v>
      </c>
      <c r="R267" s="40">
        <f>(P267*Q267)/1000</f>
        <v>27.488274202566142</v>
      </c>
    </row>
    <row r="268" spans="5:18" ht="14" x14ac:dyDescent="0.25">
      <c r="E268" s="44" t="s">
        <v>16</v>
      </c>
      <c r="F268" s="8">
        <v>0.6</v>
      </c>
      <c r="G268" s="8">
        <v>38.880000000000003</v>
      </c>
      <c r="H268" s="8">
        <v>1.0049999999999999</v>
      </c>
      <c r="I268" s="8">
        <v>1.2929999999999999</v>
      </c>
      <c r="J268" s="71">
        <v>31.7</v>
      </c>
      <c r="K268" s="8">
        <v>25</v>
      </c>
      <c r="L268" s="8">
        <f t="shared" ref="L268:L278" si="69">J268-K268</f>
        <v>6.6999999999999993</v>
      </c>
      <c r="M268" s="27">
        <f t="shared" ref="M268:M278" si="70">F268*G268*H268*I268*L268</f>
        <v>203.10326078399993</v>
      </c>
      <c r="N268" s="27"/>
      <c r="O268" s="8">
        <v>0.27700000000000002</v>
      </c>
      <c r="P268" s="18">
        <f t="shared" ref="P268:P278" si="71">M268*O268</f>
        <v>56.259603237167987</v>
      </c>
      <c r="Q268" s="8">
        <f>28*16</f>
        <v>448</v>
      </c>
      <c r="R268" s="40">
        <f t="shared" ref="R268:R278" si="72">(P268*Q268)/1000</f>
        <v>25.204302250251256</v>
      </c>
    </row>
    <row r="269" spans="5:18" ht="14" x14ac:dyDescent="0.25">
      <c r="E269" s="44" t="s">
        <v>17</v>
      </c>
      <c r="F269" s="8">
        <v>0.6</v>
      </c>
      <c r="G269" s="8">
        <v>38.880000000000003</v>
      </c>
      <c r="H269" s="8">
        <v>1.0049999999999999</v>
      </c>
      <c r="I269" s="8">
        <v>1.2929999999999999</v>
      </c>
      <c r="J269" s="71">
        <v>32.200000000000003</v>
      </c>
      <c r="K269" s="8">
        <v>25</v>
      </c>
      <c r="L269" s="8">
        <f t="shared" si="69"/>
        <v>7.2000000000000028</v>
      </c>
      <c r="M269" s="27">
        <f t="shared" si="70"/>
        <v>218.26022054400002</v>
      </c>
      <c r="N269" s="27"/>
      <c r="O269" s="8">
        <v>0.27700000000000002</v>
      </c>
      <c r="P269" s="18">
        <f t="shared" si="71"/>
        <v>60.458081090688012</v>
      </c>
      <c r="Q269" s="8">
        <f>31*16</f>
        <v>496</v>
      </c>
      <c r="R269" s="40">
        <f t="shared" si="72"/>
        <v>29.987208220981255</v>
      </c>
    </row>
    <row r="270" spans="5:18" ht="14" x14ac:dyDescent="0.25">
      <c r="E270" s="44" t="s">
        <v>18</v>
      </c>
      <c r="F270" s="8">
        <v>0.6</v>
      </c>
      <c r="G270" s="8">
        <v>38.880000000000003</v>
      </c>
      <c r="H270" s="8">
        <v>1.0049999999999999</v>
      </c>
      <c r="I270" s="8">
        <v>1.2929999999999999</v>
      </c>
      <c r="J270" s="71">
        <v>32.200000000000003</v>
      </c>
      <c r="K270" s="8">
        <v>25</v>
      </c>
      <c r="L270" s="8">
        <f t="shared" si="69"/>
        <v>7.2000000000000028</v>
      </c>
      <c r="M270" s="27">
        <f t="shared" si="70"/>
        <v>218.26022054400002</v>
      </c>
      <c r="N270" s="27"/>
      <c r="O270" s="8">
        <v>0.27700000000000002</v>
      </c>
      <c r="P270" s="18">
        <f t="shared" si="71"/>
        <v>60.458081090688012</v>
      </c>
      <c r="Q270" s="8">
        <f>30*16</f>
        <v>480</v>
      </c>
      <c r="R270" s="40">
        <f t="shared" si="72"/>
        <v>29.019878923530246</v>
      </c>
    </row>
    <row r="271" spans="5:18" ht="14" x14ac:dyDescent="0.25">
      <c r="E271" s="44" t="s">
        <v>12</v>
      </c>
      <c r="F271" s="8">
        <v>0.6</v>
      </c>
      <c r="G271" s="8">
        <v>38.880000000000003</v>
      </c>
      <c r="H271" s="8">
        <v>1.0049999999999999</v>
      </c>
      <c r="I271" s="8">
        <v>1.2929999999999999</v>
      </c>
      <c r="J271" s="71">
        <v>32.4</v>
      </c>
      <c r="K271" s="8">
        <v>25</v>
      </c>
      <c r="L271" s="8">
        <f t="shared" si="69"/>
        <v>7.3999999999999986</v>
      </c>
      <c r="M271" s="27">
        <f t="shared" si="70"/>
        <v>224.32300444799989</v>
      </c>
      <c r="N271" s="27"/>
      <c r="O271" s="8">
        <v>0.27700000000000002</v>
      </c>
      <c r="P271" s="18">
        <f t="shared" si="71"/>
        <v>62.137472232095973</v>
      </c>
      <c r="Q271" s="8">
        <f>31*16</f>
        <v>496</v>
      </c>
      <c r="R271" s="40">
        <f t="shared" si="72"/>
        <v>30.820186227119603</v>
      </c>
    </row>
    <row r="272" spans="5:18" ht="14" x14ac:dyDescent="0.25">
      <c r="E272" s="44" t="s">
        <v>13</v>
      </c>
      <c r="F272" s="8">
        <v>0.6</v>
      </c>
      <c r="G272" s="8">
        <v>38.880000000000003</v>
      </c>
      <c r="H272" s="8">
        <v>1.0049999999999999</v>
      </c>
      <c r="I272" s="8">
        <v>1.2929999999999999</v>
      </c>
      <c r="J272" s="71">
        <v>32.200000000000003</v>
      </c>
      <c r="K272" s="8">
        <v>25</v>
      </c>
      <c r="L272" s="8">
        <f t="shared" si="69"/>
        <v>7.2000000000000028</v>
      </c>
      <c r="M272" s="27">
        <f t="shared" si="70"/>
        <v>218.26022054400002</v>
      </c>
      <c r="N272" s="27"/>
      <c r="O272" s="8">
        <v>0.27700000000000002</v>
      </c>
      <c r="P272" s="18">
        <f t="shared" si="71"/>
        <v>60.458081090688012</v>
      </c>
      <c r="Q272" s="8">
        <f>30*16</f>
        <v>480</v>
      </c>
      <c r="R272" s="40">
        <f t="shared" si="72"/>
        <v>29.019878923530246</v>
      </c>
    </row>
    <row r="273" spans="5:18" ht="14" x14ac:dyDescent="0.25">
      <c r="E273" s="44" t="s">
        <v>24</v>
      </c>
      <c r="F273" s="8">
        <v>0.6</v>
      </c>
      <c r="G273" s="8">
        <v>38.880000000000003</v>
      </c>
      <c r="H273" s="8">
        <v>1.0049999999999999</v>
      </c>
      <c r="I273" s="8">
        <v>1.2929999999999999</v>
      </c>
      <c r="J273" s="41">
        <v>32.1</v>
      </c>
      <c r="K273" s="8">
        <v>25</v>
      </c>
      <c r="L273" s="8">
        <f t="shared" si="69"/>
        <v>7.1000000000000014</v>
      </c>
      <c r="M273" s="27">
        <f t="shared" si="70"/>
        <v>215.22882859199999</v>
      </c>
      <c r="N273" s="27"/>
      <c r="O273" s="8">
        <v>0.27700000000000002</v>
      </c>
      <c r="P273" s="18">
        <f t="shared" si="71"/>
        <v>59.618385519984002</v>
      </c>
      <c r="Q273" s="8">
        <f>31*16</f>
        <v>496</v>
      </c>
      <c r="R273" s="40">
        <f t="shared" si="72"/>
        <v>29.570719217912064</v>
      </c>
    </row>
    <row r="274" spans="5:18" ht="14" x14ac:dyDescent="0.25">
      <c r="E274" s="44" t="s">
        <v>19</v>
      </c>
      <c r="F274" s="8">
        <v>0.6</v>
      </c>
      <c r="G274" s="8">
        <v>38.880000000000003</v>
      </c>
      <c r="H274" s="8">
        <v>1.0049999999999999</v>
      </c>
      <c r="I274" s="8">
        <v>1.2929999999999999</v>
      </c>
      <c r="J274" s="41">
        <v>32.5</v>
      </c>
      <c r="K274" s="8">
        <v>25</v>
      </c>
      <c r="L274" s="8">
        <f t="shared" si="69"/>
        <v>7.5</v>
      </c>
      <c r="M274" s="27">
        <f t="shared" si="70"/>
        <v>227.35439639999993</v>
      </c>
      <c r="N274" s="27"/>
      <c r="O274" s="8">
        <v>0.27700000000000002</v>
      </c>
      <c r="P274" s="18">
        <f t="shared" si="71"/>
        <v>62.977167802799983</v>
      </c>
      <c r="Q274" s="8">
        <f>31*16</f>
        <v>496</v>
      </c>
      <c r="R274" s="40">
        <f t="shared" si="72"/>
        <v>31.236675230188791</v>
      </c>
    </row>
    <row r="275" spans="5:18" ht="14" x14ac:dyDescent="0.25">
      <c r="E275" s="44" t="s">
        <v>20</v>
      </c>
      <c r="F275" s="8">
        <v>0.6</v>
      </c>
      <c r="G275" s="8">
        <v>38.880000000000003</v>
      </c>
      <c r="H275" s="8">
        <v>1.0049999999999999</v>
      </c>
      <c r="I275" s="8">
        <v>1.2929999999999999</v>
      </c>
      <c r="J275" s="41">
        <v>32.799999999999997</v>
      </c>
      <c r="K275" s="8">
        <v>25</v>
      </c>
      <c r="L275" s="8">
        <f t="shared" si="69"/>
        <v>7.7999999999999972</v>
      </c>
      <c r="M275" s="27">
        <f t="shared" si="70"/>
        <v>236.44857225599986</v>
      </c>
      <c r="N275" s="27"/>
      <c r="O275" s="8">
        <v>0.27700000000000002</v>
      </c>
      <c r="P275" s="18">
        <f t="shared" si="71"/>
        <v>65.496254514911968</v>
      </c>
      <c r="Q275" s="8">
        <f>30*16</f>
        <v>480</v>
      </c>
      <c r="R275" s="40">
        <f t="shared" si="72"/>
        <v>31.438202167157748</v>
      </c>
    </row>
    <row r="276" spans="5:18" ht="14" x14ac:dyDescent="0.25">
      <c r="E276" s="44" t="s">
        <v>21</v>
      </c>
      <c r="F276" s="8">
        <v>0.6</v>
      </c>
      <c r="G276" s="8">
        <v>38.880000000000003</v>
      </c>
      <c r="H276" s="8">
        <v>1.0049999999999999</v>
      </c>
      <c r="I276" s="8">
        <v>1.2929999999999999</v>
      </c>
      <c r="J276" s="41">
        <v>32.5</v>
      </c>
      <c r="K276" s="8">
        <v>25</v>
      </c>
      <c r="L276" s="8">
        <f t="shared" si="69"/>
        <v>7.5</v>
      </c>
      <c r="M276" s="27">
        <f t="shared" si="70"/>
        <v>227.35439639999993</v>
      </c>
      <c r="N276" s="27"/>
      <c r="O276" s="8">
        <v>0.27700000000000002</v>
      </c>
      <c r="P276" s="18">
        <f t="shared" si="71"/>
        <v>62.977167802799983</v>
      </c>
      <c r="Q276" s="8">
        <f>31*16</f>
        <v>496</v>
      </c>
      <c r="R276" s="40">
        <f t="shared" si="72"/>
        <v>31.236675230188791</v>
      </c>
    </row>
    <row r="277" spans="5:18" ht="14" x14ac:dyDescent="0.25">
      <c r="E277" s="44" t="s">
        <v>22</v>
      </c>
      <c r="F277" s="8">
        <v>0.6</v>
      </c>
      <c r="G277" s="8">
        <v>38.880000000000003</v>
      </c>
      <c r="H277" s="8">
        <v>1.0049999999999999</v>
      </c>
      <c r="I277" s="8">
        <v>1.2929999999999999</v>
      </c>
      <c r="J277" s="41">
        <v>32.200000000000003</v>
      </c>
      <c r="K277" s="8">
        <v>25</v>
      </c>
      <c r="L277" s="8">
        <f t="shared" si="69"/>
        <v>7.2000000000000028</v>
      </c>
      <c r="M277" s="27">
        <f t="shared" si="70"/>
        <v>218.26022054400002</v>
      </c>
      <c r="N277" s="27"/>
      <c r="O277" s="8">
        <v>0.27700000000000002</v>
      </c>
      <c r="P277" s="18">
        <f t="shared" si="71"/>
        <v>60.458081090688012</v>
      </c>
      <c r="Q277" s="8">
        <f>30*16</f>
        <v>480</v>
      </c>
      <c r="R277" s="40">
        <f t="shared" si="72"/>
        <v>29.019878923530246</v>
      </c>
    </row>
    <row r="278" spans="5:18" ht="14" x14ac:dyDescent="0.25">
      <c r="E278" s="44" t="s">
        <v>23</v>
      </c>
      <c r="F278" s="8">
        <v>0.6</v>
      </c>
      <c r="G278" s="8">
        <v>38.880000000000003</v>
      </c>
      <c r="H278" s="8">
        <v>1.0049999999999999</v>
      </c>
      <c r="I278" s="8">
        <v>1.2929999999999999</v>
      </c>
      <c r="J278" s="41">
        <v>32.1</v>
      </c>
      <c r="K278" s="8">
        <v>25</v>
      </c>
      <c r="L278" s="8">
        <f t="shared" si="69"/>
        <v>7.1000000000000014</v>
      </c>
      <c r="M278" s="27">
        <f t="shared" si="70"/>
        <v>215.22882859199999</v>
      </c>
      <c r="N278" s="27"/>
      <c r="O278" s="8">
        <v>0.27700000000000002</v>
      </c>
      <c r="P278" s="18">
        <f t="shared" si="71"/>
        <v>59.618385519984002</v>
      </c>
      <c r="Q278" s="8">
        <f>31*16</f>
        <v>496</v>
      </c>
      <c r="R278" s="40">
        <f t="shared" si="72"/>
        <v>29.570719217912064</v>
      </c>
    </row>
    <row r="279" spans="5:18" ht="15" x14ac:dyDescent="0.4">
      <c r="E279" s="314" t="s">
        <v>91</v>
      </c>
      <c r="F279" s="315"/>
      <c r="G279" s="315"/>
      <c r="H279" s="315"/>
      <c r="I279" s="315"/>
      <c r="J279" s="315"/>
      <c r="K279" s="315"/>
      <c r="L279" s="315"/>
      <c r="M279" s="315"/>
      <c r="N279" s="315"/>
      <c r="O279" s="315"/>
      <c r="P279" s="315"/>
      <c r="Q279" s="315"/>
      <c r="R279" s="84">
        <f>SUM(R267:R278)</f>
        <v>353.61259873486847</v>
      </c>
    </row>
    <row r="280" spans="5:18" ht="14" x14ac:dyDescent="0.25">
      <c r="E280" s="44" t="s">
        <v>15</v>
      </c>
      <c r="F280" s="8">
        <v>0.6</v>
      </c>
      <c r="G280" s="8">
        <v>38.880000000000003</v>
      </c>
      <c r="H280" s="8">
        <v>1.0049999999999999</v>
      </c>
      <c r="I280" s="8">
        <v>1.2929999999999999</v>
      </c>
      <c r="J280" s="71">
        <v>31.6</v>
      </c>
      <c r="K280" s="8">
        <v>26</v>
      </c>
      <c r="L280" s="8">
        <f>J280-K280</f>
        <v>5.6000000000000014</v>
      </c>
      <c r="M280" s="27">
        <f>F280*G280*H280*I280*L280</f>
        <v>169.75794931199999</v>
      </c>
      <c r="N280" s="27"/>
      <c r="O280" s="8">
        <v>0.27700000000000002</v>
      </c>
      <c r="P280" s="18">
        <f>M280*O280</f>
        <v>47.022951959423999</v>
      </c>
      <c r="Q280" s="8">
        <f>31*16</f>
        <v>496</v>
      </c>
      <c r="R280" s="40">
        <f>(P280*Q280)/1000</f>
        <v>23.323384171874302</v>
      </c>
    </row>
    <row r="281" spans="5:18" ht="14" x14ac:dyDescent="0.25">
      <c r="E281" s="44" t="s">
        <v>16</v>
      </c>
      <c r="F281" s="8">
        <v>0.6</v>
      </c>
      <c r="G281" s="8">
        <v>38.880000000000003</v>
      </c>
      <c r="H281" s="8">
        <v>1.0049999999999999</v>
      </c>
      <c r="I281" s="8">
        <v>1.2929999999999999</v>
      </c>
      <c r="J281" s="71">
        <v>31.7</v>
      </c>
      <c r="K281" s="8">
        <v>26</v>
      </c>
      <c r="L281" s="8">
        <f t="shared" ref="L281:L291" si="73">J281-K281</f>
        <v>5.6999999999999993</v>
      </c>
      <c r="M281" s="27">
        <f t="shared" ref="M281:M291" si="74">F281*G281*H281*I281*L281</f>
        <v>172.78934126399994</v>
      </c>
      <c r="N281" s="27"/>
      <c r="O281" s="8">
        <v>0.27700000000000002</v>
      </c>
      <c r="P281" s="18">
        <f t="shared" ref="P281:P291" si="75">M281*O281</f>
        <v>47.862647530127987</v>
      </c>
      <c r="Q281" s="8">
        <f>28*16</f>
        <v>448</v>
      </c>
      <c r="R281" s="40">
        <f t="shared" ref="R281:R291" si="76">(P281*Q281)/1000</f>
        <v>21.442466093497337</v>
      </c>
    </row>
    <row r="282" spans="5:18" ht="14" x14ac:dyDescent="0.25">
      <c r="E282" s="44" t="s">
        <v>17</v>
      </c>
      <c r="F282" s="8">
        <v>0.6</v>
      </c>
      <c r="G282" s="8">
        <v>38.880000000000003</v>
      </c>
      <c r="H282" s="8">
        <v>1.0049999999999999</v>
      </c>
      <c r="I282" s="8">
        <v>1.2929999999999999</v>
      </c>
      <c r="J282" s="71">
        <v>32.200000000000003</v>
      </c>
      <c r="K282" s="8">
        <v>26</v>
      </c>
      <c r="L282" s="8">
        <f t="shared" si="73"/>
        <v>6.2000000000000028</v>
      </c>
      <c r="M282" s="27">
        <f t="shared" si="74"/>
        <v>187.94630102400004</v>
      </c>
      <c r="N282" s="27"/>
      <c r="O282" s="8">
        <v>0.27700000000000002</v>
      </c>
      <c r="P282" s="18">
        <f t="shared" si="75"/>
        <v>52.061125383648012</v>
      </c>
      <c r="Q282" s="8">
        <f>31*16</f>
        <v>496</v>
      </c>
      <c r="R282" s="40">
        <f t="shared" si="76"/>
        <v>25.822318190289415</v>
      </c>
    </row>
    <row r="283" spans="5:18" ht="14" x14ac:dyDescent="0.25">
      <c r="E283" s="44" t="s">
        <v>18</v>
      </c>
      <c r="F283" s="8">
        <v>0.6</v>
      </c>
      <c r="G283" s="8">
        <v>38.880000000000003</v>
      </c>
      <c r="H283" s="8">
        <v>1.0049999999999999</v>
      </c>
      <c r="I283" s="8">
        <v>1.2929999999999999</v>
      </c>
      <c r="J283" s="71">
        <v>32.200000000000003</v>
      </c>
      <c r="K283" s="8">
        <v>26</v>
      </c>
      <c r="L283" s="8">
        <f t="shared" si="73"/>
        <v>6.2000000000000028</v>
      </c>
      <c r="M283" s="27">
        <f t="shared" si="74"/>
        <v>187.94630102400004</v>
      </c>
      <c r="N283" s="27"/>
      <c r="O283" s="8">
        <v>0.27700000000000002</v>
      </c>
      <c r="P283" s="18">
        <f t="shared" si="75"/>
        <v>52.061125383648012</v>
      </c>
      <c r="Q283" s="8">
        <f>30*16</f>
        <v>480</v>
      </c>
      <c r="R283" s="40">
        <f t="shared" si="76"/>
        <v>24.989340184151047</v>
      </c>
    </row>
    <row r="284" spans="5:18" ht="14" x14ac:dyDescent="0.25">
      <c r="E284" s="44" t="s">
        <v>12</v>
      </c>
      <c r="F284" s="8">
        <v>0.6</v>
      </c>
      <c r="G284" s="8">
        <v>38.880000000000003</v>
      </c>
      <c r="H284" s="8">
        <v>1.0049999999999999</v>
      </c>
      <c r="I284" s="8">
        <v>1.2929999999999999</v>
      </c>
      <c r="J284" s="71">
        <v>32.4</v>
      </c>
      <c r="K284" s="8">
        <v>26</v>
      </c>
      <c r="L284" s="8">
        <f t="shared" si="73"/>
        <v>6.3999999999999986</v>
      </c>
      <c r="M284" s="27">
        <f t="shared" si="74"/>
        <v>194.00908492799991</v>
      </c>
      <c r="N284" s="27"/>
      <c r="O284" s="8">
        <v>0.27700000000000002</v>
      </c>
      <c r="P284" s="18">
        <f t="shared" si="75"/>
        <v>53.74051652505598</v>
      </c>
      <c r="Q284" s="8">
        <f>31*16</f>
        <v>496</v>
      </c>
      <c r="R284" s="40">
        <f t="shared" si="76"/>
        <v>26.655296196427766</v>
      </c>
    </row>
    <row r="285" spans="5:18" ht="14" x14ac:dyDescent="0.25">
      <c r="E285" s="44" t="s">
        <v>13</v>
      </c>
      <c r="F285" s="8">
        <v>0.6</v>
      </c>
      <c r="G285" s="8">
        <v>38.880000000000003</v>
      </c>
      <c r="H285" s="8">
        <v>1.0049999999999999</v>
      </c>
      <c r="I285" s="8">
        <v>1.2929999999999999</v>
      </c>
      <c r="J285" s="71">
        <v>32.200000000000003</v>
      </c>
      <c r="K285" s="8">
        <v>26</v>
      </c>
      <c r="L285" s="8">
        <f t="shared" si="73"/>
        <v>6.2000000000000028</v>
      </c>
      <c r="M285" s="27">
        <f t="shared" si="74"/>
        <v>187.94630102400004</v>
      </c>
      <c r="N285" s="27"/>
      <c r="O285" s="8">
        <v>0.27700000000000002</v>
      </c>
      <c r="P285" s="18">
        <f t="shared" si="75"/>
        <v>52.061125383648012</v>
      </c>
      <c r="Q285" s="8">
        <f>30*16</f>
        <v>480</v>
      </c>
      <c r="R285" s="40">
        <f t="shared" si="76"/>
        <v>24.989340184151047</v>
      </c>
    </row>
    <row r="286" spans="5:18" ht="14" x14ac:dyDescent="0.25">
      <c r="E286" s="44" t="s">
        <v>24</v>
      </c>
      <c r="F286" s="8">
        <v>0.6</v>
      </c>
      <c r="G286" s="8">
        <v>38.880000000000003</v>
      </c>
      <c r="H286" s="8">
        <v>1.0049999999999999</v>
      </c>
      <c r="I286" s="8">
        <v>1.2929999999999999</v>
      </c>
      <c r="J286" s="41">
        <v>32.1</v>
      </c>
      <c r="K286" s="8">
        <v>26</v>
      </c>
      <c r="L286" s="8">
        <f t="shared" si="73"/>
        <v>6.1000000000000014</v>
      </c>
      <c r="M286" s="27">
        <f t="shared" si="74"/>
        <v>184.914909072</v>
      </c>
      <c r="N286" s="27"/>
      <c r="O286" s="8">
        <v>0.27700000000000002</v>
      </c>
      <c r="P286" s="18">
        <f t="shared" si="75"/>
        <v>51.221429812944002</v>
      </c>
      <c r="Q286" s="8">
        <f>31*16</f>
        <v>496</v>
      </c>
      <c r="R286" s="40">
        <f t="shared" si="76"/>
        <v>25.405829187220224</v>
      </c>
    </row>
    <row r="287" spans="5:18" ht="14" x14ac:dyDescent="0.25">
      <c r="E287" s="44" t="s">
        <v>19</v>
      </c>
      <c r="F287" s="8">
        <v>0.6</v>
      </c>
      <c r="G287" s="8">
        <v>38.880000000000003</v>
      </c>
      <c r="H287" s="8">
        <v>1.0049999999999999</v>
      </c>
      <c r="I287" s="8">
        <v>1.2929999999999999</v>
      </c>
      <c r="J287" s="41">
        <v>32.5</v>
      </c>
      <c r="K287" s="8">
        <v>26</v>
      </c>
      <c r="L287" s="8">
        <f t="shared" si="73"/>
        <v>6.5</v>
      </c>
      <c r="M287" s="27">
        <f t="shared" si="74"/>
        <v>197.04047687999994</v>
      </c>
      <c r="N287" s="27"/>
      <c r="O287" s="8">
        <v>0.27700000000000002</v>
      </c>
      <c r="P287" s="18">
        <f t="shared" si="75"/>
        <v>54.58021209575999</v>
      </c>
      <c r="Q287" s="8">
        <f>31*16</f>
        <v>496</v>
      </c>
      <c r="R287" s="40">
        <f t="shared" si="76"/>
        <v>27.071785199496954</v>
      </c>
    </row>
    <row r="288" spans="5:18" ht="14" x14ac:dyDescent="0.25">
      <c r="E288" s="44" t="s">
        <v>20</v>
      </c>
      <c r="F288" s="8">
        <v>0.6</v>
      </c>
      <c r="G288" s="8">
        <v>38.880000000000003</v>
      </c>
      <c r="H288" s="8">
        <v>1.0049999999999999</v>
      </c>
      <c r="I288" s="8">
        <v>1.2929999999999999</v>
      </c>
      <c r="J288" s="41">
        <v>32.799999999999997</v>
      </c>
      <c r="K288" s="8">
        <v>26</v>
      </c>
      <c r="L288" s="8">
        <f t="shared" si="73"/>
        <v>6.7999999999999972</v>
      </c>
      <c r="M288" s="27">
        <f t="shared" si="74"/>
        <v>206.13465273599985</v>
      </c>
      <c r="N288" s="27"/>
      <c r="O288" s="8">
        <v>0.27700000000000002</v>
      </c>
      <c r="P288" s="18">
        <f t="shared" si="75"/>
        <v>57.099298807871961</v>
      </c>
      <c r="Q288" s="8">
        <f>30*16</f>
        <v>480</v>
      </c>
      <c r="R288" s="40">
        <f t="shared" si="76"/>
        <v>27.407663427778541</v>
      </c>
    </row>
    <row r="289" spans="5:18" ht="14" x14ac:dyDescent="0.25">
      <c r="E289" s="44" t="s">
        <v>21</v>
      </c>
      <c r="F289" s="8">
        <v>0.6</v>
      </c>
      <c r="G289" s="8">
        <v>38.880000000000003</v>
      </c>
      <c r="H289" s="8">
        <v>1.0049999999999999</v>
      </c>
      <c r="I289" s="8">
        <v>1.2929999999999999</v>
      </c>
      <c r="J289" s="41">
        <v>32.5</v>
      </c>
      <c r="K289" s="8">
        <v>26</v>
      </c>
      <c r="L289" s="8">
        <f t="shared" si="73"/>
        <v>6.5</v>
      </c>
      <c r="M289" s="27">
        <f t="shared" si="74"/>
        <v>197.04047687999994</v>
      </c>
      <c r="N289" s="27"/>
      <c r="O289" s="8">
        <v>0.27700000000000002</v>
      </c>
      <c r="P289" s="18">
        <f t="shared" si="75"/>
        <v>54.58021209575999</v>
      </c>
      <c r="Q289" s="8">
        <f>31*16</f>
        <v>496</v>
      </c>
      <c r="R289" s="40">
        <f t="shared" si="76"/>
        <v>27.071785199496954</v>
      </c>
    </row>
    <row r="290" spans="5:18" ht="14" x14ac:dyDescent="0.25">
      <c r="E290" s="44" t="s">
        <v>22</v>
      </c>
      <c r="F290" s="8">
        <v>0.6</v>
      </c>
      <c r="G290" s="8">
        <v>38.880000000000003</v>
      </c>
      <c r="H290" s="8">
        <v>1.0049999999999999</v>
      </c>
      <c r="I290" s="8">
        <v>1.2929999999999999</v>
      </c>
      <c r="J290" s="41">
        <v>32.200000000000003</v>
      </c>
      <c r="K290" s="8">
        <v>26</v>
      </c>
      <c r="L290" s="8">
        <f t="shared" si="73"/>
        <v>6.2000000000000028</v>
      </c>
      <c r="M290" s="27">
        <f t="shared" si="74"/>
        <v>187.94630102400004</v>
      </c>
      <c r="N290" s="27"/>
      <c r="O290" s="8">
        <v>0.27700000000000002</v>
      </c>
      <c r="P290" s="18">
        <f t="shared" si="75"/>
        <v>52.061125383648012</v>
      </c>
      <c r="Q290" s="8">
        <f>30*16</f>
        <v>480</v>
      </c>
      <c r="R290" s="40">
        <f t="shared" si="76"/>
        <v>24.989340184151047</v>
      </c>
    </row>
    <row r="291" spans="5:18" ht="14" x14ac:dyDescent="0.25">
      <c r="E291" s="44" t="s">
        <v>23</v>
      </c>
      <c r="F291" s="8">
        <v>0.6</v>
      </c>
      <c r="G291" s="8">
        <v>38.880000000000003</v>
      </c>
      <c r="H291" s="8">
        <v>1.0049999999999999</v>
      </c>
      <c r="I291" s="8">
        <v>1.2929999999999999</v>
      </c>
      <c r="J291" s="41">
        <v>32.1</v>
      </c>
      <c r="K291" s="8">
        <v>26</v>
      </c>
      <c r="L291" s="8">
        <f t="shared" si="73"/>
        <v>6.1000000000000014</v>
      </c>
      <c r="M291" s="27">
        <f t="shared" si="74"/>
        <v>184.914909072</v>
      </c>
      <c r="N291" s="27"/>
      <c r="O291" s="8">
        <v>0.27700000000000002</v>
      </c>
      <c r="P291" s="18">
        <f t="shared" si="75"/>
        <v>51.221429812944002</v>
      </c>
      <c r="Q291" s="8">
        <f>31*16</f>
        <v>496</v>
      </c>
      <c r="R291" s="40">
        <f t="shared" si="76"/>
        <v>25.405829187220224</v>
      </c>
    </row>
    <row r="292" spans="5:18" ht="15" x14ac:dyDescent="0.4">
      <c r="E292" s="314" t="s">
        <v>92</v>
      </c>
      <c r="F292" s="315"/>
      <c r="G292" s="315"/>
      <c r="H292" s="315"/>
      <c r="I292" s="315"/>
      <c r="J292" s="315"/>
      <c r="K292" s="315"/>
      <c r="L292" s="315"/>
      <c r="M292" s="315"/>
      <c r="N292" s="315"/>
      <c r="O292" s="315"/>
      <c r="P292" s="315"/>
      <c r="Q292" s="315"/>
      <c r="R292" s="84">
        <f>SUM(R280:R291)</f>
        <v>304.57437740575483</v>
      </c>
    </row>
    <row r="293" spans="5:18" ht="14" x14ac:dyDescent="0.25">
      <c r="E293" s="44" t="s">
        <v>15</v>
      </c>
      <c r="F293" s="8">
        <v>0.6</v>
      </c>
      <c r="G293" s="8">
        <v>38.880000000000003</v>
      </c>
      <c r="H293" s="8">
        <v>1.0049999999999999</v>
      </c>
      <c r="I293" s="8">
        <v>1.2929999999999999</v>
      </c>
      <c r="J293" s="71">
        <v>31.6</v>
      </c>
      <c r="K293" s="8">
        <v>27</v>
      </c>
      <c r="L293" s="8">
        <f>J293-K293</f>
        <v>4.6000000000000014</v>
      </c>
      <c r="M293" s="27">
        <f>F293*G293*H293*I293*L293</f>
        <v>139.44402979200001</v>
      </c>
      <c r="N293" s="27"/>
      <c r="O293" s="8">
        <v>0.27700000000000002</v>
      </c>
      <c r="P293" s="18">
        <f>M293*O293</f>
        <v>38.625996252384006</v>
      </c>
      <c r="Q293" s="8">
        <f>31*16</f>
        <v>496</v>
      </c>
      <c r="R293" s="40">
        <f>(P293*Q293)/1000</f>
        <v>19.158494141182466</v>
      </c>
    </row>
    <row r="294" spans="5:18" ht="14" x14ac:dyDescent="0.25">
      <c r="E294" s="44" t="s">
        <v>16</v>
      </c>
      <c r="F294" s="8">
        <v>0.6</v>
      </c>
      <c r="G294" s="8">
        <v>38.880000000000003</v>
      </c>
      <c r="H294" s="8">
        <v>1.0049999999999999</v>
      </c>
      <c r="I294" s="8">
        <v>1.2929999999999999</v>
      </c>
      <c r="J294" s="71">
        <v>31.7</v>
      </c>
      <c r="K294" s="8">
        <v>27</v>
      </c>
      <c r="L294" s="8">
        <f t="shared" ref="L294:L304" si="77">J294-K294</f>
        <v>4.6999999999999993</v>
      </c>
      <c r="M294" s="27">
        <f t="shared" ref="M294:M304" si="78">F294*G294*H294*I294*L294</f>
        <v>142.47542174399993</v>
      </c>
      <c r="N294" s="27"/>
      <c r="O294" s="8">
        <v>0.27700000000000002</v>
      </c>
      <c r="P294" s="18">
        <f t="shared" ref="P294:P304" si="79">M294*O294</f>
        <v>39.465691823087987</v>
      </c>
      <c r="Q294" s="8">
        <f>28*16</f>
        <v>448</v>
      </c>
      <c r="R294" s="40">
        <f t="shared" ref="R294:R304" si="80">(P294*Q294)/1000</f>
        <v>17.680629936743419</v>
      </c>
    </row>
    <row r="295" spans="5:18" ht="14" x14ac:dyDescent="0.25">
      <c r="E295" s="44" t="s">
        <v>17</v>
      </c>
      <c r="F295" s="8">
        <v>0.6</v>
      </c>
      <c r="G295" s="8">
        <v>38.880000000000003</v>
      </c>
      <c r="H295" s="8">
        <v>1.0049999999999999</v>
      </c>
      <c r="I295" s="8">
        <v>1.2929999999999999</v>
      </c>
      <c r="J295" s="71">
        <v>32.200000000000003</v>
      </c>
      <c r="K295" s="8">
        <v>27</v>
      </c>
      <c r="L295" s="8">
        <f t="shared" si="77"/>
        <v>5.2000000000000028</v>
      </c>
      <c r="M295" s="27">
        <f t="shared" si="78"/>
        <v>157.63238150400005</v>
      </c>
      <c r="N295" s="27"/>
      <c r="O295" s="8">
        <v>0.27700000000000002</v>
      </c>
      <c r="P295" s="18">
        <f t="shared" si="79"/>
        <v>43.664169676608019</v>
      </c>
      <c r="Q295" s="8">
        <f>31*16</f>
        <v>496</v>
      </c>
      <c r="R295" s="40">
        <f t="shared" si="80"/>
        <v>21.657428159597576</v>
      </c>
    </row>
    <row r="296" spans="5:18" ht="14" x14ac:dyDescent="0.25">
      <c r="E296" s="44" t="s">
        <v>18</v>
      </c>
      <c r="F296" s="8">
        <v>0.6</v>
      </c>
      <c r="G296" s="8">
        <v>38.880000000000003</v>
      </c>
      <c r="H296" s="8">
        <v>1.0049999999999999</v>
      </c>
      <c r="I296" s="8">
        <v>1.2929999999999999</v>
      </c>
      <c r="J296" s="71">
        <v>32.200000000000003</v>
      </c>
      <c r="K296" s="8">
        <v>27</v>
      </c>
      <c r="L296" s="8">
        <f t="shared" si="77"/>
        <v>5.2000000000000028</v>
      </c>
      <c r="M296" s="27">
        <f t="shared" si="78"/>
        <v>157.63238150400005</v>
      </c>
      <c r="N296" s="27"/>
      <c r="O296" s="8">
        <v>0.27700000000000002</v>
      </c>
      <c r="P296" s="18">
        <f t="shared" si="79"/>
        <v>43.664169676608019</v>
      </c>
      <c r="Q296" s="8">
        <f>30*16</f>
        <v>480</v>
      </c>
      <c r="R296" s="40">
        <f t="shared" si="80"/>
        <v>20.958801444771847</v>
      </c>
    </row>
    <row r="297" spans="5:18" ht="14" x14ac:dyDescent="0.25">
      <c r="E297" s="44" t="s">
        <v>12</v>
      </c>
      <c r="F297" s="8">
        <v>0.6</v>
      </c>
      <c r="G297" s="8">
        <v>38.880000000000003</v>
      </c>
      <c r="H297" s="8">
        <v>1.0049999999999999</v>
      </c>
      <c r="I297" s="8">
        <v>1.2929999999999999</v>
      </c>
      <c r="J297" s="71">
        <v>32.4</v>
      </c>
      <c r="K297" s="8">
        <v>27</v>
      </c>
      <c r="L297" s="8">
        <f t="shared" si="77"/>
        <v>5.3999999999999986</v>
      </c>
      <c r="M297" s="27">
        <f t="shared" si="78"/>
        <v>163.69516540799992</v>
      </c>
      <c r="N297" s="27"/>
      <c r="O297" s="8">
        <v>0.27700000000000002</v>
      </c>
      <c r="P297" s="18">
        <f t="shared" si="79"/>
        <v>45.34356081801598</v>
      </c>
      <c r="Q297" s="8">
        <f>31*16</f>
        <v>496</v>
      </c>
      <c r="R297" s="40">
        <f t="shared" si="80"/>
        <v>22.490406165735926</v>
      </c>
    </row>
    <row r="298" spans="5:18" ht="14" x14ac:dyDescent="0.25">
      <c r="E298" s="44" t="s">
        <v>13</v>
      </c>
      <c r="F298" s="8">
        <v>0.6</v>
      </c>
      <c r="G298" s="8">
        <v>38.880000000000003</v>
      </c>
      <c r="H298" s="8">
        <v>1.0049999999999999</v>
      </c>
      <c r="I298" s="8">
        <v>1.2929999999999999</v>
      </c>
      <c r="J298" s="71">
        <v>32.200000000000003</v>
      </c>
      <c r="K298" s="8">
        <v>27</v>
      </c>
      <c r="L298" s="8">
        <f t="shared" si="77"/>
        <v>5.2000000000000028</v>
      </c>
      <c r="M298" s="27">
        <f t="shared" si="78"/>
        <v>157.63238150400005</v>
      </c>
      <c r="N298" s="27"/>
      <c r="O298" s="8">
        <v>0.27700000000000002</v>
      </c>
      <c r="P298" s="18">
        <f t="shared" si="79"/>
        <v>43.664169676608019</v>
      </c>
      <c r="Q298" s="8">
        <f>30*16</f>
        <v>480</v>
      </c>
      <c r="R298" s="40">
        <f t="shared" si="80"/>
        <v>20.958801444771847</v>
      </c>
    </row>
    <row r="299" spans="5:18" ht="14" x14ac:dyDescent="0.25">
      <c r="E299" s="44" t="s">
        <v>24</v>
      </c>
      <c r="F299" s="8">
        <v>0.6</v>
      </c>
      <c r="G299" s="8">
        <v>38.880000000000003</v>
      </c>
      <c r="H299" s="8">
        <v>1.0049999999999999</v>
      </c>
      <c r="I299" s="8">
        <v>1.2929999999999999</v>
      </c>
      <c r="J299" s="41">
        <v>32.1</v>
      </c>
      <c r="K299" s="8">
        <v>27</v>
      </c>
      <c r="L299" s="8">
        <f t="shared" si="77"/>
        <v>5.1000000000000014</v>
      </c>
      <c r="M299" s="27">
        <f t="shared" si="78"/>
        <v>154.60098955199999</v>
      </c>
      <c r="N299" s="27"/>
      <c r="O299" s="8">
        <v>0.27700000000000002</v>
      </c>
      <c r="P299" s="18">
        <f t="shared" si="79"/>
        <v>42.824474105904002</v>
      </c>
      <c r="Q299" s="8">
        <f>31*16</f>
        <v>496</v>
      </c>
      <c r="R299" s="40">
        <f t="shared" si="80"/>
        <v>21.240939156528384</v>
      </c>
    </row>
    <row r="300" spans="5:18" ht="14" x14ac:dyDescent="0.25">
      <c r="E300" s="44" t="s">
        <v>19</v>
      </c>
      <c r="F300" s="8">
        <v>0.6</v>
      </c>
      <c r="G300" s="8">
        <v>38.880000000000003</v>
      </c>
      <c r="H300" s="8">
        <v>1.0049999999999999</v>
      </c>
      <c r="I300" s="8">
        <v>1.2929999999999999</v>
      </c>
      <c r="J300" s="41">
        <v>32.5</v>
      </c>
      <c r="K300" s="8">
        <v>27</v>
      </c>
      <c r="L300" s="8">
        <f t="shared" si="77"/>
        <v>5.5</v>
      </c>
      <c r="M300" s="27">
        <f t="shared" si="78"/>
        <v>166.72655735999996</v>
      </c>
      <c r="N300" s="27"/>
      <c r="O300" s="8">
        <v>0.27700000000000002</v>
      </c>
      <c r="P300" s="18">
        <f t="shared" si="79"/>
        <v>46.18325638871999</v>
      </c>
      <c r="Q300" s="8">
        <f>31*16</f>
        <v>496</v>
      </c>
      <c r="R300" s="40">
        <f t="shared" si="80"/>
        <v>22.906895168805118</v>
      </c>
    </row>
    <row r="301" spans="5:18" ht="14" x14ac:dyDescent="0.25">
      <c r="E301" s="44" t="s">
        <v>20</v>
      </c>
      <c r="F301" s="8">
        <v>0.6</v>
      </c>
      <c r="G301" s="8">
        <v>38.880000000000003</v>
      </c>
      <c r="H301" s="8">
        <v>1.0049999999999999</v>
      </c>
      <c r="I301" s="8">
        <v>1.2929999999999999</v>
      </c>
      <c r="J301" s="41">
        <v>32.799999999999997</v>
      </c>
      <c r="K301" s="8">
        <v>27</v>
      </c>
      <c r="L301" s="8">
        <f t="shared" si="77"/>
        <v>5.7999999999999972</v>
      </c>
      <c r="M301" s="27">
        <f t="shared" si="78"/>
        <v>175.82073321599987</v>
      </c>
      <c r="N301" s="27"/>
      <c r="O301" s="8">
        <v>0.27700000000000002</v>
      </c>
      <c r="P301" s="18">
        <f t="shared" si="79"/>
        <v>48.702343100831968</v>
      </c>
      <c r="Q301" s="8">
        <f>30*16</f>
        <v>480</v>
      </c>
      <c r="R301" s="40">
        <f t="shared" si="80"/>
        <v>23.377124688399345</v>
      </c>
    </row>
    <row r="302" spans="5:18" ht="14" x14ac:dyDescent="0.25">
      <c r="E302" s="44" t="s">
        <v>21</v>
      </c>
      <c r="F302" s="8">
        <v>0.6</v>
      </c>
      <c r="G302" s="8">
        <v>38.880000000000003</v>
      </c>
      <c r="H302" s="8">
        <v>1.0049999999999999</v>
      </c>
      <c r="I302" s="8">
        <v>1.2929999999999999</v>
      </c>
      <c r="J302" s="41">
        <v>32.5</v>
      </c>
      <c r="K302" s="8">
        <v>27</v>
      </c>
      <c r="L302" s="8">
        <f t="shared" si="77"/>
        <v>5.5</v>
      </c>
      <c r="M302" s="27">
        <f t="shared" si="78"/>
        <v>166.72655735999996</v>
      </c>
      <c r="N302" s="27"/>
      <c r="O302" s="8">
        <v>0.27700000000000002</v>
      </c>
      <c r="P302" s="18">
        <f t="shared" si="79"/>
        <v>46.18325638871999</v>
      </c>
      <c r="Q302" s="8">
        <f>31*16</f>
        <v>496</v>
      </c>
      <c r="R302" s="40">
        <f t="shared" si="80"/>
        <v>22.906895168805118</v>
      </c>
    </row>
    <row r="303" spans="5:18" ht="14" x14ac:dyDescent="0.25">
      <c r="E303" s="44" t="s">
        <v>22</v>
      </c>
      <c r="F303" s="8">
        <v>0.6</v>
      </c>
      <c r="G303" s="8">
        <v>38.880000000000003</v>
      </c>
      <c r="H303" s="8">
        <v>1.0049999999999999</v>
      </c>
      <c r="I303" s="8">
        <v>1.2929999999999999</v>
      </c>
      <c r="J303" s="41">
        <v>32.200000000000003</v>
      </c>
      <c r="K303" s="8">
        <v>27</v>
      </c>
      <c r="L303" s="8">
        <f t="shared" si="77"/>
        <v>5.2000000000000028</v>
      </c>
      <c r="M303" s="27">
        <f t="shared" si="78"/>
        <v>157.63238150400005</v>
      </c>
      <c r="N303" s="27"/>
      <c r="O303" s="8">
        <v>0.27700000000000002</v>
      </c>
      <c r="P303" s="18">
        <f t="shared" si="79"/>
        <v>43.664169676608019</v>
      </c>
      <c r="Q303" s="8">
        <f>30*16</f>
        <v>480</v>
      </c>
      <c r="R303" s="40">
        <f t="shared" si="80"/>
        <v>20.958801444771847</v>
      </c>
    </row>
    <row r="304" spans="5:18" ht="14" x14ac:dyDescent="0.25">
      <c r="E304" s="44" t="s">
        <v>23</v>
      </c>
      <c r="F304" s="8">
        <v>0.6</v>
      </c>
      <c r="G304" s="8">
        <v>38.880000000000003</v>
      </c>
      <c r="H304" s="8">
        <v>1.0049999999999999</v>
      </c>
      <c r="I304" s="8">
        <v>1.2929999999999999</v>
      </c>
      <c r="J304" s="41">
        <v>32.1</v>
      </c>
      <c r="K304" s="8">
        <v>27</v>
      </c>
      <c r="L304" s="8">
        <f t="shared" si="77"/>
        <v>5.1000000000000014</v>
      </c>
      <c r="M304" s="27">
        <f t="shared" si="78"/>
        <v>154.60098955199999</v>
      </c>
      <c r="N304" s="27"/>
      <c r="O304" s="8">
        <v>0.27700000000000002</v>
      </c>
      <c r="P304" s="18">
        <f t="shared" si="79"/>
        <v>42.824474105904002</v>
      </c>
      <c r="Q304" s="8">
        <f>31*16</f>
        <v>496</v>
      </c>
      <c r="R304" s="40">
        <f t="shared" si="80"/>
        <v>21.240939156528384</v>
      </c>
    </row>
    <row r="305" spans="5:18" ht="15" x14ac:dyDescent="0.4">
      <c r="E305" s="314" t="s">
        <v>93</v>
      </c>
      <c r="F305" s="315"/>
      <c r="G305" s="315"/>
      <c r="H305" s="315"/>
      <c r="I305" s="315"/>
      <c r="J305" s="315"/>
      <c r="K305" s="315"/>
      <c r="L305" s="315"/>
      <c r="M305" s="315"/>
      <c r="N305" s="315"/>
      <c r="O305" s="315"/>
      <c r="P305" s="315"/>
      <c r="Q305" s="315"/>
      <c r="R305" s="84">
        <f>SUM(R293:R304)</f>
        <v>255.53615607664122</v>
      </c>
    </row>
    <row r="306" spans="5:18" ht="14" x14ac:dyDescent="0.25">
      <c r="E306" s="44" t="s">
        <v>15</v>
      </c>
      <c r="F306" s="8">
        <v>0.6</v>
      </c>
      <c r="G306" s="8">
        <v>38.880000000000003</v>
      </c>
      <c r="H306" s="8">
        <v>1.0049999999999999</v>
      </c>
      <c r="I306" s="8">
        <v>1.2929999999999999</v>
      </c>
      <c r="J306" s="71">
        <v>31.6</v>
      </c>
      <c r="K306" s="8">
        <v>28</v>
      </c>
      <c r="L306" s="8">
        <f>J306-K306</f>
        <v>3.6000000000000014</v>
      </c>
      <c r="M306" s="27">
        <f>F306*G306*H306*I306*L306</f>
        <v>109.13011027200001</v>
      </c>
      <c r="N306" s="27"/>
      <c r="O306" s="8">
        <v>0.27700000000000002</v>
      </c>
      <c r="P306" s="18">
        <f>M306*O306</f>
        <v>30.229040545344006</v>
      </c>
      <c r="Q306" s="8">
        <f>31*16</f>
        <v>496</v>
      </c>
      <c r="R306" s="40">
        <f>(P306*Q306)/1000</f>
        <v>14.993604110490628</v>
      </c>
    </row>
    <row r="307" spans="5:18" ht="14" x14ac:dyDescent="0.25">
      <c r="E307" s="44" t="s">
        <v>16</v>
      </c>
      <c r="F307" s="8">
        <v>0.6</v>
      </c>
      <c r="G307" s="8">
        <v>38.880000000000003</v>
      </c>
      <c r="H307" s="8">
        <v>1.0049999999999999</v>
      </c>
      <c r="I307" s="8">
        <v>1.2929999999999999</v>
      </c>
      <c r="J307" s="71">
        <v>31.7</v>
      </c>
      <c r="K307" s="8">
        <v>28</v>
      </c>
      <c r="L307" s="8">
        <f t="shared" ref="L307:L317" si="81">J307-K307</f>
        <v>3.6999999999999993</v>
      </c>
      <c r="M307" s="27">
        <f t="shared" ref="M307:M317" si="82">F307*G307*H307*I307*L307</f>
        <v>112.16150222399995</v>
      </c>
      <c r="N307" s="27"/>
      <c r="O307" s="8">
        <v>0.27700000000000002</v>
      </c>
      <c r="P307" s="18">
        <f t="shared" ref="P307:P317" si="83">M307*O307</f>
        <v>31.068736116047987</v>
      </c>
      <c r="Q307" s="8">
        <f>28*16</f>
        <v>448</v>
      </c>
      <c r="R307" s="40">
        <f t="shared" ref="R307:R317" si="84">(P307*Q307)/1000</f>
        <v>13.918793779989498</v>
      </c>
    </row>
    <row r="308" spans="5:18" ht="14" x14ac:dyDescent="0.25">
      <c r="E308" s="44" t="s">
        <v>17</v>
      </c>
      <c r="F308" s="8">
        <v>0.6</v>
      </c>
      <c r="G308" s="8">
        <v>38.880000000000003</v>
      </c>
      <c r="H308" s="8">
        <v>1.0049999999999999</v>
      </c>
      <c r="I308" s="8">
        <v>1.2929999999999999</v>
      </c>
      <c r="J308" s="71">
        <v>32.200000000000003</v>
      </c>
      <c r="K308" s="8">
        <v>28</v>
      </c>
      <c r="L308" s="8">
        <f t="shared" si="81"/>
        <v>4.2000000000000028</v>
      </c>
      <c r="M308" s="27">
        <f t="shared" si="82"/>
        <v>127.31846198400005</v>
      </c>
      <c r="N308" s="27"/>
      <c r="O308" s="8">
        <v>0.27700000000000002</v>
      </c>
      <c r="P308" s="18">
        <f t="shared" si="83"/>
        <v>35.267213969568019</v>
      </c>
      <c r="Q308" s="8">
        <f>31*16</f>
        <v>496</v>
      </c>
      <c r="R308" s="40">
        <f t="shared" si="84"/>
        <v>17.492538128905736</v>
      </c>
    </row>
    <row r="309" spans="5:18" ht="14" x14ac:dyDescent="0.25">
      <c r="E309" s="44" t="s">
        <v>18</v>
      </c>
      <c r="F309" s="8">
        <v>0.6</v>
      </c>
      <c r="G309" s="8">
        <v>38.880000000000003</v>
      </c>
      <c r="H309" s="8">
        <v>1.0049999999999999</v>
      </c>
      <c r="I309" s="8">
        <v>1.2929999999999999</v>
      </c>
      <c r="J309" s="71">
        <v>32.200000000000003</v>
      </c>
      <c r="K309" s="8">
        <v>28</v>
      </c>
      <c r="L309" s="8">
        <f t="shared" si="81"/>
        <v>4.2000000000000028</v>
      </c>
      <c r="M309" s="27">
        <f t="shared" si="82"/>
        <v>127.31846198400005</v>
      </c>
      <c r="N309" s="27"/>
      <c r="O309" s="8">
        <v>0.27700000000000002</v>
      </c>
      <c r="P309" s="18">
        <f t="shared" si="83"/>
        <v>35.267213969568019</v>
      </c>
      <c r="Q309" s="8">
        <f>30*16</f>
        <v>480</v>
      </c>
      <c r="R309" s="40">
        <f t="shared" si="84"/>
        <v>16.928262705392648</v>
      </c>
    </row>
    <row r="310" spans="5:18" ht="14" x14ac:dyDescent="0.25">
      <c r="E310" s="44" t="s">
        <v>12</v>
      </c>
      <c r="F310" s="8">
        <v>0.6</v>
      </c>
      <c r="G310" s="8">
        <v>38.880000000000003</v>
      </c>
      <c r="H310" s="8">
        <v>1.0049999999999999</v>
      </c>
      <c r="I310" s="8">
        <v>1.2929999999999999</v>
      </c>
      <c r="J310" s="71">
        <v>32.4</v>
      </c>
      <c r="K310" s="8">
        <v>28</v>
      </c>
      <c r="L310" s="8">
        <f t="shared" si="81"/>
        <v>4.3999999999999986</v>
      </c>
      <c r="M310" s="27">
        <f t="shared" si="82"/>
        <v>133.38124588799991</v>
      </c>
      <c r="N310" s="27"/>
      <c r="O310" s="8">
        <v>0.27700000000000002</v>
      </c>
      <c r="P310" s="18">
        <f t="shared" si="83"/>
        <v>36.94660511097598</v>
      </c>
      <c r="Q310" s="8">
        <f>31*16</f>
        <v>496</v>
      </c>
      <c r="R310" s="40">
        <f t="shared" si="84"/>
        <v>18.325516135044086</v>
      </c>
    </row>
    <row r="311" spans="5:18" ht="14" x14ac:dyDescent="0.25">
      <c r="E311" s="44" t="s">
        <v>13</v>
      </c>
      <c r="F311" s="8">
        <v>0.6</v>
      </c>
      <c r="G311" s="8">
        <v>38.880000000000003</v>
      </c>
      <c r="H311" s="8">
        <v>1.0049999999999999</v>
      </c>
      <c r="I311" s="8">
        <v>1.2929999999999999</v>
      </c>
      <c r="J311" s="71">
        <v>32.200000000000003</v>
      </c>
      <c r="K311" s="8">
        <v>28</v>
      </c>
      <c r="L311" s="8">
        <f t="shared" si="81"/>
        <v>4.2000000000000028</v>
      </c>
      <c r="M311" s="27">
        <f t="shared" si="82"/>
        <v>127.31846198400005</v>
      </c>
      <c r="N311" s="27"/>
      <c r="O311" s="8">
        <v>0.27700000000000002</v>
      </c>
      <c r="P311" s="18">
        <f t="shared" si="83"/>
        <v>35.267213969568019</v>
      </c>
      <c r="Q311" s="8">
        <f>30*16</f>
        <v>480</v>
      </c>
      <c r="R311" s="40">
        <f t="shared" si="84"/>
        <v>16.928262705392648</v>
      </c>
    </row>
    <row r="312" spans="5:18" ht="14" x14ac:dyDescent="0.25">
      <c r="E312" s="44" t="s">
        <v>24</v>
      </c>
      <c r="F312" s="8">
        <v>0.6</v>
      </c>
      <c r="G312" s="8">
        <v>38.880000000000003</v>
      </c>
      <c r="H312" s="8">
        <v>1.0049999999999999</v>
      </c>
      <c r="I312" s="8">
        <v>1.2929999999999999</v>
      </c>
      <c r="J312" s="41">
        <v>32.1</v>
      </c>
      <c r="K312" s="8">
        <v>28</v>
      </c>
      <c r="L312" s="8">
        <f t="shared" si="81"/>
        <v>4.1000000000000014</v>
      </c>
      <c r="M312" s="27">
        <f t="shared" si="82"/>
        <v>124.287070032</v>
      </c>
      <c r="N312" s="27"/>
      <c r="O312" s="8">
        <v>0.27700000000000002</v>
      </c>
      <c r="P312" s="18">
        <f t="shared" si="83"/>
        <v>34.427518398864002</v>
      </c>
      <c r="Q312" s="8">
        <f>31*16</f>
        <v>496</v>
      </c>
      <c r="R312" s="40">
        <f t="shared" si="84"/>
        <v>17.076049125836544</v>
      </c>
    </row>
    <row r="313" spans="5:18" ht="14" x14ac:dyDescent="0.25">
      <c r="E313" s="44" t="s">
        <v>19</v>
      </c>
      <c r="F313" s="8">
        <v>0.6</v>
      </c>
      <c r="G313" s="8">
        <v>38.880000000000003</v>
      </c>
      <c r="H313" s="8">
        <v>1.0049999999999999</v>
      </c>
      <c r="I313" s="8">
        <v>1.2929999999999999</v>
      </c>
      <c r="J313" s="41">
        <v>32.5</v>
      </c>
      <c r="K313" s="8">
        <v>28</v>
      </c>
      <c r="L313" s="8">
        <f t="shared" si="81"/>
        <v>4.5</v>
      </c>
      <c r="M313" s="27">
        <f t="shared" si="82"/>
        <v>136.41263783999997</v>
      </c>
      <c r="N313" s="27"/>
      <c r="O313" s="8">
        <v>0.27700000000000002</v>
      </c>
      <c r="P313" s="18">
        <f t="shared" si="83"/>
        <v>37.786300681679997</v>
      </c>
      <c r="Q313" s="8">
        <f>31*16</f>
        <v>496</v>
      </c>
      <c r="R313" s="40">
        <f t="shared" si="84"/>
        <v>18.742005138113282</v>
      </c>
    </row>
    <row r="314" spans="5:18" ht="14" x14ac:dyDescent="0.25">
      <c r="E314" s="44" t="s">
        <v>20</v>
      </c>
      <c r="F314" s="8">
        <v>0.6</v>
      </c>
      <c r="G314" s="8">
        <v>38.880000000000003</v>
      </c>
      <c r="H314" s="8">
        <v>1.0049999999999999</v>
      </c>
      <c r="I314" s="8">
        <v>1.2929999999999999</v>
      </c>
      <c r="J314" s="41">
        <v>32.799999999999997</v>
      </c>
      <c r="K314" s="8">
        <v>28</v>
      </c>
      <c r="L314" s="8">
        <f t="shared" si="81"/>
        <v>4.7999999999999972</v>
      </c>
      <c r="M314" s="27">
        <f t="shared" si="82"/>
        <v>145.50681369599988</v>
      </c>
      <c r="N314" s="27"/>
      <c r="O314" s="8">
        <v>0.27700000000000002</v>
      </c>
      <c r="P314" s="18">
        <f t="shared" si="83"/>
        <v>40.305387393791968</v>
      </c>
      <c r="Q314" s="8">
        <f>30*16</f>
        <v>480</v>
      </c>
      <c r="R314" s="40">
        <f t="shared" si="84"/>
        <v>19.346585949020145</v>
      </c>
    </row>
    <row r="315" spans="5:18" ht="14" x14ac:dyDescent="0.25">
      <c r="E315" s="44" t="s">
        <v>21</v>
      </c>
      <c r="F315" s="8">
        <v>0.6</v>
      </c>
      <c r="G315" s="8">
        <v>38.880000000000003</v>
      </c>
      <c r="H315" s="8">
        <v>1.0049999999999999</v>
      </c>
      <c r="I315" s="8">
        <v>1.2929999999999999</v>
      </c>
      <c r="J315" s="41">
        <v>32.5</v>
      </c>
      <c r="K315" s="8">
        <v>28</v>
      </c>
      <c r="L315" s="8">
        <f t="shared" si="81"/>
        <v>4.5</v>
      </c>
      <c r="M315" s="27">
        <f t="shared" si="82"/>
        <v>136.41263783999997</v>
      </c>
      <c r="N315" s="27"/>
      <c r="O315" s="8">
        <v>0.27700000000000002</v>
      </c>
      <c r="P315" s="18">
        <f t="shared" si="83"/>
        <v>37.786300681679997</v>
      </c>
      <c r="Q315" s="8">
        <f>31*16</f>
        <v>496</v>
      </c>
      <c r="R315" s="40">
        <f t="shared" si="84"/>
        <v>18.742005138113282</v>
      </c>
    </row>
    <row r="316" spans="5:18" ht="14" x14ac:dyDescent="0.25">
      <c r="E316" s="44" t="s">
        <v>22</v>
      </c>
      <c r="F316" s="8">
        <v>0.6</v>
      </c>
      <c r="G316" s="8">
        <v>38.880000000000003</v>
      </c>
      <c r="H316" s="8">
        <v>1.0049999999999999</v>
      </c>
      <c r="I316" s="8">
        <v>1.2929999999999999</v>
      </c>
      <c r="J316" s="41">
        <v>32.200000000000003</v>
      </c>
      <c r="K316" s="8">
        <v>28</v>
      </c>
      <c r="L316" s="8">
        <f t="shared" si="81"/>
        <v>4.2000000000000028</v>
      </c>
      <c r="M316" s="27">
        <f t="shared" si="82"/>
        <v>127.31846198400005</v>
      </c>
      <c r="N316" s="27"/>
      <c r="O316" s="8">
        <v>0.27700000000000002</v>
      </c>
      <c r="P316" s="18">
        <f t="shared" si="83"/>
        <v>35.267213969568019</v>
      </c>
      <c r="Q316" s="8">
        <f>30*16</f>
        <v>480</v>
      </c>
      <c r="R316" s="40">
        <f t="shared" si="84"/>
        <v>16.928262705392648</v>
      </c>
    </row>
    <row r="317" spans="5:18" ht="14" x14ac:dyDescent="0.25">
      <c r="E317" s="44" t="s">
        <v>23</v>
      </c>
      <c r="F317" s="8">
        <v>0.6</v>
      </c>
      <c r="G317" s="8">
        <v>38.880000000000003</v>
      </c>
      <c r="H317" s="8">
        <v>1.0049999999999999</v>
      </c>
      <c r="I317" s="8">
        <v>1.2929999999999999</v>
      </c>
      <c r="J317" s="41">
        <v>32.1</v>
      </c>
      <c r="K317" s="8">
        <v>28</v>
      </c>
      <c r="L317" s="8">
        <f t="shared" si="81"/>
        <v>4.1000000000000014</v>
      </c>
      <c r="M317" s="27">
        <f t="shared" si="82"/>
        <v>124.287070032</v>
      </c>
      <c r="N317" s="27"/>
      <c r="O317" s="8">
        <v>0.27700000000000002</v>
      </c>
      <c r="P317" s="18">
        <f t="shared" si="83"/>
        <v>34.427518398864002</v>
      </c>
      <c r="Q317" s="8">
        <f>31*16</f>
        <v>496</v>
      </c>
      <c r="R317" s="40">
        <f t="shared" si="84"/>
        <v>17.076049125836544</v>
      </c>
    </row>
    <row r="318" spans="5:18" ht="15.5" thickBot="1" x14ac:dyDescent="0.45">
      <c r="E318" s="312" t="s">
        <v>94</v>
      </c>
      <c r="F318" s="313"/>
      <c r="G318" s="313"/>
      <c r="H318" s="313"/>
      <c r="I318" s="313"/>
      <c r="J318" s="313"/>
      <c r="K318" s="313"/>
      <c r="L318" s="313"/>
      <c r="M318" s="313"/>
      <c r="N318" s="313"/>
      <c r="O318" s="313"/>
      <c r="P318" s="313"/>
      <c r="Q318" s="313"/>
      <c r="R318" s="74">
        <f>SUM(R306:R317)</f>
        <v>206.49793474752769</v>
      </c>
    </row>
    <row r="321" spans="5:18" ht="13.5" thickBot="1" x14ac:dyDescent="0.3">
      <c r="Q321" s="384"/>
      <c r="R321" s="384"/>
    </row>
    <row r="322" spans="5:18" x14ac:dyDescent="0.3">
      <c r="E322" s="295" t="s">
        <v>111</v>
      </c>
      <c r="F322" s="296"/>
      <c r="G322" s="296"/>
      <c r="H322" s="296"/>
      <c r="I322" s="296"/>
      <c r="J322" s="296"/>
      <c r="K322" s="296"/>
      <c r="L322" s="296"/>
      <c r="M322" s="296"/>
      <c r="N322" s="316"/>
      <c r="O322" s="297"/>
      <c r="Q322" s="384"/>
      <c r="R322" s="384"/>
    </row>
    <row r="323" spans="5:18" ht="13" customHeight="1" x14ac:dyDescent="0.25">
      <c r="E323" s="2" t="s">
        <v>0</v>
      </c>
      <c r="F323" s="5" t="s">
        <v>104</v>
      </c>
      <c r="G323" s="5" t="s">
        <v>105</v>
      </c>
      <c r="H323" s="5" t="s">
        <v>64</v>
      </c>
      <c r="I323" s="5" t="s">
        <v>106</v>
      </c>
      <c r="J323" s="5" t="s">
        <v>107</v>
      </c>
      <c r="K323" s="5" t="s">
        <v>108</v>
      </c>
      <c r="L323" s="5" t="s">
        <v>110</v>
      </c>
      <c r="M323" s="5" t="s">
        <v>86</v>
      </c>
      <c r="N323" s="101"/>
      <c r="O323" s="87" t="s">
        <v>109</v>
      </c>
      <c r="Q323" s="384"/>
      <c r="R323" s="384"/>
    </row>
    <row r="324" spans="5:18" x14ac:dyDescent="0.25">
      <c r="E324" s="44" t="s">
        <v>15</v>
      </c>
      <c r="F324" s="5">
        <v>4</v>
      </c>
      <c r="G324" s="5">
        <v>75</v>
      </c>
      <c r="H324" s="5">
        <v>1</v>
      </c>
      <c r="I324" s="5">
        <f>F324*G324*H324</f>
        <v>300</v>
      </c>
      <c r="J324" s="5">
        <v>30</v>
      </c>
      <c r="K324" s="8">
        <f>F324*J324</f>
        <v>120</v>
      </c>
      <c r="L324" s="8">
        <f>I324+K324</f>
        <v>420</v>
      </c>
      <c r="M324" s="8">
        <f>31*16</f>
        <v>496</v>
      </c>
      <c r="N324" s="102"/>
      <c r="O324" s="87">
        <f>(L324*M324)/1000</f>
        <v>208.32</v>
      </c>
    </row>
    <row r="325" spans="5:18" x14ac:dyDescent="0.25">
      <c r="E325" s="44" t="s">
        <v>16</v>
      </c>
      <c r="F325" s="5">
        <v>4</v>
      </c>
      <c r="G325" s="5">
        <v>75</v>
      </c>
      <c r="H325" s="5">
        <v>1</v>
      </c>
      <c r="I325" s="5">
        <f t="shared" ref="I325:I335" si="85">F325*G325*H325</f>
        <v>300</v>
      </c>
      <c r="J325" s="5">
        <v>30</v>
      </c>
      <c r="K325" s="8">
        <f t="shared" ref="K325:K335" si="86">F325*J325</f>
        <v>120</v>
      </c>
      <c r="L325" s="8">
        <f t="shared" ref="L325:L335" si="87">I325+K325</f>
        <v>420</v>
      </c>
      <c r="M325" s="8">
        <f>28*16</f>
        <v>448</v>
      </c>
      <c r="N325" s="102"/>
      <c r="O325" s="87">
        <f t="shared" ref="O325:O335" si="88">(L325*M325)/1000</f>
        <v>188.16</v>
      </c>
    </row>
    <row r="326" spans="5:18" x14ac:dyDescent="0.25">
      <c r="E326" s="44" t="s">
        <v>17</v>
      </c>
      <c r="F326" s="5">
        <v>4</v>
      </c>
      <c r="G326" s="5">
        <v>75</v>
      </c>
      <c r="H326" s="5">
        <v>1</v>
      </c>
      <c r="I326" s="5">
        <f t="shared" si="85"/>
        <v>300</v>
      </c>
      <c r="J326" s="5">
        <v>30</v>
      </c>
      <c r="K326" s="8">
        <f t="shared" si="86"/>
        <v>120</v>
      </c>
      <c r="L326" s="8">
        <f t="shared" si="87"/>
        <v>420</v>
      </c>
      <c r="M326" s="8">
        <f>31*16</f>
        <v>496</v>
      </c>
      <c r="N326" s="102"/>
      <c r="O326" s="87">
        <f t="shared" si="88"/>
        <v>208.32</v>
      </c>
    </row>
    <row r="327" spans="5:18" x14ac:dyDescent="0.25">
      <c r="E327" s="44" t="s">
        <v>18</v>
      </c>
      <c r="F327" s="5">
        <v>4</v>
      </c>
      <c r="G327" s="5">
        <v>75</v>
      </c>
      <c r="H327" s="5">
        <v>1</v>
      </c>
      <c r="I327" s="5">
        <f t="shared" si="85"/>
        <v>300</v>
      </c>
      <c r="J327" s="5">
        <v>30</v>
      </c>
      <c r="K327" s="8">
        <f t="shared" si="86"/>
        <v>120</v>
      </c>
      <c r="L327" s="8">
        <f t="shared" si="87"/>
        <v>420</v>
      </c>
      <c r="M327" s="8">
        <f>30*16</f>
        <v>480</v>
      </c>
      <c r="N327" s="102"/>
      <c r="O327" s="87">
        <f t="shared" si="88"/>
        <v>201.6</v>
      </c>
    </row>
    <row r="328" spans="5:18" x14ac:dyDescent="0.25">
      <c r="E328" s="44" t="s">
        <v>12</v>
      </c>
      <c r="F328" s="5">
        <v>4</v>
      </c>
      <c r="G328" s="5">
        <v>75</v>
      </c>
      <c r="H328" s="5">
        <v>1</v>
      </c>
      <c r="I328" s="5">
        <f t="shared" si="85"/>
        <v>300</v>
      </c>
      <c r="J328" s="5">
        <v>30</v>
      </c>
      <c r="K328" s="8">
        <f t="shared" si="86"/>
        <v>120</v>
      </c>
      <c r="L328" s="8">
        <f t="shared" si="87"/>
        <v>420</v>
      </c>
      <c r="M328" s="8">
        <f>31*16</f>
        <v>496</v>
      </c>
      <c r="N328" s="102"/>
      <c r="O328" s="87">
        <f t="shared" si="88"/>
        <v>208.32</v>
      </c>
    </row>
    <row r="329" spans="5:18" x14ac:dyDescent="0.25">
      <c r="E329" s="44" t="s">
        <v>13</v>
      </c>
      <c r="F329" s="5">
        <v>4</v>
      </c>
      <c r="G329" s="5">
        <v>75</v>
      </c>
      <c r="H329" s="5">
        <v>1</v>
      </c>
      <c r="I329" s="5">
        <f t="shared" si="85"/>
        <v>300</v>
      </c>
      <c r="J329" s="5">
        <v>30</v>
      </c>
      <c r="K329" s="8">
        <f t="shared" si="86"/>
        <v>120</v>
      </c>
      <c r="L329" s="8">
        <f t="shared" si="87"/>
        <v>420</v>
      </c>
      <c r="M329" s="8">
        <f>30*16</f>
        <v>480</v>
      </c>
      <c r="N329" s="102"/>
      <c r="O329" s="87">
        <f t="shared" si="88"/>
        <v>201.6</v>
      </c>
    </row>
    <row r="330" spans="5:18" x14ac:dyDescent="0.25">
      <c r="E330" s="44" t="s">
        <v>24</v>
      </c>
      <c r="F330" s="5">
        <v>4</v>
      </c>
      <c r="G330" s="5">
        <v>75</v>
      </c>
      <c r="H330" s="5">
        <v>1</v>
      </c>
      <c r="I330" s="5">
        <f t="shared" si="85"/>
        <v>300</v>
      </c>
      <c r="J330" s="5">
        <v>30</v>
      </c>
      <c r="K330" s="8">
        <f t="shared" si="86"/>
        <v>120</v>
      </c>
      <c r="L330" s="8">
        <f t="shared" si="87"/>
        <v>420</v>
      </c>
      <c r="M330" s="8">
        <f>31*16</f>
        <v>496</v>
      </c>
      <c r="N330" s="102"/>
      <c r="O330" s="87">
        <f t="shared" si="88"/>
        <v>208.32</v>
      </c>
    </row>
    <row r="331" spans="5:18" x14ac:dyDescent="0.25">
      <c r="E331" s="44" t="s">
        <v>19</v>
      </c>
      <c r="F331" s="5">
        <v>4</v>
      </c>
      <c r="G331" s="5">
        <v>75</v>
      </c>
      <c r="H331" s="5">
        <v>1</v>
      </c>
      <c r="I331" s="5">
        <f t="shared" si="85"/>
        <v>300</v>
      </c>
      <c r="J331" s="5">
        <v>30</v>
      </c>
      <c r="K331" s="8">
        <f t="shared" si="86"/>
        <v>120</v>
      </c>
      <c r="L331" s="8">
        <f t="shared" si="87"/>
        <v>420</v>
      </c>
      <c r="M331" s="8">
        <f>31*16</f>
        <v>496</v>
      </c>
      <c r="N331" s="102"/>
      <c r="O331" s="87">
        <f t="shared" si="88"/>
        <v>208.32</v>
      </c>
    </row>
    <row r="332" spans="5:18" x14ac:dyDescent="0.25">
      <c r="E332" s="44" t="s">
        <v>20</v>
      </c>
      <c r="F332" s="5">
        <v>4</v>
      </c>
      <c r="G332" s="5">
        <v>75</v>
      </c>
      <c r="H332" s="5">
        <v>1</v>
      </c>
      <c r="I332" s="5">
        <f t="shared" si="85"/>
        <v>300</v>
      </c>
      <c r="J332" s="5">
        <v>30</v>
      </c>
      <c r="K332" s="8">
        <f t="shared" si="86"/>
        <v>120</v>
      </c>
      <c r="L332" s="8">
        <f t="shared" si="87"/>
        <v>420</v>
      </c>
      <c r="M332" s="8">
        <f>30*16</f>
        <v>480</v>
      </c>
      <c r="N332" s="102"/>
      <c r="O332" s="87">
        <f t="shared" si="88"/>
        <v>201.6</v>
      </c>
    </row>
    <row r="333" spans="5:18" x14ac:dyDescent="0.25">
      <c r="E333" s="44" t="s">
        <v>21</v>
      </c>
      <c r="F333" s="5">
        <v>4</v>
      </c>
      <c r="G333" s="5">
        <v>75</v>
      </c>
      <c r="H333" s="5">
        <v>1</v>
      </c>
      <c r="I333" s="5">
        <f t="shared" si="85"/>
        <v>300</v>
      </c>
      <c r="J333" s="5">
        <v>30</v>
      </c>
      <c r="K333" s="8">
        <f t="shared" si="86"/>
        <v>120</v>
      </c>
      <c r="L333" s="8">
        <f t="shared" si="87"/>
        <v>420</v>
      </c>
      <c r="M333" s="8">
        <f>31*16</f>
        <v>496</v>
      </c>
      <c r="N333" s="102"/>
      <c r="O333" s="87">
        <f t="shared" si="88"/>
        <v>208.32</v>
      </c>
    </row>
    <row r="334" spans="5:18" x14ac:dyDescent="0.25">
      <c r="E334" s="44" t="s">
        <v>22</v>
      </c>
      <c r="F334" s="5">
        <v>4</v>
      </c>
      <c r="G334" s="5">
        <v>75</v>
      </c>
      <c r="H334" s="5">
        <v>1</v>
      </c>
      <c r="I334" s="5">
        <f t="shared" si="85"/>
        <v>300</v>
      </c>
      <c r="J334" s="5">
        <v>30</v>
      </c>
      <c r="K334" s="8">
        <f t="shared" si="86"/>
        <v>120</v>
      </c>
      <c r="L334" s="8">
        <f t="shared" si="87"/>
        <v>420</v>
      </c>
      <c r="M334" s="8">
        <f>30*16</f>
        <v>480</v>
      </c>
      <c r="N334" s="102"/>
      <c r="O334" s="87">
        <f t="shared" si="88"/>
        <v>201.6</v>
      </c>
    </row>
    <row r="335" spans="5:18" x14ac:dyDescent="0.25">
      <c r="E335" s="44" t="s">
        <v>23</v>
      </c>
      <c r="F335" s="5">
        <v>4</v>
      </c>
      <c r="G335" s="5">
        <v>75</v>
      </c>
      <c r="H335" s="5">
        <v>1</v>
      </c>
      <c r="I335" s="5">
        <f t="shared" si="85"/>
        <v>300</v>
      </c>
      <c r="J335" s="5">
        <v>30</v>
      </c>
      <c r="K335" s="8">
        <f t="shared" si="86"/>
        <v>120</v>
      </c>
      <c r="L335" s="8">
        <f t="shared" si="87"/>
        <v>420</v>
      </c>
      <c r="M335" s="8">
        <f>31*16</f>
        <v>496</v>
      </c>
      <c r="N335" s="102"/>
      <c r="O335" s="87">
        <f t="shared" si="88"/>
        <v>208.32</v>
      </c>
    </row>
    <row r="336" spans="5:18" ht="13.5" thickBot="1" x14ac:dyDescent="0.35">
      <c r="E336" s="312" t="s">
        <v>111</v>
      </c>
      <c r="F336" s="313"/>
      <c r="G336" s="313"/>
      <c r="H336" s="313"/>
      <c r="I336" s="313"/>
      <c r="J336" s="313"/>
      <c r="K336" s="313"/>
      <c r="L336" s="313"/>
      <c r="M336" s="313"/>
      <c r="N336" s="103"/>
      <c r="O336" s="100">
        <f>SUM(O324:O335)</f>
        <v>2452.7999999999997</v>
      </c>
    </row>
    <row r="338" spans="5:12" ht="13.5" thickBot="1" x14ac:dyDescent="0.3"/>
    <row r="339" spans="5:12" x14ac:dyDescent="0.3">
      <c r="E339" s="289" t="s">
        <v>118</v>
      </c>
      <c r="F339" s="290"/>
      <c r="G339" s="290"/>
      <c r="H339" s="290"/>
      <c r="I339" s="290"/>
      <c r="J339" s="290"/>
      <c r="K339" s="291"/>
    </row>
    <row r="340" spans="5:12" ht="15.5" x14ac:dyDescent="0.4">
      <c r="E340" s="49" t="s">
        <v>112</v>
      </c>
      <c r="F340" s="18" t="s">
        <v>113</v>
      </c>
      <c r="G340" s="18" t="s">
        <v>114</v>
      </c>
      <c r="H340" s="18" t="s">
        <v>115</v>
      </c>
      <c r="I340" s="18" t="s">
        <v>64</v>
      </c>
      <c r="J340" s="18" t="s">
        <v>116</v>
      </c>
      <c r="K340" s="86" t="s">
        <v>117</v>
      </c>
    </row>
    <row r="341" spans="5:12" x14ac:dyDescent="0.25">
      <c r="E341" s="49">
        <v>3</v>
      </c>
      <c r="F341" s="18">
        <v>60</v>
      </c>
      <c r="G341" s="18">
        <v>1.24</v>
      </c>
      <c r="H341" s="18">
        <v>0.66</v>
      </c>
      <c r="I341" s="18">
        <v>0.8</v>
      </c>
      <c r="J341" s="18">
        <f>6*365</f>
        <v>2190</v>
      </c>
      <c r="K341" s="35">
        <f>(E341*F341*G341*H341*I341*J341)/1000</f>
        <v>258.09062399999999</v>
      </c>
    </row>
    <row r="342" spans="5:12" ht="13.5" thickBot="1" x14ac:dyDescent="0.35">
      <c r="E342" s="327" t="s">
        <v>118</v>
      </c>
      <c r="F342" s="328"/>
      <c r="G342" s="328"/>
      <c r="H342" s="328"/>
      <c r="I342" s="328"/>
      <c r="J342" s="328"/>
      <c r="K342" s="74">
        <f>K341</f>
        <v>258.09062399999999</v>
      </c>
    </row>
    <row r="344" spans="5:12" ht="13.5" thickBot="1" x14ac:dyDescent="0.3"/>
    <row r="345" spans="5:12" x14ac:dyDescent="0.3">
      <c r="E345" s="295" t="s">
        <v>124</v>
      </c>
      <c r="F345" s="296"/>
      <c r="G345" s="296"/>
      <c r="H345" s="297"/>
    </row>
    <row r="346" spans="5:12" x14ac:dyDescent="0.25">
      <c r="E346" s="44" t="s">
        <v>119</v>
      </c>
      <c r="F346" s="8" t="s">
        <v>120</v>
      </c>
      <c r="G346" s="8" t="s">
        <v>121</v>
      </c>
      <c r="H346" s="87" t="s">
        <v>122</v>
      </c>
    </row>
    <row r="347" spans="5:12" x14ac:dyDescent="0.25">
      <c r="E347" s="44">
        <v>36</v>
      </c>
      <c r="F347" s="8">
        <v>5</v>
      </c>
      <c r="G347" s="8">
        <f>F347*365</f>
        <v>1825</v>
      </c>
      <c r="H347" s="85">
        <f>(E347*G347)/1000</f>
        <v>65.7</v>
      </c>
    </row>
    <row r="348" spans="5:12" ht="13.5" thickBot="1" x14ac:dyDescent="0.35">
      <c r="E348" s="312" t="s">
        <v>123</v>
      </c>
      <c r="F348" s="313"/>
      <c r="G348" s="313"/>
      <c r="H348" s="88">
        <f>H347</f>
        <v>65.7</v>
      </c>
    </row>
    <row r="351" spans="5:12" ht="13.5" thickBot="1" x14ac:dyDescent="0.3"/>
    <row r="352" spans="5:12" x14ac:dyDescent="0.25">
      <c r="E352" s="93" t="s">
        <v>125</v>
      </c>
      <c r="F352" s="90" t="s">
        <v>126</v>
      </c>
      <c r="G352" s="90" t="s">
        <v>127</v>
      </c>
      <c r="H352" s="90" t="s">
        <v>87</v>
      </c>
      <c r="I352" s="90" t="s">
        <v>128</v>
      </c>
      <c r="J352" s="90" t="s">
        <v>129</v>
      </c>
      <c r="K352" s="90" t="s">
        <v>130</v>
      </c>
      <c r="L352" s="91" t="s">
        <v>134</v>
      </c>
    </row>
    <row r="353" spans="5:12" x14ac:dyDescent="0.25">
      <c r="E353" s="94">
        <v>22</v>
      </c>
      <c r="F353" s="27">
        <f>R120</f>
        <v>119.83204800000007</v>
      </c>
      <c r="G353" s="27">
        <f>K$222</f>
        <v>333.67240507392</v>
      </c>
      <c r="H353" s="27">
        <f>R240</f>
        <v>500.72726272220916</v>
      </c>
      <c r="I353" s="8">
        <f>O$336</f>
        <v>2452.7999999999997</v>
      </c>
      <c r="J353" s="27">
        <f>K$342</f>
        <v>258.09062399999999</v>
      </c>
      <c r="K353" s="8">
        <f>H$348</f>
        <v>65.7</v>
      </c>
      <c r="L353" s="51">
        <f>F353+G353+H353+I353+J353+K353</f>
        <v>3730.8223397961287</v>
      </c>
    </row>
    <row r="354" spans="5:12" x14ac:dyDescent="0.25">
      <c r="E354" s="94">
        <v>23</v>
      </c>
      <c r="F354" s="27">
        <f>R134</f>
        <v>91.449648000000082</v>
      </c>
      <c r="G354" s="27">
        <f t="shared" ref="G354:G359" si="89">K$222</f>
        <v>333.67240507392</v>
      </c>
      <c r="H354" s="27">
        <f>R253</f>
        <v>451.68904139309569</v>
      </c>
      <c r="I354" s="8">
        <f t="shared" ref="I354:I359" si="90">O$336</f>
        <v>2452.7999999999997</v>
      </c>
      <c r="J354" s="27">
        <f t="shared" ref="J354:J359" si="91">K$342</f>
        <v>258.09062399999999</v>
      </c>
      <c r="K354" s="8">
        <f t="shared" ref="K354:K359" si="92">H$348</f>
        <v>65.7</v>
      </c>
      <c r="L354" s="51">
        <f t="shared" ref="L354:L359" si="93">F354+G354+H354+I354+J354+K354</f>
        <v>3653.4017184670151</v>
      </c>
    </row>
    <row r="355" spans="5:12" x14ac:dyDescent="0.25">
      <c r="E355" s="94">
        <v>24</v>
      </c>
      <c r="F355" s="27">
        <f>R148</f>
        <v>63.067248000000077</v>
      </c>
      <c r="G355" s="27">
        <f t="shared" si="89"/>
        <v>333.67240507392</v>
      </c>
      <c r="H355" s="27">
        <f>R266</f>
        <v>402.65082006398205</v>
      </c>
      <c r="I355" s="8">
        <f t="shared" si="90"/>
        <v>2452.7999999999997</v>
      </c>
      <c r="J355" s="27">
        <f t="shared" si="91"/>
        <v>258.09062399999999</v>
      </c>
      <c r="K355" s="8">
        <f t="shared" si="92"/>
        <v>65.7</v>
      </c>
      <c r="L355" s="51">
        <f t="shared" si="93"/>
        <v>3575.9810971379015</v>
      </c>
    </row>
    <row r="356" spans="5:12" x14ac:dyDescent="0.25">
      <c r="E356" s="94">
        <v>25</v>
      </c>
      <c r="F356" s="27">
        <f>R162</f>
        <v>34.684848000000088</v>
      </c>
      <c r="G356" s="27">
        <f t="shared" si="89"/>
        <v>333.67240507392</v>
      </c>
      <c r="H356" s="27">
        <f>R279</f>
        <v>353.61259873486847</v>
      </c>
      <c r="I356" s="8">
        <f t="shared" si="90"/>
        <v>2452.7999999999997</v>
      </c>
      <c r="J356" s="27">
        <f t="shared" si="91"/>
        <v>258.09062399999999</v>
      </c>
      <c r="K356" s="8">
        <f t="shared" si="92"/>
        <v>65.7</v>
      </c>
      <c r="L356" s="51">
        <f t="shared" si="93"/>
        <v>3498.5604758087879</v>
      </c>
    </row>
    <row r="357" spans="5:12" x14ac:dyDescent="0.25">
      <c r="E357" s="94">
        <v>26</v>
      </c>
      <c r="F357" s="27">
        <f>R176</f>
        <v>6.30244800000008</v>
      </c>
      <c r="G357" s="27">
        <f t="shared" si="89"/>
        <v>333.67240507392</v>
      </c>
      <c r="H357" s="27">
        <f>R292</f>
        <v>304.57437740575483</v>
      </c>
      <c r="I357" s="8">
        <f t="shared" si="90"/>
        <v>2452.7999999999997</v>
      </c>
      <c r="J357" s="27">
        <f t="shared" si="91"/>
        <v>258.09062399999999</v>
      </c>
      <c r="K357" s="8">
        <f t="shared" si="92"/>
        <v>65.7</v>
      </c>
      <c r="L357" s="51">
        <f>F357+G357+H357+I357+J357+K357</f>
        <v>3421.1398544796743</v>
      </c>
    </row>
    <row r="358" spans="5:12" x14ac:dyDescent="0.25">
      <c r="E358" s="94">
        <v>27</v>
      </c>
      <c r="F358" s="27">
        <f>R190</f>
        <v>-22.079951999999917</v>
      </c>
      <c r="G358" s="27">
        <f t="shared" si="89"/>
        <v>333.67240507392</v>
      </c>
      <c r="H358" s="27">
        <f>R305</f>
        <v>255.53615607664122</v>
      </c>
      <c r="I358" s="8">
        <f t="shared" si="90"/>
        <v>2452.7999999999997</v>
      </c>
      <c r="J358" s="27">
        <f t="shared" si="91"/>
        <v>258.09062399999999</v>
      </c>
      <c r="K358" s="8">
        <f t="shared" si="92"/>
        <v>65.7</v>
      </c>
      <c r="L358" s="51">
        <f t="shared" si="93"/>
        <v>3343.7192331505607</v>
      </c>
    </row>
    <row r="359" spans="5:12" ht="13.5" thickBot="1" x14ac:dyDescent="0.3">
      <c r="E359" s="95">
        <v>28</v>
      </c>
      <c r="F359" s="89">
        <f>R204</f>
        <v>-50.462351999999925</v>
      </c>
      <c r="G359" s="89">
        <f t="shared" si="89"/>
        <v>333.67240507392</v>
      </c>
      <c r="H359" s="89">
        <f>R318</f>
        <v>206.49793474752769</v>
      </c>
      <c r="I359" s="21">
        <f t="shared" si="90"/>
        <v>2452.7999999999997</v>
      </c>
      <c r="J359" s="89">
        <f t="shared" si="91"/>
        <v>258.09062399999999</v>
      </c>
      <c r="K359" s="21">
        <f t="shared" si="92"/>
        <v>65.7</v>
      </c>
      <c r="L359" s="92">
        <f t="shared" si="93"/>
        <v>3266.2986118214471</v>
      </c>
    </row>
    <row r="360" spans="5:12" x14ac:dyDescent="0.25">
      <c r="E360" s="32"/>
      <c r="F360" s="32"/>
      <c r="G360" s="32"/>
      <c r="H360" s="32"/>
      <c r="I360" s="32"/>
      <c r="J360" s="32"/>
      <c r="K360" s="32"/>
    </row>
    <row r="361" spans="5:12" x14ac:dyDescent="0.25">
      <c r="E361" s="32"/>
      <c r="F361" s="32"/>
      <c r="G361" s="32"/>
      <c r="H361" s="32"/>
      <c r="I361" s="32"/>
      <c r="J361" s="32"/>
      <c r="K361" s="32"/>
    </row>
    <row r="362" spans="5:12" x14ac:dyDescent="0.25">
      <c r="E362" s="32"/>
      <c r="F362" s="32"/>
      <c r="G362" s="32"/>
      <c r="H362" s="32"/>
      <c r="I362" s="32"/>
      <c r="J362" s="32"/>
      <c r="K362" s="32"/>
    </row>
    <row r="363" spans="5:12" x14ac:dyDescent="0.25">
      <c r="E363" s="32"/>
      <c r="F363" s="32"/>
      <c r="G363" s="32"/>
      <c r="H363" s="32"/>
      <c r="I363" s="32"/>
      <c r="J363" s="32"/>
      <c r="K363" s="32"/>
    </row>
    <row r="364" spans="5:12" x14ac:dyDescent="0.25">
      <c r="E364" s="32"/>
      <c r="F364" s="32"/>
      <c r="G364" s="32"/>
      <c r="H364" s="32"/>
      <c r="I364" s="32"/>
      <c r="J364" s="32"/>
      <c r="K364" s="32"/>
    </row>
    <row r="365" spans="5:12" x14ac:dyDescent="0.25">
      <c r="E365" s="32"/>
      <c r="F365" s="32"/>
      <c r="G365" s="32"/>
      <c r="H365" s="32"/>
      <c r="I365" s="32"/>
      <c r="J365" s="32"/>
      <c r="K365" s="32"/>
    </row>
    <row r="366" spans="5:12" x14ac:dyDescent="0.25">
      <c r="E366" s="32"/>
      <c r="F366" s="32"/>
      <c r="G366" s="32"/>
      <c r="H366" s="32"/>
      <c r="I366" s="32"/>
      <c r="J366" s="32"/>
      <c r="K366" s="32"/>
    </row>
    <row r="367" spans="5:12" x14ac:dyDescent="0.25">
      <c r="E367" s="32"/>
      <c r="F367" s="32"/>
      <c r="G367" s="32"/>
      <c r="H367" s="32"/>
      <c r="I367" s="32"/>
      <c r="J367" s="32"/>
      <c r="K367" s="32"/>
    </row>
  </sheetData>
  <mergeCells count="44">
    <mergeCell ref="E73:N73"/>
    <mergeCell ref="E3:AI3"/>
    <mergeCell ref="E17:N17"/>
    <mergeCell ref="E31:N31"/>
    <mergeCell ref="E45:N45"/>
    <mergeCell ref="E59:N59"/>
    <mergeCell ref="E253:Q253"/>
    <mergeCell ref="E162:Q162"/>
    <mergeCell ref="E87:N87"/>
    <mergeCell ref="E101:N101"/>
    <mergeCell ref="B105:C106"/>
    <mergeCell ref="E105:R105"/>
    <mergeCell ref="E106:R106"/>
    <mergeCell ref="E120:Q120"/>
    <mergeCell ref="E121:R121"/>
    <mergeCell ref="E134:Q134"/>
    <mergeCell ref="E135:R135"/>
    <mergeCell ref="E148:Q148"/>
    <mergeCell ref="E149:R149"/>
    <mergeCell ref="E342:J342"/>
    <mergeCell ref="E345:H345"/>
    <mergeCell ref="E348:G348"/>
    <mergeCell ref="E279:Q279"/>
    <mergeCell ref="E292:Q292"/>
    <mergeCell ref="E305:Q305"/>
    <mergeCell ref="E318:Q318"/>
    <mergeCell ref="Q321:R323"/>
    <mergeCell ref="E322:O322"/>
    <mergeCell ref="AO5:AQ5"/>
    <mergeCell ref="AO46:AQ46"/>
    <mergeCell ref="AO75:AQ75"/>
    <mergeCell ref="E336:M336"/>
    <mergeCell ref="E339:K339"/>
    <mergeCell ref="E266:Q266"/>
    <mergeCell ref="E163:R163"/>
    <mergeCell ref="E176:Q176"/>
    <mergeCell ref="E177:R177"/>
    <mergeCell ref="E190:Q190"/>
    <mergeCell ref="E191:R191"/>
    <mergeCell ref="E204:Q204"/>
    <mergeCell ref="E208:K208"/>
    <mergeCell ref="E222:J222"/>
    <mergeCell ref="E226:R226"/>
    <mergeCell ref="E240:Q24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048B5-EDCE-4908-B7E4-B7F2A36EFF91}">
  <dimension ref="B2:AR367"/>
  <sheetViews>
    <sheetView topLeftCell="C356" zoomScale="92" zoomScaleNormal="92" workbookViewId="0">
      <selection activeCell="P214" sqref="P214"/>
    </sheetView>
  </sheetViews>
  <sheetFormatPr defaultRowHeight="13" x14ac:dyDescent="0.25"/>
  <cols>
    <col min="2" max="2" width="15.26953125" customWidth="1"/>
    <col min="3" max="3" width="17.1796875" customWidth="1"/>
    <col min="5" max="5" width="12.81640625" customWidth="1"/>
    <col min="6" max="6" width="11.54296875" customWidth="1"/>
    <col min="7" max="7" width="9" style="1" customWidth="1"/>
    <col min="8" max="8" width="10.1796875" customWidth="1"/>
    <col min="9" max="9" width="17.81640625" customWidth="1"/>
    <col min="10" max="10" width="14.1796875" customWidth="1"/>
    <col min="11" max="11" width="11.453125" customWidth="1"/>
    <col min="12" max="12" width="14.81640625" customWidth="1"/>
    <col min="13" max="14" width="12.1796875" customWidth="1"/>
    <col min="15" max="15" width="15.54296875" style="112" customWidth="1"/>
    <col min="16" max="16" width="17.1796875" style="1" customWidth="1"/>
    <col min="17" max="17" width="28.1796875" style="1" customWidth="1"/>
    <col min="18" max="18" width="18.54296875" customWidth="1"/>
    <col min="19" max="19" width="18.81640625" customWidth="1"/>
    <col min="20" max="20" width="11.54296875" customWidth="1"/>
    <col min="21" max="21" width="9.7265625" customWidth="1"/>
    <col min="24" max="24" width="12" customWidth="1"/>
    <col min="28" max="28" width="11.26953125" customWidth="1"/>
    <col min="29" max="29" width="10.453125" customWidth="1"/>
    <col min="30" max="30" width="17.81640625" customWidth="1"/>
    <col min="31" max="31" width="15" customWidth="1"/>
    <col min="35" max="35" width="11" customWidth="1"/>
    <col min="36" max="36" width="8.7265625" style="32"/>
    <col min="37" max="38" width="8.7265625" style="39"/>
    <col min="42" max="42" width="19.81640625" customWidth="1"/>
    <col min="43" max="43" width="14.26953125" customWidth="1"/>
    <col min="44" max="44" width="12.453125" customWidth="1"/>
  </cols>
  <sheetData>
    <row r="2" spans="2:44" ht="13.5" thickBot="1" x14ac:dyDescent="0.3"/>
    <row r="3" spans="2:44" x14ac:dyDescent="0.3">
      <c r="E3" s="376" t="s">
        <v>9</v>
      </c>
      <c r="F3" s="377"/>
      <c r="G3" s="377"/>
      <c r="H3" s="377"/>
      <c r="I3" s="377"/>
      <c r="J3" s="377"/>
      <c r="K3" s="377"/>
      <c r="L3" s="377"/>
      <c r="M3" s="377"/>
      <c r="N3" s="377"/>
      <c r="O3" s="377"/>
      <c r="P3" s="377"/>
      <c r="Q3" s="377"/>
      <c r="R3" s="377"/>
      <c r="S3" s="377"/>
      <c r="T3" s="377"/>
      <c r="U3" s="377"/>
      <c r="V3" s="377"/>
      <c r="W3" s="377"/>
      <c r="X3" s="377"/>
      <c r="Y3" s="377"/>
      <c r="Z3" s="377"/>
      <c r="AA3" s="377"/>
      <c r="AB3" s="377"/>
      <c r="AC3" s="377"/>
      <c r="AD3" s="377"/>
      <c r="AE3" s="377"/>
      <c r="AF3" s="377"/>
      <c r="AG3" s="377"/>
      <c r="AH3" s="377"/>
      <c r="AI3" s="378"/>
    </row>
    <row r="4" spans="2:44" ht="15" customHeight="1" thickBot="1" x14ac:dyDescent="0.45">
      <c r="E4" s="2" t="s">
        <v>0</v>
      </c>
      <c r="F4" s="3"/>
      <c r="G4" s="5"/>
      <c r="H4" s="4"/>
      <c r="I4" s="4"/>
      <c r="J4" s="4"/>
      <c r="K4" s="4"/>
      <c r="L4" s="4"/>
      <c r="M4" s="3" t="s">
        <v>138</v>
      </c>
      <c r="N4" s="3" t="s">
        <v>137</v>
      </c>
      <c r="O4" s="8" t="s">
        <v>2</v>
      </c>
      <c r="P4" s="4" t="s">
        <v>10</v>
      </c>
      <c r="Q4" s="4" t="s">
        <v>11</v>
      </c>
      <c r="R4" s="4"/>
      <c r="S4" s="4"/>
      <c r="T4" s="4" t="s">
        <v>3</v>
      </c>
      <c r="U4" s="4"/>
      <c r="V4" s="4"/>
      <c r="W4" s="4"/>
      <c r="X4" s="4" t="s">
        <v>3</v>
      </c>
      <c r="Y4" s="4"/>
      <c r="Z4" s="4"/>
      <c r="AA4" s="4"/>
      <c r="AB4" s="4" t="s">
        <v>3</v>
      </c>
      <c r="AC4" s="4"/>
      <c r="AD4" s="4" t="s">
        <v>4</v>
      </c>
      <c r="AE4" s="4" t="s">
        <v>5</v>
      </c>
      <c r="AF4" s="4" t="s">
        <v>6</v>
      </c>
      <c r="AG4" s="4"/>
      <c r="AH4" s="4" t="s">
        <v>7</v>
      </c>
      <c r="AI4" s="6" t="s">
        <v>8</v>
      </c>
    </row>
    <row r="5" spans="2:44" ht="15" customHeight="1" x14ac:dyDescent="0.3">
      <c r="B5" s="54"/>
      <c r="C5" s="54"/>
      <c r="E5" s="2" t="s">
        <v>15</v>
      </c>
      <c r="F5" s="7">
        <v>22</v>
      </c>
      <c r="G5" s="54">
        <v>34.400654639999999</v>
      </c>
      <c r="H5" s="5">
        <v>420</v>
      </c>
      <c r="I5" s="5">
        <v>118.8</v>
      </c>
      <c r="J5" s="5">
        <v>36</v>
      </c>
      <c r="K5" s="8">
        <v>191.96</v>
      </c>
      <c r="L5" s="8">
        <v>8.4700000000000006</v>
      </c>
      <c r="M5" s="9">
        <f>(F5-((G5+H5+I5+J5)/(K5+L5)))</f>
        <v>18.960531583894628</v>
      </c>
      <c r="N5" s="9">
        <v>19</v>
      </c>
      <c r="O5" s="114">
        <v>206</v>
      </c>
      <c r="P5" s="4"/>
      <c r="Q5" s="4"/>
      <c r="R5" s="4"/>
      <c r="S5" s="4"/>
      <c r="T5" s="4"/>
      <c r="U5" s="4"/>
      <c r="V5" s="4"/>
      <c r="W5" s="4"/>
      <c r="X5" s="4"/>
      <c r="Y5" s="4"/>
      <c r="Z5" s="4"/>
      <c r="AA5" s="4"/>
      <c r="AB5" s="4"/>
      <c r="AC5" s="4"/>
      <c r="AD5" s="4"/>
      <c r="AE5" s="4"/>
      <c r="AF5" s="4"/>
      <c r="AG5" s="4"/>
      <c r="AH5" s="4"/>
      <c r="AI5" s="6"/>
      <c r="AP5" s="295" t="s">
        <v>202</v>
      </c>
      <c r="AQ5" s="296"/>
      <c r="AR5" s="297"/>
    </row>
    <row r="6" spans="2:44" ht="15" customHeight="1" x14ac:dyDescent="0.25">
      <c r="B6" s="54"/>
      <c r="C6" s="54"/>
      <c r="E6" s="2" t="s">
        <v>16</v>
      </c>
      <c r="F6" s="7">
        <v>22</v>
      </c>
      <c r="G6" s="54">
        <v>37.843264800000007</v>
      </c>
      <c r="H6" s="5">
        <v>420</v>
      </c>
      <c r="I6" s="5">
        <v>118.8</v>
      </c>
      <c r="J6" s="5">
        <v>36</v>
      </c>
      <c r="K6" s="8">
        <v>191.96</v>
      </c>
      <c r="L6" s="8">
        <v>8.4700000000000006</v>
      </c>
      <c r="M6" s="9">
        <f t="shared" ref="M6:M16" si="0">(F6-((G6+H6+I6+J6)/(K6+L6)))</f>
        <v>18.943355461757221</v>
      </c>
      <c r="N6" s="9">
        <v>19</v>
      </c>
      <c r="O6" s="114">
        <v>240.4</v>
      </c>
      <c r="P6" s="4"/>
      <c r="Q6" s="4"/>
      <c r="R6" s="4"/>
      <c r="S6" s="4"/>
      <c r="T6" s="4"/>
      <c r="U6" s="4"/>
      <c r="V6" s="4"/>
      <c r="W6" s="4"/>
      <c r="X6" s="4"/>
      <c r="Y6" s="4"/>
      <c r="Z6" s="4"/>
      <c r="AA6" s="4"/>
      <c r="AB6" s="4"/>
      <c r="AC6" s="4"/>
      <c r="AD6" s="4"/>
      <c r="AE6" s="4"/>
      <c r="AF6" s="4"/>
      <c r="AG6" s="4"/>
      <c r="AH6" s="4"/>
      <c r="AI6" s="6"/>
      <c r="AP6" s="76" t="s">
        <v>195</v>
      </c>
      <c r="AQ6" s="27" t="s">
        <v>196</v>
      </c>
      <c r="AR6" s="86" t="s">
        <v>201</v>
      </c>
    </row>
    <row r="7" spans="2:44" ht="15" customHeight="1" x14ac:dyDescent="0.25">
      <c r="B7" s="54"/>
      <c r="C7" s="54"/>
      <c r="E7" s="2" t="s">
        <v>17</v>
      </c>
      <c r="F7" s="7">
        <v>22</v>
      </c>
      <c r="G7" s="54">
        <v>40.137126480000006</v>
      </c>
      <c r="H7" s="5">
        <v>420</v>
      </c>
      <c r="I7" s="5">
        <v>118.8</v>
      </c>
      <c r="J7" s="5">
        <v>36</v>
      </c>
      <c r="K7" s="8">
        <v>191.96</v>
      </c>
      <c r="L7" s="8">
        <v>8.4700000000000006</v>
      </c>
      <c r="M7" s="9">
        <f t="shared" si="0"/>
        <v>18.931910759467147</v>
      </c>
      <c r="N7" s="9">
        <v>19</v>
      </c>
      <c r="O7" s="114">
        <v>328.3</v>
      </c>
      <c r="P7" s="4"/>
      <c r="Q7" s="4"/>
      <c r="R7" s="4"/>
      <c r="S7" s="4"/>
      <c r="T7" s="4"/>
      <c r="U7" s="4"/>
      <c r="V7" s="4"/>
      <c r="W7" s="4"/>
      <c r="X7" s="4"/>
      <c r="Y7" s="4"/>
      <c r="Z7" s="4"/>
      <c r="AA7" s="4"/>
      <c r="AB7" s="4"/>
      <c r="AC7" s="4"/>
      <c r="AD7" s="4"/>
      <c r="AE7" s="4"/>
      <c r="AF7" s="4"/>
      <c r="AG7" s="4"/>
      <c r="AH7" s="4"/>
      <c r="AI7" s="6"/>
      <c r="AP7" s="76">
        <v>22</v>
      </c>
      <c r="AQ7" s="27">
        <v>16</v>
      </c>
      <c r="AR7" s="145">
        <f>AQ7/AQ10</f>
        <v>0.34782608695652173</v>
      </c>
    </row>
    <row r="8" spans="2:44" ht="15" customHeight="1" x14ac:dyDescent="0.25">
      <c r="B8" s="54"/>
      <c r="C8" s="54"/>
      <c r="E8" s="2" t="s">
        <v>18</v>
      </c>
      <c r="F8" s="7">
        <v>22</v>
      </c>
      <c r="G8" s="54">
        <v>44.721214560000007</v>
      </c>
      <c r="H8" s="5">
        <v>420</v>
      </c>
      <c r="I8" s="5">
        <v>118.8</v>
      </c>
      <c r="J8" s="5">
        <v>36</v>
      </c>
      <c r="K8" s="8">
        <v>191.96</v>
      </c>
      <c r="L8" s="8">
        <v>8.4700000000000006</v>
      </c>
      <c r="M8" s="9">
        <f t="shared" si="0"/>
        <v>18.909039492291573</v>
      </c>
      <c r="N8" s="9">
        <v>19</v>
      </c>
      <c r="O8" s="114">
        <v>317.60000000000002</v>
      </c>
      <c r="P8" s="4"/>
      <c r="Q8" s="4"/>
      <c r="R8" s="4"/>
      <c r="S8" s="4"/>
      <c r="T8" s="4"/>
      <c r="U8" s="4"/>
      <c r="V8" s="4"/>
      <c r="W8" s="4"/>
      <c r="X8" s="4"/>
      <c r="Y8" s="4"/>
      <c r="Z8" s="4"/>
      <c r="AA8" s="4"/>
      <c r="AB8" s="4"/>
      <c r="AC8" s="4"/>
      <c r="AD8" s="4"/>
      <c r="AE8" s="4"/>
      <c r="AF8" s="4"/>
      <c r="AG8" s="4"/>
      <c r="AH8" s="4"/>
      <c r="AI8" s="6"/>
      <c r="AP8" s="76">
        <v>23</v>
      </c>
      <c r="AQ8" s="27">
        <v>10</v>
      </c>
      <c r="AR8" s="145">
        <f>AQ8/AQ10</f>
        <v>0.21739130434782608</v>
      </c>
    </row>
    <row r="9" spans="2:44" ht="15" customHeight="1" x14ac:dyDescent="0.25">
      <c r="B9" s="54"/>
      <c r="C9" s="54"/>
      <c r="E9" s="2" t="s">
        <v>12</v>
      </c>
      <c r="F9" s="7">
        <v>22</v>
      </c>
      <c r="G9" s="54">
        <v>59.629497840000013</v>
      </c>
      <c r="H9" s="5">
        <v>420</v>
      </c>
      <c r="I9" s="5">
        <v>118.8</v>
      </c>
      <c r="J9" s="5">
        <v>36</v>
      </c>
      <c r="K9" s="8">
        <v>191.96</v>
      </c>
      <c r="L9" s="8">
        <v>8.4700000000000006</v>
      </c>
      <c r="M9" s="9">
        <f t="shared" si="0"/>
        <v>18.834657996108369</v>
      </c>
      <c r="N9" s="9">
        <v>19</v>
      </c>
      <c r="O9" s="114">
        <v>360.1</v>
      </c>
      <c r="P9" s="4"/>
      <c r="Q9" s="4"/>
      <c r="R9" s="4"/>
      <c r="S9" s="4"/>
      <c r="T9" s="4"/>
      <c r="U9" s="4"/>
      <c r="V9" s="4"/>
      <c r="W9" s="4"/>
      <c r="X9" s="4"/>
      <c r="Y9" s="4"/>
      <c r="Z9" s="4"/>
      <c r="AA9" s="4"/>
      <c r="AB9" s="4"/>
      <c r="AC9" s="4"/>
      <c r="AD9" s="4"/>
      <c r="AE9" s="4"/>
      <c r="AF9" s="4"/>
      <c r="AG9" s="4"/>
      <c r="AH9" s="4"/>
      <c r="AI9" s="6"/>
      <c r="AP9" s="76">
        <v>24</v>
      </c>
      <c r="AQ9" s="27">
        <v>20</v>
      </c>
      <c r="AR9" s="145">
        <f>AQ9/AQ10</f>
        <v>0.43478260869565216</v>
      </c>
    </row>
    <row r="10" spans="2:44" ht="15" customHeight="1" thickBot="1" x14ac:dyDescent="0.3">
      <c r="B10" s="54"/>
      <c r="C10" s="54"/>
      <c r="E10" s="2" t="s">
        <v>13</v>
      </c>
      <c r="F10" s="7">
        <v>22</v>
      </c>
      <c r="G10" s="54">
        <v>75.686529600000014</v>
      </c>
      <c r="H10" s="5">
        <v>420</v>
      </c>
      <c r="I10" s="5">
        <v>118.8</v>
      </c>
      <c r="J10" s="5">
        <v>36</v>
      </c>
      <c r="K10" s="8">
        <v>191.96</v>
      </c>
      <c r="L10" s="8">
        <v>8.4700000000000006</v>
      </c>
      <c r="M10" s="9">
        <f t="shared" si="0"/>
        <v>18.754545080077833</v>
      </c>
      <c r="N10" s="9">
        <v>19</v>
      </c>
      <c r="O10" s="114">
        <v>259</v>
      </c>
      <c r="P10" s="4"/>
      <c r="Q10" s="4"/>
      <c r="R10" s="4"/>
      <c r="S10" s="4"/>
      <c r="T10" s="4"/>
      <c r="U10" s="4"/>
      <c r="V10" s="4"/>
      <c r="W10" s="4"/>
      <c r="X10" s="4"/>
      <c r="Y10" s="4"/>
      <c r="Z10" s="4"/>
      <c r="AA10" s="4"/>
      <c r="AB10" s="4"/>
      <c r="AC10" s="4"/>
      <c r="AD10" s="4"/>
      <c r="AE10" s="4"/>
      <c r="AF10" s="4"/>
      <c r="AG10" s="4"/>
      <c r="AH10" s="4"/>
      <c r="AI10" s="6"/>
      <c r="AP10" s="142"/>
      <c r="AQ10" s="89">
        <f>AQ7+AQ8+AQ9</f>
        <v>46</v>
      </c>
      <c r="AR10" s="140"/>
    </row>
    <row r="11" spans="2:44" x14ac:dyDescent="0.25">
      <c r="B11" s="54"/>
      <c r="C11" s="54"/>
      <c r="E11" s="2" t="s">
        <v>1</v>
      </c>
      <c r="F11" s="7">
        <v>22</v>
      </c>
      <c r="G11" s="54">
        <v>63.072108000000007</v>
      </c>
      <c r="H11" s="5">
        <v>420</v>
      </c>
      <c r="I11" s="5">
        <v>118.8</v>
      </c>
      <c r="J11" s="5">
        <v>36</v>
      </c>
      <c r="K11" s="8">
        <v>191.96</v>
      </c>
      <c r="L11" s="8">
        <v>8.4700000000000006</v>
      </c>
      <c r="M11" s="9">
        <f t="shared" si="0"/>
        <v>18.817481873970962</v>
      </c>
      <c r="N11" s="9">
        <v>19</v>
      </c>
      <c r="O11" s="114">
        <v>254.5</v>
      </c>
      <c r="P11" s="8"/>
      <c r="Q11" s="8"/>
      <c r="R11" s="4"/>
      <c r="S11" s="4"/>
      <c r="T11" s="4"/>
      <c r="U11" s="4"/>
      <c r="V11" s="4"/>
      <c r="W11" s="4"/>
      <c r="X11" s="4"/>
      <c r="Y11" s="4"/>
      <c r="Z11" s="4"/>
      <c r="AA11" s="4"/>
      <c r="AB11" s="4"/>
      <c r="AC11" s="4"/>
      <c r="AD11" s="4"/>
      <c r="AE11" s="4"/>
      <c r="AF11" s="4"/>
      <c r="AG11" s="4"/>
      <c r="AH11" s="4"/>
      <c r="AI11" s="6"/>
    </row>
    <row r="12" spans="2:44" x14ac:dyDescent="0.25">
      <c r="B12" s="54"/>
      <c r="C12" s="54"/>
      <c r="E12" s="2" t="s">
        <v>19</v>
      </c>
      <c r="F12" s="7">
        <v>22</v>
      </c>
      <c r="G12" s="54">
        <v>47.015076240000013</v>
      </c>
      <c r="H12" s="5">
        <v>420</v>
      </c>
      <c r="I12" s="5">
        <v>118.8</v>
      </c>
      <c r="J12" s="5">
        <v>36</v>
      </c>
      <c r="K12" s="8">
        <v>191.96</v>
      </c>
      <c r="L12" s="8">
        <v>8.4700000000000006</v>
      </c>
      <c r="M12" s="9">
        <f t="shared" si="0"/>
        <v>18.897594790001499</v>
      </c>
      <c r="N12" s="9">
        <v>19</v>
      </c>
      <c r="O12" s="114">
        <v>258.60000000000002</v>
      </c>
      <c r="P12" s="8"/>
      <c r="Q12" s="8"/>
      <c r="R12" s="4"/>
      <c r="S12" s="4"/>
      <c r="T12" s="4"/>
      <c r="U12" s="4"/>
      <c r="V12" s="4"/>
      <c r="W12" s="4"/>
      <c r="X12" s="4"/>
      <c r="Y12" s="4"/>
      <c r="Z12" s="4"/>
      <c r="AA12" s="4"/>
      <c r="AB12" s="4"/>
      <c r="AC12" s="4"/>
      <c r="AD12" s="4"/>
      <c r="AE12" s="4"/>
      <c r="AF12" s="4"/>
      <c r="AG12" s="4"/>
      <c r="AH12" s="4"/>
      <c r="AI12" s="6"/>
    </row>
    <row r="13" spans="2:44" x14ac:dyDescent="0.25">
      <c r="B13" s="54"/>
      <c r="C13" s="54"/>
      <c r="E13" s="2" t="s">
        <v>20</v>
      </c>
      <c r="F13" s="7">
        <v>22</v>
      </c>
      <c r="G13" s="54">
        <v>41.282239680000004</v>
      </c>
      <c r="H13" s="5">
        <v>420</v>
      </c>
      <c r="I13" s="5">
        <v>118.8</v>
      </c>
      <c r="J13" s="5">
        <v>36</v>
      </c>
      <c r="K13" s="8">
        <v>191.96</v>
      </c>
      <c r="L13" s="8">
        <v>8.4700000000000006</v>
      </c>
      <c r="M13" s="9">
        <f t="shared" si="0"/>
        <v>18.926197477024399</v>
      </c>
      <c r="N13" s="9">
        <v>19</v>
      </c>
      <c r="O13" s="114">
        <v>256.8</v>
      </c>
      <c r="P13" s="8"/>
      <c r="Q13" s="8"/>
      <c r="R13" s="4"/>
      <c r="S13" s="4"/>
      <c r="T13" s="4"/>
      <c r="U13" s="4"/>
      <c r="V13" s="4"/>
      <c r="W13" s="4"/>
      <c r="X13" s="4"/>
      <c r="Y13" s="4"/>
      <c r="Z13" s="4"/>
      <c r="AA13" s="4"/>
      <c r="AB13" s="4"/>
      <c r="AC13" s="4"/>
      <c r="AD13" s="4"/>
      <c r="AE13" s="4"/>
      <c r="AF13" s="4"/>
      <c r="AG13" s="4"/>
      <c r="AH13" s="4"/>
      <c r="AI13" s="6"/>
    </row>
    <row r="14" spans="2:44" x14ac:dyDescent="0.25">
      <c r="B14" s="54"/>
      <c r="C14" s="54"/>
      <c r="E14" s="2" t="s">
        <v>21</v>
      </c>
      <c r="F14" s="7">
        <v>22</v>
      </c>
      <c r="G14" s="54">
        <v>37.843264800000007</v>
      </c>
      <c r="H14" s="5">
        <v>420</v>
      </c>
      <c r="I14" s="5">
        <v>118.8</v>
      </c>
      <c r="J14" s="5">
        <v>36</v>
      </c>
      <c r="K14" s="8">
        <v>191.96</v>
      </c>
      <c r="L14" s="8">
        <v>8.4700000000000006</v>
      </c>
      <c r="M14" s="9">
        <f t="shared" si="0"/>
        <v>18.943355461757221</v>
      </c>
      <c r="N14" s="9">
        <v>19</v>
      </c>
      <c r="O14" s="114">
        <v>291.7</v>
      </c>
      <c r="P14" s="8"/>
      <c r="Q14" s="8"/>
      <c r="R14" s="4"/>
      <c r="S14" s="4"/>
      <c r="T14" s="4"/>
      <c r="U14" s="4"/>
      <c r="V14" s="4"/>
      <c r="W14" s="4"/>
      <c r="X14" s="4"/>
      <c r="Y14" s="4"/>
      <c r="Z14" s="4"/>
      <c r="AA14" s="4"/>
      <c r="AB14" s="4"/>
      <c r="AC14" s="4"/>
      <c r="AD14" s="4"/>
      <c r="AE14" s="4"/>
      <c r="AF14" s="4"/>
      <c r="AG14" s="4"/>
      <c r="AH14" s="4"/>
      <c r="AI14" s="6"/>
    </row>
    <row r="15" spans="2:44" x14ac:dyDescent="0.25">
      <c r="B15" s="54"/>
      <c r="C15" s="54"/>
      <c r="E15" s="2" t="s">
        <v>22</v>
      </c>
      <c r="F15" s="7">
        <v>22</v>
      </c>
      <c r="G15" s="54">
        <v>34.400654639999999</v>
      </c>
      <c r="H15" s="5">
        <v>420</v>
      </c>
      <c r="I15" s="5">
        <v>118.8</v>
      </c>
      <c r="J15" s="5">
        <v>36</v>
      </c>
      <c r="K15" s="8">
        <v>191.96</v>
      </c>
      <c r="L15" s="8">
        <v>8.4700000000000006</v>
      </c>
      <c r="M15" s="9">
        <f t="shared" si="0"/>
        <v>18.960531583894628</v>
      </c>
      <c r="N15" s="9">
        <v>19</v>
      </c>
      <c r="O15" s="114">
        <v>264.10000000000002</v>
      </c>
      <c r="P15" s="8"/>
      <c r="Q15" s="8"/>
      <c r="R15" s="4"/>
      <c r="S15" s="4"/>
      <c r="T15" s="4"/>
      <c r="U15" s="4"/>
      <c r="V15" s="4"/>
      <c r="W15" s="4"/>
      <c r="X15" s="4"/>
      <c r="Y15" s="4"/>
      <c r="Z15" s="4"/>
      <c r="AA15" s="4"/>
      <c r="AB15" s="4"/>
      <c r="AC15" s="4"/>
      <c r="AD15" s="4"/>
      <c r="AE15" s="4"/>
      <c r="AF15" s="4"/>
      <c r="AG15" s="4"/>
      <c r="AH15" s="4"/>
      <c r="AI15" s="6"/>
      <c r="AP15" s="82"/>
      <c r="AQ15" s="82"/>
      <c r="AR15" s="54"/>
    </row>
    <row r="16" spans="2:44" x14ac:dyDescent="0.25">
      <c r="B16" s="54"/>
      <c r="C16" s="54"/>
      <c r="E16" s="2" t="s">
        <v>23</v>
      </c>
      <c r="F16" s="7">
        <v>22</v>
      </c>
      <c r="G16" s="54">
        <v>33.255541440000002</v>
      </c>
      <c r="H16" s="5">
        <v>420</v>
      </c>
      <c r="I16" s="5">
        <v>118.8</v>
      </c>
      <c r="J16" s="5">
        <v>36</v>
      </c>
      <c r="K16" s="8">
        <v>191.96</v>
      </c>
      <c r="L16" s="8">
        <v>8.4700000000000006</v>
      </c>
      <c r="M16" s="9">
        <f t="shared" si="0"/>
        <v>18.966244866337377</v>
      </c>
      <c r="N16" s="9">
        <v>19</v>
      </c>
      <c r="O16" s="114">
        <v>256.89999999999998</v>
      </c>
      <c r="P16" s="8"/>
      <c r="Q16" s="8"/>
      <c r="R16" s="4"/>
      <c r="S16" s="4"/>
      <c r="T16" s="4"/>
      <c r="U16" s="4"/>
      <c r="V16" s="4"/>
      <c r="W16" s="4"/>
      <c r="X16" s="4"/>
      <c r="Y16" s="4"/>
      <c r="Z16" s="4"/>
      <c r="AA16" s="4"/>
      <c r="AB16" s="4"/>
      <c r="AC16" s="4"/>
      <c r="AD16" s="4"/>
      <c r="AE16" s="4"/>
      <c r="AF16" s="4"/>
      <c r="AG16" s="4"/>
      <c r="AH16" s="4"/>
      <c r="AI16" s="6"/>
      <c r="AP16" s="82"/>
      <c r="AQ16" s="82"/>
      <c r="AR16" s="54"/>
    </row>
    <row r="17" spans="5:44" ht="14.15" customHeight="1" x14ac:dyDescent="0.3">
      <c r="E17" s="423" t="s">
        <v>3</v>
      </c>
      <c r="F17" s="424"/>
      <c r="G17" s="424"/>
      <c r="H17" s="424"/>
      <c r="I17" s="424"/>
      <c r="J17" s="424"/>
      <c r="K17" s="424"/>
      <c r="L17" s="424"/>
      <c r="M17" s="424"/>
      <c r="N17" s="425"/>
      <c r="O17" s="11">
        <f>SUM(O5:O16)</f>
        <v>3294</v>
      </c>
      <c r="P17" s="28">
        <f>16/24</f>
        <v>0.66666666666666663</v>
      </c>
      <c r="Q17" s="34">
        <f>24/1000</f>
        <v>2.4E-2</v>
      </c>
      <c r="R17" s="8">
        <v>3.59</v>
      </c>
      <c r="S17" s="8">
        <v>12.96</v>
      </c>
      <c r="T17" s="5">
        <f>O17</f>
        <v>3294</v>
      </c>
      <c r="U17" s="15">
        <f>P17*Q17*R17*S17*T17</f>
        <v>2452.1273856000003</v>
      </c>
      <c r="V17" s="5">
        <v>3.94</v>
      </c>
      <c r="W17" s="5">
        <v>12.96</v>
      </c>
      <c r="X17" s="5">
        <f>O17</f>
        <v>3294</v>
      </c>
      <c r="Y17" s="16">
        <f>(P17*Q17*V17*W17*X17)</f>
        <v>2691.1927295999999</v>
      </c>
      <c r="Z17" s="8">
        <v>2.13</v>
      </c>
      <c r="AA17" s="8">
        <v>41.904000000000003</v>
      </c>
      <c r="AB17" s="8">
        <f>O17</f>
        <v>3294</v>
      </c>
      <c r="AC17" s="17">
        <f>(P17*Q17*Z17*AA17*AB17)</f>
        <v>4704.1229260800001</v>
      </c>
      <c r="AD17" s="96">
        <f>L353</f>
        <v>3202.8962707430396</v>
      </c>
      <c r="AE17" s="18">
        <f>U17+Y17+AC17+AD17</f>
        <v>13050.339312023039</v>
      </c>
      <c r="AF17" s="4">
        <f>AE17*0.1</f>
        <v>1305.0339312023041</v>
      </c>
      <c r="AG17" s="19">
        <f>AE17+AF17</f>
        <v>14355.373243225344</v>
      </c>
      <c r="AH17" s="8">
        <v>3.1</v>
      </c>
      <c r="AI17" s="20">
        <f>ROUND((AG17/AH17),0)</f>
        <v>4631</v>
      </c>
      <c r="AJ17" s="39">
        <v>22</v>
      </c>
      <c r="AP17" s="82"/>
      <c r="AQ17" s="82"/>
      <c r="AR17" s="54"/>
    </row>
    <row r="18" spans="5:44" ht="15.5" x14ac:dyDescent="0.4">
      <c r="E18" s="2" t="s">
        <v>0</v>
      </c>
      <c r="F18" s="3"/>
      <c r="G18" s="5"/>
      <c r="H18" s="4"/>
      <c r="I18" s="4"/>
      <c r="J18" s="4"/>
      <c r="K18" s="4"/>
      <c r="L18" s="4"/>
      <c r="M18" s="3" t="s">
        <v>138</v>
      </c>
      <c r="N18" s="3" t="s">
        <v>137</v>
      </c>
      <c r="O18" s="8" t="s">
        <v>2</v>
      </c>
      <c r="P18" s="5"/>
      <c r="Q18" s="5"/>
      <c r="R18" s="4"/>
      <c r="S18" s="4"/>
      <c r="T18" s="4"/>
      <c r="U18" s="4"/>
      <c r="V18" s="4"/>
      <c r="W18" s="4"/>
      <c r="X18" s="4"/>
      <c r="Y18" s="4"/>
      <c r="Z18" s="4"/>
      <c r="AA18" s="4"/>
      <c r="AB18" s="4"/>
      <c r="AC18" s="4"/>
      <c r="AD18" s="4"/>
      <c r="AE18" s="4"/>
      <c r="AF18" s="4"/>
      <c r="AG18" s="4"/>
      <c r="AH18" s="4"/>
      <c r="AI18" s="6"/>
      <c r="AP18" s="53"/>
      <c r="AQ18" s="54"/>
      <c r="AR18" s="54"/>
    </row>
    <row r="19" spans="5:44" x14ac:dyDescent="0.25">
      <c r="E19" s="2" t="s">
        <v>15</v>
      </c>
      <c r="F19" s="7">
        <v>23</v>
      </c>
      <c r="G19" s="54">
        <v>34.400654639999999</v>
      </c>
      <c r="H19" s="5">
        <v>420</v>
      </c>
      <c r="I19" s="5">
        <v>118.8</v>
      </c>
      <c r="J19" s="5">
        <v>36</v>
      </c>
      <c r="K19" s="8">
        <v>191.96</v>
      </c>
      <c r="L19" s="8">
        <v>8.4700000000000006</v>
      </c>
      <c r="M19" s="9">
        <f>(F19-((G19+H19+I19+J19)/(K19+L19)))</f>
        <v>19.960531583894628</v>
      </c>
      <c r="N19" s="9">
        <v>20</v>
      </c>
      <c r="O19" s="114">
        <v>175.9</v>
      </c>
      <c r="P19" s="5"/>
      <c r="Q19" s="5"/>
      <c r="R19" s="4"/>
      <c r="S19" s="4"/>
      <c r="T19" s="4"/>
      <c r="U19" s="4"/>
      <c r="V19" s="4"/>
      <c r="W19" s="4"/>
      <c r="X19" s="4"/>
      <c r="Y19" s="4"/>
      <c r="Z19" s="4"/>
      <c r="AA19" s="4"/>
      <c r="AB19" s="4"/>
      <c r="AC19" s="4"/>
      <c r="AD19" s="4"/>
      <c r="AE19" s="4"/>
      <c r="AF19" s="4"/>
      <c r="AG19" s="4"/>
      <c r="AH19" s="4"/>
      <c r="AI19" s="6"/>
    </row>
    <row r="20" spans="5:44" x14ac:dyDescent="0.25">
      <c r="E20" s="2" t="s">
        <v>16</v>
      </c>
      <c r="F20" s="7">
        <v>23</v>
      </c>
      <c r="G20" s="54">
        <v>37.843264800000007</v>
      </c>
      <c r="H20" s="5">
        <v>420</v>
      </c>
      <c r="I20" s="5">
        <v>118.8</v>
      </c>
      <c r="J20" s="5">
        <v>36</v>
      </c>
      <c r="K20" s="8">
        <v>191.96</v>
      </c>
      <c r="L20" s="8">
        <v>8.4700000000000006</v>
      </c>
      <c r="M20" s="9">
        <f t="shared" ref="M20:M30" si="1">(F20-((G20+H20+I20+J20)/(K20+L20)))</f>
        <v>19.943355461757221</v>
      </c>
      <c r="N20" s="9">
        <v>20</v>
      </c>
      <c r="O20" s="114">
        <v>212.5</v>
      </c>
      <c r="P20" s="5"/>
      <c r="Q20" s="5"/>
      <c r="R20" s="4"/>
      <c r="S20" s="4"/>
      <c r="T20" s="4"/>
      <c r="U20" s="4"/>
      <c r="V20" s="4"/>
      <c r="W20" s="4"/>
      <c r="X20" s="4"/>
      <c r="Y20" s="4"/>
      <c r="Z20" s="4"/>
      <c r="AA20" s="4"/>
      <c r="AB20" s="4"/>
      <c r="AC20" s="4"/>
      <c r="AD20" s="4"/>
      <c r="AE20" s="4"/>
      <c r="AF20" s="4"/>
      <c r="AG20" s="4"/>
      <c r="AH20" s="4"/>
      <c r="AI20" s="6"/>
    </row>
    <row r="21" spans="5:44" x14ac:dyDescent="0.25">
      <c r="E21" s="2" t="s">
        <v>17</v>
      </c>
      <c r="F21" s="7">
        <v>23</v>
      </c>
      <c r="G21" s="54">
        <v>40.137126480000006</v>
      </c>
      <c r="H21" s="5">
        <v>420</v>
      </c>
      <c r="I21" s="5">
        <v>118.8</v>
      </c>
      <c r="J21" s="5">
        <v>36</v>
      </c>
      <c r="K21" s="8">
        <v>191.96</v>
      </c>
      <c r="L21" s="8">
        <v>8.4700000000000006</v>
      </c>
      <c r="M21" s="9">
        <f t="shared" si="1"/>
        <v>19.931910759467147</v>
      </c>
      <c r="N21" s="9">
        <v>20</v>
      </c>
      <c r="O21" s="114">
        <v>297.3</v>
      </c>
      <c r="P21" s="5"/>
      <c r="Q21" s="5"/>
      <c r="R21" s="4"/>
      <c r="S21" s="4"/>
      <c r="T21" s="4"/>
      <c r="U21" s="4"/>
      <c r="V21" s="4"/>
      <c r="W21" s="4"/>
      <c r="X21" s="4"/>
      <c r="Y21" s="4"/>
      <c r="Z21" s="4"/>
      <c r="AA21" s="4"/>
      <c r="AB21" s="4"/>
      <c r="AC21" s="4"/>
      <c r="AD21" s="4"/>
      <c r="AE21" s="4"/>
      <c r="AF21" s="4"/>
      <c r="AG21" s="4"/>
      <c r="AH21" s="4"/>
      <c r="AI21" s="6"/>
    </row>
    <row r="22" spans="5:44" x14ac:dyDescent="0.25">
      <c r="E22" s="2" t="s">
        <v>18</v>
      </c>
      <c r="F22" s="7">
        <v>23</v>
      </c>
      <c r="G22" s="54">
        <v>44.721214560000007</v>
      </c>
      <c r="H22" s="5">
        <v>420</v>
      </c>
      <c r="I22" s="5">
        <v>118.8</v>
      </c>
      <c r="J22" s="5">
        <v>36</v>
      </c>
      <c r="K22" s="8">
        <v>191.96</v>
      </c>
      <c r="L22" s="8">
        <v>8.4700000000000006</v>
      </c>
      <c r="M22" s="9">
        <f t="shared" si="1"/>
        <v>19.909039492291573</v>
      </c>
      <c r="N22" s="9">
        <v>20</v>
      </c>
      <c r="O22" s="114">
        <v>287.60000000000002</v>
      </c>
      <c r="P22" s="5"/>
      <c r="Q22" s="5"/>
      <c r="R22" s="4"/>
      <c r="S22" s="4"/>
      <c r="T22" s="4"/>
      <c r="U22" s="4"/>
      <c r="V22" s="4"/>
      <c r="W22" s="4"/>
      <c r="X22" s="4"/>
      <c r="Y22" s="4"/>
      <c r="Z22" s="4"/>
      <c r="AA22" s="4"/>
      <c r="AB22" s="4"/>
      <c r="AC22" s="4"/>
      <c r="AD22" s="4"/>
      <c r="AE22" s="4"/>
      <c r="AF22" s="4"/>
      <c r="AG22" s="4"/>
      <c r="AH22" s="4"/>
      <c r="AI22" s="6"/>
    </row>
    <row r="23" spans="5:44" x14ac:dyDescent="0.25">
      <c r="E23" s="2" t="s">
        <v>12</v>
      </c>
      <c r="F23" s="7">
        <v>23</v>
      </c>
      <c r="G23" s="54">
        <v>59.629497840000013</v>
      </c>
      <c r="H23" s="5">
        <v>420</v>
      </c>
      <c r="I23" s="5">
        <v>118.8</v>
      </c>
      <c r="J23" s="5">
        <v>36</v>
      </c>
      <c r="K23" s="8">
        <v>191.96</v>
      </c>
      <c r="L23" s="8">
        <v>8.4700000000000006</v>
      </c>
      <c r="M23" s="9">
        <f t="shared" si="1"/>
        <v>19.834657996108369</v>
      </c>
      <c r="N23" s="9">
        <v>20</v>
      </c>
      <c r="O23" s="114">
        <v>329.1</v>
      </c>
      <c r="P23" s="5"/>
      <c r="Q23" s="5"/>
      <c r="R23" s="4"/>
      <c r="S23" s="4"/>
      <c r="T23" s="4"/>
      <c r="U23" s="4"/>
      <c r="V23" s="4"/>
      <c r="W23" s="4"/>
      <c r="X23" s="4"/>
      <c r="Y23" s="4"/>
      <c r="Z23" s="4"/>
      <c r="AA23" s="4"/>
      <c r="AB23" s="4"/>
      <c r="AC23" s="4"/>
      <c r="AD23" s="4"/>
      <c r="AE23" s="4"/>
      <c r="AF23" s="4"/>
      <c r="AG23" s="4"/>
      <c r="AH23" s="4"/>
      <c r="AI23" s="6"/>
    </row>
    <row r="24" spans="5:44" x14ac:dyDescent="0.25">
      <c r="E24" s="2" t="s">
        <v>13</v>
      </c>
      <c r="F24" s="7">
        <v>23</v>
      </c>
      <c r="G24" s="54">
        <v>75.686529600000014</v>
      </c>
      <c r="H24" s="5">
        <v>420</v>
      </c>
      <c r="I24" s="5">
        <v>118.8</v>
      </c>
      <c r="J24" s="5">
        <v>36</v>
      </c>
      <c r="K24" s="8">
        <v>191.96</v>
      </c>
      <c r="L24" s="8">
        <v>8.4700000000000006</v>
      </c>
      <c r="M24" s="9">
        <f t="shared" si="1"/>
        <v>19.754545080077833</v>
      </c>
      <c r="N24" s="9">
        <v>20</v>
      </c>
      <c r="O24" s="114">
        <v>229</v>
      </c>
      <c r="P24" s="5"/>
      <c r="Q24" s="5"/>
      <c r="R24" s="4"/>
      <c r="S24" s="4"/>
      <c r="T24" s="4"/>
      <c r="U24" s="4"/>
      <c r="V24" s="4"/>
      <c r="W24" s="4"/>
      <c r="X24" s="4"/>
      <c r="Y24" s="4"/>
      <c r="Z24" s="4"/>
      <c r="AA24" s="4"/>
      <c r="AB24" s="4"/>
      <c r="AC24" s="4"/>
      <c r="AD24" s="4"/>
      <c r="AE24" s="4"/>
      <c r="AF24" s="4"/>
      <c r="AG24" s="4"/>
      <c r="AH24" s="4"/>
      <c r="AI24" s="6"/>
    </row>
    <row r="25" spans="5:44" x14ac:dyDescent="0.25">
      <c r="E25" s="2" t="s">
        <v>1</v>
      </c>
      <c r="F25" s="7">
        <v>23</v>
      </c>
      <c r="G25" s="54">
        <v>63.072108000000007</v>
      </c>
      <c r="H25" s="5">
        <v>420</v>
      </c>
      <c r="I25" s="5">
        <v>118.8</v>
      </c>
      <c r="J25" s="5">
        <v>36</v>
      </c>
      <c r="K25" s="8">
        <v>191.96</v>
      </c>
      <c r="L25" s="8">
        <v>8.4700000000000006</v>
      </c>
      <c r="M25" s="9">
        <f t="shared" si="1"/>
        <v>19.817481873970962</v>
      </c>
      <c r="N25" s="9">
        <v>20</v>
      </c>
      <c r="O25" s="114">
        <v>223.5</v>
      </c>
      <c r="P25" s="29"/>
      <c r="Q25" s="29"/>
      <c r="R25" s="4"/>
      <c r="S25" s="4"/>
      <c r="T25" s="4"/>
      <c r="U25" s="4"/>
      <c r="V25" s="4"/>
      <c r="W25" s="4"/>
      <c r="X25" s="4"/>
      <c r="Y25" s="4"/>
      <c r="Z25" s="4"/>
      <c r="AA25" s="4"/>
      <c r="AB25" s="4"/>
      <c r="AC25" s="4"/>
      <c r="AD25" s="4"/>
      <c r="AE25" s="4"/>
      <c r="AF25" s="4"/>
      <c r="AG25" s="4"/>
      <c r="AH25" s="4"/>
      <c r="AI25" s="6"/>
    </row>
    <row r="26" spans="5:44" x14ac:dyDescent="0.25">
      <c r="E26" s="2" t="s">
        <v>19</v>
      </c>
      <c r="F26" s="7">
        <v>23</v>
      </c>
      <c r="G26" s="54">
        <v>47.015076240000013</v>
      </c>
      <c r="H26" s="5">
        <v>420</v>
      </c>
      <c r="I26" s="5">
        <v>118.8</v>
      </c>
      <c r="J26" s="5">
        <v>36</v>
      </c>
      <c r="K26" s="8">
        <v>191.96</v>
      </c>
      <c r="L26" s="8">
        <v>8.4700000000000006</v>
      </c>
      <c r="M26" s="9">
        <f t="shared" si="1"/>
        <v>19.897594790001499</v>
      </c>
      <c r="N26" s="9">
        <v>20</v>
      </c>
      <c r="O26" s="114">
        <v>227.6</v>
      </c>
      <c r="P26" s="29"/>
      <c r="Q26" s="29"/>
      <c r="R26" s="4"/>
      <c r="S26" s="4"/>
      <c r="T26" s="4"/>
      <c r="U26" s="4"/>
      <c r="V26" s="4"/>
      <c r="W26" s="4"/>
      <c r="X26" s="4"/>
      <c r="Y26" s="4"/>
      <c r="Z26" s="4"/>
      <c r="AA26" s="4"/>
      <c r="AB26" s="4"/>
      <c r="AC26" s="4"/>
      <c r="AD26" s="4"/>
      <c r="AE26" s="4"/>
      <c r="AF26" s="4"/>
      <c r="AG26" s="4"/>
      <c r="AH26" s="4"/>
      <c r="AI26" s="6"/>
    </row>
    <row r="27" spans="5:44" x14ac:dyDescent="0.25">
      <c r="E27" s="2" t="s">
        <v>20</v>
      </c>
      <c r="F27" s="7">
        <v>23</v>
      </c>
      <c r="G27" s="54">
        <v>41.282239680000004</v>
      </c>
      <c r="H27" s="5">
        <v>420</v>
      </c>
      <c r="I27" s="5">
        <v>118.8</v>
      </c>
      <c r="J27" s="5">
        <v>36</v>
      </c>
      <c r="K27" s="8">
        <v>191.96</v>
      </c>
      <c r="L27" s="8">
        <v>8.4700000000000006</v>
      </c>
      <c r="M27" s="9">
        <f t="shared" si="1"/>
        <v>19.926197477024399</v>
      </c>
      <c r="N27" s="9">
        <v>20</v>
      </c>
      <c r="O27" s="114">
        <v>226.8</v>
      </c>
      <c r="P27" s="29"/>
      <c r="Q27" s="29"/>
      <c r="R27" s="4"/>
      <c r="S27" s="4"/>
      <c r="T27" s="4"/>
      <c r="U27" s="4"/>
      <c r="V27" s="4"/>
      <c r="W27" s="4"/>
      <c r="X27" s="4"/>
      <c r="Y27" s="4"/>
      <c r="Z27" s="4"/>
      <c r="AA27" s="4"/>
      <c r="AB27" s="4"/>
      <c r="AC27" s="4"/>
      <c r="AD27" s="4"/>
      <c r="AE27" s="4"/>
      <c r="AF27" s="4"/>
      <c r="AG27" s="4"/>
      <c r="AH27" s="4"/>
      <c r="AI27" s="6"/>
    </row>
    <row r="28" spans="5:44" x14ac:dyDescent="0.25">
      <c r="E28" s="2" t="s">
        <v>21</v>
      </c>
      <c r="F28" s="7">
        <v>23</v>
      </c>
      <c r="G28" s="54">
        <v>37.843264800000007</v>
      </c>
      <c r="H28" s="5">
        <v>420</v>
      </c>
      <c r="I28" s="5">
        <v>118.8</v>
      </c>
      <c r="J28" s="5">
        <v>36</v>
      </c>
      <c r="K28" s="8">
        <v>191.96</v>
      </c>
      <c r="L28" s="8">
        <v>8.4700000000000006</v>
      </c>
      <c r="M28" s="9">
        <f t="shared" si="1"/>
        <v>19.943355461757221</v>
      </c>
      <c r="N28" s="9">
        <v>20</v>
      </c>
      <c r="O28" s="114">
        <v>260.7</v>
      </c>
      <c r="P28" s="29"/>
      <c r="Q28" s="29"/>
      <c r="R28" s="4"/>
      <c r="S28" s="4"/>
      <c r="T28" s="4"/>
      <c r="U28" s="4"/>
      <c r="V28" s="4"/>
      <c r="W28" s="4"/>
      <c r="X28" s="4"/>
      <c r="Y28" s="4"/>
      <c r="Z28" s="4"/>
      <c r="AA28" s="4"/>
      <c r="AB28" s="4"/>
      <c r="AC28" s="4"/>
      <c r="AD28" s="4"/>
      <c r="AE28" s="4"/>
      <c r="AF28" s="4"/>
      <c r="AG28" s="4"/>
      <c r="AH28" s="4"/>
      <c r="AI28" s="6"/>
    </row>
    <row r="29" spans="5:44" x14ac:dyDescent="0.25">
      <c r="E29" s="2" t="s">
        <v>22</v>
      </c>
      <c r="F29" s="7">
        <v>23</v>
      </c>
      <c r="G29" s="54">
        <v>34.400654639999999</v>
      </c>
      <c r="H29" s="5">
        <v>420</v>
      </c>
      <c r="I29" s="5">
        <v>118.8</v>
      </c>
      <c r="J29" s="5">
        <v>36</v>
      </c>
      <c r="K29" s="8">
        <v>191.96</v>
      </c>
      <c r="L29" s="8">
        <v>8.4700000000000006</v>
      </c>
      <c r="M29" s="9">
        <f t="shared" si="1"/>
        <v>19.960531583894628</v>
      </c>
      <c r="N29" s="9">
        <v>20</v>
      </c>
      <c r="O29" s="114">
        <v>234.1</v>
      </c>
      <c r="P29" s="29"/>
      <c r="Q29" s="29"/>
      <c r="R29" s="4"/>
      <c r="S29" s="4"/>
      <c r="T29" s="4"/>
      <c r="U29" s="4"/>
      <c r="V29" s="4"/>
      <c r="W29" s="4"/>
      <c r="X29" s="4"/>
      <c r="Y29" s="4"/>
      <c r="Z29" s="4"/>
      <c r="AA29" s="4"/>
      <c r="AB29" s="4"/>
      <c r="AC29" s="4"/>
      <c r="AD29" s="4"/>
      <c r="AE29" s="4"/>
      <c r="AF29" s="4"/>
      <c r="AG29" s="4"/>
      <c r="AH29" s="4"/>
      <c r="AI29" s="6"/>
    </row>
    <row r="30" spans="5:44" x14ac:dyDescent="0.25">
      <c r="E30" s="2" t="s">
        <v>23</v>
      </c>
      <c r="F30" s="7">
        <v>23</v>
      </c>
      <c r="G30" s="54">
        <v>33.255541440000002</v>
      </c>
      <c r="H30" s="5">
        <v>420</v>
      </c>
      <c r="I30" s="5">
        <v>118.8</v>
      </c>
      <c r="J30" s="5">
        <v>36</v>
      </c>
      <c r="K30" s="8">
        <v>191.96</v>
      </c>
      <c r="L30" s="8">
        <v>8.4700000000000006</v>
      </c>
      <c r="M30" s="9">
        <f t="shared" si="1"/>
        <v>19.966244866337377</v>
      </c>
      <c r="N30" s="9">
        <v>20</v>
      </c>
      <c r="O30" s="114">
        <v>225.9</v>
      </c>
      <c r="P30" s="29"/>
      <c r="Q30" s="29"/>
      <c r="R30" s="4"/>
      <c r="S30" s="4"/>
      <c r="T30" s="4"/>
      <c r="U30" s="4"/>
      <c r="V30" s="4"/>
      <c r="W30" s="4"/>
      <c r="X30" s="4"/>
      <c r="Y30" s="4"/>
      <c r="Z30" s="4"/>
      <c r="AA30" s="4"/>
      <c r="AB30" s="4"/>
      <c r="AC30" s="4"/>
      <c r="AD30" s="4"/>
      <c r="AE30" s="4"/>
      <c r="AF30" s="4"/>
      <c r="AG30" s="4"/>
      <c r="AH30" s="4"/>
      <c r="AI30" s="6"/>
    </row>
    <row r="31" spans="5:44" x14ac:dyDescent="0.3">
      <c r="E31" s="423" t="s">
        <v>3</v>
      </c>
      <c r="F31" s="424"/>
      <c r="G31" s="424"/>
      <c r="H31" s="424"/>
      <c r="I31" s="424"/>
      <c r="J31" s="424"/>
      <c r="K31" s="424"/>
      <c r="L31" s="424"/>
      <c r="M31" s="424"/>
      <c r="N31" s="425"/>
      <c r="O31" s="11">
        <f>SUM(O19:O30)</f>
        <v>2930</v>
      </c>
      <c r="P31" s="28">
        <f>16/24</f>
        <v>0.66666666666666663</v>
      </c>
      <c r="Q31" s="28">
        <f>24/1000</f>
        <v>2.4E-2</v>
      </c>
      <c r="R31" s="8">
        <v>3.59</v>
      </c>
      <c r="S31" s="8">
        <v>12.96</v>
      </c>
      <c r="T31" s="5">
        <f>O31</f>
        <v>2930</v>
      </c>
      <c r="U31" s="15">
        <f>P31*Q31*R31*S31*T31</f>
        <v>2181.1576319999999</v>
      </c>
      <c r="V31" s="5">
        <v>3.94</v>
      </c>
      <c r="W31" s="5">
        <v>12.96</v>
      </c>
      <c r="X31" s="5">
        <f>O31</f>
        <v>2930</v>
      </c>
      <c r="Y31" s="16">
        <f>(P31*Q31*V31*W31*X31)</f>
        <v>2393.805312</v>
      </c>
      <c r="Z31" s="8">
        <v>2.13</v>
      </c>
      <c r="AA31" s="8">
        <v>41.904000000000003</v>
      </c>
      <c r="AB31" s="8">
        <f>O31</f>
        <v>2930</v>
      </c>
      <c r="AC31" s="17">
        <f>(P31*Q31*Z31*AA31*AB31)</f>
        <v>4184.2987776</v>
      </c>
      <c r="AD31" s="96">
        <f>L354</f>
        <v>3174.5138707430397</v>
      </c>
      <c r="AE31" s="18">
        <f>U31+Y31+AC31+AD31</f>
        <v>11933.77559234304</v>
      </c>
      <c r="AF31" s="4">
        <f>AE31*0.1</f>
        <v>1193.377559234304</v>
      </c>
      <c r="AG31" s="19">
        <f>AE31+AF31</f>
        <v>13127.153151577344</v>
      </c>
      <c r="AH31" s="8">
        <v>3.1</v>
      </c>
      <c r="AI31" s="20">
        <f>ROUND((AG31/AH31),0)</f>
        <v>4235</v>
      </c>
      <c r="AJ31" s="39">
        <v>23</v>
      </c>
    </row>
    <row r="32" spans="5:44" ht="15.5" x14ac:dyDescent="0.4">
      <c r="E32" s="2" t="s">
        <v>0</v>
      </c>
      <c r="F32" s="3"/>
      <c r="G32" s="5"/>
      <c r="H32" s="4"/>
      <c r="I32" s="4"/>
      <c r="J32" s="4"/>
      <c r="K32" s="4"/>
      <c r="L32" s="4"/>
      <c r="M32" s="3" t="s">
        <v>138</v>
      </c>
      <c r="N32" s="3" t="s">
        <v>137</v>
      </c>
      <c r="O32" s="8" t="s">
        <v>2</v>
      </c>
      <c r="P32" s="5"/>
      <c r="Q32" s="5"/>
      <c r="R32" s="4"/>
      <c r="S32" s="4"/>
      <c r="T32" s="4"/>
      <c r="U32" s="4"/>
      <c r="V32" s="4"/>
      <c r="W32" s="4"/>
      <c r="X32" s="4"/>
      <c r="Y32" s="4"/>
      <c r="Z32" s="4"/>
      <c r="AA32" s="4"/>
      <c r="AB32" s="4"/>
      <c r="AC32" s="4"/>
      <c r="AD32" s="4"/>
      <c r="AE32" s="4"/>
      <c r="AF32" s="4"/>
      <c r="AG32" s="4"/>
      <c r="AH32" s="4"/>
      <c r="AI32" s="6"/>
    </row>
    <row r="33" spans="5:44" x14ac:dyDescent="0.25">
      <c r="E33" s="2" t="s">
        <v>15</v>
      </c>
      <c r="F33" s="33">
        <v>24</v>
      </c>
      <c r="G33" s="54">
        <v>34.400654639999999</v>
      </c>
      <c r="H33" s="5">
        <v>420</v>
      </c>
      <c r="I33" s="5">
        <v>118.8</v>
      </c>
      <c r="J33" s="5">
        <v>36</v>
      </c>
      <c r="K33" s="8">
        <v>191.96</v>
      </c>
      <c r="L33" s="8">
        <v>8.4700000000000006</v>
      </c>
      <c r="M33" s="9">
        <f>(F33-((G33+H33+I33+J33)/(K33+L33)))</f>
        <v>20.960531583894628</v>
      </c>
      <c r="N33" s="9">
        <v>21</v>
      </c>
      <c r="O33" s="114">
        <v>147.4</v>
      </c>
      <c r="P33" s="5"/>
      <c r="Q33" s="5"/>
      <c r="R33" s="4"/>
      <c r="S33" s="4"/>
      <c r="T33" s="4"/>
      <c r="U33" s="4"/>
      <c r="V33" s="4"/>
      <c r="W33" s="4"/>
      <c r="X33" s="4"/>
      <c r="Y33" s="4"/>
      <c r="Z33" s="4"/>
      <c r="AA33" s="4"/>
      <c r="AB33" s="4"/>
      <c r="AC33" s="4"/>
      <c r="AD33" s="4"/>
      <c r="AE33" s="4"/>
      <c r="AF33" s="4"/>
      <c r="AG33" s="4"/>
      <c r="AH33" s="4"/>
      <c r="AI33" s="6"/>
    </row>
    <row r="34" spans="5:44" x14ac:dyDescent="0.25">
      <c r="E34" s="2" t="s">
        <v>16</v>
      </c>
      <c r="F34" s="33">
        <v>24</v>
      </c>
      <c r="G34" s="54">
        <v>37.843264800000007</v>
      </c>
      <c r="H34" s="5">
        <v>420</v>
      </c>
      <c r="I34" s="5">
        <v>118.8</v>
      </c>
      <c r="J34" s="5">
        <v>36</v>
      </c>
      <c r="K34" s="8">
        <v>191.96</v>
      </c>
      <c r="L34" s="8">
        <v>8.4700000000000006</v>
      </c>
      <c r="M34" s="9">
        <f t="shared" ref="M34:M44" si="2">(F34-((G34+H34+I34+J34)/(K34+L34)))</f>
        <v>20.943355461757221</v>
      </c>
      <c r="N34" s="9">
        <v>21</v>
      </c>
      <c r="O34" s="114">
        <v>184.7</v>
      </c>
      <c r="P34" s="5"/>
      <c r="Q34" s="5"/>
      <c r="R34" s="4"/>
      <c r="S34" s="4"/>
      <c r="T34" s="4"/>
      <c r="U34" s="4"/>
      <c r="V34" s="4"/>
      <c r="W34" s="4"/>
      <c r="X34" s="4"/>
      <c r="Y34" s="4"/>
      <c r="Z34" s="4"/>
      <c r="AA34" s="4"/>
      <c r="AB34" s="4"/>
      <c r="AC34" s="4"/>
      <c r="AD34" s="4"/>
      <c r="AE34" s="4"/>
      <c r="AF34" s="4"/>
      <c r="AG34" s="4"/>
      <c r="AH34" s="4"/>
      <c r="AI34" s="6"/>
    </row>
    <row r="35" spans="5:44" x14ac:dyDescent="0.25">
      <c r="E35" s="2" t="s">
        <v>17</v>
      </c>
      <c r="F35" s="33">
        <v>24</v>
      </c>
      <c r="G35" s="54">
        <v>40.137126480000006</v>
      </c>
      <c r="H35" s="5">
        <v>420</v>
      </c>
      <c r="I35" s="5">
        <v>118.8</v>
      </c>
      <c r="J35" s="5">
        <v>36</v>
      </c>
      <c r="K35" s="8">
        <v>191.96</v>
      </c>
      <c r="L35" s="8">
        <v>8.4700000000000006</v>
      </c>
      <c r="M35" s="9">
        <f t="shared" si="2"/>
        <v>20.931910759467147</v>
      </c>
      <c r="N35" s="9">
        <v>21</v>
      </c>
      <c r="O35" s="114">
        <v>266.3</v>
      </c>
      <c r="P35" s="5"/>
      <c r="Q35" s="5"/>
      <c r="R35" s="4"/>
      <c r="S35" s="4"/>
      <c r="T35" s="4"/>
      <c r="U35" s="4"/>
      <c r="V35" s="4"/>
      <c r="W35" s="4"/>
      <c r="X35" s="4"/>
      <c r="Y35" s="4"/>
      <c r="Z35" s="4"/>
      <c r="AA35" s="4"/>
      <c r="AB35" s="4"/>
      <c r="AC35" s="4"/>
      <c r="AD35" s="4"/>
      <c r="AE35" s="4"/>
      <c r="AF35" s="4"/>
      <c r="AG35" s="4"/>
      <c r="AH35" s="4"/>
      <c r="AI35" s="6"/>
    </row>
    <row r="36" spans="5:44" x14ac:dyDescent="0.25">
      <c r="E36" s="2" t="s">
        <v>18</v>
      </c>
      <c r="F36" s="33">
        <v>24</v>
      </c>
      <c r="G36" s="54">
        <v>44.721214560000007</v>
      </c>
      <c r="H36" s="5">
        <v>420</v>
      </c>
      <c r="I36" s="5">
        <v>118.8</v>
      </c>
      <c r="J36" s="5">
        <v>36</v>
      </c>
      <c r="K36" s="8">
        <v>191.96</v>
      </c>
      <c r="L36" s="8">
        <v>8.4700000000000006</v>
      </c>
      <c r="M36" s="9">
        <f t="shared" si="2"/>
        <v>20.909039492291573</v>
      </c>
      <c r="N36" s="9">
        <v>21</v>
      </c>
      <c r="O36" s="114">
        <v>257.60000000000002</v>
      </c>
      <c r="P36" s="5"/>
      <c r="Q36" s="5"/>
      <c r="R36" s="4"/>
      <c r="S36" s="4"/>
      <c r="T36" s="4"/>
      <c r="U36" s="4"/>
      <c r="V36" s="4"/>
      <c r="W36" s="4"/>
      <c r="X36" s="4"/>
      <c r="Y36" s="4"/>
      <c r="Z36" s="4"/>
      <c r="AA36" s="4"/>
      <c r="AB36" s="4"/>
      <c r="AC36" s="4"/>
      <c r="AD36" s="4"/>
      <c r="AE36" s="4"/>
      <c r="AF36" s="4"/>
      <c r="AG36" s="4"/>
      <c r="AH36" s="4"/>
      <c r="AI36" s="6"/>
    </row>
    <row r="37" spans="5:44" x14ac:dyDescent="0.25">
      <c r="E37" s="2" t="s">
        <v>12</v>
      </c>
      <c r="F37" s="33">
        <v>24</v>
      </c>
      <c r="G37" s="54">
        <v>59.629497840000013</v>
      </c>
      <c r="H37" s="5">
        <v>420</v>
      </c>
      <c r="I37" s="5">
        <v>118.8</v>
      </c>
      <c r="J37" s="5">
        <v>36</v>
      </c>
      <c r="K37" s="8">
        <v>191.96</v>
      </c>
      <c r="L37" s="8">
        <v>8.4700000000000006</v>
      </c>
      <c r="M37" s="9">
        <f t="shared" si="2"/>
        <v>20.834657996108369</v>
      </c>
      <c r="N37" s="9">
        <v>21</v>
      </c>
      <c r="O37" s="114">
        <v>298.10000000000002</v>
      </c>
      <c r="P37" s="5"/>
      <c r="Q37" s="5"/>
      <c r="R37" s="4"/>
      <c r="S37" s="4"/>
      <c r="T37" s="4"/>
      <c r="U37" s="4"/>
      <c r="V37" s="4"/>
      <c r="W37" s="4"/>
      <c r="X37" s="4"/>
      <c r="Y37" s="4"/>
      <c r="Z37" s="4"/>
      <c r="AA37" s="4"/>
      <c r="AB37" s="4"/>
      <c r="AC37" s="4"/>
      <c r="AD37" s="4"/>
      <c r="AE37" s="4"/>
      <c r="AF37" s="4"/>
      <c r="AG37" s="4"/>
      <c r="AH37" s="4"/>
      <c r="AI37" s="6"/>
    </row>
    <row r="38" spans="5:44" x14ac:dyDescent="0.25">
      <c r="E38" s="2" t="s">
        <v>13</v>
      </c>
      <c r="F38" s="33">
        <v>24</v>
      </c>
      <c r="G38" s="54">
        <v>75.686529600000014</v>
      </c>
      <c r="H38" s="5">
        <v>420</v>
      </c>
      <c r="I38" s="5">
        <v>118.8</v>
      </c>
      <c r="J38" s="5">
        <v>36</v>
      </c>
      <c r="K38" s="8">
        <v>191.96</v>
      </c>
      <c r="L38" s="8">
        <v>8.4700000000000006</v>
      </c>
      <c r="M38" s="9">
        <f t="shared" si="2"/>
        <v>20.754545080077833</v>
      </c>
      <c r="N38" s="9">
        <v>21</v>
      </c>
      <c r="O38" s="114">
        <v>199</v>
      </c>
      <c r="P38" s="5"/>
      <c r="Q38" s="5"/>
      <c r="R38" s="4"/>
      <c r="S38" s="4"/>
      <c r="T38" s="4"/>
      <c r="U38" s="4"/>
      <c r="V38" s="4"/>
      <c r="W38" s="4"/>
      <c r="X38" s="4"/>
      <c r="Y38" s="4"/>
      <c r="Z38" s="4"/>
      <c r="AA38" s="4"/>
      <c r="AB38" s="4"/>
      <c r="AC38" s="4"/>
      <c r="AD38" s="4"/>
      <c r="AE38" s="4"/>
      <c r="AF38" s="4"/>
      <c r="AG38" s="4"/>
      <c r="AH38" s="4"/>
      <c r="AI38" s="6"/>
    </row>
    <row r="39" spans="5:44" x14ac:dyDescent="0.25">
      <c r="E39" s="2" t="s">
        <v>24</v>
      </c>
      <c r="F39" s="33">
        <v>24</v>
      </c>
      <c r="G39" s="54">
        <v>63.072108000000007</v>
      </c>
      <c r="H39" s="5">
        <v>420</v>
      </c>
      <c r="I39" s="5">
        <v>118.8</v>
      </c>
      <c r="J39" s="5">
        <v>36</v>
      </c>
      <c r="K39" s="8">
        <v>191.96</v>
      </c>
      <c r="L39" s="8">
        <v>8.4700000000000006</v>
      </c>
      <c r="M39" s="9">
        <f t="shared" si="2"/>
        <v>20.817481873970962</v>
      </c>
      <c r="N39" s="9">
        <v>21</v>
      </c>
      <c r="O39" s="114">
        <v>192.5</v>
      </c>
      <c r="P39" s="5"/>
      <c r="Q39" s="5"/>
      <c r="R39" s="4"/>
      <c r="S39" s="4"/>
      <c r="T39" s="4"/>
      <c r="U39" s="4"/>
      <c r="V39" s="4"/>
      <c r="W39" s="4"/>
      <c r="X39" s="4"/>
      <c r="Y39" s="4"/>
      <c r="Z39" s="4"/>
      <c r="AA39" s="4"/>
      <c r="AB39" s="4"/>
      <c r="AC39" s="4"/>
      <c r="AD39" s="4"/>
      <c r="AE39" s="4"/>
      <c r="AF39" s="4"/>
      <c r="AG39" s="4"/>
      <c r="AH39" s="4"/>
      <c r="AI39" s="6"/>
    </row>
    <row r="40" spans="5:44" x14ac:dyDescent="0.25">
      <c r="E40" s="2" t="s">
        <v>19</v>
      </c>
      <c r="F40" s="33">
        <v>24</v>
      </c>
      <c r="G40" s="54">
        <v>47.015076240000013</v>
      </c>
      <c r="H40" s="5">
        <v>420</v>
      </c>
      <c r="I40" s="5">
        <v>118.8</v>
      </c>
      <c r="J40" s="5">
        <v>36</v>
      </c>
      <c r="K40" s="8">
        <v>191.96</v>
      </c>
      <c r="L40" s="8">
        <v>8.4700000000000006</v>
      </c>
      <c r="M40" s="9">
        <f t="shared" si="2"/>
        <v>20.897594790001499</v>
      </c>
      <c r="N40" s="9">
        <v>21</v>
      </c>
      <c r="O40" s="114">
        <v>196.6</v>
      </c>
      <c r="P40" s="5"/>
      <c r="Q40" s="5"/>
      <c r="R40" s="4"/>
      <c r="S40" s="4"/>
      <c r="T40" s="4"/>
      <c r="U40" s="4"/>
      <c r="V40" s="4"/>
      <c r="W40" s="4"/>
      <c r="X40" s="4"/>
      <c r="Y40" s="4"/>
      <c r="Z40" s="4"/>
      <c r="AA40" s="4"/>
      <c r="AB40" s="4"/>
      <c r="AC40" s="4"/>
      <c r="AD40" s="4"/>
      <c r="AE40" s="4"/>
      <c r="AF40" s="4"/>
      <c r="AG40" s="4"/>
      <c r="AH40" s="4"/>
      <c r="AI40" s="6"/>
    </row>
    <row r="41" spans="5:44" x14ac:dyDescent="0.25">
      <c r="E41" s="2" t="s">
        <v>20</v>
      </c>
      <c r="F41" s="33">
        <v>24</v>
      </c>
      <c r="G41" s="54">
        <v>41.282239680000004</v>
      </c>
      <c r="H41" s="5">
        <v>420</v>
      </c>
      <c r="I41" s="5">
        <v>118.8</v>
      </c>
      <c r="J41" s="5">
        <v>36</v>
      </c>
      <c r="K41" s="8">
        <v>191.96</v>
      </c>
      <c r="L41" s="8">
        <v>8.4700000000000006</v>
      </c>
      <c r="M41" s="9">
        <f t="shared" si="2"/>
        <v>20.926197477024399</v>
      </c>
      <c r="N41" s="9">
        <v>21</v>
      </c>
      <c r="O41" s="114">
        <v>196.8</v>
      </c>
      <c r="P41" s="5"/>
      <c r="Q41" s="5"/>
      <c r="R41" s="4"/>
      <c r="S41" s="4"/>
      <c r="T41" s="4"/>
      <c r="U41" s="4"/>
      <c r="V41" s="4"/>
      <c r="W41" s="4"/>
      <c r="X41" s="4"/>
      <c r="Y41" s="4"/>
      <c r="Z41" s="4"/>
      <c r="AA41" s="4"/>
      <c r="AB41" s="4"/>
      <c r="AC41" s="4"/>
      <c r="AD41" s="4"/>
      <c r="AE41" s="4"/>
      <c r="AF41" s="4"/>
      <c r="AG41" s="4"/>
      <c r="AH41" s="4"/>
      <c r="AI41" s="6"/>
    </row>
    <row r="42" spans="5:44" x14ac:dyDescent="0.25">
      <c r="E42" s="2" t="s">
        <v>21</v>
      </c>
      <c r="F42" s="33">
        <v>24</v>
      </c>
      <c r="G42" s="54">
        <v>37.843264800000007</v>
      </c>
      <c r="H42" s="5">
        <v>420</v>
      </c>
      <c r="I42" s="5">
        <v>118.8</v>
      </c>
      <c r="J42" s="5">
        <v>36</v>
      </c>
      <c r="K42" s="8">
        <v>191.96</v>
      </c>
      <c r="L42" s="8">
        <v>8.4700000000000006</v>
      </c>
      <c r="M42" s="9">
        <f t="shared" si="2"/>
        <v>20.943355461757221</v>
      </c>
      <c r="N42" s="9">
        <v>21</v>
      </c>
      <c r="O42" s="114">
        <v>229.7</v>
      </c>
      <c r="P42" s="5"/>
      <c r="Q42" s="5"/>
      <c r="R42" s="4"/>
      <c r="S42" s="4"/>
      <c r="T42" s="4"/>
      <c r="U42" s="4"/>
      <c r="V42" s="4"/>
      <c r="W42" s="4"/>
      <c r="X42" s="4"/>
      <c r="Y42" s="4"/>
      <c r="Z42" s="4"/>
      <c r="AA42" s="4"/>
      <c r="AB42" s="4"/>
      <c r="AC42" s="4"/>
      <c r="AD42" s="4"/>
      <c r="AE42" s="4"/>
      <c r="AF42" s="4"/>
      <c r="AG42" s="4"/>
      <c r="AH42" s="4"/>
      <c r="AI42" s="6"/>
    </row>
    <row r="43" spans="5:44" x14ac:dyDescent="0.25">
      <c r="E43" s="2" t="s">
        <v>22</v>
      </c>
      <c r="F43" s="33">
        <v>24</v>
      </c>
      <c r="G43" s="54">
        <v>34.400654639999999</v>
      </c>
      <c r="H43" s="5">
        <v>420</v>
      </c>
      <c r="I43" s="5">
        <v>118.8</v>
      </c>
      <c r="J43" s="5">
        <v>36</v>
      </c>
      <c r="K43" s="8">
        <v>191.96</v>
      </c>
      <c r="L43" s="8">
        <v>8.4700000000000006</v>
      </c>
      <c r="M43" s="9">
        <f t="shared" si="2"/>
        <v>20.960531583894628</v>
      </c>
      <c r="N43" s="9">
        <v>21</v>
      </c>
      <c r="O43" s="114">
        <v>204.1</v>
      </c>
      <c r="P43" s="5"/>
      <c r="Q43" s="5"/>
      <c r="R43" s="4"/>
      <c r="S43" s="4"/>
      <c r="T43" s="4"/>
      <c r="U43" s="4"/>
      <c r="V43" s="4"/>
      <c r="W43" s="4"/>
      <c r="X43" s="4"/>
      <c r="Y43" s="4"/>
      <c r="Z43" s="4"/>
      <c r="AA43" s="4"/>
      <c r="AB43" s="4"/>
      <c r="AC43" s="4"/>
      <c r="AD43" s="4"/>
      <c r="AE43" s="4"/>
      <c r="AF43" s="4"/>
      <c r="AG43" s="4"/>
      <c r="AH43" s="4"/>
      <c r="AI43" s="6"/>
    </row>
    <row r="44" spans="5:44" x14ac:dyDescent="0.25">
      <c r="E44" s="2" t="s">
        <v>23</v>
      </c>
      <c r="F44" s="33">
        <v>24</v>
      </c>
      <c r="G44" s="54">
        <v>33.255541440000002</v>
      </c>
      <c r="H44" s="5">
        <v>420</v>
      </c>
      <c r="I44" s="5">
        <v>118.8</v>
      </c>
      <c r="J44" s="5">
        <v>36</v>
      </c>
      <c r="K44" s="8">
        <v>191.96</v>
      </c>
      <c r="L44" s="8">
        <v>8.4700000000000006</v>
      </c>
      <c r="M44" s="9">
        <f t="shared" si="2"/>
        <v>20.966244866337377</v>
      </c>
      <c r="N44" s="9">
        <v>21</v>
      </c>
      <c r="O44" s="114">
        <v>195</v>
      </c>
      <c r="P44" s="5"/>
      <c r="Q44" s="5"/>
      <c r="R44" s="4"/>
      <c r="S44" s="4"/>
      <c r="T44" s="4"/>
      <c r="U44" s="4"/>
      <c r="V44" s="4"/>
      <c r="W44" s="4"/>
      <c r="X44" s="4"/>
      <c r="Y44" s="4"/>
      <c r="Z44" s="4"/>
      <c r="AA44" s="4"/>
      <c r="AB44" s="4"/>
      <c r="AC44" s="4"/>
      <c r="AD44" s="4"/>
      <c r="AE44" s="4"/>
      <c r="AF44" s="4"/>
      <c r="AG44" s="4"/>
      <c r="AH44" s="4"/>
      <c r="AI44" s="6"/>
    </row>
    <row r="45" spans="5:44" ht="13.5" thickBot="1" x14ac:dyDescent="0.35">
      <c r="E45" s="423" t="s">
        <v>3</v>
      </c>
      <c r="F45" s="424"/>
      <c r="G45" s="424"/>
      <c r="H45" s="424"/>
      <c r="I45" s="424"/>
      <c r="J45" s="424"/>
      <c r="K45" s="424"/>
      <c r="L45" s="424"/>
      <c r="M45" s="424"/>
      <c r="N45" s="425"/>
      <c r="O45" s="11">
        <f>SUM(O33:O44)</f>
        <v>2567.7999999999997</v>
      </c>
      <c r="P45" s="28">
        <f>16/24</f>
        <v>0.66666666666666663</v>
      </c>
      <c r="Q45" s="28">
        <f>24/1000</f>
        <v>2.4E-2</v>
      </c>
      <c r="R45" s="8">
        <v>3.59</v>
      </c>
      <c r="S45" s="8">
        <v>12.96</v>
      </c>
      <c r="T45" s="5">
        <f>O45</f>
        <v>2567.7999999999997</v>
      </c>
      <c r="U45" s="15">
        <f>P45*Q45*R45*S45*T45</f>
        <v>1911.5278387199999</v>
      </c>
      <c r="V45" s="5">
        <v>3.94</v>
      </c>
      <c r="W45" s="5">
        <v>12.96</v>
      </c>
      <c r="X45" s="5">
        <f>O45</f>
        <v>2567.7999999999997</v>
      </c>
      <c r="Y45" s="16">
        <f>(P45*Q45*V45*W45*X45)</f>
        <v>2097.8884915199997</v>
      </c>
      <c r="Z45" s="8">
        <v>2.13</v>
      </c>
      <c r="AA45" s="8">
        <v>41.904000000000003</v>
      </c>
      <c r="AB45" s="8">
        <f>O45</f>
        <v>2567.7999999999997</v>
      </c>
      <c r="AC45" s="17">
        <f>(P45*Q45*Z45*AA45*AB45)</f>
        <v>3667.0451880959999</v>
      </c>
      <c r="AD45" s="96">
        <f>L355</f>
        <v>3146.1314707430397</v>
      </c>
      <c r="AE45" s="18">
        <f>U45+Y45+AC45+AD45</f>
        <v>10822.592989079039</v>
      </c>
      <c r="AF45" s="4">
        <f>AE45*0.1</f>
        <v>1082.2592989079039</v>
      </c>
      <c r="AG45" s="19">
        <f>AE45+AF45</f>
        <v>11904.852287986943</v>
      </c>
      <c r="AH45" s="8">
        <v>3.1</v>
      </c>
      <c r="AI45" s="20">
        <f>ROUND((AG45/AH45),0)</f>
        <v>3840</v>
      </c>
      <c r="AJ45" s="39">
        <v>24</v>
      </c>
      <c r="AK45" s="122"/>
      <c r="AL45" s="122"/>
    </row>
    <row r="46" spans="5:44" ht="15.5" x14ac:dyDescent="0.4">
      <c r="E46" s="2" t="s">
        <v>0</v>
      </c>
      <c r="F46" s="4"/>
      <c r="G46" s="5"/>
      <c r="H46" s="4"/>
      <c r="I46" s="4"/>
      <c r="J46" s="4"/>
      <c r="K46" s="4"/>
      <c r="L46" s="4"/>
      <c r="M46" s="3" t="s">
        <v>138</v>
      </c>
      <c r="N46" s="3" t="s">
        <v>137</v>
      </c>
      <c r="O46" s="8" t="s">
        <v>2</v>
      </c>
      <c r="P46" s="5"/>
      <c r="Q46" s="5"/>
      <c r="R46" s="4"/>
      <c r="S46" s="4"/>
      <c r="T46" s="4"/>
      <c r="U46" s="4"/>
      <c r="V46" s="4"/>
      <c r="W46" s="4"/>
      <c r="X46" s="4"/>
      <c r="Y46" s="4"/>
      <c r="Z46" s="4"/>
      <c r="AA46" s="4"/>
      <c r="AB46" s="4"/>
      <c r="AC46" s="4"/>
      <c r="AD46" s="4"/>
      <c r="AE46" s="4"/>
      <c r="AF46" s="4"/>
      <c r="AG46" s="4"/>
      <c r="AH46" s="4"/>
      <c r="AI46" s="150">
        <f>(AI17*AR7+AI31*AR8+AI45*AR9)</f>
        <v>4201</v>
      </c>
      <c r="AP46" s="295" t="s">
        <v>203</v>
      </c>
      <c r="AQ46" s="296"/>
      <c r="AR46" s="297"/>
    </row>
    <row r="47" spans="5:44" x14ac:dyDescent="0.3">
      <c r="E47" s="2" t="s">
        <v>15</v>
      </c>
      <c r="F47" s="7">
        <v>25</v>
      </c>
      <c r="G47" s="54">
        <v>34.400654639999999</v>
      </c>
      <c r="H47" s="5">
        <v>420</v>
      </c>
      <c r="I47" s="5">
        <v>118.8</v>
      </c>
      <c r="J47" s="5">
        <v>36</v>
      </c>
      <c r="K47" s="8">
        <v>191.96</v>
      </c>
      <c r="L47" s="8">
        <v>8.4700000000000006</v>
      </c>
      <c r="M47" s="9">
        <f>(F47-((G47+H47+I47+J47)/(K47+L47)))</f>
        <v>21.960531583894628</v>
      </c>
      <c r="N47" s="9">
        <v>22</v>
      </c>
      <c r="O47" s="114">
        <v>121.6</v>
      </c>
      <c r="P47" s="5"/>
      <c r="Q47" s="5"/>
      <c r="R47" s="4"/>
      <c r="S47" s="4"/>
      <c r="T47" s="4"/>
      <c r="U47" s="4"/>
      <c r="V47" s="4"/>
      <c r="W47" s="4"/>
      <c r="X47" s="4"/>
      <c r="Y47" s="4"/>
      <c r="Z47" s="4"/>
      <c r="AA47" s="4"/>
      <c r="AB47" s="4"/>
      <c r="AC47" s="4"/>
      <c r="AD47" s="4"/>
      <c r="AE47" s="4"/>
      <c r="AF47" s="4"/>
      <c r="AG47" s="4"/>
      <c r="AH47" s="4"/>
      <c r="AI47" s="6"/>
      <c r="AO47" s="141"/>
      <c r="AP47" s="76" t="s">
        <v>195</v>
      </c>
      <c r="AQ47" s="27" t="s">
        <v>196</v>
      </c>
      <c r="AR47" s="86" t="s">
        <v>201</v>
      </c>
    </row>
    <row r="48" spans="5:44" ht="13.5" thickBot="1" x14ac:dyDescent="0.3">
      <c r="E48" s="2" t="s">
        <v>16</v>
      </c>
      <c r="F48" s="7">
        <v>25</v>
      </c>
      <c r="G48" s="54">
        <v>37.843264800000007</v>
      </c>
      <c r="H48" s="5">
        <v>420</v>
      </c>
      <c r="I48" s="5">
        <v>118.8</v>
      </c>
      <c r="J48" s="5">
        <v>36</v>
      </c>
      <c r="K48" s="8">
        <v>191.96</v>
      </c>
      <c r="L48" s="8">
        <v>8.4700000000000006</v>
      </c>
      <c r="M48" s="9">
        <f t="shared" ref="M48:M58" si="3">(F48-((G48+H48+I48+J48)/(K48+L48)))</f>
        <v>21.943355461757221</v>
      </c>
      <c r="N48" s="9">
        <v>22</v>
      </c>
      <c r="O48" s="114">
        <v>158</v>
      </c>
      <c r="P48" s="5"/>
      <c r="Q48" s="5"/>
      <c r="R48" s="4"/>
      <c r="S48" s="4"/>
      <c r="T48" s="4"/>
      <c r="U48" s="4"/>
      <c r="V48" s="4"/>
      <c r="W48" s="4"/>
      <c r="X48" s="4"/>
      <c r="Y48" s="4"/>
      <c r="Z48" s="4"/>
      <c r="AA48" s="4"/>
      <c r="AB48" s="4"/>
      <c r="AC48" s="4"/>
      <c r="AD48" s="4"/>
      <c r="AE48" s="4"/>
      <c r="AF48" s="4"/>
      <c r="AG48" s="4"/>
      <c r="AH48" s="4"/>
      <c r="AI48" s="6"/>
      <c r="AP48" s="142">
        <v>25</v>
      </c>
      <c r="AQ48" s="89">
        <v>12</v>
      </c>
      <c r="AR48" s="140">
        <v>100</v>
      </c>
    </row>
    <row r="49" spans="5:44" x14ac:dyDescent="0.25">
      <c r="E49" s="2" t="s">
        <v>17</v>
      </c>
      <c r="F49" s="7">
        <v>25</v>
      </c>
      <c r="G49" s="54">
        <v>40.137126480000006</v>
      </c>
      <c r="H49" s="5">
        <v>420</v>
      </c>
      <c r="I49" s="5">
        <v>118.8</v>
      </c>
      <c r="J49" s="5">
        <v>36</v>
      </c>
      <c r="K49" s="8">
        <v>191.96</v>
      </c>
      <c r="L49" s="8">
        <v>8.4700000000000006</v>
      </c>
      <c r="M49" s="9">
        <f t="shared" si="3"/>
        <v>21.931910759467147</v>
      </c>
      <c r="N49" s="9">
        <v>22</v>
      </c>
      <c r="O49" s="114">
        <v>235.3</v>
      </c>
      <c r="P49" s="5"/>
      <c r="Q49" s="5"/>
      <c r="R49" s="4"/>
      <c r="S49" s="4"/>
      <c r="T49" s="4"/>
      <c r="U49" s="4"/>
      <c r="V49" s="4"/>
      <c r="W49" s="4"/>
      <c r="X49" s="4"/>
      <c r="Y49" s="4"/>
      <c r="Z49" s="4"/>
      <c r="AA49" s="4"/>
      <c r="AB49" s="4"/>
      <c r="AC49" s="4"/>
      <c r="AD49" s="4"/>
      <c r="AE49" s="4"/>
      <c r="AF49" s="4"/>
      <c r="AG49" s="4"/>
      <c r="AH49" s="4"/>
      <c r="AI49" s="6"/>
      <c r="AP49" s="82"/>
      <c r="AQ49" s="82"/>
      <c r="AR49" s="54"/>
    </row>
    <row r="50" spans="5:44" x14ac:dyDescent="0.25">
      <c r="E50" s="2" t="s">
        <v>18</v>
      </c>
      <c r="F50" s="7">
        <v>25</v>
      </c>
      <c r="G50" s="54">
        <v>44.721214560000007</v>
      </c>
      <c r="H50" s="5">
        <v>420</v>
      </c>
      <c r="I50" s="5">
        <v>118.8</v>
      </c>
      <c r="J50" s="5">
        <v>36</v>
      </c>
      <c r="K50" s="8">
        <v>191.96</v>
      </c>
      <c r="L50" s="8">
        <v>8.4700000000000006</v>
      </c>
      <c r="M50" s="9">
        <f t="shared" si="3"/>
        <v>21.909039492291573</v>
      </c>
      <c r="N50" s="9">
        <v>22</v>
      </c>
      <c r="O50" s="114">
        <v>227.6</v>
      </c>
      <c r="P50" s="5"/>
      <c r="Q50" s="5"/>
      <c r="R50" s="4"/>
      <c r="S50" s="4"/>
      <c r="T50" s="4"/>
      <c r="U50" s="4"/>
      <c r="V50" s="4"/>
      <c r="W50" s="4"/>
      <c r="X50" s="4"/>
      <c r="Y50" s="4"/>
      <c r="Z50" s="4"/>
      <c r="AA50" s="4"/>
      <c r="AB50" s="4"/>
      <c r="AC50" s="4"/>
      <c r="AD50" s="4"/>
      <c r="AE50" s="4"/>
      <c r="AF50" s="4"/>
      <c r="AG50" s="4"/>
      <c r="AH50" s="4"/>
      <c r="AI50" s="6"/>
      <c r="AP50" s="82"/>
      <c r="AQ50" s="82"/>
      <c r="AR50" s="54"/>
    </row>
    <row r="51" spans="5:44" x14ac:dyDescent="0.25">
      <c r="E51" s="2" t="s">
        <v>12</v>
      </c>
      <c r="F51" s="7">
        <v>25</v>
      </c>
      <c r="G51" s="54">
        <v>59.629497840000013</v>
      </c>
      <c r="H51" s="5">
        <v>420</v>
      </c>
      <c r="I51" s="5">
        <v>118.8</v>
      </c>
      <c r="J51" s="5">
        <v>36</v>
      </c>
      <c r="K51" s="8">
        <v>191.96</v>
      </c>
      <c r="L51" s="8">
        <v>8.4700000000000006</v>
      </c>
      <c r="M51" s="9">
        <f t="shared" si="3"/>
        <v>21.834657996108369</v>
      </c>
      <c r="N51" s="9">
        <v>22</v>
      </c>
      <c r="O51" s="114">
        <v>267.10000000000002</v>
      </c>
      <c r="P51" s="5"/>
      <c r="Q51" s="5"/>
      <c r="R51" s="4"/>
      <c r="S51" s="4"/>
      <c r="T51" s="4"/>
      <c r="U51" s="4"/>
      <c r="V51" s="4"/>
      <c r="W51" s="4"/>
      <c r="X51" s="4"/>
      <c r="Y51" s="4"/>
      <c r="Z51" s="4"/>
      <c r="AA51" s="4"/>
      <c r="AB51" s="4"/>
      <c r="AC51" s="4"/>
      <c r="AD51" s="4"/>
      <c r="AE51" s="4"/>
      <c r="AF51" s="4"/>
      <c r="AG51" s="4"/>
      <c r="AH51" s="4"/>
      <c r="AI51" s="6"/>
      <c r="AL51" s="173">
        <f>AI46-AI60</f>
        <v>751</v>
      </c>
    </row>
    <row r="52" spans="5:44" x14ac:dyDescent="0.25">
      <c r="E52" s="2" t="s">
        <v>13</v>
      </c>
      <c r="F52" s="7">
        <v>25</v>
      </c>
      <c r="G52" s="54">
        <v>75.686529600000014</v>
      </c>
      <c r="H52" s="5">
        <v>420</v>
      </c>
      <c r="I52" s="5">
        <v>118.8</v>
      </c>
      <c r="J52" s="5">
        <v>36</v>
      </c>
      <c r="K52" s="8">
        <v>191.96</v>
      </c>
      <c r="L52" s="8">
        <v>8.4700000000000006</v>
      </c>
      <c r="M52" s="9">
        <f t="shared" si="3"/>
        <v>21.754545080077833</v>
      </c>
      <c r="N52" s="9">
        <v>22</v>
      </c>
      <c r="O52" s="114">
        <v>169</v>
      </c>
      <c r="P52" s="5"/>
      <c r="Q52" s="5"/>
      <c r="R52" s="4"/>
      <c r="S52" s="4"/>
      <c r="T52" s="4"/>
      <c r="U52" s="4"/>
      <c r="V52" s="4"/>
      <c r="W52" s="4"/>
      <c r="X52" s="4"/>
      <c r="Y52" s="4"/>
      <c r="Z52" s="4"/>
      <c r="AA52" s="4"/>
      <c r="AB52" s="4"/>
      <c r="AC52" s="4"/>
      <c r="AD52" s="4"/>
      <c r="AE52" s="4"/>
      <c r="AF52" s="4"/>
      <c r="AG52" s="4"/>
      <c r="AH52" s="4"/>
      <c r="AI52" s="6"/>
      <c r="AP52" s="82"/>
      <c r="AQ52" s="82"/>
      <c r="AR52" s="54"/>
    </row>
    <row r="53" spans="5:44" x14ac:dyDescent="0.25">
      <c r="E53" s="2" t="s">
        <v>24</v>
      </c>
      <c r="F53" s="7">
        <v>25</v>
      </c>
      <c r="G53" s="54">
        <v>63.072108000000007</v>
      </c>
      <c r="H53" s="5">
        <v>420</v>
      </c>
      <c r="I53" s="5">
        <v>118.8</v>
      </c>
      <c r="J53" s="5">
        <v>36</v>
      </c>
      <c r="K53" s="8">
        <v>191.96</v>
      </c>
      <c r="L53" s="8">
        <v>8.4700000000000006</v>
      </c>
      <c r="M53" s="9">
        <f t="shared" si="3"/>
        <v>21.817481873970962</v>
      </c>
      <c r="N53" s="9">
        <v>22</v>
      </c>
      <c r="O53" s="114">
        <v>161.5</v>
      </c>
      <c r="P53" s="5"/>
      <c r="Q53" s="5"/>
      <c r="R53" s="4"/>
      <c r="S53" s="4"/>
      <c r="T53" s="4"/>
      <c r="U53" s="4"/>
      <c r="V53" s="4"/>
      <c r="W53" s="4"/>
      <c r="X53" s="4"/>
      <c r="Y53" s="4"/>
      <c r="Z53" s="4"/>
      <c r="AA53" s="4"/>
      <c r="AB53" s="4"/>
      <c r="AC53" s="4"/>
      <c r="AD53" s="4"/>
      <c r="AE53" s="4"/>
      <c r="AF53" s="4"/>
      <c r="AG53" s="4"/>
      <c r="AH53" s="4"/>
      <c r="AI53" s="6"/>
      <c r="AP53" s="82"/>
      <c r="AQ53" s="82"/>
      <c r="AR53" s="54"/>
    </row>
    <row r="54" spans="5:44" x14ac:dyDescent="0.25">
      <c r="E54" s="2" t="s">
        <v>19</v>
      </c>
      <c r="F54" s="7">
        <v>25</v>
      </c>
      <c r="G54" s="54">
        <v>47.015076240000013</v>
      </c>
      <c r="H54" s="5">
        <v>420</v>
      </c>
      <c r="I54" s="5">
        <v>118.8</v>
      </c>
      <c r="J54" s="5">
        <v>36</v>
      </c>
      <c r="K54" s="8">
        <v>191.96</v>
      </c>
      <c r="L54" s="8">
        <v>8.4700000000000006</v>
      </c>
      <c r="M54" s="9">
        <f t="shared" si="3"/>
        <v>21.897594790001499</v>
      </c>
      <c r="N54" s="9">
        <v>22</v>
      </c>
      <c r="O54" s="114">
        <v>165.6</v>
      </c>
      <c r="P54" s="5"/>
      <c r="Q54" s="5"/>
      <c r="R54" s="4"/>
      <c r="S54" s="4"/>
      <c r="T54" s="4"/>
      <c r="U54" s="4"/>
      <c r="V54" s="4"/>
      <c r="W54" s="4"/>
      <c r="X54" s="4"/>
      <c r="Y54" s="4"/>
      <c r="Z54" s="4"/>
      <c r="AA54" s="4"/>
      <c r="AB54" s="4"/>
      <c r="AC54" s="4"/>
      <c r="AD54" s="4"/>
      <c r="AE54" s="4"/>
      <c r="AF54" s="4"/>
      <c r="AG54" s="4"/>
      <c r="AH54" s="4"/>
      <c r="AI54" s="6"/>
    </row>
    <row r="55" spans="5:44" x14ac:dyDescent="0.25">
      <c r="E55" s="2" t="s">
        <v>20</v>
      </c>
      <c r="F55" s="7">
        <v>25</v>
      </c>
      <c r="G55" s="54">
        <v>41.282239680000004</v>
      </c>
      <c r="H55" s="5">
        <v>420</v>
      </c>
      <c r="I55" s="5">
        <v>118.8</v>
      </c>
      <c r="J55" s="5">
        <v>36</v>
      </c>
      <c r="K55" s="8">
        <v>191.96</v>
      </c>
      <c r="L55" s="8">
        <v>8.4700000000000006</v>
      </c>
      <c r="M55" s="9">
        <f t="shared" si="3"/>
        <v>21.926197477024399</v>
      </c>
      <c r="N55" s="9">
        <v>22</v>
      </c>
      <c r="O55" s="114">
        <v>166.8</v>
      </c>
      <c r="P55" s="5"/>
      <c r="Q55" s="5"/>
      <c r="R55" s="4"/>
      <c r="S55" s="4"/>
      <c r="T55" s="4"/>
      <c r="U55" s="4"/>
      <c r="V55" s="4"/>
      <c r="W55" s="4"/>
      <c r="X55" s="4"/>
      <c r="Y55" s="4"/>
      <c r="Z55" s="4"/>
      <c r="AA55" s="4"/>
      <c r="AB55" s="4"/>
      <c r="AC55" s="4"/>
      <c r="AD55" s="4"/>
      <c r="AE55" s="4"/>
      <c r="AF55" s="4"/>
      <c r="AG55" s="4"/>
      <c r="AH55" s="4"/>
      <c r="AI55" s="6"/>
    </row>
    <row r="56" spans="5:44" x14ac:dyDescent="0.25">
      <c r="E56" s="2" t="s">
        <v>21</v>
      </c>
      <c r="F56" s="7">
        <v>25</v>
      </c>
      <c r="G56" s="54">
        <v>37.843264800000007</v>
      </c>
      <c r="H56" s="5">
        <v>420</v>
      </c>
      <c r="I56" s="5">
        <v>118.8</v>
      </c>
      <c r="J56" s="5">
        <v>36</v>
      </c>
      <c r="K56" s="8">
        <v>191.96</v>
      </c>
      <c r="L56" s="8">
        <v>8.4700000000000006</v>
      </c>
      <c r="M56" s="9">
        <f t="shared" si="3"/>
        <v>21.943355461757221</v>
      </c>
      <c r="N56" s="9">
        <v>22</v>
      </c>
      <c r="O56" s="114">
        <v>198.7</v>
      </c>
      <c r="P56" s="5"/>
      <c r="Q56" s="5"/>
      <c r="R56" s="4"/>
      <c r="S56" s="4"/>
      <c r="T56" s="4"/>
      <c r="U56" s="4"/>
      <c r="V56" s="4"/>
      <c r="W56" s="4"/>
      <c r="X56" s="4"/>
      <c r="Y56" s="4"/>
      <c r="Z56" s="4"/>
      <c r="AA56" s="4"/>
      <c r="AB56" s="4"/>
      <c r="AC56" s="4"/>
      <c r="AD56" s="4"/>
      <c r="AE56" s="4"/>
      <c r="AF56" s="4"/>
      <c r="AG56" s="4"/>
      <c r="AH56" s="4"/>
      <c r="AI56" s="6"/>
    </row>
    <row r="57" spans="5:44" x14ac:dyDescent="0.25">
      <c r="E57" s="2" t="s">
        <v>22</v>
      </c>
      <c r="F57" s="7">
        <v>25</v>
      </c>
      <c r="G57" s="54">
        <v>34.400654639999999</v>
      </c>
      <c r="H57" s="5">
        <v>420</v>
      </c>
      <c r="I57" s="5">
        <v>118.8</v>
      </c>
      <c r="J57" s="5">
        <v>36</v>
      </c>
      <c r="K57" s="8">
        <v>191.96</v>
      </c>
      <c r="L57" s="8">
        <v>8.4700000000000006</v>
      </c>
      <c r="M57" s="9">
        <f t="shared" si="3"/>
        <v>21.960531583894628</v>
      </c>
      <c r="N57" s="9">
        <v>22</v>
      </c>
      <c r="O57" s="114">
        <v>174.2</v>
      </c>
      <c r="P57" s="5"/>
      <c r="Q57" s="5"/>
      <c r="R57" s="4"/>
      <c r="S57" s="4"/>
      <c r="T57" s="4"/>
      <c r="U57" s="4"/>
      <c r="V57" s="4"/>
      <c r="W57" s="4"/>
      <c r="X57" s="4"/>
      <c r="Y57" s="4"/>
      <c r="Z57" s="4"/>
      <c r="AA57" s="4"/>
      <c r="AB57" s="4"/>
      <c r="AC57" s="4"/>
      <c r="AD57" s="4"/>
      <c r="AE57" s="4"/>
      <c r="AF57" s="4"/>
      <c r="AG57" s="4"/>
      <c r="AH57" s="4"/>
      <c r="AI57" s="6"/>
      <c r="AP57" s="82"/>
      <c r="AQ57" s="82"/>
      <c r="AR57" s="54"/>
    </row>
    <row r="58" spans="5:44" x14ac:dyDescent="0.25">
      <c r="E58" s="2" t="s">
        <v>23</v>
      </c>
      <c r="F58" s="7">
        <v>25</v>
      </c>
      <c r="G58" s="54">
        <v>33.255541440000002</v>
      </c>
      <c r="H58" s="5">
        <v>420</v>
      </c>
      <c r="I58" s="5">
        <v>118.8</v>
      </c>
      <c r="J58" s="5">
        <v>36</v>
      </c>
      <c r="K58" s="8">
        <v>191.96</v>
      </c>
      <c r="L58" s="8">
        <v>8.4700000000000006</v>
      </c>
      <c r="M58" s="9">
        <f t="shared" si="3"/>
        <v>21.966244866337377</v>
      </c>
      <c r="N58" s="9">
        <v>22</v>
      </c>
      <c r="O58" s="114">
        <v>164.3</v>
      </c>
      <c r="P58" s="5"/>
      <c r="Q58" s="5"/>
      <c r="R58" s="4"/>
      <c r="S58" s="4"/>
      <c r="T58" s="4"/>
      <c r="U58" s="4"/>
      <c r="V58" s="4"/>
      <c r="W58" s="4"/>
      <c r="X58" s="4"/>
      <c r="Y58" s="4"/>
      <c r="Z58" s="4"/>
      <c r="AA58" s="4"/>
      <c r="AB58" s="4"/>
      <c r="AC58" s="4"/>
      <c r="AD58" s="4"/>
      <c r="AE58" s="4"/>
      <c r="AF58" s="4"/>
      <c r="AG58" s="4"/>
      <c r="AH58" s="4"/>
      <c r="AI58" s="6"/>
      <c r="AP58" s="82"/>
      <c r="AQ58" s="82"/>
      <c r="AR58" s="54"/>
    </row>
    <row r="59" spans="5:44" x14ac:dyDescent="0.3">
      <c r="E59" s="423" t="s">
        <v>3</v>
      </c>
      <c r="F59" s="424"/>
      <c r="G59" s="424"/>
      <c r="H59" s="424"/>
      <c r="I59" s="424"/>
      <c r="J59" s="424"/>
      <c r="K59" s="424"/>
      <c r="L59" s="424"/>
      <c r="M59" s="424"/>
      <c r="N59" s="425"/>
      <c r="O59" s="11">
        <f>SUM(O47:O58)</f>
        <v>2209.7000000000003</v>
      </c>
      <c r="P59" s="28">
        <f>16/24</f>
        <v>0.66666666666666663</v>
      </c>
      <c r="Q59" s="28">
        <f>24/1000</f>
        <v>2.4E-2</v>
      </c>
      <c r="R59" s="8">
        <v>3.59</v>
      </c>
      <c r="S59" s="8">
        <v>12.96</v>
      </c>
      <c r="T59" s="5">
        <f>O59</f>
        <v>2209.7000000000003</v>
      </c>
      <c r="U59" s="15">
        <f>P59*Q59*R59*S59*T59</f>
        <v>1644.9501772800004</v>
      </c>
      <c r="V59" s="5">
        <v>3.94</v>
      </c>
      <c r="W59" s="5">
        <v>12.96</v>
      </c>
      <c r="X59" s="5">
        <f>O59</f>
        <v>2209.7000000000003</v>
      </c>
      <c r="Y59" s="16">
        <f>(P59*Q59*V59*W59*X59)</f>
        <v>1805.3213644800003</v>
      </c>
      <c r="Z59" s="8">
        <v>2.13</v>
      </c>
      <c r="AA59" s="8">
        <v>41.904000000000003</v>
      </c>
      <c r="AB59" s="8">
        <f>O59</f>
        <v>2209.7000000000003</v>
      </c>
      <c r="AC59" s="17">
        <f>(P59*Q59*Z59*AA59*AB59)</f>
        <v>3155.6467607040004</v>
      </c>
      <c r="AD59" s="96">
        <f>L356</f>
        <v>3117.7490707430397</v>
      </c>
      <c r="AE59" s="18">
        <f>U59+Y59+AC59+AD59</f>
        <v>9723.6673732070412</v>
      </c>
      <c r="AF59" s="4">
        <f>AE59*0.1</f>
        <v>972.36673732070415</v>
      </c>
      <c r="AG59" s="19">
        <f>AE59+AF59</f>
        <v>10696.034110527746</v>
      </c>
      <c r="AH59" s="8">
        <v>3.1</v>
      </c>
      <c r="AI59" s="20">
        <f>ROUND((AG59/AH59),0)</f>
        <v>3450</v>
      </c>
      <c r="AJ59" s="39">
        <v>25</v>
      </c>
      <c r="AP59" s="53"/>
      <c r="AQ59" s="54"/>
      <c r="AR59" s="54"/>
    </row>
    <row r="60" spans="5:44" ht="15.5" x14ac:dyDescent="0.4">
      <c r="E60" s="2" t="s">
        <v>0</v>
      </c>
      <c r="F60" s="3"/>
      <c r="G60" s="5"/>
      <c r="H60" s="4"/>
      <c r="I60" s="4"/>
      <c r="J60" s="4"/>
      <c r="K60" s="4"/>
      <c r="L60" s="4"/>
      <c r="M60" s="3" t="s">
        <v>138</v>
      </c>
      <c r="N60" s="3" t="s">
        <v>137</v>
      </c>
      <c r="O60" s="8" t="s">
        <v>2</v>
      </c>
      <c r="P60" s="5"/>
      <c r="Q60" s="5"/>
      <c r="R60" s="4"/>
      <c r="S60" s="4"/>
      <c r="T60" s="4"/>
      <c r="U60" s="4"/>
      <c r="V60" s="4"/>
      <c r="W60" s="4"/>
      <c r="X60" s="4"/>
      <c r="Y60" s="4"/>
      <c r="Z60" s="4"/>
      <c r="AA60" s="4"/>
      <c r="AB60" s="4"/>
      <c r="AC60" s="4"/>
      <c r="AD60" s="4"/>
      <c r="AE60" s="4"/>
      <c r="AF60" s="4"/>
      <c r="AG60" s="4"/>
      <c r="AH60" s="4"/>
      <c r="AI60" s="150">
        <f>AI59</f>
        <v>3450</v>
      </c>
    </row>
    <row r="61" spans="5:44" x14ac:dyDescent="0.25">
      <c r="E61" s="2" t="s">
        <v>15</v>
      </c>
      <c r="F61" s="7">
        <v>26</v>
      </c>
      <c r="G61" s="54">
        <v>34.400654639999999</v>
      </c>
      <c r="H61" s="5">
        <v>420</v>
      </c>
      <c r="I61" s="5">
        <v>118.8</v>
      </c>
      <c r="J61" s="5">
        <v>36</v>
      </c>
      <c r="K61" s="8">
        <v>191.96</v>
      </c>
      <c r="L61" s="8">
        <v>8.4700000000000006</v>
      </c>
      <c r="M61" s="9">
        <f>(F61-((G61+H61+I61+J61)/(K61+L61)))</f>
        <v>22.960531583894628</v>
      </c>
      <c r="N61" s="9">
        <v>23</v>
      </c>
      <c r="O61" s="114">
        <v>134.6</v>
      </c>
      <c r="P61" s="5"/>
      <c r="Q61" s="5"/>
      <c r="R61" s="4"/>
      <c r="S61" s="4"/>
      <c r="T61" s="4"/>
      <c r="U61" s="4"/>
      <c r="V61" s="4"/>
      <c r="W61" s="4"/>
      <c r="X61" s="4"/>
      <c r="Y61" s="4"/>
      <c r="Z61" s="4"/>
      <c r="AA61" s="4"/>
      <c r="AB61" s="4"/>
      <c r="AC61" s="4"/>
      <c r="AD61" s="4"/>
      <c r="AE61" s="4"/>
      <c r="AF61" s="4"/>
      <c r="AG61" s="4"/>
      <c r="AH61" s="4"/>
      <c r="AI61" s="6"/>
    </row>
    <row r="62" spans="5:44" x14ac:dyDescent="0.25">
      <c r="E62" s="2" t="s">
        <v>16</v>
      </c>
      <c r="F62" s="7">
        <v>26</v>
      </c>
      <c r="G62" s="54">
        <v>37.843264800000007</v>
      </c>
      <c r="H62" s="5">
        <v>420</v>
      </c>
      <c r="I62" s="5">
        <v>118.8</v>
      </c>
      <c r="J62" s="5">
        <v>36</v>
      </c>
      <c r="K62" s="8">
        <v>191.96</v>
      </c>
      <c r="L62" s="8">
        <v>8.4700000000000006</v>
      </c>
      <c r="M62" s="9">
        <f t="shared" ref="M62:M72" si="4">(F62-((G62+H62+I62+J62)/(K62+L62)))</f>
        <v>22.943355461757221</v>
      </c>
      <c r="N62" s="9">
        <v>23</v>
      </c>
      <c r="O62" s="114">
        <v>98</v>
      </c>
      <c r="P62" s="5"/>
      <c r="Q62" s="5"/>
      <c r="R62" s="4"/>
      <c r="S62" s="4"/>
      <c r="T62" s="4"/>
      <c r="U62" s="4"/>
      <c r="V62" s="4"/>
      <c r="W62" s="4"/>
      <c r="X62" s="4"/>
      <c r="Y62" s="4"/>
      <c r="Z62" s="4"/>
      <c r="AA62" s="4"/>
      <c r="AB62" s="4"/>
      <c r="AC62" s="4"/>
      <c r="AD62" s="4"/>
      <c r="AE62" s="4"/>
      <c r="AF62" s="4"/>
      <c r="AG62" s="4"/>
      <c r="AH62" s="4"/>
      <c r="AI62" s="6"/>
    </row>
    <row r="63" spans="5:44" x14ac:dyDescent="0.25">
      <c r="E63" s="2" t="s">
        <v>17</v>
      </c>
      <c r="F63" s="7">
        <v>26</v>
      </c>
      <c r="G63" s="54">
        <v>40.137126480000006</v>
      </c>
      <c r="H63" s="5">
        <v>420</v>
      </c>
      <c r="I63" s="5">
        <v>118.8</v>
      </c>
      <c r="J63" s="5">
        <v>36</v>
      </c>
      <c r="K63" s="8">
        <v>191.96</v>
      </c>
      <c r="L63" s="8">
        <v>8.4700000000000006</v>
      </c>
      <c r="M63" s="9">
        <f t="shared" si="4"/>
        <v>22.931910759467147</v>
      </c>
      <c r="N63" s="9">
        <v>23</v>
      </c>
      <c r="O63" s="114">
        <v>132.69999999999999</v>
      </c>
      <c r="P63" s="5"/>
      <c r="Q63" s="5"/>
      <c r="R63" s="4"/>
      <c r="S63" s="4"/>
      <c r="T63" s="4"/>
      <c r="U63" s="4"/>
      <c r="V63" s="4"/>
      <c r="W63" s="4"/>
      <c r="X63" s="4"/>
      <c r="Y63" s="4"/>
      <c r="Z63" s="4"/>
      <c r="AA63" s="4"/>
      <c r="AB63" s="4"/>
      <c r="AC63" s="4"/>
      <c r="AD63" s="4"/>
      <c r="AE63" s="4"/>
      <c r="AF63" s="4"/>
      <c r="AG63" s="4"/>
      <c r="AH63" s="4"/>
      <c r="AI63" s="6"/>
    </row>
    <row r="64" spans="5:44" x14ac:dyDescent="0.25">
      <c r="E64" s="2" t="s">
        <v>18</v>
      </c>
      <c r="F64" s="7">
        <v>26</v>
      </c>
      <c r="G64" s="54">
        <v>44.721214560000007</v>
      </c>
      <c r="H64" s="5">
        <v>420</v>
      </c>
      <c r="I64" s="5">
        <v>118.8</v>
      </c>
      <c r="J64" s="5">
        <v>36</v>
      </c>
      <c r="K64" s="8">
        <v>191.96</v>
      </c>
      <c r="L64" s="8">
        <v>8.4700000000000006</v>
      </c>
      <c r="M64" s="9">
        <f t="shared" si="4"/>
        <v>22.909039492291573</v>
      </c>
      <c r="N64" s="9">
        <v>23</v>
      </c>
      <c r="O64" s="114">
        <v>204.3</v>
      </c>
      <c r="P64" s="5"/>
      <c r="Q64" s="5"/>
      <c r="R64" s="4"/>
      <c r="S64" s="4"/>
      <c r="T64" s="4"/>
      <c r="U64" s="4"/>
      <c r="V64" s="4"/>
      <c r="W64" s="4"/>
      <c r="X64" s="4"/>
      <c r="Y64" s="4"/>
      <c r="Z64" s="4"/>
      <c r="AA64" s="4"/>
      <c r="AB64" s="4"/>
      <c r="AC64" s="4"/>
      <c r="AD64" s="4"/>
      <c r="AE64" s="4"/>
      <c r="AF64" s="4"/>
      <c r="AG64" s="4"/>
      <c r="AH64" s="4"/>
      <c r="AI64" s="6"/>
    </row>
    <row r="65" spans="5:44" x14ac:dyDescent="0.25">
      <c r="E65" s="2" t="s">
        <v>12</v>
      </c>
      <c r="F65" s="7">
        <v>26</v>
      </c>
      <c r="G65" s="54">
        <v>59.629497840000013</v>
      </c>
      <c r="H65" s="5">
        <v>420</v>
      </c>
      <c r="I65" s="5">
        <v>118.8</v>
      </c>
      <c r="J65" s="5">
        <v>36</v>
      </c>
      <c r="K65" s="8">
        <v>191.96</v>
      </c>
      <c r="L65" s="8">
        <v>8.4700000000000006</v>
      </c>
      <c r="M65" s="9">
        <f t="shared" si="4"/>
        <v>22.834657996108369</v>
      </c>
      <c r="N65" s="9">
        <v>23</v>
      </c>
      <c r="O65" s="114">
        <v>197.6</v>
      </c>
      <c r="P65" s="5"/>
      <c r="Q65" s="5"/>
      <c r="R65" s="4"/>
      <c r="S65" s="4"/>
      <c r="T65" s="4"/>
      <c r="U65" s="4"/>
      <c r="V65" s="4"/>
      <c r="W65" s="4"/>
      <c r="X65" s="4"/>
      <c r="Y65" s="4"/>
      <c r="Z65" s="4"/>
      <c r="AA65" s="4"/>
      <c r="AB65" s="4"/>
      <c r="AC65" s="4"/>
      <c r="AD65" s="4"/>
      <c r="AE65" s="4"/>
      <c r="AF65" s="4"/>
      <c r="AG65" s="4"/>
      <c r="AH65" s="4"/>
      <c r="AI65" s="6"/>
    </row>
    <row r="66" spans="5:44" x14ac:dyDescent="0.25">
      <c r="E66" s="2" t="s">
        <v>13</v>
      </c>
      <c r="F66" s="7">
        <v>26</v>
      </c>
      <c r="G66" s="54">
        <v>75.686529600000014</v>
      </c>
      <c r="H66" s="5">
        <v>420</v>
      </c>
      <c r="I66" s="5">
        <v>118.8</v>
      </c>
      <c r="J66" s="5">
        <v>36</v>
      </c>
      <c r="K66" s="8">
        <v>191.96</v>
      </c>
      <c r="L66" s="8">
        <v>8.4700000000000006</v>
      </c>
      <c r="M66" s="9">
        <f t="shared" si="4"/>
        <v>22.754545080077833</v>
      </c>
      <c r="N66" s="9">
        <v>23</v>
      </c>
      <c r="O66" s="114">
        <v>236.1</v>
      </c>
      <c r="P66" s="5"/>
      <c r="Q66" s="5"/>
      <c r="R66" s="4"/>
      <c r="S66" s="4"/>
      <c r="T66" s="4"/>
      <c r="U66" s="4"/>
      <c r="V66" s="4"/>
      <c r="W66" s="4"/>
      <c r="X66" s="4"/>
      <c r="Y66" s="4"/>
      <c r="Z66" s="4"/>
      <c r="AA66" s="4"/>
      <c r="AB66" s="4"/>
      <c r="AC66" s="4"/>
      <c r="AD66" s="4"/>
      <c r="AE66" s="4"/>
      <c r="AF66" s="4"/>
      <c r="AG66" s="4"/>
      <c r="AH66" s="4"/>
      <c r="AI66" s="6"/>
    </row>
    <row r="67" spans="5:44" x14ac:dyDescent="0.25">
      <c r="E67" s="2" t="s">
        <v>1</v>
      </c>
      <c r="F67" s="7">
        <v>26</v>
      </c>
      <c r="G67" s="54">
        <v>63.072108000000007</v>
      </c>
      <c r="H67" s="5">
        <v>420</v>
      </c>
      <c r="I67" s="5">
        <v>118.8</v>
      </c>
      <c r="J67" s="5">
        <v>36</v>
      </c>
      <c r="K67" s="8">
        <v>191.96</v>
      </c>
      <c r="L67" s="8">
        <v>8.4700000000000006</v>
      </c>
      <c r="M67" s="9">
        <f t="shared" si="4"/>
        <v>22.817481873970962</v>
      </c>
      <c r="N67" s="9">
        <v>23</v>
      </c>
      <c r="O67" s="114">
        <v>139</v>
      </c>
      <c r="P67" s="27"/>
      <c r="Q67" s="27"/>
      <c r="R67" s="4"/>
      <c r="S67" s="4"/>
      <c r="T67" s="4"/>
      <c r="U67" s="4"/>
      <c r="V67" s="4"/>
      <c r="W67" s="4"/>
      <c r="X67" s="4"/>
      <c r="Y67" s="4"/>
      <c r="Z67" s="4"/>
      <c r="AA67" s="4"/>
      <c r="AB67" s="4"/>
      <c r="AC67" s="4"/>
      <c r="AD67" s="4"/>
      <c r="AE67" s="4"/>
      <c r="AF67" s="4"/>
      <c r="AG67" s="4"/>
      <c r="AH67" s="4"/>
      <c r="AI67" s="6"/>
    </row>
    <row r="68" spans="5:44" x14ac:dyDescent="0.25">
      <c r="E68" s="2" t="s">
        <v>19</v>
      </c>
      <c r="F68" s="7">
        <v>26</v>
      </c>
      <c r="G68" s="54">
        <v>47.015076240000013</v>
      </c>
      <c r="H68" s="5">
        <v>420</v>
      </c>
      <c r="I68" s="5">
        <v>118.8</v>
      </c>
      <c r="J68" s="5">
        <v>36</v>
      </c>
      <c r="K68" s="8">
        <v>191.96</v>
      </c>
      <c r="L68" s="8">
        <v>8.4700000000000006</v>
      </c>
      <c r="M68" s="9">
        <f t="shared" si="4"/>
        <v>22.897594790001499</v>
      </c>
      <c r="N68" s="9">
        <v>23</v>
      </c>
      <c r="O68" s="114">
        <v>130.5</v>
      </c>
      <c r="P68" s="27"/>
      <c r="Q68" s="27"/>
      <c r="R68" s="4"/>
      <c r="S68" s="4"/>
      <c r="T68" s="4"/>
      <c r="U68" s="4"/>
      <c r="V68" s="4"/>
      <c r="W68" s="4"/>
      <c r="X68" s="4"/>
      <c r="Y68" s="4"/>
      <c r="Z68" s="4"/>
      <c r="AA68" s="4"/>
      <c r="AB68" s="4"/>
      <c r="AC68" s="4"/>
      <c r="AD68" s="4"/>
      <c r="AE68" s="4"/>
      <c r="AF68" s="4"/>
      <c r="AG68" s="4"/>
      <c r="AH68" s="4"/>
      <c r="AI68" s="6"/>
    </row>
    <row r="69" spans="5:44" x14ac:dyDescent="0.25">
      <c r="E69" s="2" t="s">
        <v>20</v>
      </c>
      <c r="F69" s="7">
        <v>26</v>
      </c>
      <c r="G69" s="54">
        <v>41.282239680000004</v>
      </c>
      <c r="H69" s="5">
        <v>420</v>
      </c>
      <c r="I69" s="5">
        <v>118.8</v>
      </c>
      <c r="J69" s="5">
        <v>36</v>
      </c>
      <c r="K69" s="8">
        <v>191.96</v>
      </c>
      <c r="L69" s="8">
        <v>8.4700000000000006</v>
      </c>
      <c r="M69" s="9">
        <f t="shared" si="4"/>
        <v>22.926197477024399</v>
      </c>
      <c r="N69" s="9">
        <v>23</v>
      </c>
      <c r="O69" s="114">
        <v>134.6</v>
      </c>
      <c r="P69" s="27"/>
      <c r="Q69" s="27"/>
      <c r="R69" s="4"/>
      <c r="S69" s="4"/>
      <c r="T69" s="4"/>
      <c r="U69" s="4"/>
      <c r="V69" s="4"/>
      <c r="W69" s="4"/>
      <c r="X69" s="4"/>
      <c r="Y69" s="4"/>
      <c r="Z69" s="4"/>
      <c r="AA69" s="4"/>
      <c r="AB69" s="4"/>
      <c r="AC69" s="4"/>
      <c r="AD69" s="4"/>
      <c r="AE69" s="4"/>
      <c r="AF69" s="4"/>
      <c r="AG69" s="4"/>
      <c r="AH69" s="4"/>
      <c r="AI69" s="6"/>
    </row>
    <row r="70" spans="5:44" x14ac:dyDescent="0.25">
      <c r="E70" s="2" t="s">
        <v>21</v>
      </c>
      <c r="F70" s="7">
        <v>26</v>
      </c>
      <c r="G70" s="54">
        <v>37.843264800000007</v>
      </c>
      <c r="H70" s="5">
        <v>420</v>
      </c>
      <c r="I70" s="5">
        <v>118.8</v>
      </c>
      <c r="J70" s="5">
        <v>36</v>
      </c>
      <c r="K70" s="8">
        <v>191.96</v>
      </c>
      <c r="L70" s="8">
        <v>8.4700000000000006</v>
      </c>
      <c r="M70" s="9">
        <f t="shared" si="4"/>
        <v>22.943355461757221</v>
      </c>
      <c r="N70" s="9">
        <v>23</v>
      </c>
      <c r="O70" s="114">
        <v>136.80000000000001</v>
      </c>
      <c r="P70" s="27"/>
      <c r="Q70" s="27"/>
      <c r="R70" s="4"/>
      <c r="S70" s="4"/>
      <c r="T70" s="4"/>
      <c r="U70" s="4"/>
      <c r="V70" s="4"/>
      <c r="W70" s="4"/>
      <c r="X70" s="4"/>
      <c r="Y70" s="4"/>
      <c r="Z70" s="4"/>
      <c r="AA70" s="4"/>
      <c r="AB70" s="4"/>
      <c r="AC70" s="4"/>
      <c r="AD70" s="4"/>
      <c r="AE70" s="4"/>
      <c r="AF70" s="4"/>
      <c r="AG70" s="4"/>
      <c r="AH70" s="4"/>
      <c r="AI70" s="6"/>
    </row>
    <row r="71" spans="5:44" x14ac:dyDescent="0.25">
      <c r="E71" s="2" t="s">
        <v>22</v>
      </c>
      <c r="F71" s="7">
        <v>26</v>
      </c>
      <c r="G71" s="54">
        <v>34.400654639999999</v>
      </c>
      <c r="H71" s="5">
        <v>420</v>
      </c>
      <c r="I71" s="5">
        <v>118.8</v>
      </c>
      <c r="J71" s="5">
        <v>36</v>
      </c>
      <c r="K71" s="8">
        <v>191.96</v>
      </c>
      <c r="L71" s="8">
        <v>8.4700000000000006</v>
      </c>
      <c r="M71" s="9">
        <f t="shared" si="4"/>
        <v>22.960531583894628</v>
      </c>
      <c r="N71" s="9">
        <v>23</v>
      </c>
      <c r="O71" s="114">
        <v>167.7</v>
      </c>
      <c r="P71" s="27"/>
      <c r="Q71" s="27"/>
      <c r="R71" s="4"/>
      <c r="S71" s="4"/>
      <c r="T71" s="4"/>
      <c r="U71" s="4"/>
      <c r="V71" s="4"/>
      <c r="W71" s="4"/>
      <c r="X71" s="4"/>
      <c r="Y71" s="4"/>
      <c r="Z71" s="4"/>
      <c r="AA71" s="4"/>
      <c r="AB71" s="4"/>
      <c r="AC71" s="4"/>
      <c r="AD71" s="4"/>
      <c r="AE71" s="4"/>
      <c r="AF71" s="4"/>
      <c r="AG71" s="4"/>
      <c r="AH71" s="4"/>
      <c r="AI71" s="6"/>
    </row>
    <row r="72" spans="5:44" x14ac:dyDescent="0.25">
      <c r="E72" s="2" t="s">
        <v>23</v>
      </c>
      <c r="F72" s="7">
        <v>26</v>
      </c>
      <c r="G72" s="54">
        <v>33.255541440000002</v>
      </c>
      <c r="H72" s="5">
        <v>420</v>
      </c>
      <c r="I72" s="5">
        <v>118.8</v>
      </c>
      <c r="J72" s="5">
        <v>36</v>
      </c>
      <c r="K72" s="8">
        <v>191.96</v>
      </c>
      <c r="L72" s="8">
        <v>8.4700000000000006</v>
      </c>
      <c r="M72" s="9">
        <f t="shared" si="4"/>
        <v>22.966244866337377</v>
      </c>
      <c r="N72" s="9">
        <v>23</v>
      </c>
      <c r="O72" s="114">
        <v>144.80000000000001</v>
      </c>
      <c r="P72" s="27"/>
      <c r="Q72" s="27"/>
      <c r="R72" s="4"/>
      <c r="S72" s="4"/>
      <c r="T72" s="4"/>
      <c r="U72" s="4"/>
      <c r="V72" s="4"/>
      <c r="W72" s="4"/>
      <c r="X72" s="4"/>
      <c r="Y72" s="4"/>
      <c r="Z72" s="4"/>
      <c r="AA72" s="4"/>
      <c r="AB72" s="4"/>
      <c r="AC72" s="4"/>
      <c r="AD72" s="4"/>
      <c r="AE72" s="4"/>
      <c r="AF72" s="4"/>
      <c r="AG72" s="4"/>
      <c r="AH72" s="4"/>
      <c r="AI72" s="6"/>
    </row>
    <row r="73" spans="5:44" x14ac:dyDescent="0.3">
      <c r="E73" s="423" t="s">
        <v>3</v>
      </c>
      <c r="F73" s="424"/>
      <c r="G73" s="424"/>
      <c r="H73" s="424"/>
      <c r="I73" s="424"/>
      <c r="J73" s="424"/>
      <c r="K73" s="424"/>
      <c r="L73" s="424"/>
      <c r="M73" s="424"/>
      <c r="N73" s="425"/>
      <c r="O73" s="11">
        <f>SUM(O61:O72)</f>
        <v>1856.6999999999998</v>
      </c>
      <c r="P73" s="28">
        <f>16/24</f>
        <v>0.66666666666666663</v>
      </c>
      <c r="Q73" s="28">
        <f>24/1000</f>
        <v>2.4E-2</v>
      </c>
      <c r="R73" s="8">
        <v>3.59</v>
      </c>
      <c r="S73" s="8">
        <v>12.96</v>
      </c>
      <c r="T73" s="5">
        <f>O73</f>
        <v>1856.6999999999998</v>
      </c>
      <c r="U73" s="15">
        <f>P73*Q73*R73*S73*T73</f>
        <v>1382.16907008</v>
      </c>
      <c r="V73" s="5">
        <v>3.94</v>
      </c>
      <c r="W73" s="5">
        <v>12.96</v>
      </c>
      <c r="X73" s="5">
        <f>O73</f>
        <v>1856.6999999999998</v>
      </c>
      <c r="Y73" s="16">
        <f>(P73*Q73*V73*W73*X73)</f>
        <v>1516.9209292799999</v>
      </c>
      <c r="Z73" s="8">
        <v>2.13</v>
      </c>
      <c r="AA73" s="8">
        <v>41.904000000000003</v>
      </c>
      <c r="AB73" s="8">
        <f>O73</f>
        <v>1856.6999999999998</v>
      </c>
      <c r="AC73" s="17">
        <f>(P73*Q73*Z73*AA73*AB73)</f>
        <v>2651.5315837439998</v>
      </c>
      <c r="AD73" s="96">
        <f>L357</f>
        <v>3089.3666707430398</v>
      </c>
      <c r="AE73" s="18">
        <f>U73+Y73+AC73+AD73</f>
        <v>8639.9882538470392</v>
      </c>
      <c r="AF73" s="4">
        <f>AE73*0.1</f>
        <v>863.99882538470399</v>
      </c>
      <c r="AG73" s="19">
        <f>AE73+AF73</f>
        <v>9503.9870792317433</v>
      </c>
      <c r="AH73" s="8">
        <v>3.1</v>
      </c>
      <c r="AI73" s="20">
        <f>ROUND((AG73/AH73),0)</f>
        <v>3066</v>
      </c>
      <c r="AJ73" s="39">
        <v>26</v>
      </c>
      <c r="AK73" s="122"/>
      <c r="AL73" s="122"/>
    </row>
    <row r="74" spans="5:44" ht="16" thickBot="1" x14ac:dyDescent="0.45">
      <c r="E74" s="2" t="s">
        <v>0</v>
      </c>
      <c r="F74" s="3"/>
      <c r="G74" s="5"/>
      <c r="H74" s="4"/>
      <c r="I74" s="4"/>
      <c r="J74" s="4"/>
      <c r="K74" s="4"/>
      <c r="L74" s="4"/>
      <c r="M74" s="3" t="s">
        <v>138</v>
      </c>
      <c r="N74" s="3" t="s">
        <v>137</v>
      </c>
      <c r="O74" s="8" t="s">
        <v>2</v>
      </c>
      <c r="P74" s="5"/>
      <c r="Q74" s="5"/>
      <c r="R74" s="4"/>
      <c r="S74" s="4"/>
      <c r="T74" s="4"/>
      <c r="U74" s="4"/>
      <c r="V74" s="4"/>
      <c r="W74" s="4"/>
      <c r="X74" s="4"/>
      <c r="Y74" s="4"/>
      <c r="Z74" s="4"/>
      <c r="AA74" s="4"/>
      <c r="AB74" s="4"/>
      <c r="AC74" s="4"/>
      <c r="AD74" s="4"/>
      <c r="AE74" s="4"/>
      <c r="AF74" s="4"/>
      <c r="AG74" s="4"/>
      <c r="AH74" s="4"/>
      <c r="AI74" s="6"/>
    </row>
    <row r="75" spans="5:44" x14ac:dyDescent="0.3">
      <c r="E75" s="2" t="s">
        <v>15</v>
      </c>
      <c r="F75" s="7">
        <v>27</v>
      </c>
      <c r="G75" s="54">
        <v>34.400654639999999</v>
      </c>
      <c r="H75" s="5">
        <v>420</v>
      </c>
      <c r="I75" s="5">
        <v>118.8</v>
      </c>
      <c r="J75" s="5">
        <v>36</v>
      </c>
      <c r="K75" s="8">
        <v>191.96</v>
      </c>
      <c r="L75" s="8">
        <v>8.4700000000000006</v>
      </c>
      <c r="M75" s="9">
        <f>(F75-((G75+H75+I75+J75)/(K75+L75)))</f>
        <v>23.960531583894628</v>
      </c>
      <c r="N75" s="9">
        <v>24</v>
      </c>
      <c r="O75" s="114">
        <v>77.8</v>
      </c>
      <c r="P75" s="5"/>
      <c r="Q75" s="5"/>
      <c r="R75" s="4"/>
      <c r="S75" s="4"/>
      <c r="T75" s="4"/>
      <c r="U75" s="4"/>
      <c r="V75" s="4"/>
      <c r="W75" s="4"/>
      <c r="X75" s="4"/>
      <c r="Y75" s="4"/>
      <c r="Z75" s="4"/>
      <c r="AA75" s="4"/>
      <c r="AB75" s="4"/>
      <c r="AC75" s="4"/>
      <c r="AD75" s="4"/>
      <c r="AE75" s="4"/>
      <c r="AF75" s="4"/>
      <c r="AG75" s="4"/>
      <c r="AH75" s="4"/>
      <c r="AI75" s="6"/>
      <c r="AO75" s="141"/>
      <c r="AP75" s="295" t="s">
        <v>204</v>
      </c>
      <c r="AQ75" s="296"/>
      <c r="AR75" s="297"/>
    </row>
    <row r="76" spans="5:44" x14ac:dyDescent="0.25">
      <c r="E76" s="2" t="s">
        <v>16</v>
      </c>
      <c r="F76" s="7">
        <v>27</v>
      </c>
      <c r="G76" s="54">
        <v>37.843264800000007</v>
      </c>
      <c r="H76" s="5">
        <v>420</v>
      </c>
      <c r="I76" s="5">
        <v>118.8</v>
      </c>
      <c r="J76" s="5">
        <v>36</v>
      </c>
      <c r="K76" s="8">
        <v>191.96</v>
      </c>
      <c r="L76" s="8">
        <v>8.4700000000000006</v>
      </c>
      <c r="M76" s="9">
        <f t="shared" ref="M76:M86" si="5">(F76-((G76+H76+I76+J76)/(K76+L76)))</f>
        <v>23.943355461757221</v>
      </c>
      <c r="N76" s="9">
        <v>24</v>
      </c>
      <c r="O76" s="114">
        <v>109.4</v>
      </c>
      <c r="P76" s="5"/>
      <c r="Q76" s="5"/>
      <c r="R76" s="4"/>
      <c r="S76" s="4"/>
      <c r="T76" s="4"/>
      <c r="U76" s="4"/>
      <c r="V76" s="4"/>
      <c r="W76" s="4"/>
      <c r="X76" s="4"/>
      <c r="Y76" s="4"/>
      <c r="Z76" s="4"/>
      <c r="AA76" s="4"/>
      <c r="AB76" s="4"/>
      <c r="AC76" s="4"/>
      <c r="AD76" s="4"/>
      <c r="AE76" s="4"/>
      <c r="AF76" s="4"/>
      <c r="AG76" s="4"/>
      <c r="AH76" s="4"/>
      <c r="AI76" s="6"/>
      <c r="AP76" s="76" t="s">
        <v>195</v>
      </c>
      <c r="AQ76" s="27" t="s">
        <v>196</v>
      </c>
      <c r="AR76" s="86" t="s">
        <v>201</v>
      </c>
    </row>
    <row r="77" spans="5:44" x14ac:dyDescent="0.25">
      <c r="E77" s="2" t="s">
        <v>17</v>
      </c>
      <c r="F77" s="7">
        <v>27</v>
      </c>
      <c r="G77" s="54">
        <v>40.137126480000006</v>
      </c>
      <c r="H77" s="5">
        <v>420</v>
      </c>
      <c r="I77" s="5">
        <v>118.8</v>
      </c>
      <c r="J77" s="5">
        <v>36</v>
      </c>
      <c r="K77" s="8">
        <v>191.96</v>
      </c>
      <c r="L77" s="8">
        <v>8.4700000000000006</v>
      </c>
      <c r="M77" s="9">
        <f t="shared" si="5"/>
        <v>23.931910759467147</v>
      </c>
      <c r="N77" s="9">
        <v>24</v>
      </c>
      <c r="O77" s="114">
        <v>173.6</v>
      </c>
      <c r="P77" s="5"/>
      <c r="Q77" s="5"/>
      <c r="R77" s="4"/>
      <c r="S77" s="4"/>
      <c r="T77" s="4"/>
      <c r="U77" s="4"/>
      <c r="V77" s="4"/>
      <c r="W77" s="4"/>
      <c r="X77" s="4"/>
      <c r="Y77" s="4"/>
      <c r="Z77" s="4"/>
      <c r="AA77" s="4"/>
      <c r="AB77" s="4"/>
      <c r="AC77" s="4"/>
      <c r="AD77" s="4"/>
      <c r="AE77" s="4"/>
      <c r="AF77" s="4"/>
      <c r="AG77" s="4"/>
      <c r="AH77" s="4"/>
      <c r="AI77" s="6"/>
      <c r="AP77" s="76">
        <v>26</v>
      </c>
      <c r="AQ77" s="27">
        <v>10</v>
      </c>
      <c r="AR77" s="35">
        <f>AQ77/AQ80</f>
        <v>0.5</v>
      </c>
    </row>
    <row r="78" spans="5:44" x14ac:dyDescent="0.25">
      <c r="E78" s="2" t="s">
        <v>18</v>
      </c>
      <c r="F78" s="7">
        <v>27</v>
      </c>
      <c r="G78" s="54">
        <v>44.721214560000007</v>
      </c>
      <c r="H78" s="5">
        <v>420</v>
      </c>
      <c r="I78" s="5">
        <v>118.8</v>
      </c>
      <c r="J78" s="5">
        <v>36</v>
      </c>
      <c r="K78" s="8">
        <v>191.96</v>
      </c>
      <c r="L78" s="8">
        <v>8.4700000000000006</v>
      </c>
      <c r="M78" s="9">
        <f t="shared" si="5"/>
        <v>23.909039492291573</v>
      </c>
      <c r="N78" s="9">
        <v>24</v>
      </c>
      <c r="O78" s="114">
        <v>167.6</v>
      </c>
      <c r="P78" s="5"/>
      <c r="Q78" s="5"/>
      <c r="R78" s="4"/>
      <c r="S78" s="4"/>
      <c r="T78" s="4"/>
      <c r="U78" s="4"/>
      <c r="V78" s="4"/>
      <c r="W78" s="4"/>
      <c r="X78" s="4"/>
      <c r="Y78" s="4"/>
      <c r="Z78" s="4"/>
      <c r="AA78" s="4"/>
      <c r="AB78" s="4"/>
      <c r="AC78" s="4"/>
      <c r="AD78" s="4"/>
      <c r="AE78" s="4"/>
      <c r="AF78" s="4"/>
      <c r="AG78" s="4"/>
      <c r="AH78" s="4"/>
      <c r="AI78" s="6"/>
      <c r="AP78" s="76">
        <v>27</v>
      </c>
      <c r="AQ78" s="27">
        <v>8</v>
      </c>
      <c r="AR78" s="35">
        <f>AQ78/AQ80</f>
        <v>0.4</v>
      </c>
    </row>
    <row r="79" spans="5:44" x14ac:dyDescent="0.25">
      <c r="E79" s="2" t="s">
        <v>12</v>
      </c>
      <c r="F79" s="7">
        <v>27</v>
      </c>
      <c r="G79" s="54">
        <v>59.629497840000013</v>
      </c>
      <c r="H79" s="5">
        <v>420</v>
      </c>
      <c r="I79" s="5">
        <v>118.8</v>
      </c>
      <c r="J79" s="5">
        <v>36</v>
      </c>
      <c r="K79" s="8">
        <v>191.96</v>
      </c>
      <c r="L79" s="8">
        <v>8.4700000000000006</v>
      </c>
      <c r="M79" s="9">
        <f t="shared" si="5"/>
        <v>23.834657996108369</v>
      </c>
      <c r="N79" s="9">
        <v>24</v>
      </c>
      <c r="O79" s="114">
        <v>205.1</v>
      </c>
      <c r="P79" s="5"/>
      <c r="Q79" s="5"/>
      <c r="R79" s="4"/>
      <c r="S79" s="4"/>
      <c r="T79" s="4"/>
      <c r="U79" s="4"/>
      <c r="V79" s="4"/>
      <c r="W79" s="4"/>
      <c r="X79" s="4"/>
      <c r="Y79" s="4"/>
      <c r="Z79" s="4"/>
      <c r="AA79" s="4"/>
      <c r="AB79" s="4"/>
      <c r="AC79" s="4"/>
      <c r="AD79" s="4"/>
      <c r="AE79" s="4"/>
      <c r="AF79" s="4"/>
      <c r="AG79" s="4"/>
      <c r="AH79" s="4"/>
      <c r="AI79" s="6"/>
      <c r="AP79" s="76">
        <v>28</v>
      </c>
      <c r="AQ79" s="27">
        <v>2</v>
      </c>
      <c r="AR79" s="35">
        <f>AQ79/AQ80</f>
        <v>0.1</v>
      </c>
    </row>
    <row r="80" spans="5:44" ht="13.5" thickBot="1" x14ac:dyDescent="0.3">
      <c r="E80" s="2" t="s">
        <v>13</v>
      </c>
      <c r="F80" s="7">
        <v>27</v>
      </c>
      <c r="G80" s="54">
        <v>75.686529600000014</v>
      </c>
      <c r="H80" s="5">
        <v>420</v>
      </c>
      <c r="I80" s="5">
        <v>118.8</v>
      </c>
      <c r="J80" s="5">
        <v>36</v>
      </c>
      <c r="K80" s="8">
        <v>191.96</v>
      </c>
      <c r="L80" s="8">
        <v>8.4700000000000006</v>
      </c>
      <c r="M80" s="9">
        <f t="shared" si="5"/>
        <v>23.754545080077833</v>
      </c>
      <c r="N80" s="9">
        <v>24</v>
      </c>
      <c r="O80" s="114">
        <v>109</v>
      </c>
      <c r="P80" s="5"/>
      <c r="Q80" s="5"/>
      <c r="R80" s="4"/>
      <c r="S80" s="4"/>
      <c r="T80" s="4"/>
      <c r="U80" s="4"/>
      <c r="V80" s="4"/>
      <c r="W80" s="4"/>
      <c r="X80" s="4"/>
      <c r="Y80" s="4"/>
      <c r="Z80" s="4"/>
      <c r="AA80" s="4"/>
      <c r="AB80" s="4"/>
      <c r="AC80" s="4"/>
      <c r="AD80" s="4"/>
      <c r="AE80" s="4"/>
      <c r="AF80" s="4"/>
      <c r="AG80" s="4"/>
      <c r="AH80" s="4"/>
      <c r="AI80" s="6"/>
      <c r="AP80" s="142"/>
      <c r="AQ80" s="89">
        <f>AQ77+AQ78+AQ79</f>
        <v>20</v>
      </c>
      <c r="AR80" s="140"/>
    </row>
    <row r="81" spans="5:44" x14ac:dyDescent="0.25">
      <c r="E81" s="2" t="s">
        <v>24</v>
      </c>
      <c r="F81" s="7">
        <v>27</v>
      </c>
      <c r="G81" s="54">
        <v>63.072108000000007</v>
      </c>
      <c r="H81" s="5">
        <v>420</v>
      </c>
      <c r="I81" s="5">
        <v>118.8</v>
      </c>
      <c r="J81" s="5">
        <v>36</v>
      </c>
      <c r="K81" s="8">
        <v>191.96</v>
      </c>
      <c r="L81" s="8">
        <v>8.4700000000000006</v>
      </c>
      <c r="M81" s="9">
        <f t="shared" si="5"/>
        <v>23.817481873970962</v>
      </c>
      <c r="N81" s="9">
        <v>24</v>
      </c>
      <c r="O81" s="114">
        <v>99.5</v>
      </c>
      <c r="P81" s="27"/>
      <c r="Q81" s="27"/>
      <c r="R81" s="4"/>
      <c r="S81" s="4"/>
      <c r="T81" s="4"/>
      <c r="U81" s="4"/>
      <c r="V81" s="4"/>
      <c r="W81" s="4"/>
      <c r="X81" s="4"/>
      <c r="Y81" s="4"/>
      <c r="Z81" s="4"/>
      <c r="AA81" s="4"/>
      <c r="AB81" s="4"/>
      <c r="AC81" s="4"/>
      <c r="AD81" s="4"/>
      <c r="AE81" s="4"/>
      <c r="AF81" s="4"/>
      <c r="AG81" s="4"/>
      <c r="AH81" s="4"/>
      <c r="AI81" s="6"/>
      <c r="AP81" s="143"/>
      <c r="AQ81" s="143"/>
      <c r="AR81" s="144"/>
    </row>
    <row r="82" spans="5:44" x14ac:dyDescent="0.25">
      <c r="E82" s="2" t="s">
        <v>19</v>
      </c>
      <c r="F82" s="7">
        <v>27</v>
      </c>
      <c r="G82" s="54">
        <v>47.015076240000013</v>
      </c>
      <c r="H82" s="5">
        <v>420</v>
      </c>
      <c r="I82" s="5">
        <v>118.8</v>
      </c>
      <c r="J82" s="5">
        <v>36</v>
      </c>
      <c r="K82" s="8">
        <v>191.96</v>
      </c>
      <c r="L82" s="8">
        <v>8.4700000000000006</v>
      </c>
      <c r="M82" s="9">
        <f t="shared" si="5"/>
        <v>23.897594790001499</v>
      </c>
      <c r="N82" s="9">
        <v>24</v>
      </c>
      <c r="O82" s="114">
        <v>103.6</v>
      </c>
      <c r="P82" s="27"/>
      <c r="Q82" s="27"/>
      <c r="R82" s="4"/>
      <c r="S82" s="4"/>
      <c r="T82" s="4"/>
      <c r="U82" s="4"/>
      <c r="V82" s="4"/>
      <c r="W82" s="4"/>
      <c r="X82" s="4"/>
      <c r="Y82" s="4"/>
      <c r="Z82" s="4"/>
      <c r="AA82" s="4"/>
      <c r="AB82" s="4"/>
      <c r="AC82" s="4"/>
      <c r="AD82" s="4"/>
      <c r="AE82" s="4"/>
      <c r="AF82" s="4"/>
      <c r="AG82" s="4"/>
      <c r="AH82" s="4"/>
      <c r="AI82" s="6"/>
      <c r="AP82" s="82"/>
      <c r="AQ82" s="82"/>
      <c r="AR82" s="54"/>
    </row>
    <row r="83" spans="5:44" x14ac:dyDescent="0.25">
      <c r="E83" s="2" t="s">
        <v>20</v>
      </c>
      <c r="F83" s="7">
        <v>27</v>
      </c>
      <c r="G83" s="54">
        <v>41.282239680000004</v>
      </c>
      <c r="H83" s="5">
        <v>420</v>
      </c>
      <c r="I83" s="5">
        <v>118.8</v>
      </c>
      <c r="J83" s="5">
        <v>36</v>
      </c>
      <c r="K83" s="8">
        <v>191.96</v>
      </c>
      <c r="L83" s="8">
        <v>8.4700000000000006</v>
      </c>
      <c r="M83" s="9">
        <f t="shared" si="5"/>
        <v>23.926197477024399</v>
      </c>
      <c r="N83" s="9">
        <v>24</v>
      </c>
      <c r="O83" s="114">
        <v>106.8</v>
      </c>
      <c r="P83" s="27"/>
      <c r="Q83" s="27"/>
      <c r="R83" s="4"/>
      <c r="S83" s="4"/>
      <c r="T83" s="4"/>
      <c r="U83" s="4"/>
      <c r="V83" s="4"/>
      <c r="W83" s="4"/>
      <c r="X83" s="4"/>
      <c r="Y83" s="4"/>
      <c r="Z83" s="4"/>
      <c r="AA83" s="4"/>
      <c r="AB83" s="4"/>
      <c r="AC83" s="4"/>
      <c r="AD83" s="4"/>
      <c r="AE83" s="4"/>
      <c r="AF83" s="4"/>
      <c r="AG83" s="4"/>
      <c r="AH83" s="4"/>
      <c r="AI83" s="6"/>
      <c r="AP83" s="82"/>
      <c r="AQ83" s="82"/>
      <c r="AR83" s="54"/>
    </row>
    <row r="84" spans="5:44" x14ac:dyDescent="0.25">
      <c r="E84" s="2" t="s">
        <v>21</v>
      </c>
      <c r="F84" s="7">
        <v>27</v>
      </c>
      <c r="G84" s="54">
        <v>37.843264800000007</v>
      </c>
      <c r="H84" s="5">
        <v>420</v>
      </c>
      <c r="I84" s="5">
        <v>118.8</v>
      </c>
      <c r="J84" s="5">
        <v>36</v>
      </c>
      <c r="K84" s="8">
        <v>191.96</v>
      </c>
      <c r="L84" s="8">
        <v>8.4700000000000006</v>
      </c>
      <c r="M84" s="9">
        <f t="shared" si="5"/>
        <v>23.943355461757221</v>
      </c>
      <c r="N84" s="9">
        <v>24</v>
      </c>
      <c r="O84" s="114">
        <v>136.69999999999999</v>
      </c>
      <c r="P84" s="27"/>
      <c r="Q84" s="27"/>
      <c r="R84" s="4"/>
      <c r="S84" s="4"/>
      <c r="T84" s="4"/>
      <c r="U84" s="4"/>
      <c r="V84" s="4"/>
      <c r="W84" s="4"/>
      <c r="X84" s="4"/>
      <c r="Y84" s="4"/>
      <c r="Z84" s="4"/>
      <c r="AA84" s="4"/>
      <c r="AB84" s="4"/>
      <c r="AC84" s="4"/>
      <c r="AD84" s="4"/>
      <c r="AE84" s="4"/>
      <c r="AF84" s="4"/>
      <c r="AG84" s="4"/>
      <c r="AH84" s="4"/>
      <c r="AI84" s="6"/>
      <c r="AP84" s="82"/>
      <c r="AQ84" s="82"/>
      <c r="AR84" s="54"/>
    </row>
    <row r="85" spans="5:44" x14ac:dyDescent="0.25">
      <c r="E85" s="2" t="s">
        <v>22</v>
      </c>
      <c r="F85" s="7">
        <v>27</v>
      </c>
      <c r="G85" s="54">
        <v>34.400654639999999</v>
      </c>
      <c r="H85" s="5">
        <v>420</v>
      </c>
      <c r="I85" s="5">
        <v>118.8</v>
      </c>
      <c r="J85" s="5">
        <v>36</v>
      </c>
      <c r="K85" s="8">
        <v>191.96</v>
      </c>
      <c r="L85" s="8">
        <v>8.4700000000000006</v>
      </c>
      <c r="M85" s="9">
        <f t="shared" si="5"/>
        <v>23.960531583894628</v>
      </c>
      <c r="N85" s="9">
        <v>24</v>
      </c>
      <c r="O85" s="114">
        <v>116.5</v>
      </c>
      <c r="P85" s="27"/>
      <c r="Q85" s="27"/>
      <c r="R85" s="4"/>
      <c r="S85" s="4"/>
      <c r="T85" s="4"/>
      <c r="U85" s="4"/>
      <c r="V85" s="4"/>
      <c r="W85" s="4"/>
      <c r="X85" s="4"/>
      <c r="Y85" s="4"/>
      <c r="Z85" s="4"/>
      <c r="AA85" s="4"/>
      <c r="AB85" s="4"/>
      <c r="AC85" s="4"/>
      <c r="AD85" s="4"/>
      <c r="AE85" s="4"/>
      <c r="AF85" s="4"/>
      <c r="AG85" s="4"/>
      <c r="AH85" s="4"/>
      <c r="AI85" s="6"/>
    </row>
    <row r="86" spans="5:44" x14ac:dyDescent="0.25">
      <c r="E86" s="2" t="s">
        <v>23</v>
      </c>
      <c r="F86" s="7">
        <v>27</v>
      </c>
      <c r="G86" s="54">
        <v>33.255541440000002</v>
      </c>
      <c r="H86" s="5">
        <v>420</v>
      </c>
      <c r="I86" s="5">
        <v>118.8</v>
      </c>
      <c r="J86" s="5">
        <v>36</v>
      </c>
      <c r="K86" s="8">
        <v>191.96</v>
      </c>
      <c r="L86" s="8">
        <v>8.4700000000000006</v>
      </c>
      <c r="M86" s="9">
        <f t="shared" si="5"/>
        <v>23.966244866337377</v>
      </c>
      <c r="N86" s="9">
        <v>24</v>
      </c>
      <c r="O86" s="114">
        <v>105.7</v>
      </c>
      <c r="P86" s="27"/>
      <c r="Q86" s="27"/>
      <c r="R86" s="4"/>
      <c r="S86" s="4"/>
      <c r="T86" s="4"/>
      <c r="U86" s="4"/>
      <c r="V86" s="4"/>
      <c r="W86" s="4"/>
      <c r="X86" s="4"/>
      <c r="Y86" s="4"/>
      <c r="Z86" s="4"/>
      <c r="AA86" s="4"/>
      <c r="AB86" s="4"/>
      <c r="AC86" s="4"/>
      <c r="AD86" s="4"/>
      <c r="AE86" s="4"/>
      <c r="AF86" s="4"/>
      <c r="AG86" s="4"/>
      <c r="AH86" s="4"/>
      <c r="AI86" s="6"/>
    </row>
    <row r="87" spans="5:44" x14ac:dyDescent="0.3">
      <c r="E87" s="423" t="s">
        <v>3</v>
      </c>
      <c r="F87" s="424"/>
      <c r="G87" s="424"/>
      <c r="H87" s="424"/>
      <c r="I87" s="424"/>
      <c r="J87" s="424"/>
      <c r="K87" s="424"/>
      <c r="L87" s="424"/>
      <c r="M87" s="424"/>
      <c r="N87" s="425"/>
      <c r="O87" s="14">
        <f>SUM(O75:O86)</f>
        <v>1511.3</v>
      </c>
      <c r="P87" s="28">
        <f>16/24</f>
        <v>0.66666666666666663</v>
      </c>
      <c r="Q87" s="28">
        <f>24/1000</f>
        <v>2.4E-2</v>
      </c>
      <c r="R87" s="8">
        <v>3.59</v>
      </c>
      <c r="S87" s="8">
        <v>12.96</v>
      </c>
      <c r="T87" s="5">
        <f>O87</f>
        <v>1511.3</v>
      </c>
      <c r="U87" s="15">
        <f>P87*Q87*R87*S87*T87</f>
        <v>1125.04557312</v>
      </c>
      <c r="V87" s="5">
        <v>3.94</v>
      </c>
      <c r="W87" s="5">
        <v>12.96</v>
      </c>
      <c r="X87" s="5">
        <f>O87</f>
        <v>1511.3</v>
      </c>
      <c r="Y87" s="16">
        <f>(P87*Q87*V87*W87*X87)</f>
        <v>1234.7296819200001</v>
      </c>
      <c r="Z87" s="8">
        <v>2.13</v>
      </c>
      <c r="AA87" s="8">
        <v>41.904000000000003</v>
      </c>
      <c r="AB87" s="8">
        <f>O87</f>
        <v>1511.3</v>
      </c>
      <c r="AC87" s="17">
        <f>(P87*Q87*Z87*AA87*AB87)</f>
        <v>2158.2698780159999</v>
      </c>
      <c r="AD87" s="96">
        <f>L358</f>
        <v>3060.9842707430394</v>
      </c>
      <c r="AE87" s="18">
        <f>U87+Y87+AC87+AD87</f>
        <v>7579.0294037990388</v>
      </c>
      <c r="AF87" s="4">
        <f>AE87*0.1</f>
        <v>757.90294037990395</v>
      </c>
      <c r="AG87" s="19">
        <f>AE87+AF87</f>
        <v>8336.932344178942</v>
      </c>
      <c r="AH87" s="8">
        <v>3.1</v>
      </c>
      <c r="AI87" s="20">
        <f>ROUND((AG87/AH87),0)</f>
        <v>2689</v>
      </c>
      <c r="AJ87" s="39">
        <v>27</v>
      </c>
    </row>
    <row r="88" spans="5:44" ht="15.5" x14ac:dyDescent="0.4">
      <c r="E88" s="2" t="s">
        <v>0</v>
      </c>
      <c r="F88" s="3"/>
      <c r="G88" s="5"/>
      <c r="H88" s="4"/>
      <c r="I88" s="4"/>
      <c r="J88" s="4"/>
      <c r="K88" s="4"/>
      <c r="L88" s="4"/>
      <c r="M88" s="3" t="s">
        <v>138</v>
      </c>
      <c r="N88" s="3" t="s">
        <v>137</v>
      </c>
      <c r="O88" s="8" t="s">
        <v>2</v>
      </c>
      <c r="P88" s="5"/>
      <c r="Q88" s="5"/>
      <c r="R88" s="4"/>
      <c r="S88" s="4"/>
      <c r="T88" s="4"/>
      <c r="U88" s="4"/>
      <c r="V88" s="4"/>
      <c r="W88" s="4"/>
      <c r="X88" s="4"/>
      <c r="Y88" s="4"/>
      <c r="Z88" s="4"/>
      <c r="AA88" s="4"/>
      <c r="AB88" s="4"/>
      <c r="AC88" s="4"/>
      <c r="AD88" s="4"/>
      <c r="AE88" s="4"/>
      <c r="AF88" s="4"/>
      <c r="AG88" s="4"/>
      <c r="AH88" s="4"/>
      <c r="AI88" s="6"/>
      <c r="AP88" s="53"/>
      <c r="AQ88" s="54"/>
      <c r="AR88" s="54"/>
    </row>
    <row r="89" spans="5:44" x14ac:dyDescent="0.25">
      <c r="E89" s="2" t="s">
        <v>15</v>
      </c>
      <c r="F89" s="7">
        <v>28</v>
      </c>
      <c r="G89" s="54">
        <v>34.400654639999999</v>
      </c>
      <c r="H89" s="5">
        <v>420</v>
      </c>
      <c r="I89" s="5">
        <v>118.8</v>
      </c>
      <c r="J89" s="5">
        <v>36</v>
      </c>
      <c r="K89" s="8">
        <v>191.96</v>
      </c>
      <c r="L89" s="8">
        <v>8.4700000000000006</v>
      </c>
      <c r="M89" s="9">
        <f>(F89-((G89+H89+I89+J89)/(K89+L89)))</f>
        <v>24.960531583894628</v>
      </c>
      <c r="N89" s="9">
        <v>25</v>
      </c>
      <c r="O89" s="114">
        <v>60</v>
      </c>
      <c r="P89" s="5"/>
      <c r="Q89" s="5"/>
      <c r="R89" s="4"/>
      <c r="S89" s="4"/>
      <c r="T89" s="4"/>
      <c r="U89" s="4"/>
      <c r="V89" s="4"/>
      <c r="W89" s="4"/>
      <c r="X89" s="4"/>
      <c r="Y89" s="4"/>
      <c r="Z89" s="4"/>
      <c r="AA89" s="4"/>
      <c r="AB89" s="4"/>
      <c r="AC89" s="4"/>
      <c r="AD89" s="4"/>
      <c r="AE89" s="4"/>
      <c r="AF89" s="4"/>
      <c r="AG89" s="4"/>
      <c r="AH89" s="4"/>
      <c r="AI89" s="6"/>
    </row>
    <row r="90" spans="5:44" x14ac:dyDescent="0.25">
      <c r="E90" s="2" t="s">
        <v>16</v>
      </c>
      <c r="F90" s="7">
        <v>28</v>
      </c>
      <c r="G90" s="54">
        <v>37.843264800000007</v>
      </c>
      <c r="H90" s="5">
        <v>420</v>
      </c>
      <c r="I90" s="5">
        <v>118.8</v>
      </c>
      <c r="J90" s="5">
        <v>36</v>
      </c>
      <c r="K90" s="8">
        <v>191.96</v>
      </c>
      <c r="L90" s="8">
        <v>8.4700000000000006</v>
      </c>
      <c r="M90" s="9">
        <f t="shared" ref="M90:M100" si="6">(F90-((G90+H90+I90+J90)/(K90+L90)))</f>
        <v>24.943355461757221</v>
      </c>
      <c r="N90" s="9">
        <v>25</v>
      </c>
      <c r="O90" s="114">
        <v>89.2</v>
      </c>
      <c r="P90" s="5"/>
      <c r="Q90" s="5"/>
      <c r="R90" s="4"/>
      <c r="S90" s="4"/>
      <c r="T90" s="4"/>
      <c r="U90" s="4"/>
      <c r="V90" s="4"/>
      <c r="W90" s="4"/>
      <c r="X90" s="4"/>
      <c r="Y90" s="4"/>
      <c r="Z90" s="4"/>
      <c r="AA90" s="4"/>
      <c r="AB90" s="4"/>
      <c r="AC90" s="4"/>
      <c r="AD90" s="4"/>
      <c r="AE90" s="4"/>
      <c r="AF90" s="4"/>
      <c r="AG90" s="4"/>
      <c r="AH90" s="4"/>
      <c r="AI90" s="6"/>
    </row>
    <row r="91" spans="5:44" x14ac:dyDescent="0.25">
      <c r="E91" s="2" t="s">
        <v>17</v>
      </c>
      <c r="F91" s="7">
        <v>28</v>
      </c>
      <c r="G91" s="54">
        <v>40.137126480000006</v>
      </c>
      <c r="H91" s="5">
        <v>420</v>
      </c>
      <c r="I91" s="5">
        <v>118.8</v>
      </c>
      <c r="J91" s="5">
        <v>36</v>
      </c>
      <c r="K91" s="8">
        <v>191.96</v>
      </c>
      <c r="L91" s="8">
        <v>8.4700000000000006</v>
      </c>
      <c r="M91" s="9">
        <f t="shared" si="6"/>
        <v>24.931910759467147</v>
      </c>
      <c r="N91" s="9">
        <v>25</v>
      </c>
      <c r="O91" s="114">
        <v>143.9</v>
      </c>
      <c r="P91" s="5"/>
      <c r="Q91" s="5"/>
      <c r="R91" s="4"/>
      <c r="S91" s="4"/>
      <c r="T91" s="4"/>
      <c r="U91" s="4"/>
      <c r="V91" s="4"/>
      <c r="W91" s="4"/>
      <c r="X91" s="4"/>
      <c r="Y91" s="4"/>
      <c r="Z91" s="4"/>
      <c r="AA91" s="4"/>
      <c r="AB91" s="4"/>
      <c r="AC91" s="4"/>
      <c r="AD91" s="4"/>
      <c r="AE91" s="4"/>
      <c r="AF91" s="4"/>
      <c r="AG91" s="4"/>
      <c r="AH91" s="4"/>
      <c r="AI91" s="6"/>
    </row>
    <row r="92" spans="5:44" x14ac:dyDescent="0.25">
      <c r="E92" s="2" t="s">
        <v>18</v>
      </c>
      <c r="F92" s="7">
        <v>28</v>
      </c>
      <c r="G92" s="54">
        <v>44.721214560000007</v>
      </c>
      <c r="H92" s="5">
        <v>420</v>
      </c>
      <c r="I92" s="5">
        <v>118.8</v>
      </c>
      <c r="J92" s="5">
        <v>36</v>
      </c>
      <c r="K92" s="8">
        <v>191.96</v>
      </c>
      <c r="L92" s="8">
        <v>8.4700000000000006</v>
      </c>
      <c r="M92" s="9">
        <f t="shared" si="6"/>
        <v>24.909039492291573</v>
      </c>
      <c r="N92" s="9">
        <v>25</v>
      </c>
      <c r="O92" s="114">
        <v>137.6</v>
      </c>
      <c r="P92" s="5"/>
      <c r="Q92" s="5"/>
      <c r="R92" s="4"/>
      <c r="S92" s="4"/>
      <c r="T92" s="4"/>
      <c r="U92" s="4"/>
      <c r="V92" s="4"/>
      <c r="W92" s="4"/>
      <c r="X92" s="4"/>
      <c r="Y92" s="4"/>
      <c r="Z92" s="4"/>
      <c r="AA92" s="4"/>
      <c r="AB92" s="4"/>
      <c r="AC92" s="4"/>
      <c r="AD92" s="4"/>
      <c r="AE92" s="4"/>
      <c r="AF92" s="4"/>
      <c r="AG92" s="4"/>
      <c r="AH92" s="4"/>
      <c r="AI92" s="6"/>
    </row>
    <row r="93" spans="5:44" x14ac:dyDescent="0.25">
      <c r="E93" s="2" t="s">
        <v>12</v>
      </c>
      <c r="F93" s="7">
        <v>28</v>
      </c>
      <c r="G93" s="54">
        <v>59.629497840000013</v>
      </c>
      <c r="H93" s="5">
        <v>420</v>
      </c>
      <c r="I93" s="5">
        <v>118.8</v>
      </c>
      <c r="J93" s="5">
        <v>36</v>
      </c>
      <c r="K93" s="8">
        <v>191.96</v>
      </c>
      <c r="L93" s="8">
        <v>8.4700000000000006</v>
      </c>
      <c r="M93" s="9">
        <f t="shared" si="6"/>
        <v>24.834657996108369</v>
      </c>
      <c r="N93" s="9">
        <v>25</v>
      </c>
      <c r="O93" s="114">
        <v>174.1</v>
      </c>
      <c r="P93" s="5"/>
      <c r="Q93" s="5"/>
      <c r="R93" s="4"/>
      <c r="S93" s="4"/>
      <c r="T93" s="4"/>
      <c r="U93" s="4"/>
      <c r="V93" s="4"/>
      <c r="W93" s="4"/>
      <c r="X93" s="4"/>
      <c r="Y93" s="4"/>
      <c r="Z93" s="4"/>
      <c r="AA93" s="4"/>
      <c r="AB93" s="4"/>
      <c r="AC93" s="4"/>
      <c r="AD93" s="4"/>
      <c r="AE93" s="4"/>
      <c r="AF93" s="4"/>
      <c r="AG93" s="4"/>
      <c r="AH93" s="4"/>
      <c r="AI93" s="6"/>
    </row>
    <row r="94" spans="5:44" x14ac:dyDescent="0.25">
      <c r="E94" s="2" t="s">
        <v>13</v>
      </c>
      <c r="F94" s="7">
        <v>28</v>
      </c>
      <c r="G94" s="54">
        <v>75.686529600000014</v>
      </c>
      <c r="H94" s="5">
        <v>420</v>
      </c>
      <c r="I94" s="5">
        <v>118.8</v>
      </c>
      <c r="J94" s="5">
        <v>36</v>
      </c>
      <c r="K94" s="8">
        <v>191.96</v>
      </c>
      <c r="L94" s="8">
        <v>8.4700000000000006</v>
      </c>
      <c r="M94" s="9">
        <f t="shared" si="6"/>
        <v>24.754545080077833</v>
      </c>
      <c r="N94" s="9">
        <v>25</v>
      </c>
      <c r="O94" s="114">
        <v>79</v>
      </c>
      <c r="P94" s="5"/>
      <c r="Q94" s="5"/>
      <c r="R94" s="4"/>
      <c r="S94" s="4"/>
      <c r="T94" s="4"/>
      <c r="U94" s="4"/>
      <c r="V94" s="4"/>
      <c r="W94" s="4"/>
      <c r="X94" s="4"/>
      <c r="Y94" s="4"/>
      <c r="Z94" s="4"/>
      <c r="AA94" s="4"/>
      <c r="AB94" s="4"/>
      <c r="AC94" s="4"/>
      <c r="AD94" s="4"/>
      <c r="AE94" s="4"/>
      <c r="AF94" s="4"/>
      <c r="AG94" s="4"/>
      <c r="AH94" s="4"/>
      <c r="AI94" s="6"/>
    </row>
    <row r="95" spans="5:44" x14ac:dyDescent="0.25">
      <c r="E95" s="2" t="s">
        <v>24</v>
      </c>
      <c r="F95" s="7">
        <v>28</v>
      </c>
      <c r="G95" s="54">
        <v>63.072108000000007</v>
      </c>
      <c r="H95" s="5">
        <v>420</v>
      </c>
      <c r="I95" s="5">
        <v>118.8</v>
      </c>
      <c r="J95" s="5">
        <v>36</v>
      </c>
      <c r="K95" s="8">
        <v>191.96</v>
      </c>
      <c r="L95" s="8">
        <v>8.4700000000000006</v>
      </c>
      <c r="M95" s="9">
        <f t="shared" si="6"/>
        <v>24.817481873970962</v>
      </c>
      <c r="N95" s="9">
        <v>25</v>
      </c>
      <c r="O95" s="114">
        <v>68.599999999999994</v>
      </c>
      <c r="P95" s="18"/>
      <c r="Q95" s="18"/>
      <c r="R95" s="4"/>
      <c r="S95" s="4"/>
      <c r="T95" s="4"/>
      <c r="U95" s="4"/>
      <c r="V95" s="4"/>
      <c r="W95" s="4"/>
      <c r="X95" s="4"/>
      <c r="Y95" s="4"/>
      <c r="Z95" s="4"/>
      <c r="AA95" s="4"/>
      <c r="AB95" s="4"/>
      <c r="AC95" s="4"/>
      <c r="AD95" s="4"/>
      <c r="AE95" s="4"/>
      <c r="AF95" s="4"/>
      <c r="AG95" s="4"/>
      <c r="AH95" s="4"/>
      <c r="AI95" s="6"/>
    </row>
    <row r="96" spans="5:44" x14ac:dyDescent="0.25">
      <c r="E96" s="2" t="s">
        <v>19</v>
      </c>
      <c r="F96" s="7">
        <v>28</v>
      </c>
      <c r="G96" s="54">
        <v>47.015076240000013</v>
      </c>
      <c r="H96" s="5">
        <v>420</v>
      </c>
      <c r="I96" s="5">
        <v>118.8</v>
      </c>
      <c r="J96" s="5">
        <v>36</v>
      </c>
      <c r="K96" s="8">
        <v>191.96</v>
      </c>
      <c r="L96" s="8">
        <v>8.4700000000000006</v>
      </c>
      <c r="M96" s="9">
        <f t="shared" si="6"/>
        <v>24.897594790001499</v>
      </c>
      <c r="N96" s="9">
        <v>25</v>
      </c>
      <c r="O96" s="114">
        <v>72.599999999999994</v>
      </c>
      <c r="P96" s="18"/>
      <c r="Q96" s="18"/>
      <c r="R96" s="4"/>
      <c r="S96" s="4"/>
      <c r="T96" s="4"/>
      <c r="U96" s="4"/>
      <c r="V96" s="4"/>
      <c r="W96" s="4"/>
      <c r="X96" s="4"/>
      <c r="Y96" s="4"/>
      <c r="Z96" s="4"/>
      <c r="AA96" s="4"/>
      <c r="AB96" s="4"/>
      <c r="AC96" s="4"/>
      <c r="AD96" s="4"/>
      <c r="AE96" s="4"/>
      <c r="AF96" s="4"/>
      <c r="AG96" s="4"/>
      <c r="AH96" s="4"/>
      <c r="AI96" s="6"/>
    </row>
    <row r="97" spans="2:41" x14ac:dyDescent="0.25">
      <c r="E97" s="2" t="s">
        <v>20</v>
      </c>
      <c r="F97" s="7">
        <v>28</v>
      </c>
      <c r="G97" s="54">
        <v>41.282239680000004</v>
      </c>
      <c r="H97" s="5">
        <v>420</v>
      </c>
      <c r="I97" s="5">
        <v>118.8</v>
      </c>
      <c r="J97" s="5">
        <v>36</v>
      </c>
      <c r="K97" s="8">
        <v>191.96</v>
      </c>
      <c r="L97" s="8">
        <v>8.4700000000000006</v>
      </c>
      <c r="M97" s="9">
        <f t="shared" si="6"/>
        <v>24.926197477024399</v>
      </c>
      <c r="N97" s="9">
        <v>25</v>
      </c>
      <c r="O97" s="114">
        <v>76.8</v>
      </c>
      <c r="P97" s="18"/>
      <c r="Q97" s="18"/>
      <c r="R97" s="4"/>
      <c r="S97" s="4"/>
      <c r="T97" s="4"/>
      <c r="U97" s="4"/>
      <c r="V97" s="4"/>
      <c r="W97" s="4"/>
      <c r="X97" s="4"/>
      <c r="Y97" s="4"/>
      <c r="Z97" s="4"/>
      <c r="AA97" s="4"/>
      <c r="AB97" s="4"/>
      <c r="AC97" s="4"/>
      <c r="AD97" s="4"/>
      <c r="AE97" s="4"/>
      <c r="AF97" s="4"/>
      <c r="AG97" s="4"/>
      <c r="AH97" s="4"/>
      <c r="AI97" s="6"/>
    </row>
    <row r="98" spans="2:41" x14ac:dyDescent="0.25">
      <c r="E98" s="2" t="s">
        <v>21</v>
      </c>
      <c r="F98" s="7">
        <v>28</v>
      </c>
      <c r="G98" s="54">
        <v>37.843264800000007</v>
      </c>
      <c r="H98" s="5">
        <v>420</v>
      </c>
      <c r="I98" s="5">
        <v>118.8</v>
      </c>
      <c r="J98" s="5">
        <v>36</v>
      </c>
      <c r="K98" s="8">
        <v>191.96</v>
      </c>
      <c r="L98" s="8">
        <v>8.4700000000000006</v>
      </c>
      <c r="M98" s="9">
        <f t="shared" si="6"/>
        <v>24.943355461757221</v>
      </c>
      <c r="N98" s="9">
        <v>25</v>
      </c>
      <c r="O98" s="114">
        <v>105.7</v>
      </c>
      <c r="P98" s="18"/>
      <c r="Q98" s="18"/>
      <c r="R98" s="4"/>
      <c r="S98" s="4"/>
      <c r="T98" s="4"/>
      <c r="U98" s="4"/>
      <c r="V98" s="4"/>
      <c r="W98" s="4"/>
      <c r="X98" s="4"/>
      <c r="Y98" s="4"/>
      <c r="Z98" s="4"/>
      <c r="AA98" s="4"/>
      <c r="AB98" s="4"/>
      <c r="AC98" s="4"/>
      <c r="AD98" s="4"/>
      <c r="AE98" s="4"/>
      <c r="AF98" s="4"/>
      <c r="AG98" s="4"/>
      <c r="AH98" s="4"/>
      <c r="AI98" s="6"/>
    </row>
    <row r="99" spans="2:41" x14ac:dyDescent="0.25">
      <c r="E99" s="2" t="s">
        <v>22</v>
      </c>
      <c r="F99" s="7">
        <v>28</v>
      </c>
      <c r="G99" s="54">
        <v>34.400654639999999</v>
      </c>
      <c r="H99" s="5">
        <v>420</v>
      </c>
      <c r="I99" s="5">
        <v>118.8</v>
      </c>
      <c r="J99" s="5">
        <v>36</v>
      </c>
      <c r="K99" s="8">
        <v>191.96</v>
      </c>
      <c r="L99" s="8">
        <v>8.4700000000000006</v>
      </c>
      <c r="M99" s="9">
        <f t="shared" si="6"/>
        <v>24.960531583894628</v>
      </c>
      <c r="N99" s="9">
        <v>25</v>
      </c>
      <c r="O99" s="114">
        <v>90.1</v>
      </c>
      <c r="P99" s="18"/>
      <c r="Q99" s="18"/>
      <c r="R99" s="30"/>
      <c r="S99" s="30"/>
      <c r="T99" s="30"/>
      <c r="U99" s="4"/>
      <c r="V99" s="30"/>
      <c r="W99" s="30"/>
      <c r="X99" s="30"/>
      <c r="Y99" s="4"/>
      <c r="Z99" s="30"/>
      <c r="AA99" s="30"/>
      <c r="AB99" s="30"/>
      <c r="AC99" s="4"/>
      <c r="AD99" s="30"/>
      <c r="AE99" s="30"/>
      <c r="AF99" s="30"/>
      <c r="AG99" s="30"/>
      <c r="AH99" s="30"/>
      <c r="AI99" s="31"/>
    </row>
    <row r="100" spans="2:41" x14ac:dyDescent="0.25">
      <c r="E100" s="2" t="s">
        <v>23</v>
      </c>
      <c r="F100" s="7">
        <v>28</v>
      </c>
      <c r="G100" s="54">
        <v>33.255541440000002</v>
      </c>
      <c r="H100" s="5">
        <v>420</v>
      </c>
      <c r="I100" s="5">
        <v>118.8</v>
      </c>
      <c r="J100" s="5">
        <v>36</v>
      </c>
      <c r="K100" s="8">
        <v>191.96</v>
      </c>
      <c r="L100" s="8">
        <v>8.4700000000000006</v>
      </c>
      <c r="M100" s="9">
        <f t="shared" si="6"/>
        <v>24.966244866337377</v>
      </c>
      <c r="N100" s="9">
        <v>25</v>
      </c>
      <c r="O100" s="114">
        <v>80.8</v>
      </c>
      <c r="P100" s="18"/>
      <c r="Q100" s="18"/>
      <c r="R100" s="30"/>
      <c r="S100" s="30"/>
      <c r="T100" s="30"/>
      <c r="U100" s="4"/>
      <c r="V100" s="30"/>
      <c r="W100" s="30"/>
      <c r="X100" s="30"/>
      <c r="Y100" s="4"/>
      <c r="Z100" s="30"/>
      <c r="AA100" s="30"/>
      <c r="AB100" s="30"/>
      <c r="AC100" s="4"/>
      <c r="AD100" s="30"/>
      <c r="AE100" s="30"/>
      <c r="AF100" s="30"/>
      <c r="AG100" s="30"/>
      <c r="AH100" s="30"/>
      <c r="AI100" s="31"/>
    </row>
    <row r="101" spans="2:41" ht="13.5" thickBot="1" x14ac:dyDescent="0.35">
      <c r="E101" s="430" t="s">
        <v>3</v>
      </c>
      <c r="F101" s="431"/>
      <c r="G101" s="431"/>
      <c r="H101" s="431"/>
      <c r="I101" s="431"/>
      <c r="J101" s="431"/>
      <c r="K101" s="431"/>
      <c r="L101" s="431"/>
      <c r="M101" s="431"/>
      <c r="N101" s="432"/>
      <c r="O101" s="11">
        <f>SUM(O89:O100)</f>
        <v>1178.4000000000001</v>
      </c>
      <c r="P101" s="28">
        <f>16/24</f>
        <v>0.66666666666666663</v>
      </c>
      <c r="Q101" s="28">
        <f>24/1000</f>
        <v>2.4E-2</v>
      </c>
      <c r="R101" s="21">
        <v>3.59</v>
      </c>
      <c r="S101" s="21">
        <v>12.96</v>
      </c>
      <c r="T101" s="22">
        <f>O101</f>
        <v>1178.4000000000001</v>
      </c>
      <c r="U101" s="15">
        <f>P101*Q101*R101*S101*T101</f>
        <v>877.22735616000011</v>
      </c>
      <c r="V101" s="22">
        <v>3.94</v>
      </c>
      <c r="W101" s="22">
        <v>12.96</v>
      </c>
      <c r="X101" s="22">
        <f>O101</f>
        <v>1178.4000000000001</v>
      </c>
      <c r="Y101" s="16">
        <f>(P101*Q101*V101*W101*X101)</f>
        <v>962.75091456000007</v>
      </c>
      <c r="Z101" s="21">
        <v>2.13</v>
      </c>
      <c r="AA101" s="21">
        <v>41.904000000000003</v>
      </c>
      <c r="AB101" s="21">
        <f>O101</f>
        <v>1178.4000000000001</v>
      </c>
      <c r="AC101" s="17">
        <f>(P101*Q101*Z101*AA101*AB101)</f>
        <v>1682.8592762880003</v>
      </c>
      <c r="AD101" s="97">
        <f>L359</f>
        <v>3032.6018707430394</v>
      </c>
      <c r="AE101" s="23">
        <f>U101+Y101+AC101+AD101</f>
        <v>6555.4394177510403</v>
      </c>
      <c r="AF101" s="24">
        <f>AE101*0.1</f>
        <v>655.54394177510403</v>
      </c>
      <c r="AG101" s="25">
        <f>AE101+AF101</f>
        <v>7210.9833595261443</v>
      </c>
      <c r="AH101" s="21">
        <v>3.1</v>
      </c>
      <c r="AI101" s="26">
        <f>ROUND((AG101/AH101),0)</f>
        <v>2326</v>
      </c>
      <c r="AJ101" s="39">
        <v>28</v>
      </c>
      <c r="AK101" s="122"/>
      <c r="AL101" s="122"/>
    </row>
    <row r="102" spans="2:41" x14ac:dyDescent="0.3">
      <c r="AI102" s="150">
        <f>(AI73*AR77+AI87*AR78+AI101*AR79)</f>
        <v>2841.2000000000003</v>
      </c>
      <c r="AL102" s="173">
        <f>AI46-AI102</f>
        <v>1359.7999999999997</v>
      </c>
    </row>
    <row r="103" spans="2:41" x14ac:dyDescent="0.3">
      <c r="AO103" s="123"/>
    </row>
    <row r="104" spans="2:41" ht="13.5" thickBot="1" x14ac:dyDescent="0.3"/>
    <row r="105" spans="2:41" ht="15" x14ac:dyDescent="0.4">
      <c r="B105" s="409" t="s">
        <v>83</v>
      </c>
      <c r="C105" s="410"/>
      <c r="E105" s="308" t="s">
        <v>59</v>
      </c>
      <c r="F105" s="309"/>
      <c r="G105" s="309"/>
      <c r="H105" s="309"/>
      <c r="I105" s="309"/>
      <c r="J105" s="309"/>
      <c r="K105" s="309"/>
      <c r="L105" s="309"/>
      <c r="M105" s="309"/>
      <c r="N105" s="309"/>
      <c r="O105" s="309"/>
      <c r="P105" s="309"/>
      <c r="Q105" s="309"/>
      <c r="R105" s="309"/>
      <c r="S105" s="104"/>
    </row>
    <row r="106" spans="2:41" ht="15" x14ac:dyDescent="0.4">
      <c r="B106" s="411"/>
      <c r="C106" s="412"/>
      <c r="E106" s="413" t="s">
        <v>132</v>
      </c>
      <c r="F106" s="414"/>
      <c r="G106" s="414"/>
      <c r="H106" s="414"/>
      <c r="I106" s="414"/>
      <c r="J106" s="414"/>
      <c r="K106" s="414"/>
      <c r="L106" s="414"/>
      <c r="M106" s="414"/>
      <c r="N106" s="414"/>
      <c r="O106" s="414"/>
      <c r="P106" s="414"/>
      <c r="Q106" s="414"/>
      <c r="R106" s="414"/>
      <c r="S106" s="104"/>
    </row>
    <row r="107" spans="2:41" ht="21.65" customHeight="1" x14ac:dyDescent="0.25">
      <c r="B107" s="76" t="s">
        <v>57</v>
      </c>
      <c r="C107" s="77" t="s">
        <v>34</v>
      </c>
      <c r="E107" s="43" t="s">
        <v>0</v>
      </c>
      <c r="F107" s="42" t="s">
        <v>37</v>
      </c>
      <c r="G107" s="42" t="s">
        <v>36</v>
      </c>
      <c r="H107" s="42" t="s">
        <v>35</v>
      </c>
      <c r="I107" s="42" t="s">
        <v>47</v>
      </c>
      <c r="J107" s="47" t="s">
        <v>56</v>
      </c>
      <c r="K107" s="47" t="s">
        <v>50</v>
      </c>
      <c r="L107" s="47" t="s">
        <v>51</v>
      </c>
      <c r="M107" s="47" t="s">
        <v>48</v>
      </c>
      <c r="N107" s="47" t="s">
        <v>52</v>
      </c>
      <c r="O107" s="37" t="s">
        <v>53</v>
      </c>
      <c r="P107" s="37" t="s">
        <v>54</v>
      </c>
      <c r="Q107" s="37" t="s">
        <v>49</v>
      </c>
      <c r="R107" s="48" t="s">
        <v>55</v>
      </c>
    </row>
    <row r="108" spans="2:41" ht="15.65" customHeight="1" x14ac:dyDescent="0.25">
      <c r="B108" s="76" t="s">
        <v>65</v>
      </c>
      <c r="C108" s="77">
        <v>1</v>
      </c>
      <c r="E108" s="2" t="s">
        <v>15</v>
      </c>
      <c r="F108" s="71">
        <v>33.200000000000003</v>
      </c>
      <c r="G108" s="71">
        <v>12.6</v>
      </c>
      <c r="H108" s="71">
        <f>G108/2</f>
        <v>6.3</v>
      </c>
      <c r="I108" s="71">
        <f>F108-H108</f>
        <v>26.900000000000002</v>
      </c>
      <c r="J108" s="59">
        <f t="shared" ref="J108:J119" si="7">C$124</f>
        <v>1.75</v>
      </c>
      <c r="K108" s="45">
        <v>22</v>
      </c>
      <c r="L108" s="45">
        <f>25.5-K108</f>
        <v>3.5</v>
      </c>
      <c r="M108" s="45">
        <f>I108-29.4</f>
        <v>-2.4999999999999964</v>
      </c>
      <c r="N108" s="8">
        <f t="shared" ref="N108:N119" si="8">J108+L108+M108</f>
        <v>2.7500000000000036</v>
      </c>
      <c r="O108" s="8">
        <v>3.75</v>
      </c>
      <c r="P108" s="8">
        <v>1.296</v>
      </c>
      <c r="Q108" s="8">
        <f>31*16</f>
        <v>496</v>
      </c>
      <c r="R108" s="40">
        <f>(N108*O108*P108*Q108)/1000</f>
        <v>6.6290400000000087</v>
      </c>
    </row>
    <row r="109" spans="2:41" ht="15" customHeight="1" x14ac:dyDescent="0.25">
      <c r="B109" s="76" t="s">
        <v>66</v>
      </c>
      <c r="C109" s="77">
        <v>1</v>
      </c>
      <c r="E109" s="2" t="s">
        <v>16</v>
      </c>
      <c r="F109" s="71">
        <v>35.9</v>
      </c>
      <c r="G109" s="71">
        <v>13.7</v>
      </c>
      <c r="H109" s="71">
        <f t="shared" ref="H109:H119" si="9">G109/2</f>
        <v>6.85</v>
      </c>
      <c r="I109" s="71">
        <f t="shared" ref="I109:I119" si="10">F109-H109</f>
        <v>29.049999999999997</v>
      </c>
      <c r="J109" s="45">
        <f t="shared" si="7"/>
        <v>1.75</v>
      </c>
      <c r="K109" s="45">
        <v>22</v>
      </c>
      <c r="L109" s="45">
        <f t="shared" ref="L109:L119" si="11">25.5-K109</f>
        <v>3.5</v>
      </c>
      <c r="M109" s="45">
        <f t="shared" ref="M109:M119" si="12">I109-29.4</f>
        <v>-0.35000000000000142</v>
      </c>
      <c r="N109" s="8">
        <f t="shared" si="8"/>
        <v>4.8999999999999986</v>
      </c>
      <c r="O109" s="8">
        <v>3.75</v>
      </c>
      <c r="P109" s="8">
        <v>1.296</v>
      </c>
      <c r="Q109" s="8">
        <f>28*16</f>
        <v>448</v>
      </c>
      <c r="R109" s="40">
        <f t="shared" ref="R109:R119" si="13">(N109*O109*P109*Q109)/1000</f>
        <v>10.668671999999997</v>
      </c>
    </row>
    <row r="110" spans="2:41" ht="16" customHeight="1" x14ac:dyDescent="0.25">
      <c r="B110" s="76" t="s">
        <v>67</v>
      </c>
      <c r="C110" s="77">
        <v>0</v>
      </c>
      <c r="E110" s="2" t="s">
        <v>17</v>
      </c>
      <c r="F110" s="71">
        <v>37.1</v>
      </c>
      <c r="G110" s="71">
        <v>13</v>
      </c>
      <c r="H110" s="71">
        <f t="shared" si="9"/>
        <v>6.5</v>
      </c>
      <c r="I110" s="71">
        <f t="shared" si="10"/>
        <v>30.6</v>
      </c>
      <c r="J110" s="45">
        <f t="shared" si="7"/>
        <v>1.75</v>
      </c>
      <c r="K110" s="45">
        <v>22</v>
      </c>
      <c r="L110" s="45">
        <f t="shared" si="11"/>
        <v>3.5</v>
      </c>
      <c r="M110" s="45">
        <f t="shared" si="12"/>
        <v>1.2000000000000028</v>
      </c>
      <c r="N110" s="8">
        <f t="shared" si="8"/>
        <v>6.4500000000000028</v>
      </c>
      <c r="O110" s="8">
        <v>3.75</v>
      </c>
      <c r="P110" s="8">
        <v>1.296</v>
      </c>
      <c r="Q110" s="8">
        <f>31*16</f>
        <v>496</v>
      </c>
      <c r="R110" s="40">
        <f t="shared" si="13"/>
        <v>15.548112000000009</v>
      </c>
    </row>
    <row r="111" spans="2:41" ht="16" customHeight="1" x14ac:dyDescent="0.25">
      <c r="B111" s="76" t="s">
        <v>68</v>
      </c>
      <c r="C111" s="77">
        <v>-1</v>
      </c>
      <c r="E111" s="2" t="s">
        <v>18</v>
      </c>
      <c r="F111" s="71">
        <v>38.9</v>
      </c>
      <c r="G111" s="71">
        <v>11.7</v>
      </c>
      <c r="H111" s="71">
        <f t="shared" si="9"/>
        <v>5.85</v>
      </c>
      <c r="I111" s="71">
        <f t="shared" si="10"/>
        <v>33.049999999999997</v>
      </c>
      <c r="J111" s="45">
        <f t="shared" si="7"/>
        <v>1.75</v>
      </c>
      <c r="K111" s="45">
        <v>22</v>
      </c>
      <c r="L111" s="45">
        <f t="shared" si="11"/>
        <v>3.5</v>
      </c>
      <c r="M111" s="45">
        <f t="shared" si="12"/>
        <v>3.6499999999999986</v>
      </c>
      <c r="N111" s="8">
        <f t="shared" si="8"/>
        <v>8.8999999999999986</v>
      </c>
      <c r="O111" s="8">
        <v>3.75</v>
      </c>
      <c r="P111" s="8">
        <v>1.296</v>
      </c>
      <c r="Q111" s="8">
        <f>30*16</f>
        <v>480</v>
      </c>
      <c r="R111" s="40">
        <f t="shared" si="13"/>
        <v>20.761919999999996</v>
      </c>
    </row>
    <row r="112" spans="2:41" ht="16" customHeight="1" x14ac:dyDescent="0.25">
      <c r="B112" s="76" t="s">
        <v>69</v>
      </c>
      <c r="C112" s="77">
        <v>-1</v>
      </c>
      <c r="E112" s="2" t="s">
        <v>12</v>
      </c>
      <c r="F112" s="71">
        <v>37.799999999999997</v>
      </c>
      <c r="G112" s="71">
        <v>8.1</v>
      </c>
      <c r="H112" s="71">
        <f t="shared" si="9"/>
        <v>4.05</v>
      </c>
      <c r="I112" s="71">
        <f t="shared" si="10"/>
        <v>33.75</v>
      </c>
      <c r="J112" s="45">
        <f t="shared" si="7"/>
        <v>1.75</v>
      </c>
      <c r="K112" s="45">
        <v>22</v>
      </c>
      <c r="L112" s="45">
        <f t="shared" si="11"/>
        <v>3.5</v>
      </c>
      <c r="M112" s="45">
        <f t="shared" si="12"/>
        <v>4.3500000000000014</v>
      </c>
      <c r="N112" s="8">
        <f t="shared" si="8"/>
        <v>9.6000000000000014</v>
      </c>
      <c r="O112" s="8">
        <v>3.75</v>
      </c>
      <c r="P112" s="8">
        <v>1.296</v>
      </c>
      <c r="Q112" s="8">
        <f>31*16</f>
        <v>496</v>
      </c>
      <c r="R112" s="40">
        <f t="shared" si="13"/>
        <v>23.141376000000008</v>
      </c>
    </row>
    <row r="113" spans="2:19" ht="15" customHeight="1" x14ac:dyDescent="0.25">
      <c r="B113" s="76" t="s">
        <v>70</v>
      </c>
      <c r="C113" s="77">
        <v>-1</v>
      </c>
      <c r="E113" s="2" t="s">
        <v>13</v>
      </c>
      <c r="F113" s="71">
        <v>32.200000000000003</v>
      </c>
      <c r="G113" s="71">
        <v>5.6</v>
      </c>
      <c r="H113" s="71">
        <f t="shared" si="9"/>
        <v>2.8</v>
      </c>
      <c r="I113" s="71">
        <f t="shared" si="10"/>
        <v>29.400000000000002</v>
      </c>
      <c r="J113" s="45">
        <f t="shared" si="7"/>
        <v>1.75</v>
      </c>
      <c r="K113" s="45">
        <v>22</v>
      </c>
      <c r="L113" s="45">
        <f t="shared" si="11"/>
        <v>3.5</v>
      </c>
      <c r="M113" s="45">
        <f t="shared" si="12"/>
        <v>0</v>
      </c>
      <c r="N113" s="8">
        <f t="shared" si="8"/>
        <v>5.25</v>
      </c>
      <c r="O113" s="8">
        <v>3.75</v>
      </c>
      <c r="P113" s="8">
        <v>1.296</v>
      </c>
      <c r="Q113" s="8">
        <f>30*16</f>
        <v>480</v>
      </c>
      <c r="R113" s="40">
        <f t="shared" si="13"/>
        <v>12.247200000000001</v>
      </c>
    </row>
    <row r="114" spans="2:19" ht="15.65" customHeight="1" x14ac:dyDescent="0.25">
      <c r="B114" s="78" t="s">
        <v>38</v>
      </c>
      <c r="C114" s="79">
        <v>-1</v>
      </c>
      <c r="E114" s="2" t="s">
        <v>24</v>
      </c>
      <c r="F114" s="41">
        <v>31.9</v>
      </c>
      <c r="G114" s="98">
        <v>5.2</v>
      </c>
      <c r="H114" s="71">
        <f t="shared" si="9"/>
        <v>2.6</v>
      </c>
      <c r="I114" s="71">
        <f t="shared" si="10"/>
        <v>29.299999999999997</v>
      </c>
      <c r="J114" s="45">
        <f t="shared" si="7"/>
        <v>1.75</v>
      </c>
      <c r="K114" s="45">
        <v>22</v>
      </c>
      <c r="L114" s="45">
        <f t="shared" si="11"/>
        <v>3.5</v>
      </c>
      <c r="M114" s="45">
        <f t="shared" si="12"/>
        <v>-0.10000000000000142</v>
      </c>
      <c r="N114" s="8">
        <f t="shared" si="8"/>
        <v>5.1499999999999986</v>
      </c>
      <c r="O114" s="8">
        <v>3.75</v>
      </c>
      <c r="P114" s="8">
        <v>1.296</v>
      </c>
      <c r="Q114" s="8">
        <f>31*16</f>
        <v>496</v>
      </c>
      <c r="R114" s="40">
        <f t="shared" si="13"/>
        <v>12.414383999999997</v>
      </c>
    </row>
    <row r="115" spans="2:19" ht="15.65" customHeight="1" x14ac:dyDescent="0.25">
      <c r="B115" s="78" t="s">
        <v>39</v>
      </c>
      <c r="C115" s="79">
        <v>-1</v>
      </c>
      <c r="E115" s="2" t="s">
        <v>19</v>
      </c>
      <c r="F115" s="41">
        <v>31.2</v>
      </c>
      <c r="G115" s="98">
        <v>4.9000000000000004</v>
      </c>
      <c r="H115" s="71">
        <f t="shared" si="9"/>
        <v>2.4500000000000002</v>
      </c>
      <c r="I115" s="71">
        <f t="shared" si="10"/>
        <v>28.75</v>
      </c>
      <c r="J115" s="45">
        <f t="shared" si="7"/>
        <v>1.75</v>
      </c>
      <c r="K115" s="45">
        <v>22</v>
      </c>
      <c r="L115" s="45">
        <f t="shared" si="11"/>
        <v>3.5</v>
      </c>
      <c r="M115" s="45">
        <f t="shared" si="12"/>
        <v>-0.64999999999999858</v>
      </c>
      <c r="N115" s="8">
        <f t="shared" si="8"/>
        <v>4.6000000000000014</v>
      </c>
      <c r="O115" s="8">
        <v>3.75</v>
      </c>
      <c r="P115" s="8">
        <v>1.296</v>
      </c>
      <c r="Q115" s="8">
        <f>31*16</f>
        <v>496</v>
      </c>
      <c r="R115" s="40">
        <f t="shared" si="13"/>
        <v>11.088576000000005</v>
      </c>
    </row>
    <row r="116" spans="2:19" ht="15" customHeight="1" x14ac:dyDescent="0.25">
      <c r="B116" s="78" t="s">
        <v>40</v>
      </c>
      <c r="C116" s="79">
        <v>0</v>
      </c>
      <c r="E116" s="2" t="s">
        <v>20</v>
      </c>
      <c r="F116" s="41">
        <v>32.200000000000003</v>
      </c>
      <c r="G116" s="98">
        <v>5.7</v>
      </c>
      <c r="H116" s="71">
        <f t="shared" si="9"/>
        <v>2.85</v>
      </c>
      <c r="I116" s="71">
        <f t="shared" si="10"/>
        <v>29.35</v>
      </c>
      <c r="J116" s="45">
        <f t="shared" si="7"/>
        <v>1.75</v>
      </c>
      <c r="K116" s="45">
        <v>22</v>
      </c>
      <c r="L116" s="45">
        <f t="shared" si="11"/>
        <v>3.5</v>
      </c>
      <c r="M116" s="45">
        <f t="shared" si="12"/>
        <v>-4.9999999999997158E-2</v>
      </c>
      <c r="N116" s="8">
        <f t="shared" si="8"/>
        <v>5.2000000000000028</v>
      </c>
      <c r="O116" s="8">
        <v>3.75</v>
      </c>
      <c r="P116" s="8">
        <v>1.296</v>
      </c>
      <c r="Q116" s="8">
        <f>30*16</f>
        <v>480</v>
      </c>
      <c r="R116" s="40">
        <f t="shared" si="13"/>
        <v>12.130560000000008</v>
      </c>
    </row>
    <row r="117" spans="2:19" ht="16.5" customHeight="1" x14ac:dyDescent="0.25">
      <c r="B117" s="78" t="s">
        <v>41</v>
      </c>
      <c r="C117" s="79">
        <v>7</v>
      </c>
      <c r="E117" s="2" t="s">
        <v>21</v>
      </c>
      <c r="F117" s="41">
        <v>33.4</v>
      </c>
      <c r="G117" s="98">
        <v>7.1</v>
      </c>
      <c r="H117" s="71">
        <f t="shared" si="9"/>
        <v>3.55</v>
      </c>
      <c r="I117" s="71">
        <f t="shared" si="10"/>
        <v>29.849999999999998</v>
      </c>
      <c r="J117" s="45">
        <f t="shared" si="7"/>
        <v>1.75</v>
      </c>
      <c r="K117" s="45">
        <v>22</v>
      </c>
      <c r="L117" s="45">
        <f t="shared" si="11"/>
        <v>3.5</v>
      </c>
      <c r="M117" s="45">
        <f t="shared" si="12"/>
        <v>0.44999999999999929</v>
      </c>
      <c r="N117" s="8">
        <f t="shared" si="8"/>
        <v>5.6999999999999993</v>
      </c>
      <c r="O117" s="8">
        <v>3.75</v>
      </c>
      <c r="P117" s="8">
        <v>1.296</v>
      </c>
      <c r="Q117" s="8">
        <f>31*16</f>
        <v>496</v>
      </c>
      <c r="R117" s="40">
        <f t="shared" si="13"/>
        <v>13.740191999999997</v>
      </c>
    </row>
    <row r="118" spans="2:19" ht="14.5" customHeight="1" x14ac:dyDescent="0.25">
      <c r="B118" s="78" t="s">
        <v>42</v>
      </c>
      <c r="C118" s="79">
        <v>7</v>
      </c>
      <c r="E118" s="2" t="s">
        <v>22</v>
      </c>
      <c r="F118" s="41">
        <v>33.9</v>
      </c>
      <c r="G118" s="98">
        <v>9</v>
      </c>
      <c r="H118" s="71">
        <f t="shared" si="9"/>
        <v>4.5</v>
      </c>
      <c r="I118" s="71">
        <f t="shared" si="10"/>
        <v>29.4</v>
      </c>
      <c r="J118" s="45">
        <f t="shared" si="7"/>
        <v>1.75</v>
      </c>
      <c r="K118" s="45">
        <v>22</v>
      </c>
      <c r="L118" s="45">
        <f t="shared" si="11"/>
        <v>3.5</v>
      </c>
      <c r="M118" s="45">
        <f t="shared" si="12"/>
        <v>0</v>
      </c>
      <c r="N118" s="8">
        <f t="shared" si="8"/>
        <v>5.25</v>
      </c>
      <c r="O118" s="8">
        <v>3.75</v>
      </c>
      <c r="P118" s="8">
        <v>1.296</v>
      </c>
      <c r="Q118" s="8">
        <f>30*16</f>
        <v>480</v>
      </c>
      <c r="R118" s="40">
        <f t="shared" si="13"/>
        <v>12.247200000000001</v>
      </c>
    </row>
    <row r="119" spans="2:19" ht="14.5" customHeight="1" x14ac:dyDescent="0.25">
      <c r="B119" s="78" t="s">
        <v>43</v>
      </c>
      <c r="C119" s="79">
        <v>6</v>
      </c>
      <c r="E119" s="2" t="s">
        <v>23</v>
      </c>
      <c r="F119" s="41">
        <v>33.200000000000003</v>
      </c>
      <c r="G119" s="98">
        <v>11.3</v>
      </c>
      <c r="H119" s="71">
        <f t="shared" si="9"/>
        <v>5.65</v>
      </c>
      <c r="I119" s="71">
        <f t="shared" si="10"/>
        <v>27.550000000000004</v>
      </c>
      <c r="J119" s="45">
        <f t="shared" si="7"/>
        <v>1.75</v>
      </c>
      <c r="K119" s="45">
        <v>22</v>
      </c>
      <c r="L119" s="45">
        <f t="shared" si="11"/>
        <v>3.5</v>
      </c>
      <c r="M119" s="45">
        <f t="shared" si="12"/>
        <v>-1.8499999999999943</v>
      </c>
      <c r="N119" s="8">
        <f t="shared" si="8"/>
        <v>3.4000000000000057</v>
      </c>
      <c r="O119" s="8">
        <v>3.75</v>
      </c>
      <c r="P119" s="8">
        <v>1.296</v>
      </c>
      <c r="Q119" s="8">
        <f>31*16</f>
        <v>496</v>
      </c>
      <c r="R119" s="40">
        <f t="shared" si="13"/>
        <v>8.1959040000000147</v>
      </c>
    </row>
    <row r="120" spans="2:19" ht="14.5" customHeight="1" x14ac:dyDescent="0.25">
      <c r="B120" s="78" t="s">
        <v>44</v>
      </c>
      <c r="C120" s="79">
        <v>4</v>
      </c>
      <c r="E120" s="417" t="s">
        <v>58</v>
      </c>
      <c r="F120" s="418"/>
      <c r="G120" s="418"/>
      <c r="H120" s="418"/>
      <c r="I120" s="418"/>
      <c r="J120" s="418"/>
      <c r="K120" s="418"/>
      <c r="L120" s="418"/>
      <c r="M120" s="418"/>
      <c r="N120" s="418"/>
      <c r="O120" s="418"/>
      <c r="P120" s="418"/>
      <c r="Q120" s="419"/>
      <c r="R120" s="69">
        <f>SUM(R108:R119)</f>
        <v>158.81313600000004</v>
      </c>
      <c r="S120" s="105"/>
    </row>
    <row r="121" spans="2:19" ht="14.5" customHeight="1" x14ac:dyDescent="0.25">
      <c r="B121" s="78" t="s">
        <v>45</v>
      </c>
      <c r="C121" s="79">
        <v>3</v>
      </c>
      <c r="E121" s="394" t="s">
        <v>131</v>
      </c>
      <c r="F121" s="395"/>
      <c r="G121" s="395"/>
      <c r="H121" s="395"/>
      <c r="I121" s="395"/>
      <c r="J121" s="395"/>
      <c r="K121" s="395"/>
      <c r="L121" s="395"/>
      <c r="M121" s="395"/>
      <c r="N121" s="395"/>
      <c r="O121" s="395"/>
      <c r="P121" s="395"/>
      <c r="Q121" s="395"/>
      <c r="R121" s="396"/>
      <c r="S121" s="106"/>
    </row>
    <row r="122" spans="2:19" ht="14" x14ac:dyDescent="0.25">
      <c r="B122" s="78" t="s">
        <v>46</v>
      </c>
      <c r="C122" s="79">
        <v>2</v>
      </c>
      <c r="E122" s="2" t="s">
        <v>15</v>
      </c>
      <c r="F122" s="71">
        <v>33.200000000000003</v>
      </c>
      <c r="G122" s="71">
        <v>12.6</v>
      </c>
      <c r="H122" s="71">
        <f>G122/2</f>
        <v>6.3</v>
      </c>
      <c r="I122" s="71">
        <f>F122-H122</f>
        <v>26.900000000000002</v>
      </c>
      <c r="J122" s="59">
        <f t="shared" ref="J122:J133" si="14">C$124</f>
        <v>1.75</v>
      </c>
      <c r="K122" s="45">
        <v>23</v>
      </c>
      <c r="L122" s="45">
        <f>25.5-K122</f>
        <v>2.5</v>
      </c>
      <c r="M122" s="45">
        <f>I122-29.4</f>
        <v>-2.4999999999999964</v>
      </c>
      <c r="N122" s="8">
        <f t="shared" ref="N122:N133" si="15">J122+L122+M122</f>
        <v>1.7500000000000036</v>
      </c>
      <c r="O122" s="8">
        <v>3.75</v>
      </c>
      <c r="P122" s="8">
        <v>1.296</v>
      </c>
      <c r="Q122" s="8">
        <f>31*16</f>
        <v>496</v>
      </c>
      <c r="R122" s="40">
        <f>(N122*O122*P122*Q122)/1000</f>
        <v>4.2184800000000084</v>
      </c>
    </row>
    <row r="123" spans="2:19" ht="14" x14ac:dyDescent="0.25">
      <c r="B123" s="78" t="s">
        <v>71</v>
      </c>
      <c r="C123" s="79">
        <v>2</v>
      </c>
      <c r="E123" s="2" t="s">
        <v>16</v>
      </c>
      <c r="F123" s="71">
        <v>35.9</v>
      </c>
      <c r="G123" s="71">
        <v>13.7</v>
      </c>
      <c r="H123" s="71">
        <f t="shared" ref="H123:H133" si="16">G123/2</f>
        <v>6.85</v>
      </c>
      <c r="I123" s="71">
        <f t="shared" ref="I123:I133" si="17">F123-H123</f>
        <v>29.049999999999997</v>
      </c>
      <c r="J123" s="45">
        <f t="shared" si="14"/>
        <v>1.75</v>
      </c>
      <c r="K123" s="45">
        <v>23</v>
      </c>
      <c r="L123" s="45">
        <f t="shared" ref="L123:L133" si="18">25.5-K123</f>
        <v>2.5</v>
      </c>
      <c r="M123" s="45">
        <f t="shared" ref="M123:M133" si="19">I123-29.4</f>
        <v>-0.35000000000000142</v>
      </c>
      <c r="N123" s="8">
        <f t="shared" si="15"/>
        <v>3.8999999999999986</v>
      </c>
      <c r="O123" s="8">
        <v>3.75</v>
      </c>
      <c r="P123" s="8">
        <v>1.296</v>
      </c>
      <c r="Q123" s="8">
        <f>28*16</f>
        <v>448</v>
      </c>
      <c r="R123" s="40">
        <f t="shared" ref="R123:R133" si="20">(N123*O123*P123*Q123)/1000</f>
        <v>8.4913919999999958</v>
      </c>
    </row>
    <row r="124" spans="2:19" ht="16" thickBot="1" x14ac:dyDescent="0.3">
      <c r="B124" s="80" t="s">
        <v>77</v>
      </c>
      <c r="C124" s="81">
        <f>AVERAGE(C108:C123)</f>
        <v>1.75</v>
      </c>
      <c r="E124" s="2" t="s">
        <v>17</v>
      </c>
      <c r="F124" s="71">
        <v>37.1</v>
      </c>
      <c r="G124" s="71">
        <v>13</v>
      </c>
      <c r="H124" s="71">
        <f t="shared" si="16"/>
        <v>6.5</v>
      </c>
      <c r="I124" s="71">
        <f t="shared" si="17"/>
        <v>30.6</v>
      </c>
      <c r="J124" s="45">
        <f t="shared" si="14"/>
        <v>1.75</v>
      </c>
      <c r="K124" s="45">
        <v>23</v>
      </c>
      <c r="L124" s="45">
        <f t="shared" si="18"/>
        <v>2.5</v>
      </c>
      <c r="M124" s="45">
        <f t="shared" si="19"/>
        <v>1.2000000000000028</v>
      </c>
      <c r="N124" s="8">
        <f t="shared" si="15"/>
        <v>5.4500000000000028</v>
      </c>
      <c r="O124" s="8">
        <v>3.75</v>
      </c>
      <c r="P124" s="8">
        <v>1.296</v>
      </c>
      <c r="Q124" s="8">
        <f>31*16</f>
        <v>496</v>
      </c>
      <c r="R124" s="40">
        <f t="shared" si="20"/>
        <v>13.137552000000008</v>
      </c>
    </row>
    <row r="125" spans="2:19" ht="14" x14ac:dyDescent="0.25">
      <c r="E125" s="2" t="s">
        <v>18</v>
      </c>
      <c r="F125" s="71">
        <v>38.9</v>
      </c>
      <c r="G125" s="71">
        <v>11.7</v>
      </c>
      <c r="H125" s="71">
        <f t="shared" si="16"/>
        <v>5.85</v>
      </c>
      <c r="I125" s="71">
        <f t="shared" si="17"/>
        <v>33.049999999999997</v>
      </c>
      <c r="J125" s="45">
        <f t="shared" si="14"/>
        <v>1.75</v>
      </c>
      <c r="K125" s="45">
        <v>23</v>
      </c>
      <c r="L125" s="45">
        <f t="shared" si="18"/>
        <v>2.5</v>
      </c>
      <c r="M125" s="45">
        <f t="shared" si="19"/>
        <v>3.6499999999999986</v>
      </c>
      <c r="N125" s="8">
        <f t="shared" si="15"/>
        <v>7.8999999999999986</v>
      </c>
      <c r="O125" s="8">
        <v>3.75</v>
      </c>
      <c r="P125" s="8">
        <v>1.296</v>
      </c>
      <c r="Q125" s="8">
        <f>30*16</f>
        <v>480</v>
      </c>
      <c r="R125" s="40">
        <f t="shared" si="20"/>
        <v>18.429119999999994</v>
      </c>
    </row>
    <row r="126" spans="2:19" ht="14" x14ac:dyDescent="0.25">
      <c r="E126" s="2" t="s">
        <v>12</v>
      </c>
      <c r="F126" s="71">
        <v>37.799999999999997</v>
      </c>
      <c r="G126" s="71">
        <v>8.1</v>
      </c>
      <c r="H126" s="71">
        <f t="shared" si="16"/>
        <v>4.05</v>
      </c>
      <c r="I126" s="71">
        <f t="shared" si="17"/>
        <v>33.75</v>
      </c>
      <c r="J126" s="45">
        <f t="shared" si="14"/>
        <v>1.75</v>
      </c>
      <c r="K126" s="45">
        <v>23</v>
      </c>
      <c r="L126" s="45">
        <f t="shared" si="18"/>
        <v>2.5</v>
      </c>
      <c r="M126" s="45">
        <f t="shared" si="19"/>
        <v>4.3500000000000014</v>
      </c>
      <c r="N126" s="8">
        <f t="shared" si="15"/>
        <v>8.6000000000000014</v>
      </c>
      <c r="O126" s="8">
        <v>3.75</v>
      </c>
      <c r="P126" s="8">
        <v>1.296</v>
      </c>
      <c r="Q126" s="8">
        <f>31*16</f>
        <v>496</v>
      </c>
      <c r="R126" s="40">
        <f t="shared" si="20"/>
        <v>20.730816000000008</v>
      </c>
    </row>
    <row r="127" spans="2:19" ht="14" x14ac:dyDescent="0.25">
      <c r="E127" s="2" t="s">
        <v>13</v>
      </c>
      <c r="F127" s="71">
        <v>32.200000000000003</v>
      </c>
      <c r="G127" s="71">
        <v>5.6</v>
      </c>
      <c r="H127" s="71">
        <f t="shared" si="16"/>
        <v>2.8</v>
      </c>
      <c r="I127" s="71">
        <f t="shared" si="17"/>
        <v>29.400000000000002</v>
      </c>
      <c r="J127" s="45">
        <f t="shared" si="14"/>
        <v>1.75</v>
      </c>
      <c r="K127" s="45">
        <v>23</v>
      </c>
      <c r="L127" s="45">
        <f t="shared" si="18"/>
        <v>2.5</v>
      </c>
      <c r="M127" s="45">
        <f t="shared" si="19"/>
        <v>0</v>
      </c>
      <c r="N127" s="8">
        <f t="shared" si="15"/>
        <v>4.25</v>
      </c>
      <c r="O127" s="8">
        <v>3.75</v>
      </c>
      <c r="P127" s="8">
        <v>1.296</v>
      </c>
      <c r="Q127" s="8">
        <f>30*16</f>
        <v>480</v>
      </c>
      <c r="R127" s="40">
        <f t="shared" si="20"/>
        <v>9.9144000000000023</v>
      </c>
    </row>
    <row r="128" spans="2:19" ht="14" x14ac:dyDescent="0.25">
      <c r="E128" s="2" t="s">
        <v>24</v>
      </c>
      <c r="F128" s="41">
        <v>31.9</v>
      </c>
      <c r="G128" s="98">
        <v>5.2</v>
      </c>
      <c r="H128" s="71">
        <f t="shared" si="16"/>
        <v>2.6</v>
      </c>
      <c r="I128" s="71">
        <f t="shared" si="17"/>
        <v>29.299999999999997</v>
      </c>
      <c r="J128" s="45">
        <f t="shared" si="14"/>
        <v>1.75</v>
      </c>
      <c r="K128" s="45">
        <v>23</v>
      </c>
      <c r="L128" s="45">
        <f t="shared" si="18"/>
        <v>2.5</v>
      </c>
      <c r="M128" s="45">
        <f t="shared" si="19"/>
        <v>-0.10000000000000142</v>
      </c>
      <c r="N128" s="8">
        <f t="shared" si="15"/>
        <v>4.1499999999999986</v>
      </c>
      <c r="O128" s="8">
        <v>3.75</v>
      </c>
      <c r="P128" s="8">
        <v>1.296</v>
      </c>
      <c r="Q128" s="8">
        <f>31*16</f>
        <v>496</v>
      </c>
      <c r="R128" s="40">
        <f t="shared" si="20"/>
        <v>10.003823999999996</v>
      </c>
    </row>
    <row r="129" spans="5:19" ht="14" x14ac:dyDescent="0.25">
      <c r="E129" s="2" t="s">
        <v>19</v>
      </c>
      <c r="F129" s="41">
        <v>31.2</v>
      </c>
      <c r="G129" s="98">
        <v>4.9000000000000004</v>
      </c>
      <c r="H129" s="71">
        <f t="shared" si="16"/>
        <v>2.4500000000000002</v>
      </c>
      <c r="I129" s="71">
        <f t="shared" si="17"/>
        <v>28.75</v>
      </c>
      <c r="J129" s="45">
        <f t="shared" si="14"/>
        <v>1.75</v>
      </c>
      <c r="K129" s="45">
        <v>23</v>
      </c>
      <c r="L129" s="45">
        <f t="shared" si="18"/>
        <v>2.5</v>
      </c>
      <c r="M129" s="45">
        <f t="shared" si="19"/>
        <v>-0.64999999999999858</v>
      </c>
      <c r="N129" s="8">
        <f t="shared" si="15"/>
        <v>3.6000000000000014</v>
      </c>
      <c r="O129" s="8">
        <v>3.75</v>
      </c>
      <c r="P129" s="8">
        <v>1.296</v>
      </c>
      <c r="Q129" s="8">
        <f>31*16</f>
        <v>496</v>
      </c>
      <c r="R129" s="40">
        <f t="shared" si="20"/>
        <v>8.6780160000000031</v>
      </c>
    </row>
    <row r="130" spans="5:19" ht="14" x14ac:dyDescent="0.25">
      <c r="E130" s="2" t="s">
        <v>20</v>
      </c>
      <c r="F130" s="41">
        <v>32.200000000000003</v>
      </c>
      <c r="G130" s="98">
        <v>5.7</v>
      </c>
      <c r="H130" s="71">
        <f t="shared" si="16"/>
        <v>2.85</v>
      </c>
      <c r="I130" s="71">
        <f t="shared" si="17"/>
        <v>29.35</v>
      </c>
      <c r="J130" s="45">
        <f t="shared" si="14"/>
        <v>1.75</v>
      </c>
      <c r="K130" s="45">
        <v>23</v>
      </c>
      <c r="L130" s="45">
        <f t="shared" si="18"/>
        <v>2.5</v>
      </c>
      <c r="M130" s="45">
        <f t="shared" si="19"/>
        <v>-4.9999999999997158E-2</v>
      </c>
      <c r="N130" s="8">
        <f t="shared" si="15"/>
        <v>4.2000000000000028</v>
      </c>
      <c r="O130" s="8">
        <v>3.75</v>
      </c>
      <c r="P130" s="8">
        <v>1.296</v>
      </c>
      <c r="Q130" s="8">
        <f>30*16</f>
        <v>480</v>
      </c>
      <c r="R130" s="40">
        <f t="shared" si="20"/>
        <v>9.7977600000000056</v>
      </c>
    </row>
    <row r="131" spans="5:19" ht="14" x14ac:dyDescent="0.25">
      <c r="E131" s="2" t="s">
        <v>21</v>
      </c>
      <c r="F131" s="41">
        <v>33.4</v>
      </c>
      <c r="G131" s="98">
        <v>7.1</v>
      </c>
      <c r="H131" s="71">
        <f t="shared" si="16"/>
        <v>3.55</v>
      </c>
      <c r="I131" s="71">
        <f t="shared" si="17"/>
        <v>29.849999999999998</v>
      </c>
      <c r="J131" s="45">
        <f t="shared" si="14"/>
        <v>1.75</v>
      </c>
      <c r="K131" s="45">
        <v>23</v>
      </c>
      <c r="L131" s="45">
        <f t="shared" si="18"/>
        <v>2.5</v>
      </c>
      <c r="M131" s="45">
        <f t="shared" si="19"/>
        <v>0.44999999999999929</v>
      </c>
      <c r="N131" s="8">
        <f t="shared" si="15"/>
        <v>4.6999999999999993</v>
      </c>
      <c r="O131" s="8">
        <v>3.75</v>
      </c>
      <c r="P131" s="8">
        <v>1.296</v>
      </c>
      <c r="Q131" s="8">
        <f>31*16</f>
        <v>496</v>
      </c>
      <c r="R131" s="40">
        <f t="shared" si="20"/>
        <v>11.329631999999998</v>
      </c>
    </row>
    <row r="132" spans="5:19" ht="14" x14ac:dyDescent="0.25">
      <c r="E132" s="2" t="s">
        <v>22</v>
      </c>
      <c r="F132" s="41">
        <v>33.9</v>
      </c>
      <c r="G132" s="98">
        <v>9</v>
      </c>
      <c r="H132" s="71">
        <f t="shared" si="16"/>
        <v>4.5</v>
      </c>
      <c r="I132" s="71">
        <f t="shared" si="17"/>
        <v>29.4</v>
      </c>
      <c r="J132" s="45">
        <f t="shared" si="14"/>
        <v>1.75</v>
      </c>
      <c r="K132" s="45">
        <v>23</v>
      </c>
      <c r="L132" s="45">
        <f t="shared" si="18"/>
        <v>2.5</v>
      </c>
      <c r="M132" s="45">
        <f t="shared" si="19"/>
        <v>0</v>
      </c>
      <c r="N132" s="8">
        <f t="shared" si="15"/>
        <v>4.25</v>
      </c>
      <c r="O132" s="8">
        <v>3.75</v>
      </c>
      <c r="P132" s="8">
        <v>1.296</v>
      </c>
      <c r="Q132" s="8">
        <f>30*16</f>
        <v>480</v>
      </c>
      <c r="R132" s="40">
        <f t="shared" si="20"/>
        <v>9.9144000000000023</v>
      </c>
    </row>
    <row r="133" spans="5:19" ht="14" x14ac:dyDescent="0.25">
      <c r="E133" s="2" t="s">
        <v>23</v>
      </c>
      <c r="F133" s="41">
        <v>33.200000000000003</v>
      </c>
      <c r="G133" s="98">
        <v>11.3</v>
      </c>
      <c r="H133" s="71">
        <f t="shared" si="16"/>
        <v>5.65</v>
      </c>
      <c r="I133" s="71">
        <f t="shared" si="17"/>
        <v>27.550000000000004</v>
      </c>
      <c r="J133" s="45">
        <f t="shared" si="14"/>
        <v>1.75</v>
      </c>
      <c r="K133" s="45">
        <v>23</v>
      </c>
      <c r="L133" s="45">
        <f t="shared" si="18"/>
        <v>2.5</v>
      </c>
      <c r="M133" s="45">
        <f t="shared" si="19"/>
        <v>-1.8499999999999943</v>
      </c>
      <c r="N133" s="8">
        <f t="shared" si="15"/>
        <v>2.4000000000000057</v>
      </c>
      <c r="O133" s="8">
        <v>3.75</v>
      </c>
      <c r="P133" s="8">
        <v>1.296</v>
      </c>
      <c r="Q133" s="8">
        <f>31*16</f>
        <v>496</v>
      </c>
      <c r="R133" s="40">
        <f t="shared" si="20"/>
        <v>5.7853440000000136</v>
      </c>
    </row>
    <row r="134" spans="5:19" ht="15" x14ac:dyDescent="0.25">
      <c r="E134" s="417" t="s">
        <v>58</v>
      </c>
      <c r="F134" s="418"/>
      <c r="G134" s="418"/>
      <c r="H134" s="418"/>
      <c r="I134" s="418"/>
      <c r="J134" s="418"/>
      <c r="K134" s="418"/>
      <c r="L134" s="418"/>
      <c r="M134" s="418"/>
      <c r="N134" s="418"/>
      <c r="O134" s="418"/>
      <c r="P134" s="418"/>
      <c r="Q134" s="418"/>
      <c r="R134" s="107">
        <f>SUM(R122:R133)</f>
        <v>130.43073600000002</v>
      </c>
      <c r="S134" s="105"/>
    </row>
    <row r="135" spans="5:19" ht="15" x14ac:dyDescent="0.4">
      <c r="E135" s="413" t="s">
        <v>72</v>
      </c>
      <c r="F135" s="414"/>
      <c r="G135" s="414"/>
      <c r="H135" s="414"/>
      <c r="I135" s="414"/>
      <c r="J135" s="414"/>
      <c r="K135" s="414"/>
      <c r="L135" s="414"/>
      <c r="M135" s="414"/>
      <c r="N135" s="414"/>
      <c r="O135" s="414"/>
      <c r="P135" s="414"/>
      <c r="Q135" s="414"/>
      <c r="R135" s="414"/>
      <c r="S135" s="104"/>
    </row>
    <row r="136" spans="5:19" ht="14" x14ac:dyDescent="0.25">
      <c r="E136" s="2" t="s">
        <v>15</v>
      </c>
      <c r="F136" s="71">
        <v>33.200000000000003</v>
      </c>
      <c r="G136" s="71">
        <v>12.6</v>
      </c>
      <c r="H136" s="71">
        <f>G136/2</f>
        <v>6.3</v>
      </c>
      <c r="I136" s="71">
        <f>F136-H136</f>
        <v>26.900000000000002</v>
      </c>
      <c r="J136" s="45">
        <f t="shared" ref="J136:J147" si="21">C$124</f>
        <v>1.75</v>
      </c>
      <c r="K136" s="45">
        <v>24</v>
      </c>
      <c r="L136" s="72">
        <f>25.5-K136</f>
        <v>1.5</v>
      </c>
      <c r="M136" s="72">
        <f>I136-29.4</f>
        <v>-2.4999999999999964</v>
      </c>
      <c r="N136" s="8">
        <f t="shared" ref="N136:N147" si="22">J136+L136+M136</f>
        <v>0.75000000000000355</v>
      </c>
      <c r="O136" s="8">
        <v>3.75</v>
      </c>
      <c r="P136" s="8">
        <v>1.296</v>
      </c>
      <c r="Q136" s="8">
        <f>31*16</f>
        <v>496</v>
      </c>
      <c r="R136" s="40">
        <f>(N136*O136*P136*Q136)/1000</f>
        <v>1.8079200000000086</v>
      </c>
    </row>
    <row r="137" spans="5:19" ht="14" x14ac:dyDescent="0.25">
      <c r="E137" s="2" t="s">
        <v>16</v>
      </c>
      <c r="F137" s="71">
        <v>35.9</v>
      </c>
      <c r="G137" s="71">
        <v>13.7</v>
      </c>
      <c r="H137" s="71">
        <f t="shared" ref="H137:H147" si="23">G137/2</f>
        <v>6.85</v>
      </c>
      <c r="I137" s="71">
        <f t="shared" ref="I137:I147" si="24">F137-H137</f>
        <v>29.049999999999997</v>
      </c>
      <c r="J137" s="45">
        <f t="shared" si="21"/>
        <v>1.75</v>
      </c>
      <c r="K137" s="45">
        <v>24</v>
      </c>
      <c r="L137" s="72">
        <f t="shared" ref="L137:L147" si="25">25.5-K137</f>
        <v>1.5</v>
      </c>
      <c r="M137" s="72">
        <f t="shared" ref="M137:M147" si="26">I137-29.4</f>
        <v>-0.35000000000000142</v>
      </c>
      <c r="N137" s="8">
        <f t="shared" si="22"/>
        <v>2.8999999999999986</v>
      </c>
      <c r="O137" s="8">
        <v>3.75</v>
      </c>
      <c r="P137" s="8">
        <v>1.296</v>
      </c>
      <c r="Q137" s="8">
        <f>28*16</f>
        <v>448</v>
      </c>
      <c r="R137" s="40">
        <f t="shared" ref="R137:R147" si="27">(N137*O137*P137*Q137)/1000</f>
        <v>6.3141119999999971</v>
      </c>
    </row>
    <row r="138" spans="5:19" ht="14" x14ac:dyDescent="0.25">
      <c r="E138" s="2" t="s">
        <v>17</v>
      </c>
      <c r="F138" s="71">
        <v>37.1</v>
      </c>
      <c r="G138" s="71">
        <v>13</v>
      </c>
      <c r="H138" s="71">
        <f t="shared" si="23"/>
        <v>6.5</v>
      </c>
      <c r="I138" s="71">
        <f t="shared" si="24"/>
        <v>30.6</v>
      </c>
      <c r="J138" s="45">
        <f t="shared" si="21"/>
        <v>1.75</v>
      </c>
      <c r="K138" s="45">
        <v>24</v>
      </c>
      <c r="L138" s="72">
        <f t="shared" si="25"/>
        <v>1.5</v>
      </c>
      <c r="M138" s="72">
        <f t="shared" si="26"/>
        <v>1.2000000000000028</v>
      </c>
      <c r="N138" s="8">
        <f t="shared" si="22"/>
        <v>4.4500000000000028</v>
      </c>
      <c r="O138" s="8">
        <v>3.75</v>
      </c>
      <c r="P138" s="8">
        <v>1.296</v>
      </c>
      <c r="Q138" s="8">
        <f>31*16</f>
        <v>496</v>
      </c>
      <c r="R138" s="40">
        <f t="shared" si="27"/>
        <v>10.726992000000006</v>
      </c>
    </row>
    <row r="139" spans="5:19" ht="14" x14ac:dyDescent="0.25">
      <c r="E139" s="2" t="s">
        <v>18</v>
      </c>
      <c r="F139" s="71">
        <v>38.9</v>
      </c>
      <c r="G139" s="71">
        <v>11.7</v>
      </c>
      <c r="H139" s="71">
        <f t="shared" si="23"/>
        <v>5.85</v>
      </c>
      <c r="I139" s="71">
        <f t="shared" si="24"/>
        <v>33.049999999999997</v>
      </c>
      <c r="J139" s="45">
        <f t="shared" si="21"/>
        <v>1.75</v>
      </c>
      <c r="K139" s="45">
        <v>24</v>
      </c>
      <c r="L139" s="72">
        <f t="shared" si="25"/>
        <v>1.5</v>
      </c>
      <c r="M139" s="72">
        <f t="shared" si="26"/>
        <v>3.6499999999999986</v>
      </c>
      <c r="N139" s="8">
        <f t="shared" si="22"/>
        <v>6.8999999999999986</v>
      </c>
      <c r="O139" s="8">
        <v>3.75</v>
      </c>
      <c r="P139" s="8">
        <v>1.296</v>
      </c>
      <c r="Q139" s="8">
        <f>30*16</f>
        <v>480</v>
      </c>
      <c r="R139" s="40">
        <f t="shared" si="27"/>
        <v>16.096319999999995</v>
      </c>
    </row>
    <row r="140" spans="5:19" ht="14" x14ac:dyDescent="0.25">
      <c r="E140" s="2" t="s">
        <v>12</v>
      </c>
      <c r="F140" s="71">
        <v>37.799999999999997</v>
      </c>
      <c r="G140" s="71">
        <v>8.1</v>
      </c>
      <c r="H140" s="71">
        <f t="shared" si="23"/>
        <v>4.05</v>
      </c>
      <c r="I140" s="71">
        <f t="shared" si="24"/>
        <v>33.75</v>
      </c>
      <c r="J140" s="45">
        <f t="shared" si="21"/>
        <v>1.75</v>
      </c>
      <c r="K140" s="45">
        <v>24</v>
      </c>
      <c r="L140" s="72">
        <f t="shared" si="25"/>
        <v>1.5</v>
      </c>
      <c r="M140" s="72">
        <f t="shared" si="26"/>
        <v>4.3500000000000014</v>
      </c>
      <c r="N140" s="8">
        <f t="shared" si="22"/>
        <v>7.6000000000000014</v>
      </c>
      <c r="O140" s="8">
        <v>3.75</v>
      </c>
      <c r="P140" s="8">
        <v>1.296</v>
      </c>
      <c r="Q140" s="8">
        <f>31*16</f>
        <v>496</v>
      </c>
      <c r="R140" s="40">
        <f t="shared" si="27"/>
        <v>18.320256000000004</v>
      </c>
    </row>
    <row r="141" spans="5:19" ht="14" x14ac:dyDescent="0.25">
      <c r="E141" s="2" t="s">
        <v>13</v>
      </c>
      <c r="F141" s="71">
        <v>32.200000000000003</v>
      </c>
      <c r="G141" s="71">
        <v>5.6</v>
      </c>
      <c r="H141" s="71">
        <f t="shared" si="23"/>
        <v>2.8</v>
      </c>
      <c r="I141" s="71">
        <f t="shared" si="24"/>
        <v>29.400000000000002</v>
      </c>
      <c r="J141" s="45">
        <f t="shared" si="21"/>
        <v>1.75</v>
      </c>
      <c r="K141" s="45">
        <v>24</v>
      </c>
      <c r="L141" s="72">
        <f t="shared" si="25"/>
        <v>1.5</v>
      </c>
      <c r="M141" s="72">
        <f t="shared" si="26"/>
        <v>0</v>
      </c>
      <c r="N141" s="8">
        <f t="shared" si="22"/>
        <v>3.25</v>
      </c>
      <c r="O141" s="8">
        <v>3.75</v>
      </c>
      <c r="P141" s="8">
        <v>1.296</v>
      </c>
      <c r="Q141" s="8">
        <f>30*16</f>
        <v>480</v>
      </c>
      <c r="R141" s="40">
        <f t="shared" si="27"/>
        <v>7.5816000000000008</v>
      </c>
    </row>
    <row r="142" spans="5:19" ht="14" x14ac:dyDescent="0.25">
      <c r="E142" s="2" t="s">
        <v>24</v>
      </c>
      <c r="F142" s="41">
        <v>31.9</v>
      </c>
      <c r="G142" s="98">
        <v>5.2</v>
      </c>
      <c r="H142" s="71">
        <f t="shared" si="23"/>
        <v>2.6</v>
      </c>
      <c r="I142" s="71">
        <f t="shared" si="24"/>
        <v>29.299999999999997</v>
      </c>
      <c r="J142" s="45">
        <f t="shared" si="21"/>
        <v>1.75</v>
      </c>
      <c r="K142" s="45">
        <v>24</v>
      </c>
      <c r="L142" s="72">
        <f t="shared" si="25"/>
        <v>1.5</v>
      </c>
      <c r="M142" s="72">
        <f t="shared" si="26"/>
        <v>-0.10000000000000142</v>
      </c>
      <c r="N142" s="8">
        <f t="shared" si="22"/>
        <v>3.1499999999999986</v>
      </c>
      <c r="O142" s="8">
        <v>3.75</v>
      </c>
      <c r="P142" s="8">
        <v>1.296</v>
      </c>
      <c r="Q142" s="8">
        <f>31*16</f>
        <v>496</v>
      </c>
      <c r="R142" s="40">
        <f t="shared" si="27"/>
        <v>7.5932639999999978</v>
      </c>
    </row>
    <row r="143" spans="5:19" ht="14" x14ac:dyDescent="0.25">
      <c r="E143" s="2" t="s">
        <v>19</v>
      </c>
      <c r="F143" s="41">
        <v>31.2</v>
      </c>
      <c r="G143" s="98">
        <v>4.9000000000000004</v>
      </c>
      <c r="H143" s="71">
        <f t="shared" si="23"/>
        <v>2.4500000000000002</v>
      </c>
      <c r="I143" s="71">
        <f t="shared" si="24"/>
        <v>28.75</v>
      </c>
      <c r="J143" s="45">
        <f t="shared" si="21"/>
        <v>1.75</v>
      </c>
      <c r="K143" s="45">
        <v>24</v>
      </c>
      <c r="L143" s="72">
        <f t="shared" si="25"/>
        <v>1.5</v>
      </c>
      <c r="M143" s="72">
        <f t="shared" si="26"/>
        <v>-0.64999999999999858</v>
      </c>
      <c r="N143" s="8">
        <f t="shared" si="22"/>
        <v>2.6000000000000014</v>
      </c>
      <c r="O143" s="8">
        <v>3.75</v>
      </c>
      <c r="P143" s="8">
        <v>1.296</v>
      </c>
      <c r="Q143" s="8">
        <f>31*16</f>
        <v>496</v>
      </c>
      <c r="R143" s="40">
        <f t="shared" si="27"/>
        <v>6.2674560000000037</v>
      </c>
    </row>
    <row r="144" spans="5:19" ht="14" x14ac:dyDescent="0.25">
      <c r="E144" s="2" t="s">
        <v>20</v>
      </c>
      <c r="F144" s="41">
        <v>32.200000000000003</v>
      </c>
      <c r="G144" s="98">
        <v>5.7</v>
      </c>
      <c r="H144" s="71">
        <f t="shared" si="23"/>
        <v>2.85</v>
      </c>
      <c r="I144" s="71">
        <f t="shared" si="24"/>
        <v>29.35</v>
      </c>
      <c r="J144" s="45">
        <f t="shared" si="21"/>
        <v>1.75</v>
      </c>
      <c r="K144" s="45">
        <v>24</v>
      </c>
      <c r="L144" s="72">
        <f t="shared" si="25"/>
        <v>1.5</v>
      </c>
      <c r="M144" s="72">
        <f t="shared" si="26"/>
        <v>-4.9999999999997158E-2</v>
      </c>
      <c r="N144" s="8">
        <f t="shared" si="22"/>
        <v>3.2000000000000028</v>
      </c>
      <c r="O144" s="8">
        <v>3.75</v>
      </c>
      <c r="P144" s="8">
        <v>1.296</v>
      </c>
      <c r="Q144" s="8">
        <f>30*16</f>
        <v>480</v>
      </c>
      <c r="R144" s="40">
        <f t="shared" si="27"/>
        <v>7.4649600000000067</v>
      </c>
    </row>
    <row r="145" spans="5:19" ht="14" x14ac:dyDescent="0.25">
      <c r="E145" s="2" t="s">
        <v>21</v>
      </c>
      <c r="F145" s="41">
        <v>33.4</v>
      </c>
      <c r="G145" s="98">
        <v>7.1</v>
      </c>
      <c r="H145" s="71">
        <f t="shared" si="23"/>
        <v>3.55</v>
      </c>
      <c r="I145" s="71">
        <f t="shared" si="24"/>
        <v>29.849999999999998</v>
      </c>
      <c r="J145" s="45">
        <f t="shared" si="21"/>
        <v>1.75</v>
      </c>
      <c r="K145" s="45">
        <v>24</v>
      </c>
      <c r="L145" s="72">
        <f t="shared" si="25"/>
        <v>1.5</v>
      </c>
      <c r="M145" s="72">
        <f t="shared" si="26"/>
        <v>0.44999999999999929</v>
      </c>
      <c r="N145" s="8">
        <f t="shared" si="22"/>
        <v>3.6999999999999993</v>
      </c>
      <c r="O145" s="8">
        <v>3.75</v>
      </c>
      <c r="P145" s="8">
        <v>1.296</v>
      </c>
      <c r="Q145" s="8">
        <f>31*16</f>
        <v>496</v>
      </c>
      <c r="R145" s="40">
        <f t="shared" si="27"/>
        <v>8.9190719999999981</v>
      </c>
    </row>
    <row r="146" spans="5:19" ht="14" x14ac:dyDescent="0.25">
      <c r="E146" s="2" t="s">
        <v>22</v>
      </c>
      <c r="F146" s="41">
        <v>33.9</v>
      </c>
      <c r="G146" s="98">
        <v>9</v>
      </c>
      <c r="H146" s="71">
        <f t="shared" si="23"/>
        <v>4.5</v>
      </c>
      <c r="I146" s="71">
        <f t="shared" si="24"/>
        <v>29.4</v>
      </c>
      <c r="J146" s="45">
        <f t="shared" si="21"/>
        <v>1.75</v>
      </c>
      <c r="K146" s="45">
        <v>24</v>
      </c>
      <c r="L146" s="72">
        <f t="shared" si="25"/>
        <v>1.5</v>
      </c>
      <c r="M146" s="72">
        <f t="shared" si="26"/>
        <v>0</v>
      </c>
      <c r="N146" s="8">
        <f t="shared" si="22"/>
        <v>3.25</v>
      </c>
      <c r="O146" s="8">
        <v>3.75</v>
      </c>
      <c r="P146" s="8">
        <v>1.296</v>
      </c>
      <c r="Q146" s="8">
        <f>30*16</f>
        <v>480</v>
      </c>
      <c r="R146" s="40">
        <f t="shared" si="27"/>
        <v>7.5816000000000008</v>
      </c>
    </row>
    <row r="147" spans="5:19" ht="14" x14ac:dyDescent="0.25">
      <c r="E147" s="2" t="s">
        <v>23</v>
      </c>
      <c r="F147" s="41">
        <v>33.200000000000003</v>
      </c>
      <c r="G147" s="98">
        <v>11.3</v>
      </c>
      <c r="H147" s="71">
        <f t="shared" si="23"/>
        <v>5.65</v>
      </c>
      <c r="I147" s="71">
        <f t="shared" si="24"/>
        <v>27.550000000000004</v>
      </c>
      <c r="J147" s="45">
        <f t="shared" si="21"/>
        <v>1.75</v>
      </c>
      <c r="K147" s="45">
        <v>24</v>
      </c>
      <c r="L147" s="72">
        <f t="shared" si="25"/>
        <v>1.5</v>
      </c>
      <c r="M147" s="72">
        <f t="shared" si="26"/>
        <v>-1.8499999999999943</v>
      </c>
      <c r="N147" s="8">
        <f t="shared" si="22"/>
        <v>1.4000000000000057</v>
      </c>
      <c r="O147" s="8">
        <v>3.75</v>
      </c>
      <c r="P147" s="8">
        <v>1.296</v>
      </c>
      <c r="Q147" s="8">
        <f>31*16</f>
        <v>496</v>
      </c>
      <c r="R147" s="108">
        <f t="shared" si="27"/>
        <v>3.3747840000000138</v>
      </c>
      <c r="S147" s="109"/>
    </row>
    <row r="148" spans="5:19" ht="15" x14ac:dyDescent="0.25">
      <c r="E148" s="417" t="s">
        <v>60</v>
      </c>
      <c r="F148" s="418"/>
      <c r="G148" s="418"/>
      <c r="H148" s="418"/>
      <c r="I148" s="418"/>
      <c r="J148" s="418"/>
      <c r="K148" s="418"/>
      <c r="L148" s="418"/>
      <c r="M148" s="418"/>
      <c r="N148" s="418"/>
      <c r="O148" s="418"/>
      <c r="P148" s="418"/>
      <c r="Q148" s="419"/>
      <c r="R148" s="107">
        <f>SUM(R136:R147)</f>
        <v>102.04833600000003</v>
      </c>
      <c r="S148" s="105"/>
    </row>
    <row r="149" spans="5:19" ht="15" x14ac:dyDescent="0.4">
      <c r="E149" s="413" t="s">
        <v>73</v>
      </c>
      <c r="F149" s="414"/>
      <c r="G149" s="414"/>
      <c r="H149" s="414"/>
      <c r="I149" s="414"/>
      <c r="J149" s="414"/>
      <c r="K149" s="414"/>
      <c r="L149" s="414"/>
      <c r="M149" s="414"/>
      <c r="N149" s="414"/>
      <c r="O149" s="414"/>
      <c r="P149" s="414"/>
      <c r="Q149" s="414"/>
      <c r="R149" s="414"/>
      <c r="S149" s="104"/>
    </row>
    <row r="150" spans="5:19" ht="14" x14ac:dyDescent="0.25">
      <c r="E150" s="2" t="s">
        <v>15</v>
      </c>
      <c r="F150" s="71">
        <v>33.200000000000003</v>
      </c>
      <c r="G150" s="71">
        <v>12.6</v>
      </c>
      <c r="H150" s="41">
        <f>G150/2</f>
        <v>6.3</v>
      </c>
      <c r="I150" s="71">
        <f>F150-H150</f>
        <v>26.900000000000002</v>
      </c>
      <c r="J150" s="8">
        <f t="shared" ref="J150:J161" si="28">C$124</f>
        <v>1.75</v>
      </c>
      <c r="K150" s="8">
        <v>25</v>
      </c>
      <c r="L150" s="8">
        <f>25.5-K150</f>
        <v>0.5</v>
      </c>
      <c r="M150" s="8">
        <f t="shared" ref="M150:M161" si="29">I150-29.4</f>
        <v>-2.4999999999999964</v>
      </c>
      <c r="N150" s="8">
        <f t="shared" ref="N150:N161" si="30">J150+L150+M150</f>
        <v>-0.24999999999999645</v>
      </c>
      <c r="O150" s="8">
        <v>3.75</v>
      </c>
      <c r="P150" s="8">
        <v>1.296</v>
      </c>
      <c r="Q150" s="8">
        <f>31*16</f>
        <v>496</v>
      </c>
      <c r="R150" s="108">
        <f t="shared" ref="R150:R161" si="31">(N150*O150*P150*Q150)/1000</f>
        <v>-0.6026399999999914</v>
      </c>
      <c r="S150" s="109"/>
    </row>
    <row r="151" spans="5:19" ht="14" x14ac:dyDescent="0.25">
      <c r="E151" s="2" t="s">
        <v>16</v>
      </c>
      <c r="F151" s="71">
        <v>35.9</v>
      </c>
      <c r="G151" s="71">
        <v>13.7</v>
      </c>
      <c r="H151" s="41">
        <f t="shared" ref="H151:H161" si="32">G151/2</f>
        <v>6.85</v>
      </c>
      <c r="I151" s="71">
        <f t="shared" ref="I151:I161" si="33">F151-H151</f>
        <v>29.049999999999997</v>
      </c>
      <c r="J151" s="8">
        <f t="shared" si="28"/>
        <v>1.75</v>
      </c>
      <c r="K151" s="8">
        <v>25</v>
      </c>
      <c r="L151" s="8">
        <f t="shared" ref="L151:L161" si="34">25.5-K151</f>
        <v>0.5</v>
      </c>
      <c r="M151" s="8">
        <f t="shared" si="29"/>
        <v>-0.35000000000000142</v>
      </c>
      <c r="N151" s="8">
        <f t="shared" si="30"/>
        <v>1.8999999999999986</v>
      </c>
      <c r="O151" s="8">
        <v>3.75</v>
      </c>
      <c r="P151" s="8">
        <v>1.296</v>
      </c>
      <c r="Q151" s="8">
        <f>28*16</f>
        <v>448</v>
      </c>
      <c r="R151" s="108">
        <f t="shared" si="31"/>
        <v>4.1368319999999965</v>
      </c>
      <c r="S151" s="109"/>
    </row>
    <row r="152" spans="5:19" ht="14" x14ac:dyDescent="0.25">
      <c r="E152" s="2" t="s">
        <v>17</v>
      </c>
      <c r="F152" s="71">
        <v>37.1</v>
      </c>
      <c r="G152" s="71">
        <v>13</v>
      </c>
      <c r="H152" s="41">
        <f t="shared" si="32"/>
        <v>6.5</v>
      </c>
      <c r="I152" s="71">
        <f t="shared" si="33"/>
        <v>30.6</v>
      </c>
      <c r="J152" s="8">
        <f t="shared" si="28"/>
        <v>1.75</v>
      </c>
      <c r="K152" s="8">
        <v>25</v>
      </c>
      <c r="L152" s="8">
        <f t="shared" si="34"/>
        <v>0.5</v>
      </c>
      <c r="M152" s="8">
        <f t="shared" si="29"/>
        <v>1.2000000000000028</v>
      </c>
      <c r="N152" s="8">
        <f t="shared" si="30"/>
        <v>3.4500000000000028</v>
      </c>
      <c r="O152" s="8">
        <v>3.75</v>
      </c>
      <c r="P152" s="8">
        <v>1.296</v>
      </c>
      <c r="Q152" s="8">
        <f>31*16</f>
        <v>496</v>
      </c>
      <c r="R152" s="108">
        <f t="shared" si="31"/>
        <v>8.316432000000006</v>
      </c>
      <c r="S152" s="109"/>
    </row>
    <row r="153" spans="5:19" ht="14" x14ac:dyDescent="0.25">
      <c r="E153" s="2" t="s">
        <v>18</v>
      </c>
      <c r="F153" s="71">
        <v>38.9</v>
      </c>
      <c r="G153" s="71">
        <v>11.7</v>
      </c>
      <c r="H153" s="41">
        <f t="shared" si="32"/>
        <v>5.85</v>
      </c>
      <c r="I153" s="71">
        <f t="shared" si="33"/>
        <v>33.049999999999997</v>
      </c>
      <c r="J153" s="8">
        <f t="shared" si="28"/>
        <v>1.75</v>
      </c>
      <c r="K153" s="8">
        <v>25</v>
      </c>
      <c r="L153" s="8">
        <f t="shared" si="34"/>
        <v>0.5</v>
      </c>
      <c r="M153" s="8">
        <f t="shared" si="29"/>
        <v>3.6499999999999986</v>
      </c>
      <c r="N153" s="8">
        <f t="shared" si="30"/>
        <v>5.8999999999999986</v>
      </c>
      <c r="O153" s="8">
        <v>3.75</v>
      </c>
      <c r="P153" s="8">
        <v>1.296</v>
      </c>
      <c r="Q153" s="8">
        <f>30*16</f>
        <v>480</v>
      </c>
      <c r="R153" s="108">
        <f t="shared" si="31"/>
        <v>13.763519999999996</v>
      </c>
      <c r="S153" s="109"/>
    </row>
    <row r="154" spans="5:19" ht="14" x14ac:dyDescent="0.25">
      <c r="E154" s="2" t="s">
        <v>12</v>
      </c>
      <c r="F154" s="71">
        <v>37.799999999999997</v>
      </c>
      <c r="G154" s="71">
        <v>8.1</v>
      </c>
      <c r="H154" s="41">
        <f t="shared" si="32"/>
        <v>4.05</v>
      </c>
      <c r="I154" s="71">
        <f t="shared" si="33"/>
        <v>33.75</v>
      </c>
      <c r="J154" s="8">
        <f t="shared" si="28"/>
        <v>1.75</v>
      </c>
      <c r="K154" s="8">
        <v>25</v>
      </c>
      <c r="L154" s="8">
        <f t="shared" si="34"/>
        <v>0.5</v>
      </c>
      <c r="M154" s="8">
        <f t="shared" si="29"/>
        <v>4.3500000000000014</v>
      </c>
      <c r="N154" s="8">
        <f t="shared" si="30"/>
        <v>6.6000000000000014</v>
      </c>
      <c r="O154" s="8">
        <v>3.75</v>
      </c>
      <c r="P154" s="8">
        <v>1.296</v>
      </c>
      <c r="Q154" s="8">
        <f>31*16</f>
        <v>496</v>
      </c>
      <c r="R154" s="108">
        <f t="shared" si="31"/>
        <v>15.909696000000004</v>
      </c>
      <c r="S154" s="109"/>
    </row>
    <row r="155" spans="5:19" ht="14" x14ac:dyDescent="0.25">
      <c r="E155" s="2" t="s">
        <v>13</v>
      </c>
      <c r="F155" s="71">
        <v>32.200000000000003</v>
      </c>
      <c r="G155" s="71">
        <v>5.6</v>
      </c>
      <c r="H155" s="41">
        <f t="shared" si="32"/>
        <v>2.8</v>
      </c>
      <c r="I155" s="71">
        <f t="shared" si="33"/>
        <v>29.400000000000002</v>
      </c>
      <c r="J155" s="8">
        <f t="shared" si="28"/>
        <v>1.75</v>
      </c>
      <c r="K155" s="8">
        <v>25</v>
      </c>
      <c r="L155" s="8">
        <f t="shared" si="34"/>
        <v>0.5</v>
      </c>
      <c r="M155" s="8">
        <f t="shared" si="29"/>
        <v>0</v>
      </c>
      <c r="N155" s="8">
        <f t="shared" si="30"/>
        <v>2.25</v>
      </c>
      <c r="O155" s="8">
        <v>3.75</v>
      </c>
      <c r="P155" s="8">
        <v>1.296</v>
      </c>
      <c r="Q155" s="8">
        <f>30*16</f>
        <v>480</v>
      </c>
      <c r="R155" s="108">
        <f t="shared" si="31"/>
        <v>5.2488000000000001</v>
      </c>
      <c r="S155" s="109"/>
    </row>
    <row r="156" spans="5:19" ht="14" x14ac:dyDescent="0.25">
      <c r="E156" s="2" t="s">
        <v>24</v>
      </c>
      <c r="F156" s="41">
        <v>31.9</v>
      </c>
      <c r="G156" s="98">
        <v>5.2</v>
      </c>
      <c r="H156" s="41">
        <f t="shared" si="32"/>
        <v>2.6</v>
      </c>
      <c r="I156" s="71">
        <f t="shared" si="33"/>
        <v>29.299999999999997</v>
      </c>
      <c r="J156" s="8">
        <f t="shared" si="28"/>
        <v>1.75</v>
      </c>
      <c r="K156" s="8">
        <v>25</v>
      </c>
      <c r="L156" s="8">
        <f t="shared" si="34"/>
        <v>0.5</v>
      </c>
      <c r="M156" s="8">
        <f t="shared" si="29"/>
        <v>-0.10000000000000142</v>
      </c>
      <c r="N156" s="8">
        <f t="shared" si="30"/>
        <v>2.1499999999999986</v>
      </c>
      <c r="O156" s="8">
        <v>3.75</v>
      </c>
      <c r="P156" s="8">
        <v>1.296</v>
      </c>
      <c r="Q156" s="8">
        <f>31*16</f>
        <v>496</v>
      </c>
      <c r="R156" s="108">
        <f t="shared" si="31"/>
        <v>5.1827039999999958</v>
      </c>
      <c r="S156" s="109"/>
    </row>
    <row r="157" spans="5:19" ht="14" x14ac:dyDescent="0.25">
      <c r="E157" s="2" t="s">
        <v>19</v>
      </c>
      <c r="F157" s="41">
        <v>31.2</v>
      </c>
      <c r="G157" s="98">
        <v>4.9000000000000004</v>
      </c>
      <c r="H157" s="41">
        <f t="shared" si="32"/>
        <v>2.4500000000000002</v>
      </c>
      <c r="I157" s="71">
        <f t="shared" si="33"/>
        <v>28.75</v>
      </c>
      <c r="J157" s="8">
        <f t="shared" si="28"/>
        <v>1.75</v>
      </c>
      <c r="K157" s="8">
        <v>25</v>
      </c>
      <c r="L157" s="8">
        <f t="shared" si="34"/>
        <v>0.5</v>
      </c>
      <c r="M157" s="8">
        <f t="shared" si="29"/>
        <v>-0.64999999999999858</v>
      </c>
      <c r="N157" s="8">
        <f t="shared" si="30"/>
        <v>1.6000000000000014</v>
      </c>
      <c r="O157" s="8">
        <v>3.75</v>
      </c>
      <c r="P157" s="8">
        <v>1.296</v>
      </c>
      <c r="Q157" s="8">
        <f>31*16</f>
        <v>496</v>
      </c>
      <c r="R157" s="108">
        <f t="shared" si="31"/>
        <v>3.8568960000000034</v>
      </c>
      <c r="S157" s="109"/>
    </row>
    <row r="158" spans="5:19" ht="14" x14ac:dyDescent="0.25">
      <c r="E158" s="2" t="s">
        <v>20</v>
      </c>
      <c r="F158" s="41">
        <v>32.200000000000003</v>
      </c>
      <c r="G158" s="98">
        <v>5.7</v>
      </c>
      <c r="H158" s="41">
        <f t="shared" si="32"/>
        <v>2.85</v>
      </c>
      <c r="I158" s="71">
        <f t="shared" si="33"/>
        <v>29.35</v>
      </c>
      <c r="J158" s="8">
        <f t="shared" si="28"/>
        <v>1.75</v>
      </c>
      <c r="K158" s="8">
        <v>25</v>
      </c>
      <c r="L158" s="8">
        <f t="shared" si="34"/>
        <v>0.5</v>
      </c>
      <c r="M158" s="8">
        <f t="shared" si="29"/>
        <v>-4.9999999999997158E-2</v>
      </c>
      <c r="N158" s="8">
        <f t="shared" si="30"/>
        <v>2.2000000000000028</v>
      </c>
      <c r="O158" s="8">
        <v>3.75</v>
      </c>
      <c r="P158" s="8">
        <v>1.296</v>
      </c>
      <c r="Q158" s="8">
        <f>30*16</f>
        <v>480</v>
      </c>
      <c r="R158" s="108">
        <f t="shared" si="31"/>
        <v>5.1321600000000069</v>
      </c>
      <c r="S158" s="109"/>
    </row>
    <row r="159" spans="5:19" ht="14" x14ac:dyDescent="0.25">
      <c r="E159" s="2" t="s">
        <v>21</v>
      </c>
      <c r="F159" s="41">
        <v>33.4</v>
      </c>
      <c r="G159" s="98">
        <v>7.1</v>
      </c>
      <c r="H159" s="41">
        <f t="shared" si="32"/>
        <v>3.55</v>
      </c>
      <c r="I159" s="71">
        <f t="shared" si="33"/>
        <v>29.849999999999998</v>
      </c>
      <c r="J159" s="8">
        <f t="shared" si="28"/>
        <v>1.75</v>
      </c>
      <c r="K159" s="8">
        <v>25</v>
      </c>
      <c r="L159" s="8">
        <f t="shared" si="34"/>
        <v>0.5</v>
      </c>
      <c r="M159" s="8">
        <f t="shared" si="29"/>
        <v>0.44999999999999929</v>
      </c>
      <c r="N159" s="8">
        <f t="shared" si="30"/>
        <v>2.6999999999999993</v>
      </c>
      <c r="O159" s="8">
        <v>3.75</v>
      </c>
      <c r="P159" s="8">
        <v>1.296</v>
      </c>
      <c r="Q159" s="8">
        <f>31*16</f>
        <v>496</v>
      </c>
      <c r="R159" s="108">
        <f t="shared" si="31"/>
        <v>6.5085119999999979</v>
      </c>
      <c r="S159" s="109"/>
    </row>
    <row r="160" spans="5:19" ht="14" x14ac:dyDescent="0.25">
      <c r="E160" s="2" t="s">
        <v>22</v>
      </c>
      <c r="F160" s="41">
        <v>33.9</v>
      </c>
      <c r="G160" s="98">
        <v>9</v>
      </c>
      <c r="H160" s="41">
        <f t="shared" si="32"/>
        <v>4.5</v>
      </c>
      <c r="I160" s="71">
        <f t="shared" si="33"/>
        <v>29.4</v>
      </c>
      <c r="J160" s="8">
        <f t="shared" si="28"/>
        <v>1.75</v>
      </c>
      <c r="K160" s="8">
        <v>25</v>
      </c>
      <c r="L160" s="8">
        <f t="shared" si="34"/>
        <v>0.5</v>
      </c>
      <c r="M160" s="8">
        <f t="shared" si="29"/>
        <v>0</v>
      </c>
      <c r="N160" s="8">
        <f t="shared" si="30"/>
        <v>2.25</v>
      </c>
      <c r="O160" s="8">
        <v>3.75</v>
      </c>
      <c r="P160" s="8">
        <v>1.296</v>
      </c>
      <c r="Q160" s="8">
        <f>30*16</f>
        <v>480</v>
      </c>
      <c r="R160" s="108">
        <f t="shared" si="31"/>
        <v>5.2488000000000001</v>
      </c>
      <c r="S160" s="109"/>
    </row>
    <row r="161" spans="5:19" ht="14" x14ac:dyDescent="0.25">
      <c r="E161" s="2" t="s">
        <v>23</v>
      </c>
      <c r="F161" s="41">
        <v>33.200000000000003</v>
      </c>
      <c r="G161" s="98">
        <v>11.3</v>
      </c>
      <c r="H161" s="41">
        <f t="shared" si="32"/>
        <v>5.65</v>
      </c>
      <c r="I161" s="71">
        <f t="shared" si="33"/>
        <v>27.550000000000004</v>
      </c>
      <c r="J161" s="8">
        <f t="shared" si="28"/>
        <v>1.75</v>
      </c>
      <c r="K161" s="8">
        <v>25</v>
      </c>
      <c r="L161" s="8">
        <f t="shared" si="34"/>
        <v>0.5</v>
      </c>
      <c r="M161" s="8">
        <f t="shared" si="29"/>
        <v>-1.8499999999999943</v>
      </c>
      <c r="N161" s="8">
        <f t="shared" si="30"/>
        <v>0.40000000000000568</v>
      </c>
      <c r="O161" s="8">
        <v>3.75</v>
      </c>
      <c r="P161" s="8">
        <v>1.296</v>
      </c>
      <c r="Q161" s="8">
        <f>31*16</f>
        <v>496</v>
      </c>
      <c r="R161" s="108">
        <f t="shared" si="31"/>
        <v>0.96422400000001374</v>
      </c>
      <c r="S161" s="109"/>
    </row>
    <row r="162" spans="5:19" ht="15" x14ac:dyDescent="0.25">
      <c r="E162" s="417" t="s">
        <v>61</v>
      </c>
      <c r="F162" s="418"/>
      <c r="G162" s="418"/>
      <c r="H162" s="418"/>
      <c r="I162" s="418"/>
      <c r="J162" s="418"/>
      <c r="K162" s="418"/>
      <c r="L162" s="418"/>
      <c r="M162" s="418"/>
      <c r="N162" s="418"/>
      <c r="O162" s="418"/>
      <c r="P162" s="418"/>
      <c r="Q162" s="419"/>
      <c r="R162" s="107">
        <f>SUM(R150:R161)</f>
        <v>73.665936000000031</v>
      </c>
      <c r="S162" s="105"/>
    </row>
    <row r="163" spans="5:19" ht="15" x14ac:dyDescent="0.4">
      <c r="E163" s="413" t="s">
        <v>74</v>
      </c>
      <c r="F163" s="414"/>
      <c r="G163" s="414"/>
      <c r="H163" s="414"/>
      <c r="I163" s="414"/>
      <c r="J163" s="414"/>
      <c r="K163" s="414"/>
      <c r="L163" s="414"/>
      <c r="M163" s="414"/>
      <c r="N163" s="414"/>
      <c r="O163" s="414"/>
      <c r="P163" s="414"/>
      <c r="Q163" s="414"/>
      <c r="R163" s="414"/>
      <c r="S163" s="104"/>
    </row>
    <row r="164" spans="5:19" ht="14" x14ac:dyDescent="0.25">
      <c r="E164" s="2" t="s">
        <v>15</v>
      </c>
      <c r="F164" s="71">
        <v>33.200000000000003</v>
      </c>
      <c r="G164" s="71">
        <v>12.6</v>
      </c>
      <c r="H164" s="41">
        <f>G164/2</f>
        <v>6.3</v>
      </c>
      <c r="I164" s="71">
        <f>F164-H164</f>
        <v>26.900000000000002</v>
      </c>
      <c r="J164" s="5">
        <f t="shared" ref="J164:J175" si="35">C$124</f>
        <v>1.75</v>
      </c>
      <c r="K164" s="5">
        <v>26</v>
      </c>
      <c r="L164" s="5">
        <f>25.5-K164</f>
        <v>-0.5</v>
      </c>
      <c r="M164" s="8">
        <f t="shared" ref="M164:M175" si="36">I164-29.4</f>
        <v>-2.4999999999999964</v>
      </c>
      <c r="N164" s="8">
        <f t="shared" ref="N164:N175" si="37">J164+L164+M164</f>
        <v>-1.2499999999999964</v>
      </c>
      <c r="O164" s="8">
        <v>3.75</v>
      </c>
      <c r="P164" s="8">
        <v>1.296</v>
      </c>
      <c r="Q164" s="8">
        <f>31*16</f>
        <v>496</v>
      </c>
      <c r="R164" s="108">
        <f t="shared" ref="R164:R175" si="38">(N164*O164*P164*Q164)/1000</f>
        <v>-3.0131999999999914</v>
      </c>
      <c r="S164" s="109"/>
    </row>
    <row r="165" spans="5:19" ht="14" x14ac:dyDescent="0.25">
      <c r="E165" s="2" t="s">
        <v>16</v>
      </c>
      <c r="F165" s="71">
        <v>35.9</v>
      </c>
      <c r="G165" s="71">
        <v>13.7</v>
      </c>
      <c r="H165" s="41">
        <f t="shared" ref="H165:H175" si="39">G165/2</f>
        <v>6.85</v>
      </c>
      <c r="I165" s="71">
        <f t="shared" ref="I165:I175" si="40">F165-H165</f>
        <v>29.049999999999997</v>
      </c>
      <c r="J165" s="5">
        <f t="shared" si="35"/>
        <v>1.75</v>
      </c>
      <c r="K165" s="5">
        <v>26</v>
      </c>
      <c r="L165" s="5">
        <f t="shared" ref="L165:L175" si="41">25.5-K165</f>
        <v>-0.5</v>
      </c>
      <c r="M165" s="8">
        <f t="shared" si="36"/>
        <v>-0.35000000000000142</v>
      </c>
      <c r="N165" s="8">
        <f t="shared" si="37"/>
        <v>0.89999999999999858</v>
      </c>
      <c r="O165" s="8">
        <v>3.75</v>
      </c>
      <c r="P165" s="8">
        <v>1.296</v>
      </c>
      <c r="Q165" s="8">
        <f>28*16</f>
        <v>448</v>
      </c>
      <c r="R165" s="108">
        <f t="shared" si="38"/>
        <v>1.9595519999999969</v>
      </c>
      <c r="S165" s="109"/>
    </row>
    <row r="166" spans="5:19" ht="14" x14ac:dyDescent="0.25">
      <c r="E166" s="2" t="s">
        <v>17</v>
      </c>
      <c r="F166" s="71">
        <v>37.1</v>
      </c>
      <c r="G166" s="71">
        <v>13</v>
      </c>
      <c r="H166" s="41">
        <f t="shared" si="39"/>
        <v>6.5</v>
      </c>
      <c r="I166" s="71">
        <f t="shared" si="40"/>
        <v>30.6</v>
      </c>
      <c r="J166" s="5">
        <f t="shared" si="35"/>
        <v>1.75</v>
      </c>
      <c r="K166" s="5">
        <v>26</v>
      </c>
      <c r="L166" s="5">
        <f t="shared" si="41"/>
        <v>-0.5</v>
      </c>
      <c r="M166" s="8">
        <f t="shared" si="36"/>
        <v>1.2000000000000028</v>
      </c>
      <c r="N166" s="8">
        <f t="shared" si="37"/>
        <v>2.4500000000000028</v>
      </c>
      <c r="O166" s="8">
        <v>3.75</v>
      </c>
      <c r="P166" s="8">
        <v>1.296</v>
      </c>
      <c r="Q166" s="8">
        <f>31*16</f>
        <v>496</v>
      </c>
      <c r="R166" s="108">
        <f t="shared" si="38"/>
        <v>5.9058720000000067</v>
      </c>
      <c r="S166" s="109"/>
    </row>
    <row r="167" spans="5:19" ht="14" x14ac:dyDescent="0.25">
      <c r="E167" s="2" t="s">
        <v>18</v>
      </c>
      <c r="F167" s="71">
        <v>38.9</v>
      </c>
      <c r="G167" s="71">
        <v>11.7</v>
      </c>
      <c r="H167" s="41">
        <f t="shared" si="39"/>
        <v>5.85</v>
      </c>
      <c r="I167" s="71">
        <f t="shared" si="40"/>
        <v>33.049999999999997</v>
      </c>
      <c r="J167" s="5">
        <f t="shared" si="35"/>
        <v>1.75</v>
      </c>
      <c r="K167" s="5">
        <v>26</v>
      </c>
      <c r="L167" s="5">
        <f t="shared" si="41"/>
        <v>-0.5</v>
      </c>
      <c r="M167" s="8">
        <f t="shared" si="36"/>
        <v>3.6499999999999986</v>
      </c>
      <c r="N167" s="8">
        <f t="shared" si="37"/>
        <v>4.8999999999999986</v>
      </c>
      <c r="O167" s="8">
        <v>3.75</v>
      </c>
      <c r="P167" s="8">
        <v>1.296</v>
      </c>
      <c r="Q167" s="8">
        <f>30*16</f>
        <v>480</v>
      </c>
      <c r="R167" s="108">
        <f t="shared" si="38"/>
        <v>11.430719999999997</v>
      </c>
      <c r="S167" s="109"/>
    </row>
    <row r="168" spans="5:19" ht="14" x14ac:dyDescent="0.25">
      <c r="E168" s="2" t="s">
        <v>12</v>
      </c>
      <c r="F168" s="71">
        <v>37.799999999999997</v>
      </c>
      <c r="G168" s="71">
        <v>8.1</v>
      </c>
      <c r="H168" s="41">
        <f t="shared" si="39"/>
        <v>4.05</v>
      </c>
      <c r="I168" s="71">
        <f t="shared" si="40"/>
        <v>33.75</v>
      </c>
      <c r="J168" s="5">
        <f t="shared" si="35"/>
        <v>1.75</v>
      </c>
      <c r="K168" s="5">
        <v>26</v>
      </c>
      <c r="L168" s="5">
        <f t="shared" si="41"/>
        <v>-0.5</v>
      </c>
      <c r="M168" s="8">
        <f t="shared" si="36"/>
        <v>4.3500000000000014</v>
      </c>
      <c r="N168" s="8">
        <f t="shared" si="37"/>
        <v>5.6000000000000014</v>
      </c>
      <c r="O168" s="8">
        <v>3.75</v>
      </c>
      <c r="P168" s="8">
        <v>1.296</v>
      </c>
      <c r="Q168" s="8">
        <f>31*16</f>
        <v>496</v>
      </c>
      <c r="R168" s="108">
        <f t="shared" si="38"/>
        <v>13.499136000000005</v>
      </c>
      <c r="S168" s="109"/>
    </row>
    <row r="169" spans="5:19" ht="14" x14ac:dyDescent="0.25">
      <c r="E169" s="2" t="s">
        <v>13</v>
      </c>
      <c r="F169" s="71">
        <v>32.200000000000003</v>
      </c>
      <c r="G169" s="71">
        <v>5.6</v>
      </c>
      <c r="H169" s="41">
        <f t="shared" si="39"/>
        <v>2.8</v>
      </c>
      <c r="I169" s="71">
        <f t="shared" si="40"/>
        <v>29.400000000000002</v>
      </c>
      <c r="J169" s="5">
        <f t="shared" si="35"/>
        <v>1.75</v>
      </c>
      <c r="K169" s="5">
        <v>26</v>
      </c>
      <c r="L169" s="5">
        <f t="shared" si="41"/>
        <v>-0.5</v>
      </c>
      <c r="M169" s="8">
        <f t="shared" si="36"/>
        <v>0</v>
      </c>
      <c r="N169" s="8">
        <f t="shared" si="37"/>
        <v>1.25</v>
      </c>
      <c r="O169" s="8">
        <v>3.75</v>
      </c>
      <c r="P169" s="8">
        <v>1.296</v>
      </c>
      <c r="Q169" s="8">
        <f>30*16</f>
        <v>480</v>
      </c>
      <c r="R169" s="108">
        <f t="shared" si="38"/>
        <v>2.9159999999999999</v>
      </c>
      <c r="S169" s="109"/>
    </row>
    <row r="170" spans="5:19" ht="14" x14ac:dyDescent="0.25">
      <c r="E170" s="2" t="s">
        <v>24</v>
      </c>
      <c r="F170" s="41">
        <v>31.9</v>
      </c>
      <c r="G170" s="98">
        <v>5.2</v>
      </c>
      <c r="H170" s="41">
        <f t="shared" si="39"/>
        <v>2.6</v>
      </c>
      <c r="I170" s="71">
        <f t="shared" si="40"/>
        <v>29.299999999999997</v>
      </c>
      <c r="J170" s="5">
        <f t="shared" si="35"/>
        <v>1.75</v>
      </c>
      <c r="K170" s="5">
        <v>26</v>
      </c>
      <c r="L170" s="5">
        <f t="shared" si="41"/>
        <v>-0.5</v>
      </c>
      <c r="M170" s="8">
        <f t="shared" si="36"/>
        <v>-0.10000000000000142</v>
      </c>
      <c r="N170" s="8">
        <f t="shared" si="37"/>
        <v>1.1499999999999986</v>
      </c>
      <c r="O170" s="8">
        <v>3.75</v>
      </c>
      <c r="P170" s="8">
        <v>1.296</v>
      </c>
      <c r="Q170" s="8">
        <f>31*16</f>
        <v>496</v>
      </c>
      <c r="R170" s="108">
        <f t="shared" si="38"/>
        <v>2.7721439999999964</v>
      </c>
      <c r="S170" s="109"/>
    </row>
    <row r="171" spans="5:19" ht="14" x14ac:dyDescent="0.25">
      <c r="E171" s="2" t="s">
        <v>19</v>
      </c>
      <c r="F171" s="41">
        <v>31.2</v>
      </c>
      <c r="G171" s="98">
        <v>4.9000000000000004</v>
      </c>
      <c r="H171" s="41">
        <f t="shared" si="39"/>
        <v>2.4500000000000002</v>
      </c>
      <c r="I171" s="71">
        <f t="shared" si="40"/>
        <v>28.75</v>
      </c>
      <c r="J171" s="5">
        <f t="shared" si="35"/>
        <v>1.75</v>
      </c>
      <c r="K171" s="5">
        <v>26</v>
      </c>
      <c r="L171" s="5">
        <f t="shared" si="41"/>
        <v>-0.5</v>
      </c>
      <c r="M171" s="8">
        <f t="shared" si="36"/>
        <v>-0.64999999999999858</v>
      </c>
      <c r="N171" s="8">
        <f t="shared" si="37"/>
        <v>0.60000000000000142</v>
      </c>
      <c r="O171" s="8">
        <v>3.75</v>
      </c>
      <c r="P171" s="8">
        <v>1.296</v>
      </c>
      <c r="Q171" s="8">
        <f>31*16</f>
        <v>496</v>
      </c>
      <c r="R171" s="108">
        <f t="shared" si="38"/>
        <v>1.4463360000000034</v>
      </c>
      <c r="S171" s="109"/>
    </row>
    <row r="172" spans="5:19" ht="14" x14ac:dyDescent="0.25">
      <c r="E172" s="2" t="s">
        <v>20</v>
      </c>
      <c r="F172" s="41">
        <v>32.200000000000003</v>
      </c>
      <c r="G172" s="98">
        <v>5.7</v>
      </c>
      <c r="H172" s="41">
        <f t="shared" si="39"/>
        <v>2.85</v>
      </c>
      <c r="I172" s="71">
        <f t="shared" si="40"/>
        <v>29.35</v>
      </c>
      <c r="J172" s="5">
        <f t="shared" si="35"/>
        <v>1.75</v>
      </c>
      <c r="K172" s="5">
        <v>26</v>
      </c>
      <c r="L172" s="5">
        <f t="shared" si="41"/>
        <v>-0.5</v>
      </c>
      <c r="M172" s="8">
        <f t="shared" si="36"/>
        <v>-4.9999999999997158E-2</v>
      </c>
      <c r="N172" s="8">
        <f t="shared" si="37"/>
        <v>1.2000000000000028</v>
      </c>
      <c r="O172" s="8">
        <v>3.75</v>
      </c>
      <c r="P172" s="8">
        <v>1.296</v>
      </c>
      <c r="Q172" s="8">
        <f>30*16</f>
        <v>480</v>
      </c>
      <c r="R172" s="108">
        <f t="shared" si="38"/>
        <v>2.7993600000000067</v>
      </c>
      <c r="S172" s="109"/>
    </row>
    <row r="173" spans="5:19" ht="14" x14ac:dyDescent="0.25">
      <c r="E173" s="2" t="s">
        <v>21</v>
      </c>
      <c r="F173" s="41">
        <v>33.4</v>
      </c>
      <c r="G173" s="98">
        <v>7.1</v>
      </c>
      <c r="H173" s="41">
        <f t="shared" si="39"/>
        <v>3.55</v>
      </c>
      <c r="I173" s="71">
        <f t="shared" si="40"/>
        <v>29.849999999999998</v>
      </c>
      <c r="J173" s="5">
        <f t="shared" si="35"/>
        <v>1.75</v>
      </c>
      <c r="K173" s="5">
        <v>26</v>
      </c>
      <c r="L173" s="5">
        <f t="shared" si="41"/>
        <v>-0.5</v>
      </c>
      <c r="M173" s="8">
        <f t="shared" si="36"/>
        <v>0.44999999999999929</v>
      </c>
      <c r="N173" s="8">
        <f t="shared" si="37"/>
        <v>1.6999999999999993</v>
      </c>
      <c r="O173" s="8">
        <v>3.75</v>
      </c>
      <c r="P173" s="8">
        <v>1.296</v>
      </c>
      <c r="Q173" s="8">
        <f>31*16</f>
        <v>496</v>
      </c>
      <c r="R173" s="108">
        <f t="shared" si="38"/>
        <v>4.0979519999999985</v>
      </c>
      <c r="S173" s="109"/>
    </row>
    <row r="174" spans="5:19" ht="14" x14ac:dyDescent="0.25">
      <c r="E174" s="2" t="s">
        <v>22</v>
      </c>
      <c r="F174" s="41">
        <v>33.9</v>
      </c>
      <c r="G174" s="98">
        <v>9</v>
      </c>
      <c r="H174" s="41">
        <f t="shared" si="39"/>
        <v>4.5</v>
      </c>
      <c r="I174" s="71">
        <f t="shared" si="40"/>
        <v>29.4</v>
      </c>
      <c r="J174" s="5">
        <f t="shared" si="35"/>
        <v>1.75</v>
      </c>
      <c r="K174" s="5">
        <v>26</v>
      </c>
      <c r="L174" s="5">
        <f t="shared" si="41"/>
        <v>-0.5</v>
      </c>
      <c r="M174" s="8">
        <f t="shared" si="36"/>
        <v>0</v>
      </c>
      <c r="N174" s="8">
        <f t="shared" si="37"/>
        <v>1.25</v>
      </c>
      <c r="O174" s="8">
        <v>3.75</v>
      </c>
      <c r="P174" s="8">
        <v>1.296</v>
      </c>
      <c r="Q174" s="8">
        <f>30*16</f>
        <v>480</v>
      </c>
      <c r="R174" s="108">
        <f t="shared" si="38"/>
        <v>2.9159999999999999</v>
      </c>
      <c r="S174" s="109"/>
    </row>
    <row r="175" spans="5:19" ht="14" x14ac:dyDescent="0.25">
      <c r="E175" s="2" t="s">
        <v>23</v>
      </c>
      <c r="F175" s="41">
        <v>33.200000000000003</v>
      </c>
      <c r="G175" s="98">
        <v>11.3</v>
      </c>
      <c r="H175" s="41">
        <f t="shared" si="39"/>
        <v>5.65</v>
      </c>
      <c r="I175" s="71">
        <f t="shared" si="40"/>
        <v>27.550000000000004</v>
      </c>
      <c r="J175" s="5">
        <f t="shared" si="35"/>
        <v>1.75</v>
      </c>
      <c r="K175" s="5">
        <v>26</v>
      </c>
      <c r="L175" s="5">
        <f t="shared" si="41"/>
        <v>-0.5</v>
      </c>
      <c r="M175" s="8">
        <f t="shared" si="36"/>
        <v>-1.8499999999999943</v>
      </c>
      <c r="N175" s="8">
        <f t="shared" si="37"/>
        <v>-0.59999999999999432</v>
      </c>
      <c r="O175" s="8">
        <v>3.75</v>
      </c>
      <c r="P175" s="8">
        <v>1.296</v>
      </c>
      <c r="Q175" s="8">
        <f>31*16</f>
        <v>496</v>
      </c>
      <c r="R175" s="108">
        <f t="shared" si="38"/>
        <v>-1.4463359999999863</v>
      </c>
      <c r="S175" s="109"/>
    </row>
    <row r="176" spans="5:19" ht="15" x14ac:dyDescent="0.25">
      <c r="E176" s="417" t="s">
        <v>61</v>
      </c>
      <c r="F176" s="418"/>
      <c r="G176" s="418"/>
      <c r="H176" s="418"/>
      <c r="I176" s="418"/>
      <c r="J176" s="418"/>
      <c r="K176" s="418"/>
      <c r="L176" s="418"/>
      <c r="M176" s="418"/>
      <c r="N176" s="418"/>
      <c r="O176" s="418"/>
      <c r="P176" s="418"/>
      <c r="Q176" s="419"/>
      <c r="R176" s="107">
        <f>SUM(R164:R175)</f>
        <v>45.283536000000026</v>
      </c>
      <c r="S176" s="105"/>
    </row>
    <row r="177" spans="5:19" ht="15" x14ac:dyDescent="0.4">
      <c r="E177" s="413" t="s">
        <v>75</v>
      </c>
      <c r="F177" s="414"/>
      <c r="G177" s="414"/>
      <c r="H177" s="414"/>
      <c r="I177" s="414"/>
      <c r="J177" s="414"/>
      <c r="K177" s="414"/>
      <c r="L177" s="414"/>
      <c r="M177" s="414"/>
      <c r="N177" s="414"/>
      <c r="O177" s="414"/>
      <c r="P177" s="414"/>
      <c r="Q177" s="414"/>
      <c r="R177" s="414"/>
      <c r="S177" s="104"/>
    </row>
    <row r="178" spans="5:19" ht="14" x14ac:dyDescent="0.25">
      <c r="E178" s="2" t="s">
        <v>15</v>
      </c>
      <c r="F178" s="71">
        <v>33.200000000000003</v>
      </c>
      <c r="G178" s="71">
        <v>12.6</v>
      </c>
      <c r="H178" s="41">
        <f>G178/2</f>
        <v>6.3</v>
      </c>
      <c r="I178" s="71">
        <f>F178-H178</f>
        <v>26.900000000000002</v>
      </c>
      <c r="J178" s="5">
        <f t="shared" ref="J178:J189" si="42">C$124</f>
        <v>1.75</v>
      </c>
      <c r="K178" s="5">
        <v>27</v>
      </c>
      <c r="L178" s="5">
        <f>25.5-K178</f>
        <v>-1.5</v>
      </c>
      <c r="M178" s="8">
        <f t="shared" ref="M178:M189" si="43">I178-29.4</f>
        <v>-2.4999999999999964</v>
      </c>
      <c r="N178" s="8">
        <f t="shared" ref="N178:N189" si="44">J178+L178+M178</f>
        <v>-2.2499999999999964</v>
      </c>
      <c r="O178" s="8">
        <v>3.75</v>
      </c>
      <c r="P178" s="8">
        <v>1.296</v>
      </c>
      <c r="Q178" s="8">
        <f>31*16</f>
        <v>496</v>
      </c>
      <c r="R178" s="108">
        <f t="shared" ref="R178:R189" si="45">(N178*O178*P178*Q178)/1000</f>
        <v>-5.4237599999999908</v>
      </c>
      <c r="S178" s="109"/>
    </row>
    <row r="179" spans="5:19" ht="14" x14ac:dyDescent="0.25">
      <c r="E179" s="2" t="s">
        <v>16</v>
      </c>
      <c r="F179" s="71">
        <v>35.9</v>
      </c>
      <c r="G179" s="71">
        <v>13.7</v>
      </c>
      <c r="H179" s="41">
        <f t="shared" ref="H179:H189" si="46">G179/2</f>
        <v>6.85</v>
      </c>
      <c r="I179" s="71">
        <f t="shared" ref="I179:I189" si="47">F179-H179</f>
        <v>29.049999999999997</v>
      </c>
      <c r="J179" s="5">
        <f t="shared" si="42"/>
        <v>1.75</v>
      </c>
      <c r="K179" s="5">
        <v>27</v>
      </c>
      <c r="L179" s="5">
        <f t="shared" ref="L179:L189" si="48">25.5-K179</f>
        <v>-1.5</v>
      </c>
      <c r="M179" s="8">
        <f t="shared" si="43"/>
        <v>-0.35000000000000142</v>
      </c>
      <c r="N179" s="8">
        <f t="shared" si="44"/>
        <v>-0.10000000000000142</v>
      </c>
      <c r="O179" s="8">
        <v>3.75</v>
      </c>
      <c r="P179" s="8">
        <v>1.296</v>
      </c>
      <c r="Q179" s="8">
        <f>28*16</f>
        <v>448</v>
      </c>
      <c r="R179" s="108">
        <f t="shared" si="45"/>
        <v>-0.21772800000000311</v>
      </c>
      <c r="S179" s="109"/>
    </row>
    <row r="180" spans="5:19" ht="14" x14ac:dyDescent="0.25">
      <c r="E180" s="2" t="s">
        <v>17</v>
      </c>
      <c r="F180" s="71">
        <v>37.1</v>
      </c>
      <c r="G180" s="71">
        <v>13</v>
      </c>
      <c r="H180" s="41">
        <f t="shared" si="46"/>
        <v>6.5</v>
      </c>
      <c r="I180" s="71">
        <f t="shared" si="47"/>
        <v>30.6</v>
      </c>
      <c r="J180" s="5">
        <f t="shared" si="42"/>
        <v>1.75</v>
      </c>
      <c r="K180" s="5">
        <v>27</v>
      </c>
      <c r="L180" s="5">
        <f t="shared" si="48"/>
        <v>-1.5</v>
      </c>
      <c r="M180" s="8">
        <f t="shared" si="43"/>
        <v>1.2000000000000028</v>
      </c>
      <c r="N180" s="8">
        <f t="shared" si="44"/>
        <v>1.4500000000000028</v>
      </c>
      <c r="O180" s="8">
        <v>3.75</v>
      </c>
      <c r="P180" s="8">
        <v>1.296</v>
      </c>
      <c r="Q180" s="8">
        <f>31*16</f>
        <v>496</v>
      </c>
      <c r="R180" s="108">
        <f t="shared" si="45"/>
        <v>3.4953120000000069</v>
      </c>
      <c r="S180" s="109"/>
    </row>
    <row r="181" spans="5:19" ht="14" x14ac:dyDescent="0.25">
      <c r="E181" s="2" t="s">
        <v>18</v>
      </c>
      <c r="F181" s="71">
        <v>38.9</v>
      </c>
      <c r="G181" s="71">
        <v>11.7</v>
      </c>
      <c r="H181" s="41">
        <f t="shared" si="46"/>
        <v>5.85</v>
      </c>
      <c r="I181" s="71">
        <f t="shared" si="47"/>
        <v>33.049999999999997</v>
      </c>
      <c r="J181" s="5">
        <f t="shared" si="42"/>
        <v>1.75</v>
      </c>
      <c r="K181" s="5">
        <v>27</v>
      </c>
      <c r="L181" s="5">
        <f t="shared" si="48"/>
        <v>-1.5</v>
      </c>
      <c r="M181" s="8">
        <f t="shared" si="43"/>
        <v>3.6499999999999986</v>
      </c>
      <c r="N181" s="8">
        <f t="shared" si="44"/>
        <v>3.8999999999999986</v>
      </c>
      <c r="O181" s="8">
        <v>3.75</v>
      </c>
      <c r="P181" s="8">
        <v>1.296</v>
      </c>
      <c r="Q181" s="8">
        <f>30*16</f>
        <v>480</v>
      </c>
      <c r="R181" s="108">
        <f t="shared" si="45"/>
        <v>9.0979199999999967</v>
      </c>
      <c r="S181" s="109"/>
    </row>
    <row r="182" spans="5:19" ht="14" x14ac:dyDescent="0.25">
      <c r="E182" s="2" t="s">
        <v>12</v>
      </c>
      <c r="F182" s="71">
        <v>37.799999999999997</v>
      </c>
      <c r="G182" s="71">
        <v>8.1</v>
      </c>
      <c r="H182" s="41">
        <f t="shared" si="46"/>
        <v>4.05</v>
      </c>
      <c r="I182" s="71">
        <f t="shared" si="47"/>
        <v>33.75</v>
      </c>
      <c r="J182" s="5">
        <f t="shared" si="42"/>
        <v>1.75</v>
      </c>
      <c r="K182" s="5">
        <v>27</v>
      </c>
      <c r="L182" s="5">
        <f t="shared" si="48"/>
        <v>-1.5</v>
      </c>
      <c r="M182" s="8">
        <f t="shared" si="43"/>
        <v>4.3500000000000014</v>
      </c>
      <c r="N182" s="8">
        <f t="shared" si="44"/>
        <v>4.6000000000000014</v>
      </c>
      <c r="O182" s="8">
        <v>3.75</v>
      </c>
      <c r="P182" s="8">
        <v>1.296</v>
      </c>
      <c r="Q182" s="8">
        <f>31*16</f>
        <v>496</v>
      </c>
      <c r="R182" s="108">
        <f t="shared" si="45"/>
        <v>11.088576000000005</v>
      </c>
      <c r="S182" s="109"/>
    </row>
    <row r="183" spans="5:19" ht="14" x14ac:dyDescent="0.25">
      <c r="E183" s="2" t="s">
        <v>13</v>
      </c>
      <c r="F183" s="71">
        <v>32.200000000000003</v>
      </c>
      <c r="G183" s="71">
        <v>5.6</v>
      </c>
      <c r="H183" s="41">
        <f t="shared" si="46"/>
        <v>2.8</v>
      </c>
      <c r="I183" s="71">
        <f t="shared" si="47"/>
        <v>29.400000000000002</v>
      </c>
      <c r="J183" s="5">
        <f t="shared" si="42"/>
        <v>1.75</v>
      </c>
      <c r="K183" s="5">
        <v>27</v>
      </c>
      <c r="L183" s="5">
        <f t="shared" si="48"/>
        <v>-1.5</v>
      </c>
      <c r="M183" s="8">
        <f t="shared" si="43"/>
        <v>0</v>
      </c>
      <c r="N183" s="8">
        <f t="shared" si="44"/>
        <v>0.25</v>
      </c>
      <c r="O183" s="8">
        <v>3.75</v>
      </c>
      <c r="P183" s="8">
        <v>1.296</v>
      </c>
      <c r="Q183" s="8">
        <f>30*16</f>
        <v>480</v>
      </c>
      <c r="R183" s="108">
        <f t="shared" si="45"/>
        <v>0.58320000000000005</v>
      </c>
      <c r="S183" s="109"/>
    </row>
    <row r="184" spans="5:19" ht="14" x14ac:dyDescent="0.25">
      <c r="E184" s="2" t="s">
        <v>24</v>
      </c>
      <c r="F184" s="41">
        <v>31.9</v>
      </c>
      <c r="G184" s="98">
        <v>5.2</v>
      </c>
      <c r="H184" s="41">
        <f t="shared" si="46"/>
        <v>2.6</v>
      </c>
      <c r="I184" s="71">
        <f t="shared" si="47"/>
        <v>29.299999999999997</v>
      </c>
      <c r="J184" s="5">
        <f t="shared" si="42"/>
        <v>1.75</v>
      </c>
      <c r="K184" s="5">
        <v>27</v>
      </c>
      <c r="L184" s="5">
        <f t="shared" si="48"/>
        <v>-1.5</v>
      </c>
      <c r="M184" s="8">
        <f t="shared" si="43"/>
        <v>-0.10000000000000142</v>
      </c>
      <c r="N184" s="8">
        <f t="shared" si="44"/>
        <v>0.14999999999999858</v>
      </c>
      <c r="O184" s="8">
        <v>3.75</v>
      </c>
      <c r="P184" s="8">
        <v>1.296</v>
      </c>
      <c r="Q184" s="8">
        <f>31*16</f>
        <v>496</v>
      </c>
      <c r="R184" s="108">
        <f t="shared" si="45"/>
        <v>0.36158399999999657</v>
      </c>
      <c r="S184" s="109"/>
    </row>
    <row r="185" spans="5:19" ht="14" x14ac:dyDescent="0.25">
      <c r="E185" s="2" t="s">
        <v>19</v>
      </c>
      <c r="F185" s="41">
        <v>31.2</v>
      </c>
      <c r="G185" s="98">
        <v>4.9000000000000004</v>
      </c>
      <c r="H185" s="41">
        <f t="shared" si="46"/>
        <v>2.4500000000000002</v>
      </c>
      <c r="I185" s="71">
        <f t="shared" si="47"/>
        <v>28.75</v>
      </c>
      <c r="J185" s="5">
        <f t="shared" si="42"/>
        <v>1.75</v>
      </c>
      <c r="K185" s="5">
        <v>27</v>
      </c>
      <c r="L185" s="5">
        <f t="shared" si="48"/>
        <v>-1.5</v>
      </c>
      <c r="M185" s="8">
        <f t="shared" si="43"/>
        <v>-0.64999999999999858</v>
      </c>
      <c r="N185" s="8">
        <f t="shared" si="44"/>
        <v>-0.39999999999999858</v>
      </c>
      <c r="O185" s="8">
        <v>3.75</v>
      </c>
      <c r="P185" s="8">
        <v>1.296</v>
      </c>
      <c r="Q185" s="8">
        <f>31*16</f>
        <v>496</v>
      </c>
      <c r="R185" s="108">
        <f t="shared" si="45"/>
        <v>-0.96422399999999653</v>
      </c>
      <c r="S185" s="109"/>
    </row>
    <row r="186" spans="5:19" ht="14" x14ac:dyDescent="0.25">
      <c r="E186" s="2" t="s">
        <v>20</v>
      </c>
      <c r="F186" s="41">
        <v>32.200000000000003</v>
      </c>
      <c r="G186" s="98">
        <v>5.7</v>
      </c>
      <c r="H186" s="41">
        <f t="shared" si="46"/>
        <v>2.85</v>
      </c>
      <c r="I186" s="71">
        <f t="shared" si="47"/>
        <v>29.35</v>
      </c>
      <c r="J186" s="5">
        <f t="shared" si="42"/>
        <v>1.75</v>
      </c>
      <c r="K186" s="5">
        <v>27</v>
      </c>
      <c r="L186" s="5">
        <f t="shared" si="48"/>
        <v>-1.5</v>
      </c>
      <c r="M186" s="8">
        <f t="shared" si="43"/>
        <v>-4.9999999999997158E-2</v>
      </c>
      <c r="N186" s="8">
        <f t="shared" si="44"/>
        <v>0.20000000000000284</v>
      </c>
      <c r="O186" s="8">
        <v>3.75</v>
      </c>
      <c r="P186" s="8">
        <v>1.296</v>
      </c>
      <c r="Q186" s="8">
        <f>30*16</f>
        <v>480</v>
      </c>
      <c r="R186" s="108">
        <f t="shared" si="45"/>
        <v>0.46656000000000664</v>
      </c>
      <c r="S186" s="109"/>
    </row>
    <row r="187" spans="5:19" ht="14" x14ac:dyDescent="0.25">
      <c r="E187" s="2" t="s">
        <v>21</v>
      </c>
      <c r="F187" s="41">
        <v>33.4</v>
      </c>
      <c r="G187" s="98">
        <v>7.1</v>
      </c>
      <c r="H187" s="41">
        <f t="shared" si="46"/>
        <v>3.55</v>
      </c>
      <c r="I187" s="71">
        <f t="shared" si="47"/>
        <v>29.849999999999998</v>
      </c>
      <c r="J187" s="5">
        <f t="shared" si="42"/>
        <v>1.75</v>
      </c>
      <c r="K187" s="5">
        <v>27</v>
      </c>
      <c r="L187" s="5">
        <f t="shared" si="48"/>
        <v>-1.5</v>
      </c>
      <c r="M187" s="8">
        <f t="shared" si="43"/>
        <v>0.44999999999999929</v>
      </c>
      <c r="N187" s="8">
        <f t="shared" si="44"/>
        <v>0.69999999999999929</v>
      </c>
      <c r="O187" s="8">
        <v>3.75</v>
      </c>
      <c r="P187" s="8">
        <v>1.296</v>
      </c>
      <c r="Q187" s="8">
        <f>31*16</f>
        <v>496</v>
      </c>
      <c r="R187" s="108">
        <f t="shared" si="45"/>
        <v>1.6873919999999982</v>
      </c>
      <c r="S187" s="109"/>
    </row>
    <row r="188" spans="5:19" ht="14" x14ac:dyDescent="0.25">
      <c r="E188" s="2" t="s">
        <v>22</v>
      </c>
      <c r="F188" s="41">
        <v>33.9</v>
      </c>
      <c r="G188" s="98">
        <v>9</v>
      </c>
      <c r="H188" s="41">
        <f t="shared" si="46"/>
        <v>4.5</v>
      </c>
      <c r="I188" s="71">
        <f t="shared" si="47"/>
        <v>29.4</v>
      </c>
      <c r="J188" s="5">
        <f t="shared" si="42"/>
        <v>1.75</v>
      </c>
      <c r="K188" s="5">
        <v>27</v>
      </c>
      <c r="L188" s="5">
        <f t="shared" si="48"/>
        <v>-1.5</v>
      </c>
      <c r="M188" s="8">
        <f t="shared" si="43"/>
        <v>0</v>
      </c>
      <c r="N188" s="8">
        <f t="shared" si="44"/>
        <v>0.25</v>
      </c>
      <c r="O188" s="8">
        <v>3.75</v>
      </c>
      <c r="P188" s="8">
        <v>1.296</v>
      </c>
      <c r="Q188" s="8">
        <f>30*16</f>
        <v>480</v>
      </c>
      <c r="R188" s="108">
        <f t="shared" si="45"/>
        <v>0.58320000000000005</v>
      </c>
      <c r="S188" s="109"/>
    </row>
    <row r="189" spans="5:19" ht="14" x14ac:dyDescent="0.25">
      <c r="E189" s="2" t="s">
        <v>23</v>
      </c>
      <c r="F189" s="41">
        <v>33.200000000000003</v>
      </c>
      <c r="G189" s="98">
        <v>11.3</v>
      </c>
      <c r="H189" s="41">
        <f t="shared" si="46"/>
        <v>5.65</v>
      </c>
      <c r="I189" s="71">
        <f t="shared" si="47"/>
        <v>27.550000000000004</v>
      </c>
      <c r="J189" s="5">
        <f t="shared" si="42"/>
        <v>1.75</v>
      </c>
      <c r="K189" s="5">
        <v>27</v>
      </c>
      <c r="L189" s="5">
        <f t="shared" si="48"/>
        <v>-1.5</v>
      </c>
      <c r="M189" s="8">
        <f t="shared" si="43"/>
        <v>-1.8499999999999943</v>
      </c>
      <c r="N189" s="8">
        <f t="shared" si="44"/>
        <v>-1.5999999999999943</v>
      </c>
      <c r="O189" s="8">
        <v>3.75</v>
      </c>
      <c r="P189" s="8">
        <v>1.296</v>
      </c>
      <c r="Q189" s="8">
        <f>31*16</f>
        <v>496</v>
      </c>
      <c r="R189" s="108">
        <f t="shared" si="45"/>
        <v>-3.8568959999999861</v>
      </c>
      <c r="S189" s="109"/>
    </row>
    <row r="190" spans="5:19" ht="15" x14ac:dyDescent="0.25">
      <c r="E190" s="417" t="s">
        <v>61</v>
      </c>
      <c r="F190" s="418"/>
      <c r="G190" s="418"/>
      <c r="H190" s="418"/>
      <c r="I190" s="418"/>
      <c r="J190" s="418"/>
      <c r="K190" s="418"/>
      <c r="L190" s="418"/>
      <c r="M190" s="418"/>
      <c r="N190" s="418"/>
      <c r="O190" s="418"/>
      <c r="P190" s="418"/>
      <c r="Q190" s="419"/>
      <c r="R190" s="107">
        <f>SUM(R178:R189)</f>
        <v>16.90113600000004</v>
      </c>
      <c r="S190" s="105"/>
    </row>
    <row r="191" spans="5:19" ht="15" x14ac:dyDescent="0.4">
      <c r="E191" s="413" t="s">
        <v>76</v>
      </c>
      <c r="F191" s="414"/>
      <c r="G191" s="414"/>
      <c r="H191" s="414"/>
      <c r="I191" s="414"/>
      <c r="J191" s="414"/>
      <c r="K191" s="414"/>
      <c r="L191" s="414"/>
      <c r="M191" s="414"/>
      <c r="N191" s="414"/>
      <c r="O191" s="414"/>
      <c r="P191" s="414"/>
      <c r="Q191" s="414"/>
      <c r="R191" s="414"/>
      <c r="S191" s="104"/>
    </row>
    <row r="192" spans="5:19" ht="14" x14ac:dyDescent="0.25">
      <c r="E192" s="2" t="s">
        <v>15</v>
      </c>
      <c r="F192" s="71">
        <v>33.200000000000003</v>
      </c>
      <c r="G192" s="71">
        <v>12.6</v>
      </c>
      <c r="H192" s="41">
        <f>G192/2</f>
        <v>6.3</v>
      </c>
      <c r="I192" s="71">
        <f>F192-H192</f>
        <v>26.900000000000002</v>
      </c>
      <c r="J192" s="5">
        <f t="shared" ref="J192:J203" si="49">C$124</f>
        <v>1.75</v>
      </c>
      <c r="K192" s="5">
        <v>28</v>
      </c>
      <c r="L192" s="5">
        <f>25.5-K192</f>
        <v>-2.5</v>
      </c>
      <c r="M192" s="8">
        <f t="shared" ref="M192:M203" si="50">I192-29.4</f>
        <v>-2.4999999999999964</v>
      </c>
      <c r="N192" s="8">
        <f t="shared" ref="N192:N203" si="51">J192+L192+M192</f>
        <v>-3.2499999999999964</v>
      </c>
      <c r="O192" s="8">
        <v>3.75</v>
      </c>
      <c r="P192" s="8">
        <v>1.296</v>
      </c>
      <c r="Q192" s="8">
        <f>31*16</f>
        <v>496</v>
      </c>
      <c r="R192" s="108">
        <f t="shared" ref="R192:R203" si="52">(N192*O192*P192*Q192)/1000</f>
        <v>-7.834319999999992</v>
      </c>
      <c r="S192" s="109"/>
    </row>
    <row r="193" spans="5:19" ht="14" x14ac:dyDescent="0.25">
      <c r="E193" s="2" t="s">
        <v>16</v>
      </c>
      <c r="F193" s="71">
        <v>35.9</v>
      </c>
      <c r="G193" s="71">
        <v>13.7</v>
      </c>
      <c r="H193" s="41">
        <f t="shared" ref="H193:H203" si="53">G193/2</f>
        <v>6.85</v>
      </c>
      <c r="I193" s="71">
        <f t="shared" ref="I193:I203" si="54">F193-H193</f>
        <v>29.049999999999997</v>
      </c>
      <c r="J193" s="5">
        <f t="shared" si="49"/>
        <v>1.75</v>
      </c>
      <c r="K193" s="5">
        <v>28</v>
      </c>
      <c r="L193" s="5">
        <f t="shared" ref="L193:L203" si="55">25.5-K193</f>
        <v>-2.5</v>
      </c>
      <c r="M193" s="8">
        <f t="shared" si="50"/>
        <v>-0.35000000000000142</v>
      </c>
      <c r="N193" s="8">
        <f t="shared" si="51"/>
        <v>-1.1000000000000014</v>
      </c>
      <c r="O193" s="8">
        <v>3.75</v>
      </c>
      <c r="P193" s="8">
        <v>1.296</v>
      </c>
      <c r="Q193" s="8">
        <f>28*16</f>
        <v>448</v>
      </c>
      <c r="R193" s="108">
        <f t="shared" si="52"/>
        <v>-2.3950080000000034</v>
      </c>
      <c r="S193" s="109"/>
    </row>
    <row r="194" spans="5:19" ht="14" x14ac:dyDescent="0.25">
      <c r="E194" s="2" t="s">
        <v>17</v>
      </c>
      <c r="F194" s="71">
        <v>37.1</v>
      </c>
      <c r="G194" s="71">
        <v>13</v>
      </c>
      <c r="H194" s="41">
        <f t="shared" si="53"/>
        <v>6.5</v>
      </c>
      <c r="I194" s="71">
        <f t="shared" si="54"/>
        <v>30.6</v>
      </c>
      <c r="J194" s="5">
        <f t="shared" si="49"/>
        <v>1.75</v>
      </c>
      <c r="K194" s="5">
        <v>28</v>
      </c>
      <c r="L194" s="5">
        <f t="shared" si="55"/>
        <v>-2.5</v>
      </c>
      <c r="M194" s="8">
        <f t="shared" si="50"/>
        <v>1.2000000000000028</v>
      </c>
      <c r="N194" s="8">
        <f t="shared" si="51"/>
        <v>0.45000000000000284</v>
      </c>
      <c r="O194" s="8">
        <v>3.75</v>
      </c>
      <c r="P194" s="8">
        <v>1.296</v>
      </c>
      <c r="Q194" s="8">
        <f>31*16</f>
        <v>496</v>
      </c>
      <c r="R194" s="108">
        <f t="shared" si="52"/>
        <v>1.084752000000007</v>
      </c>
      <c r="S194" s="109"/>
    </row>
    <row r="195" spans="5:19" ht="14" x14ac:dyDescent="0.25">
      <c r="E195" s="2" t="s">
        <v>18</v>
      </c>
      <c r="F195" s="71">
        <v>38.9</v>
      </c>
      <c r="G195" s="71">
        <v>11.7</v>
      </c>
      <c r="H195" s="41">
        <f t="shared" si="53"/>
        <v>5.85</v>
      </c>
      <c r="I195" s="71">
        <f t="shared" si="54"/>
        <v>33.049999999999997</v>
      </c>
      <c r="J195" s="5">
        <f t="shared" si="49"/>
        <v>1.75</v>
      </c>
      <c r="K195" s="5">
        <v>28</v>
      </c>
      <c r="L195" s="5">
        <f t="shared" si="55"/>
        <v>-2.5</v>
      </c>
      <c r="M195" s="8">
        <f t="shared" si="50"/>
        <v>3.6499999999999986</v>
      </c>
      <c r="N195" s="8">
        <f t="shared" si="51"/>
        <v>2.8999999999999986</v>
      </c>
      <c r="O195" s="8">
        <v>3.75</v>
      </c>
      <c r="P195" s="8">
        <v>1.296</v>
      </c>
      <c r="Q195" s="8">
        <f>30*16</f>
        <v>480</v>
      </c>
      <c r="R195" s="108">
        <f t="shared" si="52"/>
        <v>6.7651199999999969</v>
      </c>
      <c r="S195" s="109"/>
    </row>
    <row r="196" spans="5:19" ht="14" x14ac:dyDescent="0.25">
      <c r="E196" s="2" t="s">
        <v>12</v>
      </c>
      <c r="F196" s="71">
        <v>37.799999999999997</v>
      </c>
      <c r="G196" s="71">
        <v>8.1</v>
      </c>
      <c r="H196" s="41">
        <f t="shared" si="53"/>
        <v>4.05</v>
      </c>
      <c r="I196" s="71">
        <f t="shared" si="54"/>
        <v>33.75</v>
      </c>
      <c r="J196" s="5">
        <f t="shared" si="49"/>
        <v>1.75</v>
      </c>
      <c r="K196" s="5">
        <v>28</v>
      </c>
      <c r="L196" s="5">
        <f t="shared" si="55"/>
        <v>-2.5</v>
      </c>
      <c r="M196" s="8">
        <f t="shared" si="50"/>
        <v>4.3500000000000014</v>
      </c>
      <c r="N196" s="8">
        <f t="shared" si="51"/>
        <v>3.6000000000000014</v>
      </c>
      <c r="O196" s="8">
        <v>3.75</v>
      </c>
      <c r="P196" s="8">
        <v>1.296</v>
      </c>
      <c r="Q196" s="8">
        <f>31*16</f>
        <v>496</v>
      </c>
      <c r="R196" s="108">
        <f t="shared" si="52"/>
        <v>8.6780160000000031</v>
      </c>
      <c r="S196" s="109"/>
    </row>
    <row r="197" spans="5:19" ht="14" x14ac:dyDescent="0.25">
      <c r="E197" s="2" t="s">
        <v>13</v>
      </c>
      <c r="F197" s="71">
        <v>32.200000000000003</v>
      </c>
      <c r="G197" s="71">
        <v>5.6</v>
      </c>
      <c r="H197" s="41">
        <f t="shared" si="53"/>
        <v>2.8</v>
      </c>
      <c r="I197" s="71">
        <f t="shared" si="54"/>
        <v>29.400000000000002</v>
      </c>
      <c r="J197" s="5">
        <f t="shared" si="49"/>
        <v>1.75</v>
      </c>
      <c r="K197" s="5">
        <v>28</v>
      </c>
      <c r="L197" s="5">
        <f t="shared" si="55"/>
        <v>-2.5</v>
      </c>
      <c r="M197" s="8">
        <f t="shared" si="50"/>
        <v>0</v>
      </c>
      <c r="N197" s="8">
        <f t="shared" si="51"/>
        <v>-0.75</v>
      </c>
      <c r="O197" s="8">
        <v>3.75</v>
      </c>
      <c r="P197" s="8">
        <v>1.296</v>
      </c>
      <c r="Q197" s="8">
        <f>30*16</f>
        <v>480</v>
      </c>
      <c r="R197" s="108">
        <f t="shared" si="52"/>
        <v>-1.7495999999999998</v>
      </c>
      <c r="S197" s="109"/>
    </row>
    <row r="198" spans="5:19" ht="14" x14ac:dyDescent="0.25">
      <c r="E198" s="2" t="s">
        <v>24</v>
      </c>
      <c r="F198" s="41">
        <v>31.9</v>
      </c>
      <c r="G198" s="98">
        <v>5.2</v>
      </c>
      <c r="H198" s="41">
        <f t="shared" si="53"/>
        <v>2.6</v>
      </c>
      <c r="I198" s="71">
        <f t="shared" si="54"/>
        <v>29.299999999999997</v>
      </c>
      <c r="J198" s="5">
        <f t="shared" si="49"/>
        <v>1.75</v>
      </c>
      <c r="K198" s="5">
        <v>28</v>
      </c>
      <c r="L198" s="5">
        <f t="shared" si="55"/>
        <v>-2.5</v>
      </c>
      <c r="M198" s="8">
        <f t="shared" si="50"/>
        <v>-0.10000000000000142</v>
      </c>
      <c r="N198" s="8">
        <f t="shared" si="51"/>
        <v>-0.85000000000000142</v>
      </c>
      <c r="O198" s="8">
        <v>3.75</v>
      </c>
      <c r="P198" s="8">
        <v>1.296</v>
      </c>
      <c r="Q198" s="8">
        <f>31*16</f>
        <v>496</v>
      </c>
      <c r="R198" s="108">
        <f t="shared" si="52"/>
        <v>-2.0489760000000037</v>
      </c>
      <c r="S198" s="109"/>
    </row>
    <row r="199" spans="5:19" ht="14" x14ac:dyDescent="0.25">
      <c r="E199" s="2" t="s">
        <v>19</v>
      </c>
      <c r="F199" s="41">
        <v>31.2</v>
      </c>
      <c r="G199" s="98">
        <v>4.9000000000000004</v>
      </c>
      <c r="H199" s="41">
        <f t="shared" si="53"/>
        <v>2.4500000000000002</v>
      </c>
      <c r="I199" s="71">
        <f t="shared" si="54"/>
        <v>28.75</v>
      </c>
      <c r="J199" s="5">
        <f t="shared" si="49"/>
        <v>1.75</v>
      </c>
      <c r="K199" s="5">
        <v>28</v>
      </c>
      <c r="L199" s="5">
        <f t="shared" si="55"/>
        <v>-2.5</v>
      </c>
      <c r="M199" s="8">
        <f t="shared" si="50"/>
        <v>-0.64999999999999858</v>
      </c>
      <c r="N199" s="8">
        <f t="shared" si="51"/>
        <v>-1.3999999999999986</v>
      </c>
      <c r="O199" s="8">
        <v>3.75</v>
      </c>
      <c r="P199" s="8">
        <v>1.296</v>
      </c>
      <c r="Q199" s="8">
        <f>31*16</f>
        <v>496</v>
      </c>
      <c r="R199" s="108">
        <f t="shared" si="52"/>
        <v>-3.3747839999999965</v>
      </c>
      <c r="S199" s="109"/>
    </row>
    <row r="200" spans="5:19" ht="14" x14ac:dyDescent="0.25">
      <c r="E200" s="2" t="s">
        <v>20</v>
      </c>
      <c r="F200" s="41">
        <v>32.200000000000003</v>
      </c>
      <c r="G200" s="98">
        <v>5.7</v>
      </c>
      <c r="H200" s="41">
        <f t="shared" si="53"/>
        <v>2.85</v>
      </c>
      <c r="I200" s="71">
        <f t="shared" si="54"/>
        <v>29.35</v>
      </c>
      <c r="J200" s="5">
        <f t="shared" si="49"/>
        <v>1.75</v>
      </c>
      <c r="K200" s="5">
        <v>28</v>
      </c>
      <c r="L200" s="5">
        <f t="shared" si="55"/>
        <v>-2.5</v>
      </c>
      <c r="M200" s="8">
        <f t="shared" si="50"/>
        <v>-4.9999999999997158E-2</v>
      </c>
      <c r="N200" s="8">
        <f t="shared" si="51"/>
        <v>-0.79999999999999716</v>
      </c>
      <c r="O200" s="8">
        <v>3.75</v>
      </c>
      <c r="P200" s="8">
        <v>1.296</v>
      </c>
      <c r="Q200" s="8">
        <f>30*16</f>
        <v>480</v>
      </c>
      <c r="R200" s="108">
        <f t="shared" si="52"/>
        <v>-1.8662399999999935</v>
      </c>
      <c r="S200" s="109"/>
    </row>
    <row r="201" spans="5:19" ht="14" x14ac:dyDescent="0.25">
      <c r="E201" s="2" t="s">
        <v>21</v>
      </c>
      <c r="F201" s="41">
        <v>33.4</v>
      </c>
      <c r="G201" s="98">
        <v>7.1</v>
      </c>
      <c r="H201" s="41">
        <f t="shared" si="53"/>
        <v>3.55</v>
      </c>
      <c r="I201" s="71">
        <f t="shared" si="54"/>
        <v>29.849999999999998</v>
      </c>
      <c r="J201" s="5">
        <f t="shared" si="49"/>
        <v>1.75</v>
      </c>
      <c r="K201" s="5">
        <v>28</v>
      </c>
      <c r="L201" s="5">
        <f t="shared" si="55"/>
        <v>-2.5</v>
      </c>
      <c r="M201" s="8">
        <f t="shared" si="50"/>
        <v>0.44999999999999929</v>
      </c>
      <c r="N201" s="8">
        <f t="shared" si="51"/>
        <v>-0.30000000000000071</v>
      </c>
      <c r="O201" s="8">
        <v>3.75</v>
      </c>
      <c r="P201" s="8">
        <v>1.296</v>
      </c>
      <c r="Q201" s="8">
        <f>31*16</f>
        <v>496</v>
      </c>
      <c r="R201" s="108">
        <f t="shared" si="52"/>
        <v>-0.7231680000000017</v>
      </c>
      <c r="S201" s="109"/>
    </row>
    <row r="202" spans="5:19" ht="14" x14ac:dyDescent="0.25">
      <c r="E202" s="2" t="s">
        <v>22</v>
      </c>
      <c r="F202" s="41">
        <v>33.9</v>
      </c>
      <c r="G202" s="98">
        <v>9</v>
      </c>
      <c r="H202" s="41">
        <f t="shared" si="53"/>
        <v>4.5</v>
      </c>
      <c r="I202" s="71">
        <f t="shared" si="54"/>
        <v>29.4</v>
      </c>
      <c r="J202" s="5">
        <f t="shared" si="49"/>
        <v>1.75</v>
      </c>
      <c r="K202" s="5">
        <v>28</v>
      </c>
      <c r="L202" s="5">
        <f t="shared" si="55"/>
        <v>-2.5</v>
      </c>
      <c r="M202" s="8">
        <f t="shared" si="50"/>
        <v>0</v>
      </c>
      <c r="N202" s="8">
        <f t="shared" si="51"/>
        <v>-0.75</v>
      </c>
      <c r="O202" s="8">
        <v>3.75</v>
      </c>
      <c r="P202" s="8">
        <v>1.296</v>
      </c>
      <c r="Q202" s="8">
        <f>30*16</f>
        <v>480</v>
      </c>
      <c r="R202" s="108">
        <f t="shared" si="52"/>
        <v>-1.7495999999999998</v>
      </c>
      <c r="S202" s="109"/>
    </row>
    <row r="203" spans="5:19" ht="14" x14ac:dyDescent="0.25">
      <c r="E203" s="2" t="s">
        <v>23</v>
      </c>
      <c r="F203" s="41">
        <v>33.200000000000003</v>
      </c>
      <c r="G203" s="98">
        <v>11.3</v>
      </c>
      <c r="H203" s="41">
        <f t="shared" si="53"/>
        <v>5.65</v>
      </c>
      <c r="I203" s="71">
        <f t="shared" si="54"/>
        <v>27.550000000000004</v>
      </c>
      <c r="J203" s="5">
        <f t="shared" si="49"/>
        <v>1.75</v>
      </c>
      <c r="K203" s="5">
        <v>28</v>
      </c>
      <c r="L203" s="5">
        <f t="shared" si="55"/>
        <v>-2.5</v>
      </c>
      <c r="M203" s="8">
        <f t="shared" si="50"/>
        <v>-1.8499999999999943</v>
      </c>
      <c r="N203" s="8">
        <f t="shared" si="51"/>
        <v>-2.5999999999999943</v>
      </c>
      <c r="O203" s="8">
        <v>3.75</v>
      </c>
      <c r="P203" s="8">
        <v>1.296</v>
      </c>
      <c r="Q203" s="8">
        <f>31*16</f>
        <v>496</v>
      </c>
      <c r="R203" s="108">
        <f t="shared" si="52"/>
        <v>-6.2674559999999868</v>
      </c>
      <c r="S203" s="109"/>
    </row>
    <row r="204" spans="5:19" ht="15.5" thickBot="1" x14ac:dyDescent="0.3">
      <c r="E204" s="420" t="s">
        <v>61</v>
      </c>
      <c r="F204" s="421"/>
      <c r="G204" s="421"/>
      <c r="H204" s="421"/>
      <c r="I204" s="421"/>
      <c r="J204" s="421"/>
      <c r="K204" s="421"/>
      <c r="L204" s="421"/>
      <c r="M204" s="421"/>
      <c r="N204" s="421"/>
      <c r="O204" s="421"/>
      <c r="P204" s="421"/>
      <c r="Q204" s="422"/>
      <c r="R204" s="107">
        <f>SUM(R192:R203)</f>
        <v>-11.481263999999971</v>
      </c>
      <c r="S204" s="105"/>
    </row>
    <row r="207" spans="5:19" ht="13.5" thickBot="1" x14ac:dyDescent="0.3"/>
    <row r="208" spans="5:19" x14ac:dyDescent="0.3">
      <c r="E208" s="295" t="s">
        <v>81</v>
      </c>
      <c r="F208" s="296"/>
      <c r="G208" s="296"/>
      <c r="H208" s="296"/>
      <c r="I208" s="296"/>
      <c r="J208" s="296"/>
      <c r="K208" s="297"/>
    </row>
    <row r="209" spans="5:11" ht="15.5" thickBot="1" x14ac:dyDescent="0.3">
      <c r="E209" s="46" t="s">
        <v>78</v>
      </c>
      <c r="F209" s="37" t="s">
        <v>63</v>
      </c>
      <c r="G209" s="37" t="s">
        <v>64</v>
      </c>
      <c r="H209" s="37" t="s">
        <v>79</v>
      </c>
      <c r="I209" s="37" t="s">
        <v>82</v>
      </c>
      <c r="J209" s="37" t="s">
        <v>57</v>
      </c>
      <c r="K209" s="73" t="s">
        <v>80</v>
      </c>
    </row>
    <row r="210" spans="5:11" x14ac:dyDescent="0.25">
      <c r="E210" s="44" t="s">
        <v>15</v>
      </c>
      <c r="F210" s="8">
        <v>0.55000000000000004</v>
      </c>
      <c r="G210" s="8">
        <v>0.51</v>
      </c>
      <c r="H210" s="111">
        <v>94.63</v>
      </c>
      <c r="I210" s="8">
        <v>1.296</v>
      </c>
      <c r="J210" s="8">
        <f>31*16</f>
        <v>496</v>
      </c>
      <c r="K210" s="40">
        <f>(F210*G210*H210*I210*J210)/1000</f>
        <v>17.062724701440001</v>
      </c>
    </row>
    <row r="211" spans="5:11" x14ac:dyDescent="0.25">
      <c r="E211" s="44" t="s">
        <v>16</v>
      </c>
      <c r="F211" s="8">
        <v>0.55000000000000004</v>
      </c>
      <c r="G211" s="8">
        <v>0.51</v>
      </c>
      <c r="H211" s="63">
        <v>104.1</v>
      </c>
      <c r="I211" s="8">
        <v>1.296</v>
      </c>
      <c r="J211" s="8">
        <f>28*16</f>
        <v>448</v>
      </c>
      <c r="K211" s="40">
        <f t="shared" ref="K211:K221" si="56">(F211*G211*H211*I211*J211)/1000</f>
        <v>16.953782630399999</v>
      </c>
    </row>
    <row r="212" spans="5:11" x14ac:dyDescent="0.25">
      <c r="E212" s="44" t="s">
        <v>17</v>
      </c>
      <c r="F212" s="8">
        <v>0.55000000000000004</v>
      </c>
      <c r="G212" s="8">
        <v>0.51</v>
      </c>
      <c r="H212" s="63">
        <v>110.41</v>
      </c>
      <c r="I212" s="8">
        <v>1.296</v>
      </c>
      <c r="J212" s="8">
        <f>31*16</f>
        <v>496</v>
      </c>
      <c r="K212" s="40">
        <f t="shared" si="56"/>
        <v>19.908014734079998</v>
      </c>
    </row>
    <row r="213" spans="5:11" x14ac:dyDescent="0.25">
      <c r="E213" s="44" t="s">
        <v>18</v>
      </c>
      <c r="F213" s="8">
        <v>0.55000000000000004</v>
      </c>
      <c r="G213" s="8">
        <v>0.51</v>
      </c>
      <c r="H213" s="63">
        <v>123.02</v>
      </c>
      <c r="I213" s="8">
        <v>1.296</v>
      </c>
      <c r="J213" s="8">
        <f>30*16</f>
        <v>480</v>
      </c>
      <c r="K213" s="40">
        <f t="shared" si="56"/>
        <v>21.466182988800004</v>
      </c>
    </row>
    <row r="214" spans="5:11" x14ac:dyDescent="0.25">
      <c r="E214" s="44" t="s">
        <v>12</v>
      </c>
      <c r="F214" s="8">
        <v>0.55000000000000004</v>
      </c>
      <c r="G214" s="8">
        <v>0.51</v>
      </c>
      <c r="H214" s="63">
        <v>164.03</v>
      </c>
      <c r="I214" s="8">
        <v>1.296</v>
      </c>
      <c r="J214" s="8">
        <f>31*16</f>
        <v>496</v>
      </c>
      <c r="K214" s="40">
        <f t="shared" si="56"/>
        <v>29.576230928640001</v>
      </c>
    </row>
    <row r="215" spans="5:11" x14ac:dyDescent="0.25">
      <c r="E215" s="44" t="s">
        <v>13</v>
      </c>
      <c r="F215" s="8">
        <v>0.55000000000000004</v>
      </c>
      <c r="G215" s="8">
        <v>0.51</v>
      </c>
      <c r="H215" s="63">
        <v>208.2</v>
      </c>
      <c r="I215" s="8">
        <v>1.296</v>
      </c>
      <c r="J215" s="8">
        <f>30*16</f>
        <v>480</v>
      </c>
      <c r="K215" s="40">
        <f t="shared" si="56"/>
        <v>36.329534207999998</v>
      </c>
    </row>
    <row r="216" spans="5:11" x14ac:dyDescent="0.25">
      <c r="E216" s="44" t="s">
        <v>24</v>
      </c>
      <c r="F216" s="8">
        <v>0.55000000000000004</v>
      </c>
      <c r="G216" s="8">
        <v>0.51</v>
      </c>
      <c r="H216" s="118">
        <v>173.5</v>
      </c>
      <c r="I216" s="8">
        <v>1.296</v>
      </c>
      <c r="J216" s="8">
        <f>31*16</f>
        <v>496</v>
      </c>
      <c r="K216" s="40">
        <f t="shared" si="56"/>
        <v>31.283765568000007</v>
      </c>
    </row>
    <row r="217" spans="5:11" x14ac:dyDescent="0.25">
      <c r="E217" s="44" t="s">
        <v>19</v>
      </c>
      <c r="F217" s="8">
        <v>0.55000000000000004</v>
      </c>
      <c r="G217" s="8">
        <v>0.51</v>
      </c>
      <c r="H217" s="118">
        <v>129.33000000000001</v>
      </c>
      <c r="I217" s="8">
        <v>1.296</v>
      </c>
      <c r="J217" s="8">
        <f>31*16</f>
        <v>496</v>
      </c>
      <c r="K217" s="40">
        <f t="shared" si="56"/>
        <v>23.319477815040006</v>
      </c>
    </row>
    <row r="218" spans="5:11" x14ac:dyDescent="0.25">
      <c r="E218" s="44" t="s">
        <v>20</v>
      </c>
      <c r="F218" s="8">
        <v>0.55000000000000004</v>
      </c>
      <c r="G218" s="8">
        <v>0.51</v>
      </c>
      <c r="H218" s="118">
        <v>113.56</v>
      </c>
      <c r="I218" s="8">
        <v>1.296</v>
      </c>
      <c r="J218" s="8">
        <f>30*16</f>
        <v>480</v>
      </c>
      <c r="K218" s="40">
        <f t="shared" si="56"/>
        <v>19.815475046400003</v>
      </c>
    </row>
    <row r="219" spans="5:11" x14ac:dyDescent="0.25">
      <c r="E219" s="44" t="s">
        <v>21</v>
      </c>
      <c r="F219" s="8">
        <v>0.55000000000000004</v>
      </c>
      <c r="G219" s="8">
        <v>0.51</v>
      </c>
      <c r="H219" s="118">
        <v>104.1</v>
      </c>
      <c r="I219" s="8">
        <v>1.296</v>
      </c>
      <c r="J219" s="8">
        <f>31*16</f>
        <v>496</v>
      </c>
      <c r="K219" s="40">
        <f t="shared" si="56"/>
        <v>18.770259340799999</v>
      </c>
    </row>
    <row r="220" spans="5:11" x14ac:dyDescent="0.25">
      <c r="E220" s="44" t="s">
        <v>22</v>
      </c>
      <c r="F220" s="8">
        <v>0.55000000000000004</v>
      </c>
      <c r="G220" s="8">
        <v>0.51</v>
      </c>
      <c r="H220" s="63">
        <v>94.63</v>
      </c>
      <c r="I220" s="8">
        <v>1.296</v>
      </c>
      <c r="J220" s="8">
        <f>30*16</f>
        <v>480</v>
      </c>
      <c r="K220" s="40">
        <f t="shared" si="56"/>
        <v>16.512314227200005</v>
      </c>
    </row>
    <row r="221" spans="5:11" ht="13.5" thickBot="1" x14ac:dyDescent="0.3">
      <c r="E221" s="44" t="s">
        <v>23</v>
      </c>
      <c r="F221" s="8">
        <v>0.55000000000000004</v>
      </c>
      <c r="G221" s="8">
        <v>0.51</v>
      </c>
      <c r="H221" s="64">
        <v>91.48</v>
      </c>
      <c r="I221" s="8">
        <v>1.296</v>
      </c>
      <c r="J221" s="8">
        <f>31*16</f>
        <v>496</v>
      </c>
      <c r="K221" s="40">
        <f t="shared" si="56"/>
        <v>16.494748554240001</v>
      </c>
    </row>
    <row r="222" spans="5:11" ht="15.5" thickBot="1" x14ac:dyDescent="0.45">
      <c r="E222" s="310" t="s">
        <v>80</v>
      </c>
      <c r="F222" s="311"/>
      <c r="G222" s="311"/>
      <c r="H222" s="311"/>
      <c r="I222" s="311"/>
      <c r="J222" s="311"/>
      <c r="K222" s="74">
        <f>SUM(K210:K221)</f>
        <v>267.49251074304004</v>
      </c>
    </row>
    <row r="225" spans="5:18" ht="13.5" thickBot="1" x14ac:dyDescent="0.3"/>
    <row r="226" spans="5:18" x14ac:dyDescent="0.3">
      <c r="E226" s="308" t="s">
        <v>89</v>
      </c>
      <c r="F226" s="309"/>
      <c r="G226" s="309"/>
      <c r="H226" s="309"/>
      <c r="I226" s="309"/>
      <c r="J226" s="309"/>
      <c r="K226" s="309"/>
      <c r="L226" s="309"/>
      <c r="M226" s="309"/>
      <c r="N226" s="309"/>
      <c r="O226" s="309"/>
      <c r="P226" s="309"/>
      <c r="Q226" s="309"/>
      <c r="R226" s="104"/>
    </row>
    <row r="227" spans="5:18" ht="21" customHeight="1" x14ac:dyDescent="0.25">
      <c r="E227" s="46" t="s">
        <v>0</v>
      </c>
      <c r="F227" s="37" t="s">
        <v>84</v>
      </c>
      <c r="G227" s="37" t="s">
        <v>95</v>
      </c>
      <c r="H227" s="37" t="s">
        <v>96</v>
      </c>
      <c r="I227" s="37" t="s">
        <v>97</v>
      </c>
      <c r="J227" s="37" t="s">
        <v>98</v>
      </c>
      <c r="K227" s="37" t="s">
        <v>99</v>
      </c>
      <c r="L227" s="37" t="s">
        <v>100</v>
      </c>
      <c r="M227" s="37" t="s">
        <v>101</v>
      </c>
      <c r="N227" s="37" t="s">
        <v>85</v>
      </c>
      <c r="O227" s="37" t="s">
        <v>102</v>
      </c>
      <c r="P227" s="37" t="s">
        <v>86</v>
      </c>
      <c r="Q227" s="73" t="s">
        <v>103</v>
      </c>
    </row>
    <row r="228" spans="5:18" ht="15" customHeight="1" x14ac:dyDescent="0.25">
      <c r="E228" s="44" t="s">
        <v>15</v>
      </c>
      <c r="F228" s="8">
        <v>0.6</v>
      </c>
      <c r="G228" s="8">
        <v>38.880000000000003</v>
      </c>
      <c r="H228" s="8">
        <v>1.0049999999999999</v>
      </c>
      <c r="I228" s="8">
        <v>1.2929999999999999</v>
      </c>
      <c r="J228" s="71">
        <v>33.200000000000003</v>
      </c>
      <c r="K228" s="8">
        <v>22</v>
      </c>
      <c r="L228" s="8">
        <f>J228-K228</f>
        <v>11.200000000000003</v>
      </c>
      <c r="M228" s="27">
        <f>F228*G228*H228*I228*L228</f>
        <v>339.51589862399999</v>
      </c>
      <c r="N228" s="8">
        <v>0.27700000000000002</v>
      </c>
      <c r="O228" s="18">
        <f t="shared" ref="O228:O239" si="57">M228*N228</f>
        <v>94.045903918847998</v>
      </c>
      <c r="P228" s="8">
        <f>31*16</f>
        <v>496</v>
      </c>
      <c r="Q228" s="40">
        <f>(O228*P228)/1000</f>
        <v>46.646768343748604</v>
      </c>
    </row>
    <row r="229" spans="5:18" ht="15" customHeight="1" x14ac:dyDescent="0.25">
      <c r="E229" s="44" t="s">
        <v>16</v>
      </c>
      <c r="F229" s="8">
        <v>0.6</v>
      </c>
      <c r="G229" s="8">
        <v>38.880000000000003</v>
      </c>
      <c r="H229" s="8">
        <v>1.0049999999999999</v>
      </c>
      <c r="I229" s="8">
        <v>1.2929999999999999</v>
      </c>
      <c r="J229" s="71">
        <v>35.9</v>
      </c>
      <c r="K229" s="8">
        <v>22</v>
      </c>
      <c r="L229" s="8">
        <f t="shared" ref="L229:L239" si="58">J229-K229</f>
        <v>13.899999999999999</v>
      </c>
      <c r="M229" s="27">
        <f t="shared" ref="M229:M239" si="59">F229*G229*H229*I229*L229</f>
        <v>421.36348132799986</v>
      </c>
      <c r="N229" s="8">
        <v>0.27700000000000002</v>
      </c>
      <c r="O229" s="18">
        <f t="shared" si="57"/>
        <v>116.71768432785598</v>
      </c>
      <c r="P229" s="8">
        <f>28*16</f>
        <v>448</v>
      </c>
      <c r="Q229" s="40">
        <f t="shared" ref="Q229:Q239" si="60">(O229*P229)/1000</f>
        <v>52.289522578879478</v>
      </c>
    </row>
    <row r="230" spans="5:18" ht="15" customHeight="1" x14ac:dyDescent="0.25">
      <c r="E230" s="44" t="s">
        <v>17</v>
      </c>
      <c r="F230" s="8">
        <v>0.6</v>
      </c>
      <c r="G230" s="8">
        <v>38.880000000000003</v>
      </c>
      <c r="H230" s="8">
        <v>1.0049999999999999</v>
      </c>
      <c r="I230" s="8">
        <v>1.2929999999999999</v>
      </c>
      <c r="J230" s="71">
        <v>37.1</v>
      </c>
      <c r="K230" s="8">
        <v>22</v>
      </c>
      <c r="L230" s="8">
        <f t="shared" si="58"/>
        <v>15.100000000000001</v>
      </c>
      <c r="M230" s="27">
        <f t="shared" si="59"/>
        <v>457.74018475199989</v>
      </c>
      <c r="N230" s="8">
        <v>0.27700000000000002</v>
      </c>
      <c r="O230" s="18">
        <f t="shared" si="57"/>
        <v>126.79403117630397</v>
      </c>
      <c r="P230" s="8">
        <f>31*16</f>
        <v>496</v>
      </c>
      <c r="Q230" s="40">
        <f t="shared" si="60"/>
        <v>62.889839463446769</v>
      </c>
    </row>
    <row r="231" spans="5:18" ht="15" customHeight="1" x14ac:dyDescent="0.25">
      <c r="E231" s="44" t="s">
        <v>18</v>
      </c>
      <c r="F231" s="8">
        <v>0.6</v>
      </c>
      <c r="G231" s="8">
        <v>38.880000000000003</v>
      </c>
      <c r="H231" s="8">
        <v>1.0049999999999999</v>
      </c>
      <c r="I231" s="8">
        <v>1.2929999999999999</v>
      </c>
      <c r="J231" s="71">
        <v>38.9</v>
      </c>
      <c r="K231" s="8">
        <v>22</v>
      </c>
      <c r="L231" s="8">
        <f t="shared" si="58"/>
        <v>16.899999999999999</v>
      </c>
      <c r="M231" s="27">
        <f t="shared" si="59"/>
        <v>512.30523988799985</v>
      </c>
      <c r="N231" s="8">
        <v>0.27700000000000002</v>
      </c>
      <c r="O231" s="18">
        <f t="shared" si="57"/>
        <v>141.90855144897597</v>
      </c>
      <c r="P231" s="8">
        <f>30*16</f>
        <v>480</v>
      </c>
      <c r="Q231" s="40">
        <f t="shared" si="60"/>
        <v>68.116104695508454</v>
      </c>
    </row>
    <row r="232" spans="5:18" ht="15" customHeight="1" x14ac:dyDescent="0.25">
      <c r="E232" s="44" t="s">
        <v>12</v>
      </c>
      <c r="F232" s="8">
        <v>0.6</v>
      </c>
      <c r="G232" s="8">
        <v>38.880000000000003</v>
      </c>
      <c r="H232" s="8">
        <v>1.0049999999999999</v>
      </c>
      <c r="I232" s="8">
        <v>1.2929999999999999</v>
      </c>
      <c r="J232" s="71">
        <v>37.799999999999997</v>
      </c>
      <c r="K232" s="8">
        <v>22</v>
      </c>
      <c r="L232" s="8">
        <f t="shared" si="58"/>
        <v>15.799999999999997</v>
      </c>
      <c r="M232" s="27">
        <f t="shared" si="59"/>
        <v>478.9599284159998</v>
      </c>
      <c r="N232" s="8">
        <v>0.27700000000000002</v>
      </c>
      <c r="O232" s="18">
        <f t="shared" si="57"/>
        <v>132.67190017123195</v>
      </c>
      <c r="P232" s="8">
        <f>31*16</f>
        <v>496</v>
      </c>
      <c r="Q232" s="40">
        <f t="shared" si="60"/>
        <v>65.805262484931049</v>
      </c>
    </row>
    <row r="233" spans="5:18" ht="15" customHeight="1" x14ac:dyDescent="0.25">
      <c r="E233" s="44" t="s">
        <v>13</v>
      </c>
      <c r="F233" s="8">
        <v>0.6</v>
      </c>
      <c r="G233" s="8">
        <v>38.880000000000003</v>
      </c>
      <c r="H233" s="8">
        <v>1.0049999999999999</v>
      </c>
      <c r="I233" s="8">
        <v>1.2929999999999999</v>
      </c>
      <c r="J233" s="71">
        <v>32.200000000000003</v>
      </c>
      <c r="K233" s="8">
        <v>22</v>
      </c>
      <c r="L233" s="8">
        <f t="shared" si="58"/>
        <v>10.200000000000003</v>
      </c>
      <c r="M233" s="27">
        <f t="shared" si="59"/>
        <v>309.20197910399997</v>
      </c>
      <c r="N233" s="8">
        <v>0.27700000000000002</v>
      </c>
      <c r="O233" s="18">
        <f t="shared" si="57"/>
        <v>85.648948211808005</v>
      </c>
      <c r="P233" s="8">
        <f>30*16</f>
        <v>480</v>
      </c>
      <c r="Q233" s="40">
        <f t="shared" si="60"/>
        <v>41.111495141667845</v>
      </c>
    </row>
    <row r="234" spans="5:18" ht="15" customHeight="1" x14ac:dyDescent="0.25">
      <c r="E234" s="44" t="s">
        <v>24</v>
      </c>
      <c r="F234" s="8">
        <v>0.6</v>
      </c>
      <c r="G234" s="8">
        <v>38.880000000000003</v>
      </c>
      <c r="H234" s="8">
        <v>1.0049999999999999</v>
      </c>
      <c r="I234" s="8">
        <v>1.2929999999999999</v>
      </c>
      <c r="J234" s="41">
        <v>31.9</v>
      </c>
      <c r="K234" s="8">
        <v>22</v>
      </c>
      <c r="L234" s="8">
        <f t="shared" si="58"/>
        <v>9.8999999999999986</v>
      </c>
      <c r="M234" s="27">
        <f t="shared" si="59"/>
        <v>300.10780324799987</v>
      </c>
      <c r="N234" s="8">
        <v>0.27700000000000002</v>
      </c>
      <c r="O234" s="18">
        <f t="shared" si="57"/>
        <v>83.129861499695977</v>
      </c>
      <c r="P234" s="8">
        <f>31*16</f>
        <v>496</v>
      </c>
      <c r="Q234" s="40">
        <f t="shared" si="60"/>
        <v>41.232411303849204</v>
      </c>
    </row>
    <row r="235" spans="5:18" ht="15" customHeight="1" x14ac:dyDescent="0.25">
      <c r="E235" s="44" t="s">
        <v>19</v>
      </c>
      <c r="F235" s="8">
        <v>0.6</v>
      </c>
      <c r="G235" s="8">
        <v>38.880000000000003</v>
      </c>
      <c r="H235" s="8">
        <v>1.0049999999999999</v>
      </c>
      <c r="I235" s="8">
        <v>1.2929999999999999</v>
      </c>
      <c r="J235" s="41">
        <v>31.2</v>
      </c>
      <c r="K235" s="8">
        <v>22</v>
      </c>
      <c r="L235" s="8">
        <f t="shared" si="58"/>
        <v>9.1999999999999993</v>
      </c>
      <c r="M235" s="27">
        <f t="shared" si="59"/>
        <v>278.8880595839999</v>
      </c>
      <c r="N235" s="8">
        <v>0.27700000000000002</v>
      </c>
      <c r="O235" s="18">
        <f t="shared" si="57"/>
        <v>77.251992504767983</v>
      </c>
      <c r="P235" s="8">
        <f>31*16</f>
        <v>496</v>
      </c>
      <c r="Q235" s="40">
        <f t="shared" si="60"/>
        <v>38.316988282364917</v>
      </c>
    </row>
    <row r="236" spans="5:18" ht="15" customHeight="1" x14ac:dyDescent="0.25">
      <c r="E236" s="44" t="s">
        <v>20</v>
      </c>
      <c r="F236" s="8">
        <v>0.6</v>
      </c>
      <c r="G236" s="8">
        <v>38.880000000000003</v>
      </c>
      <c r="H236" s="8">
        <v>1.0049999999999999</v>
      </c>
      <c r="I236" s="8">
        <v>1.2929999999999999</v>
      </c>
      <c r="J236" s="41">
        <v>32.200000000000003</v>
      </c>
      <c r="K236" s="8">
        <v>22</v>
      </c>
      <c r="L236" s="8">
        <f t="shared" si="58"/>
        <v>10.200000000000003</v>
      </c>
      <c r="M236" s="27">
        <f t="shared" si="59"/>
        <v>309.20197910399997</v>
      </c>
      <c r="N236" s="8">
        <v>0.27700000000000002</v>
      </c>
      <c r="O236" s="18">
        <f t="shared" si="57"/>
        <v>85.648948211808005</v>
      </c>
      <c r="P236" s="8">
        <f>30*16</f>
        <v>480</v>
      </c>
      <c r="Q236" s="40">
        <f t="shared" si="60"/>
        <v>41.111495141667845</v>
      </c>
    </row>
    <row r="237" spans="5:18" ht="15" customHeight="1" x14ac:dyDescent="0.25">
      <c r="E237" s="44" t="s">
        <v>21</v>
      </c>
      <c r="F237" s="8">
        <v>0.6</v>
      </c>
      <c r="G237" s="8">
        <v>38.880000000000003</v>
      </c>
      <c r="H237" s="8">
        <v>1.0049999999999999</v>
      </c>
      <c r="I237" s="8">
        <v>1.2929999999999999</v>
      </c>
      <c r="J237" s="41">
        <v>33.4</v>
      </c>
      <c r="K237" s="8">
        <v>22</v>
      </c>
      <c r="L237" s="8">
        <f t="shared" si="58"/>
        <v>11.399999999999999</v>
      </c>
      <c r="M237" s="27">
        <f t="shared" si="59"/>
        <v>345.57868252799989</v>
      </c>
      <c r="N237" s="8">
        <v>0.27700000000000002</v>
      </c>
      <c r="O237" s="18">
        <f t="shared" si="57"/>
        <v>95.725295060255974</v>
      </c>
      <c r="P237" s="8">
        <f>31*16</f>
        <v>496</v>
      </c>
      <c r="Q237" s="40">
        <f t="shared" si="60"/>
        <v>47.479746349886959</v>
      </c>
    </row>
    <row r="238" spans="5:18" ht="15" customHeight="1" x14ac:dyDescent="0.25">
      <c r="E238" s="44" t="s">
        <v>22</v>
      </c>
      <c r="F238" s="8">
        <v>0.6</v>
      </c>
      <c r="G238" s="8">
        <v>38.880000000000003</v>
      </c>
      <c r="H238" s="8">
        <v>1.0049999999999999</v>
      </c>
      <c r="I238" s="8">
        <v>1.2929999999999999</v>
      </c>
      <c r="J238" s="41">
        <v>33.9</v>
      </c>
      <c r="K238" s="8">
        <v>22</v>
      </c>
      <c r="L238" s="8">
        <f t="shared" si="58"/>
        <v>11.899999999999999</v>
      </c>
      <c r="M238" s="27">
        <f t="shared" si="59"/>
        <v>360.73564228799984</v>
      </c>
      <c r="N238" s="8">
        <v>0.27700000000000002</v>
      </c>
      <c r="O238" s="18">
        <f t="shared" si="57"/>
        <v>99.923772913775963</v>
      </c>
      <c r="P238" s="8">
        <f>30*16</f>
        <v>480</v>
      </c>
      <c r="Q238" s="40">
        <f t="shared" si="60"/>
        <v>47.96341099861246</v>
      </c>
    </row>
    <row r="239" spans="5:18" ht="15" customHeight="1" x14ac:dyDescent="0.25">
      <c r="E239" s="44" t="s">
        <v>23</v>
      </c>
      <c r="F239" s="8">
        <v>0.6</v>
      </c>
      <c r="G239" s="8">
        <v>38.880000000000003</v>
      </c>
      <c r="H239" s="8">
        <v>1.0049999999999999</v>
      </c>
      <c r="I239" s="8">
        <v>1.2929999999999999</v>
      </c>
      <c r="J239" s="41">
        <v>33.200000000000003</v>
      </c>
      <c r="K239" s="8">
        <v>22</v>
      </c>
      <c r="L239" s="8">
        <f t="shared" si="58"/>
        <v>11.200000000000003</v>
      </c>
      <c r="M239" s="27">
        <f t="shared" si="59"/>
        <v>339.51589862399999</v>
      </c>
      <c r="N239" s="8">
        <v>0.27700000000000002</v>
      </c>
      <c r="O239" s="18">
        <f t="shared" si="57"/>
        <v>94.045903918847998</v>
      </c>
      <c r="P239" s="8">
        <f>31*16</f>
        <v>496</v>
      </c>
      <c r="Q239" s="40">
        <f t="shared" si="60"/>
        <v>46.646768343748604</v>
      </c>
    </row>
    <row r="240" spans="5:18" ht="15" customHeight="1" x14ac:dyDescent="0.4">
      <c r="E240" s="305" t="s">
        <v>133</v>
      </c>
      <c r="F240" s="306"/>
      <c r="G240" s="306"/>
      <c r="H240" s="306"/>
      <c r="I240" s="306"/>
      <c r="J240" s="306"/>
      <c r="K240" s="306"/>
      <c r="L240" s="306"/>
      <c r="M240" s="306"/>
      <c r="N240" s="306"/>
      <c r="O240" s="306"/>
      <c r="P240" s="307"/>
      <c r="Q240" s="115">
        <f>SUM(Q228:Q239)</f>
        <v>599.60981312831223</v>
      </c>
      <c r="R240" s="116"/>
    </row>
    <row r="241" spans="5:18" ht="14" x14ac:dyDescent="0.25">
      <c r="E241" s="44" t="s">
        <v>15</v>
      </c>
      <c r="F241" s="8">
        <v>0.6</v>
      </c>
      <c r="G241" s="8">
        <v>38.880000000000003</v>
      </c>
      <c r="H241" s="8">
        <v>1.0049999999999999</v>
      </c>
      <c r="I241" s="8">
        <v>1.2929999999999999</v>
      </c>
      <c r="J241" s="71">
        <v>33.200000000000003</v>
      </c>
      <c r="K241" s="8">
        <v>23</v>
      </c>
      <c r="L241" s="8">
        <f>J241-K241</f>
        <v>10.200000000000003</v>
      </c>
      <c r="M241" s="27">
        <f>F241*G241*H241*I241*L241</f>
        <v>309.20197910399997</v>
      </c>
      <c r="N241" s="8">
        <v>0.27700000000000002</v>
      </c>
      <c r="O241" s="18">
        <f t="shared" ref="O241:O252" si="61">M241*N241</f>
        <v>85.648948211808005</v>
      </c>
      <c r="P241" s="8">
        <f>31*16</f>
        <v>496</v>
      </c>
      <c r="Q241" s="40">
        <f>(O241*P241)/1000</f>
        <v>42.481878313056768</v>
      </c>
    </row>
    <row r="242" spans="5:18" ht="14" x14ac:dyDescent="0.25">
      <c r="E242" s="44" t="s">
        <v>16</v>
      </c>
      <c r="F242" s="8">
        <v>0.6</v>
      </c>
      <c r="G242" s="8">
        <v>38.880000000000003</v>
      </c>
      <c r="H242" s="8">
        <v>1.0049999999999999</v>
      </c>
      <c r="I242" s="8">
        <v>1.2929999999999999</v>
      </c>
      <c r="J242" s="71">
        <v>35.9</v>
      </c>
      <c r="K242" s="8">
        <v>23</v>
      </c>
      <c r="L242" s="8">
        <f t="shared" ref="L242:L252" si="62">J242-K242</f>
        <v>12.899999999999999</v>
      </c>
      <c r="M242" s="27">
        <f t="shared" ref="M242:M252" si="63">F242*G242*H242*I242*L242</f>
        <v>391.04956180799985</v>
      </c>
      <c r="N242" s="8">
        <v>0.27700000000000002</v>
      </c>
      <c r="O242" s="18">
        <f t="shared" si="61"/>
        <v>108.32072862081597</v>
      </c>
      <c r="P242" s="8">
        <f>28*16</f>
        <v>448</v>
      </c>
      <c r="Q242" s="40">
        <f t="shared" ref="Q242:Q252" si="64">(O242*P242)/1000</f>
        <v>48.527686422125555</v>
      </c>
    </row>
    <row r="243" spans="5:18" ht="14" x14ac:dyDescent="0.25">
      <c r="E243" s="44" t="s">
        <v>17</v>
      </c>
      <c r="F243" s="8">
        <v>0.6</v>
      </c>
      <c r="G243" s="8">
        <v>38.880000000000003</v>
      </c>
      <c r="H243" s="8">
        <v>1.0049999999999999</v>
      </c>
      <c r="I243" s="8">
        <v>1.2929999999999999</v>
      </c>
      <c r="J243" s="71">
        <v>37.1</v>
      </c>
      <c r="K243" s="8">
        <v>23</v>
      </c>
      <c r="L243" s="8">
        <f t="shared" si="62"/>
        <v>14.100000000000001</v>
      </c>
      <c r="M243" s="27">
        <f t="shared" si="63"/>
        <v>427.42626523199993</v>
      </c>
      <c r="N243" s="8">
        <v>0.27700000000000002</v>
      </c>
      <c r="O243" s="18">
        <f t="shared" si="61"/>
        <v>118.397075469264</v>
      </c>
      <c r="P243" s="8">
        <f>31*16</f>
        <v>496</v>
      </c>
      <c r="Q243" s="40">
        <f t="shared" si="64"/>
        <v>58.72494943275494</v>
      </c>
    </row>
    <row r="244" spans="5:18" ht="14" x14ac:dyDescent="0.25">
      <c r="E244" s="44" t="s">
        <v>18</v>
      </c>
      <c r="F244" s="8">
        <v>0.6</v>
      </c>
      <c r="G244" s="8">
        <v>38.880000000000003</v>
      </c>
      <c r="H244" s="8">
        <v>1.0049999999999999</v>
      </c>
      <c r="I244" s="8">
        <v>1.2929999999999999</v>
      </c>
      <c r="J244" s="71">
        <v>38.9</v>
      </c>
      <c r="K244" s="8">
        <v>23</v>
      </c>
      <c r="L244" s="8">
        <f t="shared" si="62"/>
        <v>15.899999999999999</v>
      </c>
      <c r="M244" s="27">
        <f t="shared" si="63"/>
        <v>481.99132036799983</v>
      </c>
      <c r="N244" s="8">
        <v>0.27700000000000002</v>
      </c>
      <c r="O244" s="18">
        <f t="shared" si="61"/>
        <v>133.51159574193596</v>
      </c>
      <c r="P244" s="8">
        <f>30*16</f>
        <v>480</v>
      </c>
      <c r="Q244" s="40">
        <f t="shared" si="64"/>
        <v>64.085565956129258</v>
      </c>
    </row>
    <row r="245" spans="5:18" ht="14" x14ac:dyDescent="0.25">
      <c r="E245" s="44" t="s">
        <v>12</v>
      </c>
      <c r="F245" s="8">
        <v>0.6</v>
      </c>
      <c r="G245" s="8">
        <v>38.880000000000003</v>
      </c>
      <c r="H245" s="8">
        <v>1.0049999999999999</v>
      </c>
      <c r="I245" s="8">
        <v>1.2929999999999999</v>
      </c>
      <c r="J245" s="71">
        <v>37.799999999999997</v>
      </c>
      <c r="K245" s="8">
        <v>23</v>
      </c>
      <c r="L245" s="8">
        <f t="shared" si="62"/>
        <v>14.799999999999997</v>
      </c>
      <c r="M245" s="27">
        <f t="shared" si="63"/>
        <v>448.64600889599978</v>
      </c>
      <c r="N245" s="8">
        <v>0.27700000000000002</v>
      </c>
      <c r="O245" s="18">
        <f t="shared" si="61"/>
        <v>124.27494446419195</v>
      </c>
      <c r="P245" s="8">
        <f>31*16</f>
        <v>496</v>
      </c>
      <c r="Q245" s="40">
        <f t="shared" si="64"/>
        <v>61.640372454239206</v>
      </c>
    </row>
    <row r="246" spans="5:18" ht="14" x14ac:dyDescent="0.25">
      <c r="E246" s="44" t="s">
        <v>13</v>
      </c>
      <c r="F246" s="8">
        <v>0.6</v>
      </c>
      <c r="G246" s="8">
        <v>38.880000000000003</v>
      </c>
      <c r="H246" s="8">
        <v>1.0049999999999999</v>
      </c>
      <c r="I246" s="8">
        <v>1.2929999999999999</v>
      </c>
      <c r="J246" s="71">
        <v>32.200000000000003</v>
      </c>
      <c r="K246" s="8">
        <v>23</v>
      </c>
      <c r="L246" s="8">
        <f t="shared" si="62"/>
        <v>9.2000000000000028</v>
      </c>
      <c r="M246" s="27">
        <f t="shared" si="63"/>
        <v>278.88805958400002</v>
      </c>
      <c r="N246" s="8">
        <v>0.27700000000000002</v>
      </c>
      <c r="O246" s="18">
        <f t="shared" si="61"/>
        <v>77.251992504768012</v>
      </c>
      <c r="P246" s="8">
        <f>30*16</f>
        <v>480</v>
      </c>
      <c r="Q246" s="40">
        <f t="shared" si="64"/>
        <v>37.080956402288649</v>
      </c>
    </row>
    <row r="247" spans="5:18" ht="14" x14ac:dyDescent="0.25">
      <c r="E247" s="44" t="s">
        <v>24</v>
      </c>
      <c r="F247" s="8">
        <v>0.6</v>
      </c>
      <c r="G247" s="8">
        <v>38.880000000000003</v>
      </c>
      <c r="H247" s="8">
        <v>1.0049999999999999</v>
      </c>
      <c r="I247" s="8">
        <v>1.2929999999999999</v>
      </c>
      <c r="J247" s="41">
        <v>31.9</v>
      </c>
      <c r="K247" s="8">
        <v>23</v>
      </c>
      <c r="L247" s="8">
        <f t="shared" si="62"/>
        <v>8.8999999999999986</v>
      </c>
      <c r="M247" s="27">
        <f t="shared" si="63"/>
        <v>269.79388372799991</v>
      </c>
      <c r="N247" s="8">
        <v>0.27700000000000002</v>
      </c>
      <c r="O247" s="18">
        <f t="shared" si="61"/>
        <v>74.732905792655984</v>
      </c>
      <c r="P247" s="8">
        <f>31*16</f>
        <v>496</v>
      </c>
      <c r="Q247" s="40">
        <f t="shared" si="64"/>
        <v>37.067521273157368</v>
      </c>
    </row>
    <row r="248" spans="5:18" ht="14" x14ac:dyDescent="0.25">
      <c r="E248" s="44" t="s">
        <v>19</v>
      </c>
      <c r="F248" s="8">
        <v>0.6</v>
      </c>
      <c r="G248" s="8">
        <v>38.880000000000003</v>
      </c>
      <c r="H248" s="8">
        <v>1.0049999999999999</v>
      </c>
      <c r="I248" s="8">
        <v>1.2929999999999999</v>
      </c>
      <c r="J248" s="41">
        <v>31.2</v>
      </c>
      <c r="K248" s="8">
        <v>23</v>
      </c>
      <c r="L248" s="8">
        <f t="shared" si="62"/>
        <v>8.1999999999999993</v>
      </c>
      <c r="M248" s="27">
        <f t="shared" si="63"/>
        <v>248.57414006399992</v>
      </c>
      <c r="N248" s="8">
        <v>0.27700000000000002</v>
      </c>
      <c r="O248" s="18">
        <f t="shared" si="61"/>
        <v>68.85503679772799</v>
      </c>
      <c r="P248" s="8">
        <f>31*16</f>
        <v>496</v>
      </c>
      <c r="Q248" s="40">
        <f t="shared" si="64"/>
        <v>34.152098251673081</v>
      </c>
    </row>
    <row r="249" spans="5:18" ht="14" x14ac:dyDescent="0.25">
      <c r="E249" s="44" t="s">
        <v>20</v>
      </c>
      <c r="F249" s="8">
        <v>0.6</v>
      </c>
      <c r="G249" s="8">
        <v>38.880000000000003</v>
      </c>
      <c r="H249" s="8">
        <v>1.0049999999999999</v>
      </c>
      <c r="I249" s="8">
        <v>1.2929999999999999</v>
      </c>
      <c r="J249" s="41">
        <v>32.200000000000003</v>
      </c>
      <c r="K249" s="8">
        <v>23</v>
      </c>
      <c r="L249" s="8">
        <f t="shared" si="62"/>
        <v>9.2000000000000028</v>
      </c>
      <c r="M249" s="27">
        <f t="shared" si="63"/>
        <v>278.88805958400002</v>
      </c>
      <c r="N249" s="8">
        <v>0.27700000000000002</v>
      </c>
      <c r="O249" s="18">
        <f t="shared" si="61"/>
        <v>77.251992504768012</v>
      </c>
      <c r="P249" s="8">
        <f>30*16</f>
        <v>480</v>
      </c>
      <c r="Q249" s="40">
        <f t="shared" si="64"/>
        <v>37.080956402288649</v>
      </c>
    </row>
    <row r="250" spans="5:18" ht="14" x14ac:dyDescent="0.25">
      <c r="E250" s="44" t="s">
        <v>21</v>
      </c>
      <c r="F250" s="8">
        <v>0.6</v>
      </c>
      <c r="G250" s="8">
        <v>38.880000000000003</v>
      </c>
      <c r="H250" s="8">
        <v>1.0049999999999999</v>
      </c>
      <c r="I250" s="8">
        <v>1.2929999999999999</v>
      </c>
      <c r="J250" s="41">
        <v>33.4</v>
      </c>
      <c r="K250" s="8">
        <v>23</v>
      </c>
      <c r="L250" s="8">
        <f t="shared" si="62"/>
        <v>10.399999999999999</v>
      </c>
      <c r="M250" s="27">
        <f t="shared" si="63"/>
        <v>315.26476300799987</v>
      </c>
      <c r="N250" s="8">
        <v>0.27700000000000002</v>
      </c>
      <c r="O250" s="18">
        <f t="shared" si="61"/>
        <v>87.328339353215966</v>
      </c>
      <c r="P250" s="8">
        <f>31*16</f>
        <v>496</v>
      </c>
      <c r="Q250" s="40">
        <f t="shared" si="64"/>
        <v>43.314856319195115</v>
      </c>
    </row>
    <row r="251" spans="5:18" ht="14" x14ac:dyDescent="0.25">
      <c r="E251" s="44" t="s">
        <v>22</v>
      </c>
      <c r="F251" s="8">
        <v>0.6</v>
      </c>
      <c r="G251" s="8">
        <v>38.880000000000003</v>
      </c>
      <c r="H251" s="8">
        <v>1.0049999999999999</v>
      </c>
      <c r="I251" s="8">
        <v>1.2929999999999999</v>
      </c>
      <c r="J251" s="41">
        <v>33.9</v>
      </c>
      <c r="K251" s="8">
        <v>23</v>
      </c>
      <c r="L251" s="8">
        <f t="shared" si="62"/>
        <v>10.899999999999999</v>
      </c>
      <c r="M251" s="27">
        <f t="shared" si="63"/>
        <v>330.42172276799988</v>
      </c>
      <c r="N251" s="8">
        <v>0.27700000000000002</v>
      </c>
      <c r="O251" s="18">
        <f t="shared" si="61"/>
        <v>91.52681720673597</v>
      </c>
      <c r="P251" s="8">
        <f>30*16</f>
        <v>480</v>
      </c>
      <c r="Q251" s="40">
        <f t="shared" si="64"/>
        <v>43.932872259233264</v>
      </c>
    </row>
    <row r="252" spans="5:18" ht="14" x14ac:dyDescent="0.25">
      <c r="E252" s="44" t="s">
        <v>23</v>
      </c>
      <c r="F252" s="8">
        <v>0.6</v>
      </c>
      <c r="G252" s="8">
        <v>38.880000000000003</v>
      </c>
      <c r="H252" s="8">
        <v>1.0049999999999999</v>
      </c>
      <c r="I252" s="8">
        <v>1.2929999999999999</v>
      </c>
      <c r="J252" s="41">
        <v>33.200000000000003</v>
      </c>
      <c r="K252" s="8">
        <v>23</v>
      </c>
      <c r="L252" s="8">
        <f t="shared" si="62"/>
        <v>10.200000000000003</v>
      </c>
      <c r="M252" s="27">
        <f t="shared" si="63"/>
        <v>309.20197910399997</v>
      </c>
      <c r="N252" s="8">
        <v>0.27700000000000002</v>
      </c>
      <c r="O252" s="18">
        <f t="shared" si="61"/>
        <v>85.648948211808005</v>
      </c>
      <c r="P252" s="8">
        <f>31*16</f>
        <v>496</v>
      </c>
      <c r="Q252" s="40">
        <f t="shared" si="64"/>
        <v>42.481878313056768</v>
      </c>
    </row>
    <row r="253" spans="5:18" ht="15" x14ac:dyDescent="0.4">
      <c r="E253" s="305" t="s">
        <v>88</v>
      </c>
      <c r="F253" s="306"/>
      <c r="G253" s="306"/>
      <c r="H253" s="306"/>
      <c r="I253" s="306"/>
      <c r="J253" s="306"/>
      <c r="K253" s="306"/>
      <c r="L253" s="306"/>
      <c r="M253" s="306"/>
      <c r="N253" s="306"/>
      <c r="O253" s="306"/>
      <c r="P253" s="307"/>
      <c r="Q253" s="115">
        <f>SUM(Q241:Q252)</f>
        <v>550.57159179919859</v>
      </c>
      <c r="R253" s="116"/>
    </row>
    <row r="254" spans="5:18" ht="14" x14ac:dyDescent="0.25">
      <c r="E254" s="44" t="s">
        <v>15</v>
      </c>
      <c r="F254" s="8">
        <v>0.6</v>
      </c>
      <c r="G254" s="8">
        <v>38.880000000000003</v>
      </c>
      <c r="H254" s="8">
        <v>1.0049999999999999</v>
      </c>
      <c r="I254" s="8">
        <v>1.2929999999999999</v>
      </c>
      <c r="J254" s="71">
        <v>33.200000000000003</v>
      </c>
      <c r="K254" s="8">
        <v>24</v>
      </c>
      <c r="L254" s="8">
        <f>J254-K254</f>
        <v>9.2000000000000028</v>
      </c>
      <c r="M254" s="27">
        <f>F254*G254*H254*I254*L254</f>
        <v>278.88805958400002</v>
      </c>
      <c r="N254" s="8">
        <v>0.27700000000000002</v>
      </c>
      <c r="O254" s="18">
        <f t="shared" ref="O254:O265" si="65">M254*N254</f>
        <v>77.251992504768012</v>
      </c>
      <c r="P254" s="8">
        <f>31*16</f>
        <v>496</v>
      </c>
      <c r="Q254" s="40">
        <f>(O254*P254)/1000</f>
        <v>38.316988282364932</v>
      </c>
    </row>
    <row r="255" spans="5:18" ht="14" x14ac:dyDescent="0.25">
      <c r="E255" s="44" t="s">
        <v>16</v>
      </c>
      <c r="F255" s="8">
        <v>0.6</v>
      </c>
      <c r="G255" s="8">
        <v>38.880000000000003</v>
      </c>
      <c r="H255" s="8">
        <v>1.0049999999999999</v>
      </c>
      <c r="I255" s="8">
        <v>1.2929999999999999</v>
      </c>
      <c r="J255" s="71">
        <v>35.9</v>
      </c>
      <c r="K255" s="8">
        <v>24</v>
      </c>
      <c r="L255" s="8">
        <f t="shared" ref="L255:L265" si="66">J255-K255</f>
        <v>11.899999999999999</v>
      </c>
      <c r="M255" s="27">
        <f t="shared" ref="M255:M265" si="67">F255*G255*H255*I255*L255</f>
        <v>360.73564228799984</v>
      </c>
      <c r="N255" s="8">
        <v>0.27700000000000002</v>
      </c>
      <c r="O255" s="18">
        <f t="shared" si="65"/>
        <v>99.923772913775963</v>
      </c>
      <c r="P255" s="8">
        <f>28*16</f>
        <v>448</v>
      </c>
      <c r="Q255" s="40">
        <f t="shared" ref="Q255:Q265" si="68">(O255*P255)/1000</f>
        <v>44.765850265371625</v>
      </c>
    </row>
    <row r="256" spans="5:18" ht="14" x14ac:dyDescent="0.25">
      <c r="E256" s="44" t="s">
        <v>17</v>
      </c>
      <c r="F256" s="8">
        <v>0.6</v>
      </c>
      <c r="G256" s="8">
        <v>38.880000000000003</v>
      </c>
      <c r="H256" s="8">
        <v>1.0049999999999999</v>
      </c>
      <c r="I256" s="8">
        <v>1.2929999999999999</v>
      </c>
      <c r="J256" s="71">
        <v>37.1</v>
      </c>
      <c r="K256" s="8">
        <v>24</v>
      </c>
      <c r="L256" s="8">
        <f t="shared" si="66"/>
        <v>13.100000000000001</v>
      </c>
      <c r="M256" s="27">
        <f t="shared" si="67"/>
        <v>397.11234571199992</v>
      </c>
      <c r="N256" s="8">
        <v>0.27700000000000002</v>
      </c>
      <c r="O256" s="18">
        <f t="shared" si="65"/>
        <v>110.00011976222399</v>
      </c>
      <c r="P256" s="8">
        <f>31*16</f>
        <v>496</v>
      </c>
      <c r="Q256" s="40">
        <f t="shared" si="68"/>
        <v>54.560059402063096</v>
      </c>
    </row>
    <row r="257" spans="5:18" ht="14" x14ac:dyDescent="0.25">
      <c r="E257" s="44" t="s">
        <v>18</v>
      </c>
      <c r="F257" s="8">
        <v>0.6</v>
      </c>
      <c r="G257" s="8">
        <v>38.880000000000003</v>
      </c>
      <c r="H257" s="8">
        <v>1.0049999999999999</v>
      </c>
      <c r="I257" s="8">
        <v>1.2929999999999999</v>
      </c>
      <c r="J257" s="71">
        <v>38.9</v>
      </c>
      <c r="K257" s="8">
        <v>24</v>
      </c>
      <c r="L257" s="8">
        <f t="shared" si="66"/>
        <v>14.899999999999999</v>
      </c>
      <c r="M257" s="27">
        <f t="shared" si="67"/>
        <v>451.67740084799982</v>
      </c>
      <c r="N257" s="8">
        <v>0.27700000000000002</v>
      </c>
      <c r="O257" s="18">
        <f t="shared" si="65"/>
        <v>125.11464003489596</v>
      </c>
      <c r="P257" s="8">
        <f>30*16</f>
        <v>480</v>
      </c>
      <c r="Q257" s="40">
        <f t="shared" si="68"/>
        <v>60.055027216750062</v>
      </c>
    </row>
    <row r="258" spans="5:18" ht="14" x14ac:dyDescent="0.25">
      <c r="E258" s="44" t="s">
        <v>12</v>
      </c>
      <c r="F258" s="8">
        <v>0.6</v>
      </c>
      <c r="G258" s="8">
        <v>38.880000000000003</v>
      </c>
      <c r="H258" s="8">
        <v>1.0049999999999999</v>
      </c>
      <c r="I258" s="8">
        <v>1.2929999999999999</v>
      </c>
      <c r="J258" s="71">
        <v>37.799999999999997</v>
      </c>
      <c r="K258" s="8">
        <v>24</v>
      </c>
      <c r="L258" s="8">
        <f t="shared" si="66"/>
        <v>13.799999999999997</v>
      </c>
      <c r="M258" s="27">
        <f t="shared" si="67"/>
        <v>418.33208937599983</v>
      </c>
      <c r="N258" s="8">
        <v>0.27700000000000002</v>
      </c>
      <c r="O258" s="18">
        <f t="shared" si="65"/>
        <v>115.87798875715197</v>
      </c>
      <c r="P258" s="8">
        <f>31*16</f>
        <v>496</v>
      </c>
      <c r="Q258" s="40">
        <f t="shared" si="68"/>
        <v>57.475482423547376</v>
      </c>
    </row>
    <row r="259" spans="5:18" ht="14" x14ac:dyDescent="0.25">
      <c r="E259" s="44" t="s">
        <v>13</v>
      </c>
      <c r="F259" s="8">
        <v>0.6</v>
      </c>
      <c r="G259" s="8">
        <v>38.880000000000003</v>
      </c>
      <c r="H259" s="8">
        <v>1.0049999999999999</v>
      </c>
      <c r="I259" s="8">
        <v>1.2929999999999999</v>
      </c>
      <c r="J259" s="71">
        <v>32.200000000000003</v>
      </c>
      <c r="K259" s="8">
        <v>24</v>
      </c>
      <c r="L259" s="8">
        <f t="shared" si="66"/>
        <v>8.2000000000000028</v>
      </c>
      <c r="M259" s="27">
        <f t="shared" si="67"/>
        <v>248.57414006400001</v>
      </c>
      <c r="N259" s="8">
        <v>0.27700000000000002</v>
      </c>
      <c r="O259" s="18">
        <f t="shared" si="65"/>
        <v>68.855036797728005</v>
      </c>
      <c r="P259" s="8">
        <f>30*16</f>
        <v>480</v>
      </c>
      <c r="Q259" s="40">
        <f t="shared" si="68"/>
        <v>33.050417662909446</v>
      </c>
    </row>
    <row r="260" spans="5:18" ht="14" x14ac:dyDescent="0.25">
      <c r="E260" s="44" t="s">
        <v>24</v>
      </c>
      <c r="F260" s="8">
        <v>0.6</v>
      </c>
      <c r="G260" s="8">
        <v>38.880000000000003</v>
      </c>
      <c r="H260" s="8">
        <v>1.0049999999999999</v>
      </c>
      <c r="I260" s="8">
        <v>1.2929999999999999</v>
      </c>
      <c r="J260" s="41">
        <v>31.9</v>
      </c>
      <c r="K260" s="8">
        <v>24</v>
      </c>
      <c r="L260" s="8">
        <f t="shared" si="66"/>
        <v>7.8999999999999986</v>
      </c>
      <c r="M260" s="27">
        <f t="shared" si="67"/>
        <v>239.4799642079999</v>
      </c>
      <c r="N260" s="8">
        <v>0.27700000000000002</v>
      </c>
      <c r="O260" s="18">
        <f t="shared" si="65"/>
        <v>66.335950085615977</v>
      </c>
      <c r="P260" s="8">
        <f>31*16</f>
        <v>496</v>
      </c>
      <c r="Q260" s="40">
        <f t="shared" si="68"/>
        <v>32.902631242465525</v>
      </c>
    </row>
    <row r="261" spans="5:18" ht="14" x14ac:dyDescent="0.25">
      <c r="E261" s="44" t="s">
        <v>19</v>
      </c>
      <c r="F261" s="8">
        <v>0.6</v>
      </c>
      <c r="G261" s="8">
        <v>38.880000000000003</v>
      </c>
      <c r="H261" s="8">
        <v>1.0049999999999999</v>
      </c>
      <c r="I261" s="8">
        <v>1.2929999999999999</v>
      </c>
      <c r="J261" s="41">
        <v>31.2</v>
      </c>
      <c r="K261" s="8">
        <v>24</v>
      </c>
      <c r="L261" s="8">
        <f t="shared" si="66"/>
        <v>7.1999999999999993</v>
      </c>
      <c r="M261" s="27">
        <f t="shared" si="67"/>
        <v>218.26022054399991</v>
      </c>
      <c r="N261" s="8">
        <v>0.27700000000000002</v>
      </c>
      <c r="O261" s="18">
        <f t="shared" si="65"/>
        <v>60.458081090687976</v>
      </c>
      <c r="P261" s="8">
        <f>31*16</f>
        <v>496</v>
      </c>
      <c r="Q261" s="40">
        <f t="shared" si="68"/>
        <v>29.987208220981238</v>
      </c>
    </row>
    <row r="262" spans="5:18" ht="14" x14ac:dyDescent="0.25">
      <c r="E262" s="44" t="s">
        <v>20</v>
      </c>
      <c r="F262" s="8">
        <v>0.6</v>
      </c>
      <c r="G262" s="8">
        <v>38.880000000000003</v>
      </c>
      <c r="H262" s="8">
        <v>1.0049999999999999</v>
      </c>
      <c r="I262" s="8">
        <v>1.2929999999999999</v>
      </c>
      <c r="J262" s="41">
        <v>32.200000000000003</v>
      </c>
      <c r="K262" s="8">
        <v>24</v>
      </c>
      <c r="L262" s="8">
        <f t="shared" si="66"/>
        <v>8.2000000000000028</v>
      </c>
      <c r="M262" s="27">
        <f t="shared" si="67"/>
        <v>248.57414006400001</v>
      </c>
      <c r="N262" s="8">
        <v>0.27700000000000002</v>
      </c>
      <c r="O262" s="18">
        <f t="shared" si="65"/>
        <v>68.855036797728005</v>
      </c>
      <c r="P262" s="8">
        <f>30*16</f>
        <v>480</v>
      </c>
      <c r="Q262" s="40">
        <f t="shared" si="68"/>
        <v>33.050417662909446</v>
      </c>
    </row>
    <row r="263" spans="5:18" ht="14" x14ac:dyDescent="0.25">
      <c r="E263" s="44" t="s">
        <v>21</v>
      </c>
      <c r="F263" s="8">
        <v>0.6</v>
      </c>
      <c r="G263" s="8">
        <v>38.880000000000003</v>
      </c>
      <c r="H263" s="8">
        <v>1.0049999999999999</v>
      </c>
      <c r="I263" s="8">
        <v>1.2929999999999999</v>
      </c>
      <c r="J263" s="41">
        <v>33.4</v>
      </c>
      <c r="K263" s="8">
        <v>24</v>
      </c>
      <c r="L263" s="8">
        <f t="shared" si="66"/>
        <v>9.3999999999999986</v>
      </c>
      <c r="M263" s="27">
        <f t="shared" si="67"/>
        <v>284.95084348799986</v>
      </c>
      <c r="N263" s="8">
        <v>0.27700000000000002</v>
      </c>
      <c r="O263" s="18">
        <f t="shared" si="65"/>
        <v>78.931383646175973</v>
      </c>
      <c r="P263" s="8">
        <f>31*16</f>
        <v>496</v>
      </c>
      <c r="Q263" s="40">
        <f t="shared" si="68"/>
        <v>39.149966288503279</v>
      </c>
    </row>
    <row r="264" spans="5:18" ht="14" x14ac:dyDescent="0.25">
      <c r="E264" s="44" t="s">
        <v>22</v>
      </c>
      <c r="F264" s="8">
        <v>0.6</v>
      </c>
      <c r="G264" s="8">
        <v>38.880000000000003</v>
      </c>
      <c r="H264" s="8">
        <v>1.0049999999999999</v>
      </c>
      <c r="I264" s="8">
        <v>1.2929999999999999</v>
      </c>
      <c r="J264" s="41">
        <v>33.9</v>
      </c>
      <c r="K264" s="8">
        <v>24</v>
      </c>
      <c r="L264" s="8">
        <f t="shared" si="66"/>
        <v>9.8999999999999986</v>
      </c>
      <c r="M264" s="27">
        <f t="shared" si="67"/>
        <v>300.10780324799987</v>
      </c>
      <c r="N264" s="8">
        <v>0.27700000000000002</v>
      </c>
      <c r="O264" s="18">
        <f t="shared" si="65"/>
        <v>83.129861499695977</v>
      </c>
      <c r="P264" s="8">
        <f>30*16</f>
        <v>480</v>
      </c>
      <c r="Q264" s="40">
        <f t="shared" si="68"/>
        <v>39.902333519854068</v>
      </c>
    </row>
    <row r="265" spans="5:18" ht="14" x14ac:dyDescent="0.25">
      <c r="E265" s="44" t="s">
        <v>23</v>
      </c>
      <c r="F265" s="8">
        <v>0.6</v>
      </c>
      <c r="G265" s="8">
        <v>38.880000000000003</v>
      </c>
      <c r="H265" s="8">
        <v>1.0049999999999999</v>
      </c>
      <c r="I265" s="8">
        <v>1.2929999999999999</v>
      </c>
      <c r="J265" s="41">
        <v>33.200000000000003</v>
      </c>
      <c r="K265" s="8">
        <v>24</v>
      </c>
      <c r="L265" s="8">
        <f t="shared" si="66"/>
        <v>9.2000000000000028</v>
      </c>
      <c r="M265" s="27">
        <f t="shared" si="67"/>
        <v>278.88805958400002</v>
      </c>
      <c r="N265" s="8">
        <v>0.27700000000000002</v>
      </c>
      <c r="O265" s="18">
        <f t="shared" si="65"/>
        <v>77.251992504768012</v>
      </c>
      <c r="P265" s="8">
        <f>31*16</f>
        <v>496</v>
      </c>
      <c r="Q265" s="40">
        <f t="shared" si="68"/>
        <v>38.316988282364932</v>
      </c>
    </row>
    <row r="266" spans="5:18" ht="15" x14ac:dyDescent="0.4">
      <c r="E266" s="305" t="s">
        <v>90</v>
      </c>
      <c r="F266" s="306"/>
      <c r="G266" s="306"/>
      <c r="H266" s="306"/>
      <c r="I266" s="306"/>
      <c r="J266" s="306"/>
      <c r="K266" s="306"/>
      <c r="L266" s="306"/>
      <c r="M266" s="306"/>
      <c r="N266" s="306"/>
      <c r="O266" s="306"/>
      <c r="P266" s="307"/>
      <c r="Q266" s="115">
        <f>SUM(Q254:Q265)</f>
        <v>501.53337047008506</v>
      </c>
      <c r="R266" s="116"/>
    </row>
    <row r="267" spans="5:18" ht="14" x14ac:dyDescent="0.25">
      <c r="E267" s="44" t="s">
        <v>15</v>
      </c>
      <c r="F267" s="8">
        <v>0.6</v>
      </c>
      <c r="G267" s="8">
        <v>38.880000000000003</v>
      </c>
      <c r="H267" s="8">
        <v>1.0049999999999999</v>
      </c>
      <c r="I267" s="8">
        <v>1.2929999999999999</v>
      </c>
      <c r="J267" s="71">
        <v>33.200000000000003</v>
      </c>
      <c r="K267" s="8">
        <v>25</v>
      </c>
      <c r="L267" s="8">
        <f>J267-K267</f>
        <v>8.2000000000000028</v>
      </c>
      <c r="M267" s="27">
        <f>F267*G267*H267*I267*L267</f>
        <v>248.57414006400001</v>
      </c>
      <c r="N267" s="8">
        <v>0.27700000000000002</v>
      </c>
      <c r="O267" s="18">
        <f t="shared" ref="O267:O278" si="69">M267*N267</f>
        <v>68.855036797728005</v>
      </c>
      <c r="P267" s="8">
        <f>31*16</f>
        <v>496</v>
      </c>
      <c r="Q267" s="40">
        <f>(O267*P267)/1000</f>
        <v>34.152098251673088</v>
      </c>
    </row>
    <row r="268" spans="5:18" ht="14" x14ac:dyDescent="0.25">
      <c r="E268" s="44" t="s">
        <v>16</v>
      </c>
      <c r="F268" s="8">
        <v>0.6</v>
      </c>
      <c r="G268" s="8">
        <v>38.880000000000003</v>
      </c>
      <c r="H268" s="8">
        <v>1.0049999999999999</v>
      </c>
      <c r="I268" s="8">
        <v>1.2929999999999999</v>
      </c>
      <c r="J268" s="71">
        <v>35.9</v>
      </c>
      <c r="K268" s="8">
        <v>25</v>
      </c>
      <c r="L268" s="8">
        <f t="shared" ref="L268:L278" si="70">J268-K268</f>
        <v>10.899999999999999</v>
      </c>
      <c r="M268" s="27">
        <f t="shared" ref="M268:M278" si="71">F268*G268*H268*I268*L268</f>
        <v>330.42172276799988</v>
      </c>
      <c r="N268" s="8">
        <v>0.27700000000000002</v>
      </c>
      <c r="O268" s="18">
        <f t="shared" si="69"/>
        <v>91.52681720673597</v>
      </c>
      <c r="P268" s="8">
        <f>28*16</f>
        <v>448</v>
      </c>
      <c r="Q268" s="40">
        <f t="shared" ref="Q268:Q278" si="72">(O268*P268)/1000</f>
        <v>41.004014108617717</v>
      </c>
    </row>
    <row r="269" spans="5:18" ht="14" x14ac:dyDescent="0.25">
      <c r="E269" s="44" t="s">
        <v>17</v>
      </c>
      <c r="F269" s="8">
        <v>0.6</v>
      </c>
      <c r="G269" s="8">
        <v>38.880000000000003</v>
      </c>
      <c r="H269" s="8">
        <v>1.0049999999999999</v>
      </c>
      <c r="I269" s="8">
        <v>1.2929999999999999</v>
      </c>
      <c r="J269" s="71">
        <v>37.1</v>
      </c>
      <c r="K269" s="8">
        <v>25</v>
      </c>
      <c r="L269" s="8">
        <f t="shared" si="70"/>
        <v>12.100000000000001</v>
      </c>
      <c r="M269" s="27">
        <f t="shared" si="71"/>
        <v>366.79842619199997</v>
      </c>
      <c r="N269" s="8">
        <v>0.27700000000000002</v>
      </c>
      <c r="O269" s="18">
        <f t="shared" si="69"/>
        <v>101.603164055184</v>
      </c>
      <c r="P269" s="8">
        <f>31*16</f>
        <v>496</v>
      </c>
      <c r="Q269" s="40">
        <f t="shared" si="72"/>
        <v>50.39516937137126</v>
      </c>
    </row>
    <row r="270" spans="5:18" ht="14" x14ac:dyDescent="0.25">
      <c r="E270" s="44" t="s">
        <v>18</v>
      </c>
      <c r="F270" s="8">
        <v>0.6</v>
      </c>
      <c r="G270" s="8">
        <v>38.880000000000003</v>
      </c>
      <c r="H270" s="8">
        <v>1.0049999999999999</v>
      </c>
      <c r="I270" s="8">
        <v>1.2929999999999999</v>
      </c>
      <c r="J270" s="71">
        <v>38.9</v>
      </c>
      <c r="K270" s="8">
        <v>25</v>
      </c>
      <c r="L270" s="8">
        <f t="shared" si="70"/>
        <v>13.899999999999999</v>
      </c>
      <c r="M270" s="27">
        <f t="shared" si="71"/>
        <v>421.36348132799986</v>
      </c>
      <c r="N270" s="8">
        <v>0.27700000000000002</v>
      </c>
      <c r="O270" s="18">
        <f t="shared" si="69"/>
        <v>116.71768432785598</v>
      </c>
      <c r="P270" s="8">
        <f>30*16</f>
        <v>480</v>
      </c>
      <c r="Q270" s="40">
        <f t="shared" si="72"/>
        <v>56.024488477370866</v>
      </c>
    </row>
    <row r="271" spans="5:18" ht="14" x14ac:dyDescent="0.25">
      <c r="E271" s="44" t="s">
        <v>12</v>
      </c>
      <c r="F271" s="8">
        <v>0.6</v>
      </c>
      <c r="G271" s="8">
        <v>38.880000000000003</v>
      </c>
      <c r="H271" s="8">
        <v>1.0049999999999999</v>
      </c>
      <c r="I271" s="8">
        <v>1.2929999999999999</v>
      </c>
      <c r="J271" s="71">
        <v>37.799999999999997</v>
      </c>
      <c r="K271" s="8">
        <v>25</v>
      </c>
      <c r="L271" s="8">
        <f t="shared" si="70"/>
        <v>12.799999999999997</v>
      </c>
      <c r="M271" s="27">
        <f t="shared" si="71"/>
        <v>388.01816985599982</v>
      </c>
      <c r="N271" s="8">
        <v>0.27700000000000002</v>
      </c>
      <c r="O271" s="18">
        <f t="shared" si="69"/>
        <v>107.48103305011196</v>
      </c>
      <c r="P271" s="8">
        <f>31*16</f>
        <v>496</v>
      </c>
      <c r="Q271" s="40">
        <f t="shared" si="72"/>
        <v>53.310592392855533</v>
      </c>
    </row>
    <row r="272" spans="5:18" ht="14" x14ac:dyDescent="0.25">
      <c r="E272" s="44" t="s">
        <v>13</v>
      </c>
      <c r="F272" s="8">
        <v>0.6</v>
      </c>
      <c r="G272" s="8">
        <v>38.880000000000003</v>
      </c>
      <c r="H272" s="8">
        <v>1.0049999999999999</v>
      </c>
      <c r="I272" s="8">
        <v>1.2929999999999999</v>
      </c>
      <c r="J272" s="71">
        <v>32.200000000000003</v>
      </c>
      <c r="K272" s="8">
        <v>25</v>
      </c>
      <c r="L272" s="8">
        <f t="shared" si="70"/>
        <v>7.2000000000000028</v>
      </c>
      <c r="M272" s="27">
        <f t="shared" si="71"/>
        <v>218.26022054400002</v>
      </c>
      <c r="N272" s="8">
        <v>0.27700000000000002</v>
      </c>
      <c r="O272" s="18">
        <f t="shared" si="69"/>
        <v>60.458081090688012</v>
      </c>
      <c r="P272" s="8">
        <f>30*16</f>
        <v>480</v>
      </c>
      <c r="Q272" s="40">
        <f t="shared" si="72"/>
        <v>29.019878923530246</v>
      </c>
    </row>
    <row r="273" spans="5:18" ht="14" x14ac:dyDescent="0.25">
      <c r="E273" s="44" t="s">
        <v>24</v>
      </c>
      <c r="F273" s="8">
        <v>0.6</v>
      </c>
      <c r="G273" s="8">
        <v>38.880000000000003</v>
      </c>
      <c r="H273" s="8">
        <v>1.0049999999999999</v>
      </c>
      <c r="I273" s="8">
        <v>1.2929999999999999</v>
      </c>
      <c r="J273" s="41">
        <v>31.9</v>
      </c>
      <c r="K273" s="8">
        <v>25</v>
      </c>
      <c r="L273" s="8">
        <f t="shared" si="70"/>
        <v>6.8999999999999986</v>
      </c>
      <c r="M273" s="27">
        <f t="shared" si="71"/>
        <v>209.16604468799991</v>
      </c>
      <c r="N273" s="8">
        <v>0.27700000000000002</v>
      </c>
      <c r="O273" s="18">
        <f t="shared" si="69"/>
        <v>57.938994378575984</v>
      </c>
      <c r="P273" s="8">
        <f>31*16</f>
        <v>496</v>
      </c>
      <c r="Q273" s="40">
        <f t="shared" si="72"/>
        <v>28.737741211773688</v>
      </c>
    </row>
    <row r="274" spans="5:18" ht="14" x14ac:dyDescent="0.25">
      <c r="E274" s="44" t="s">
        <v>19</v>
      </c>
      <c r="F274" s="8">
        <v>0.6</v>
      </c>
      <c r="G274" s="8">
        <v>38.880000000000003</v>
      </c>
      <c r="H274" s="8">
        <v>1.0049999999999999</v>
      </c>
      <c r="I274" s="8">
        <v>1.2929999999999999</v>
      </c>
      <c r="J274" s="41">
        <v>31.2</v>
      </c>
      <c r="K274" s="8">
        <v>25</v>
      </c>
      <c r="L274" s="8">
        <f t="shared" si="70"/>
        <v>6.1999999999999993</v>
      </c>
      <c r="M274" s="27">
        <f t="shared" si="71"/>
        <v>187.94630102399992</v>
      </c>
      <c r="N274" s="8">
        <v>0.27700000000000002</v>
      </c>
      <c r="O274" s="18">
        <f t="shared" si="69"/>
        <v>52.061125383647983</v>
      </c>
      <c r="P274" s="8">
        <f>31*16</f>
        <v>496</v>
      </c>
      <c r="Q274" s="40">
        <f t="shared" si="72"/>
        <v>25.822318190289398</v>
      </c>
    </row>
    <row r="275" spans="5:18" ht="14" x14ac:dyDescent="0.25">
      <c r="E275" s="44" t="s">
        <v>20</v>
      </c>
      <c r="F275" s="8">
        <v>0.6</v>
      </c>
      <c r="G275" s="8">
        <v>38.880000000000003</v>
      </c>
      <c r="H275" s="8">
        <v>1.0049999999999999</v>
      </c>
      <c r="I275" s="8">
        <v>1.2929999999999999</v>
      </c>
      <c r="J275" s="41">
        <v>32.200000000000003</v>
      </c>
      <c r="K275" s="8">
        <v>25</v>
      </c>
      <c r="L275" s="8">
        <f t="shared" si="70"/>
        <v>7.2000000000000028</v>
      </c>
      <c r="M275" s="27">
        <f t="shared" si="71"/>
        <v>218.26022054400002</v>
      </c>
      <c r="N275" s="8">
        <v>0.27700000000000002</v>
      </c>
      <c r="O275" s="18">
        <f t="shared" si="69"/>
        <v>60.458081090688012</v>
      </c>
      <c r="P275" s="8">
        <f>30*16</f>
        <v>480</v>
      </c>
      <c r="Q275" s="40">
        <f t="shared" si="72"/>
        <v>29.019878923530246</v>
      </c>
    </row>
    <row r="276" spans="5:18" ht="14" x14ac:dyDescent="0.25">
      <c r="E276" s="44" t="s">
        <v>21</v>
      </c>
      <c r="F276" s="8">
        <v>0.6</v>
      </c>
      <c r="G276" s="8">
        <v>38.880000000000003</v>
      </c>
      <c r="H276" s="8">
        <v>1.0049999999999999</v>
      </c>
      <c r="I276" s="8">
        <v>1.2929999999999999</v>
      </c>
      <c r="J276" s="41">
        <v>33.4</v>
      </c>
      <c r="K276" s="8">
        <v>25</v>
      </c>
      <c r="L276" s="8">
        <f t="shared" si="70"/>
        <v>8.3999999999999986</v>
      </c>
      <c r="M276" s="27">
        <f t="shared" si="71"/>
        <v>254.63692396799988</v>
      </c>
      <c r="N276" s="8">
        <v>0.27700000000000002</v>
      </c>
      <c r="O276" s="18">
        <f t="shared" si="69"/>
        <v>70.534427939135966</v>
      </c>
      <c r="P276" s="8">
        <f>31*16</f>
        <v>496</v>
      </c>
      <c r="Q276" s="40">
        <f t="shared" si="72"/>
        <v>34.985076257811436</v>
      </c>
    </row>
    <row r="277" spans="5:18" ht="14" x14ac:dyDescent="0.25">
      <c r="E277" s="44" t="s">
        <v>22</v>
      </c>
      <c r="F277" s="8">
        <v>0.6</v>
      </c>
      <c r="G277" s="8">
        <v>38.880000000000003</v>
      </c>
      <c r="H277" s="8">
        <v>1.0049999999999999</v>
      </c>
      <c r="I277" s="8">
        <v>1.2929999999999999</v>
      </c>
      <c r="J277" s="41">
        <v>33.9</v>
      </c>
      <c r="K277" s="8">
        <v>25</v>
      </c>
      <c r="L277" s="8">
        <f t="shared" si="70"/>
        <v>8.8999999999999986</v>
      </c>
      <c r="M277" s="27">
        <f t="shared" si="71"/>
        <v>269.79388372799991</v>
      </c>
      <c r="N277" s="8">
        <v>0.27700000000000002</v>
      </c>
      <c r="O277" s="18">
        <f t="shared" si="69"/>
        <v>74.732905792655984</v>
      </c>
      <c r="P277" s="8">
        <f>30*16</f>
        <v>480</v>
      </c>
      <c r="Q277" s="40">
        <f t="shared" si="72"/>
        <v>35.871794780474872</v>
      </c>
    </row>
    <row r="278" spans="5:18" ht="14" x14ac:dyDescent="0.25">
      <c r="E278" s="44" t="s">
        <v>23</v>
      </c>
      <c r="F278" s="8">
        <v>0.6</v>
      </c>
      <c r="G278" s="8">
        <v>38.880000000000003</v>
      </c>
      <c r="H278" s="8">
        <v>1.0049999999999999</v>
      </c>
      <c r="I278" s="8">
        <v>1.2929999999999999</v>
      </c>
      <c r="J278" s="41">
        <v>33.200000000000003</v>
      </c>
      <c r="K278" s="8">
        <v>25</v>
      </c>
      <c r="L278" s="8">
        <f t="shared" si="70"/>
        <v>8.2000000000000028</v>
      </c>
      <c r="M278" s="27">
        <f t="shared" si="71"/>
        <v>248.57414006400001</v>
      </c>
      <c r="N278" s="8">
        <v>0.27700000000000002</v>
      </c>
      <c r="O278" s="18">
        <f t="shared" si="69"/>
        <v>68.855036797728005</v>
      </c>
      <c r="P278" s="8">
        <f>31*16</f>
        <v>496</v>
      </c>
      <c r="Q278" s="40">
        <f t="shared" si="72"/>
        <v>34.152098251673088</v>
      </c>
    </row>
    <row r="279" spans="5:18" ht="15" x14ac:dyDescent="0.4">
      <c r="E279" s="305" t="s">
        <v>91</v>
      </c>
      <c r="F279" s="306"/>
      <c r="G279" s="306"/>
      <c r="H279" s="306"/>
      <c r="I279" s="306"/>
      <c r="J279" s="306"/>
      <c r="K279" s="306"/>
      <c r="L279" s="306"/>
      <c r="M279" s="306"/>
      <c r="N279" s="306"/>
      <c r="O279" s="306"/>
      <c r="P279" s="307"/>
      <c r="Q279" s="115">
        <f>SUM(Q267:Q278)</f>
        <v>452.49514914097153</v>
      </c>
      <c r="R279" s="116"/>
    </row>
    <row r="280" spans="5:18" ht="14" x14ac:dyDescent="0.25">
      <c r="E280" s="44" t="s">
        <v>15</v>
      </c>
      <c r="F280" s="8">
        <v>0.6</v>
      </c>
      <c r="G280" s="8">
        <v>38.880000000000003</v>
      </c>
      <c r="H280" s="8">
        <v>1.0049999999999999</v>
      </c>
      <c r="I280" s="8">
        <v>1.2929999999999999</v>
      </c>
      <c r="J280" s="71">
        <v>33.200000000000003</v>
      </c>
      <c r="K280" s="8">
        <v>26</v>
      </c>
      <c r="L280" s="8">
        <f>J280-K280</f>
        <v>7.2000000000000028</v>
      </c>
      <c r="M280" s="27">
        <f>F280*G280*H280*I280*L280</f>
        <v>218.26022054400002</v>
      </c>
      <c r="N280" s="8">
        <v>0.27700000000000002</v>
      </c>
      <c r="O280" s="18">
        <f t="shared" ref="O280:O291" si="73">M280*N280</f>
        <v>60.458081090688012</v>
      </c>
      <c r="P280" s="8">
        <f>31*16</f>
        <v>496</v>
      </c>
      <c r="Q280" s="40">
        <f>(O280*P280)/1000</f>
        <v>29.987208220981255</v>
      </c>
    </row>
    <row r="281" spans="5:18" ht="14" x14ac:dyDescent="0.25">
      <c r="E281" s="44" t="s">
        <v>16</v>
      </c>
      <c r="F281" s="8">
        <v>0.6</v>
      </c>
      <c r="G281" s="8">
        <v>38.880000000000003</v>
      </c>
      <c r="H281" s="8">
        <v>1.0049999999999999</v>
      </c>
      <c r="I281" s="8">
        <v>1.2929999999999999</v>
      </c>
      <c r="J281" s="71">
        <v>35.9</v>
      </c>
      <c r="K281" s="8">
        <v>26</v>
      </c>
      <c r="L281" s="8">
        <f t="shared" ref="L281:L291" si="74">J281-K281</f>
        <v>9.8999999999999986</v>
      </c>
      <c r="M281" s="27">
        <f t="shared" ref="M281:M291" si="75">F281*G281*H281*I281*L281</f>
        <v>300.10780324799987</v>
      </c>
      <c r="N281" s="8">
        <v>0.27700000000000002</v>
      </c>
      <c r="O281" s="18">
        <f t="shared" si="73"/>
        <v>83.129861499695977</v>
      </c>
      <c r="P281" s="8">
        <f>28*16</f>
        <v>448</v>
      </c>
      <c r="Q281" s="40">
        <f t="shared" ref="Q281:Q291" si="76">(O281*P281)/1000</f>
        <v>37.242177951863802</v>
      </c>
    </row>
    <row r="282" spans="5:18" ht="14" x14ac:dyDescent="0.25">
      <c r="E282" s="44" t="s">
        <v>17</v>
      </c>
      <c r="F282" s="8">
        <v>0.6</v>
      </c>
      <c r="G282" s="8">
        <v>38.880000000000003</v>
      </c>
      <c r="H282" s="8">
        <v>1.0049999999999999</v>
      </c>
      <c r="I282" s="8">
        <v>1.2929999999999999</v>
      </c>
      <c r="J282" s="71">
        <v>37.1</v>
      </c>
      <c r="K282" s="8">
        <v>26</v>
      </c>
      <c r="L282" s="8">
        <f t="shared" si="74"/>
        <v>11.100000000000001</v>
      </c>
      <c r="M282" s="27">
        <f t="shared" si="75"/>
        <v>336.48450667199995</v>
      </c>
      <c r="N282" s="8">
        <v>0.27700000000000002</v>
      </c>
      <c r="O282" s="18">
        <f t="shared" si="73"/>
        <v>93.206208348143988</v>
      </c>
      <c r="P282" s="8">
        <f>31*16</f>
        <v>496</v>
      </c>
      <c r="Q282" s="40">
        <f t="shared" si="76"/>
        <v>46.230279340679417</v>
      </c>
    </row>
    <row r="283" spans="5:18" ht="14" x14ac:dyDescent="0.25">
      <c r="E283" s="44" t="s">
        <v>18</v>
      </c>
      <c r="F283" s="8">
        <v>0.6</v>
      </c>
      <c r="G283" s="8">
        <v>38.880000000000003</v>
      </c>
      <c r="H283" s="8">
        <v>1.0049999999999999</v>
      </c>
      <c r="I283" s="8">
        <v>1.2929999999999999</v>
      </c>
      <c r="J283" s="71">
        <v>38.9</v>
      </c>
      <c r="K283" s="8">
        <v>26</v>
      </c>
      <c r="L283" s="8">
        <f t="shared" si="74"/>
        <v>12.899999999999999</v>
      </c>
      <c r="M283" s="27">
        <f t="shared" si="75"/>
        <v>391.04956180799985</v>
      </c>
      <c r="N283" s="8">
        <v>0.27700000000000002</v>
      </c>
      <c r="O283" s="18">
        <f t="shared" si="73"/>
        <v>108.32072862081597</v>
      </c>
      <c r="P283" s="8">
        <f>30*16</f>
        <v>480</v>
      </c>
      <c r="Q283" s="40">
        <f t="shared" si="76"/>
        <v>51.993949737991663</v>
      </c>
    </row>
    <row r="284" spans="5:18" ht="14" x14ac:dyDescent="0.25">
      <c r="E284" s="44" t="s">
        <v>12</v>
      </c>
      <c r="F284" s="8">
        <v>0.6</v>
      </c>
      <c r="G284" s="8">
        <v>38.880000000000003</v>
      </c>
      <c r="H284" s="8">
        <v>1.0049999999999999</v>
      </c>
      <c r="I284" s="8">
        <v>1.2929999999999999</v>
      </c>
      <c r="J284" s="71">
        <v>37.799999999999997</v>
      </c>
      <c r="K284" s="8">
        <v>26</v>
      </c>
      <c r="L284" s="8">
        <f t="shared" si="74"/>
        <v>11.799999999999997</v>
      </c>
      <c r="M284" s="27">
        <f t="shared" si="75"/>
        <v>357.7042503359998</v>
      </c>
      <c r="N284" s="8">
        <v>0.27700000000000002</v>
      </c>
      <c r="O284" s="18">
        <f t="shared" si="73"/>
        <v>99.084077343071954</v>
      </c>
      <c r="P284" s="8">
        <f>31*16</f>
        <v>496</v>
      </c>
      <c r="Q284" s="40">
        <f t="shared" si="76"/>
        <v>49.145702362163689</v>
      </c>
    </row>
    <row r="285" spans="5:18" ht="14" x14ac:dyDescent="0.25">
      <c r="E285" s="44" t="s">
        <v>13</v>
      </c>
      <c r="F285" s="8">
        <v>0.6</v>
      </c>
      <c r="G285" s="8">
        <v>38.880000000000003</v>
      </c>
      <c r="H285" s="8">
        <v>1.0049999999999999</v>
      </c>
      <c r="I285" s="8">
        <v>1.2929999999999999</v>
      </c>
      <c r="J285" s="71">
        <v>32.200000000000003</v>
      </c>
      <c r="K285" s="8">
        <v>26</v>
      </c>
      <c r="L285" s="8">
        <f t="shared" si="74"/>
        <v>6.2000000000000028</v>
      </c>
      <c r="M285" s="27">
        <f t="shared" si="75"/>
        <v>187.94630102400004</v>
      </c>
      <c r="N285" s="8">
        <v>0.27700000000000002</v>
      </c>
      <c r="O285" s="18">
        <f t="shared" si="73"/>
        <v>52.061125383648012</v>
      </c>
      <c r="P285" s="8">
        <f>30*16</f>
        <v>480</v>
      </c>
      <c r="Q285" s="40">
        <f t="shared" si="76"/>
        <v>24.989340184151047</v>
      </c>
    </row>
    <row r="286" spans="5:18" ht="14" x14ac:dyDescent="0.25">
      <c r="E286" s="44" t="s">
        <v>24</v>
      </c>
      <c r="F286" s="8">
        <v>0.6</v>
      </c>
      <c r="G286" s="8">
        <v>38.880000000000003</v>
      </c>
      <c r="H286" s="8">
        <v>1.0049999999999999</v>
      </c>
      <c r="I286" s="8">
        <v>1.2929999999999999</v>
      </c>
      <c r="J286" s="41">
        <v>31.9</v>
      </c>
      <c r="K286" s="8">
        <v>26</v>
      </c>
      <c r="L286" s="8">
        <f t="shared" si="74"/>
        <v>5.8999999999999986</v>
      </c>
      <c r="M286" s="27">
        <f t="shared" si="75"/>
        <v>178.8521251679999</v>
      </c>
      <c r="N286" s="8">
        <v>0.27700000000000002</v>
      </c>
      <c r="O286" s="18">
        <f t="shared" si="73"/>
        <v>49.542038671535977</v>
      </c>
      <c r="P286" s="8">
        <f>31*16</f>
        <v>496</v>
      </c>
      <c r="Q286" s="40">
        <f t="shared" si="76"/>
        <v>24.572851181081845</v>
      </c>
    </row>
    <row r="287" spans="5:18" ht="14" x14ac:dyDescent="0.25">
      <c r="E287" s="44" t="s">
        <v>19</v>
      </c>
      <c r="F287" s="8">
        <v>0.6</v>
      </c>
      <c r="G287" s="8">
        <v>38.880000000000003</v>
      </c>
      <c r="H287" s="8">
        <v>1.0049999999999999</v>
      </c>
      <c r="I287" s="8">
        <v>1.2929999999999999</v>
      </c>
      <c r="J287" s="41">
        <v>31.2</v>
      </c>
      <c r="K287" s="8">
        <v>26</v>
      </c>
      <c r="L287" s="8">
        <f t="shared" si="74"/>
        <v>5.1999999999999993</v>
      </c>
      <c r="M287" s="27">
        <f t="shared" si="75"/>
        <v>157.63238150399994</v>
      </c>
      <c r="N287" s="8">
        <v>0.27700000000000002</v>
      </c>
      <c r="O287" s="18">
        <f t="shared" si="73"/>
        <v>43.664169676607983</v>
      </c>
      <c r="P287" s="8">
        <f>31*16</f>
        <v>496</v>
      </c>
      <c r="Q287" s="40">
        <f t="shared" si="76"/>
        <v>21.657428159597558</v>
      </c>
    </row>
    <row r="288" spans="5:18" ht="14" x14ac:dyDescent="0.25">
      <c r="E288" s="44" t="s">
        <v>20</v>
      </c>
      <c r="F288" s="8">
        <v>0.6</v>
      </c>
      <c r="G288" s="8">
        <v>38.880000000000003</v>
      </c>
      <c r="H288" s="8">
        <v>1.0049999999999999</v>
      </c>
      <c r="I288" s="8">
        <v>1.2929999999999999</v>
      </c>
      <c r="J288" s="41">
        <v>32.200000000000003</v>
      </c>
      <c r="K288" s="8">
        <v>26</v>
      </c>
      <c r="L288" s="8">
        <f t="shared" si="74"/>
        <v>6.2000000000000028</v>
      </c>
      <c r="M288" s="27">
        <f t="shared" si="75"/>
        <v>187.94630102400004</v>
      </c>
      <c r="N288" s="8">
        <v>0.27700000000000002</v>
      </c>
      <c r="O288" s="18">
        <f t="shared" si="73"/>
        <v>52.061125383648012</v>
      </c>
      <c r="P288" s="8">
        <f>30*16</f>
        <v>480</v>
      </c>
      <c r="Q288" s="40">
        <f t="shared" si="76"/>
        <v>24.989340184151047</v>
      </c>
    </row>
    <row r="289" spans="5:18" ht="14" x14ac:dyDescent="0.25">
      <c r="E289" s="44" t="s">
        <v>21</v>
      </c>
      <c r="F289" s="8">
        <v>0.6</v>
      </c>
      <c r="G289" s="8">
        <v>38.880000000000003</v>
      </c>
      <c r="H289" s="8">
        <v>1.0049999999999999</v>
      </c>
      <c r="I289" s="8">
        <v>1.2929999999999999</v>
      </c>
      <c r="J289" s="41">
        <v>33.4</v>
      </c>
      <c r="K289" s="8">
        <v>26</v>
      </c>
      <c r="L289" s="8">
        <f t="shared" si="74"/>
        <v>7.3999999999999986</v>
      </c>
      <c r="M289" s="27">
        <f t="shared" si="75"/>
        <v>224.32300444799989</v>
      </c>
      <c r="N289" s="8">
        <v>0.27700000000000002</v>
      </c>
      <c r="O289" s="18">
        <f t="shared" si="73"/>
        <v>62.137472232095973</v>
      </c>
      <c r="P289" s="8">
        <f>31*16</f>
        <v>496</v>
      </c>
      <c r="Q289" s="40">
        <f t="shared" si="76"/>
        <v>30.820186227119603</v>
      </c>
    </row>
    <row r="290" spans="5:18" ht="14" x14ac:dyDescent="0.25">
      <c r="E290" s="44" t="s">
        <v>22</v>
      </c>
      <c r="F290" s="8">
        <v>0.6</v>
      </c>
      <c r="G290" s="8">
        <v>38.880000000000003</v>
      </c>
      <c r="H290" s="8">
        <v>1.0049999999999999</v>
      </c>
      <c r="I290" s="8">
        <v>1.2929999999999999</v>
      </c>
      <c r="J290" s="41">
        <v>33.9</v>
      </c>
      <c r="K290" s="8">
        <v>26</v>
      </c>
      <c r="L290" s="8">
        <f t="shared" si="74"/>
        <v>7.8999999999999986</v>
      </c>
      <c r="M290" s="27">
        <f t="shared" si="75"/>
        <v>239.4799642079999</v>
      </c>
      <c r="N290" s="8">
        <v>0.27700000000000002</v>
      </c>
      <c r="O290" s="18">
        <f t="shared" si="73"/>
        <v>66.335950085615977</v>
      </c>
      <c r="P290" s="8">
        <f>30*16</f>
        <v>480</v>
      </c>
      <c r="Q290" s="40">
        <f t="shared" si="76"/>
        <v>31.841256041095669</v>
      </c>
    </row>
    <row r="291" spans="5:18" ht="14" x14ac:dyDescent="0.25">
      <c r="E291" s="44" t="s">
        <v>23</v>
      </c>
      <c r="F291" s="8">
        <v>0.6</v>
      </c>
      <c r="G291" s="8">
        <v>38.880000000000003</v>
      </c>
      <c r="H291" s="8">
        <v>1.0049999999999999</v>
      </c>
      <c r="I291" s="8">
        <v>1.2929999999999999</v>
      </c>
      <c r="J291" s="41">
        <v>33.200000000000003</v>
      </c>
      <c r="K291" s="8">
        <v>26</v>
      </c>
      <c r="L291" s="8">
        <f t="shared" si="74"/>
        <v>7.2000000000000028</v>
      </c>
      <c r="M291" s="27">
        <f t="shared" si="75"/>
        <v>218.26022054400002</v>
      </c>
      <c r="N291" s="8">
        <v>0.27700000000000002</v>
      </c>
      <c r="O291" s="18">
        <f t="shared" si="73"/>
        <v>60.458081090688012</v>
      </c>
      <c r="P291" s="8">
        <f>31*16</f>
        <v>496</v>
      </c>
      <c r="Q291" s="40">
        <f t="shared" si="76"/>
        <v>29.987208220981255</v>
      </c>
    </row>
    <row r="292" spans="5:18" ht="15" x14ac:dyDescent="0.4">
      <c r="E292" s="305" t="s">
        <v>92</v>
      </c>
      <c r="F292" s="306"/>
      <c r="G292" s="306"/>
      <c r="H292" s="306"/>
      <c r="I292" s="306"/>
      <c r="J292" s="306"/>
      <c r="K292" s="306"/>
      <c r="L292" s="306"/>
      <c r="M292" s="306"/>
      <c r="N292" s="306"/>
      <c r="O292" s="306"/>
      <c r="P292" s="307"/>
      <c r="Q292" s="115">
        <f>SUM(Q280:Q291)</f>
        <v>403.45692781185784</v>
      </c>
      <c r="R292" s="116"/>
    </row>
    <row r="293" spans="5:18" ht="14" x14ac:dyDescent="0.25">
      <c r="E293" s="44" t="s">
        <v>15</v>
      </c>
      <c r="F293" s="8">
        <v>0.6</v>
      </c>
      <c r="G293" s="8">
        <v>38.880000000000003</v>
      </c>
      <c r="H293" s="8">
        <v>1.0049999999999999</v>
      </c>
      <c r="I293" s="8">
        <v>1.2929999999999999</v>
      </c>
      <c r="J293" s="71">
        <v>33.200000000000003</v>
      </c>
      <c r="K293" s="8">
        <v>27</v>
      </c>
      <c r="L293" s="8">
        <f>J293-K293</f>
        <v>6.2000000000000028</v>
      </c>
      <c r="M293" s="27">
        <f>F293*G293*H293*I293*L293</f>
        <v>187.94630102400004</v>
      </c>
      <c r="N293" s="8">
        <v>0.27700000000000002</v>
      </c>
      <c r="O293" s="18">
        <f t="shared" ref="O293:O304" si="77">M293*N293</f>
        <v>52.061125383648012</v>
      </c>
      <c r="P293" s="8">
        <f>31*16</f>
        <v>496</v>
      </c>
      <c r="Q293" s="40">
        <f>(O293*P293)/1000</f>
        <v>25.822318190289415</v>
      </c>
    </row>
    <row r="294" spans="5:18" ht="14" x14ac:dyDescent="0.25">
      <c r="E294" s="44" t="s">
        <v>16</v>
      </c>
      <c r="F294" s="8">
        <v>0.6</v>
      </c>
      <c r="G294" s="8">
        <v>38.880000000000003</v>
      </c>
      <c r="H294" s="8">
        <v>1.0049999999999999</v>
      </c>
      <c r="I294" s="8">
        <v>1.2929999999999999</v>
      </c>
      <c r="J294" s="71">
        <v>35.9</v>
      </c>
      <c r="K294" s="8">
        <v>27</v>
      </c>
      <c r="L294" s="8">
        <f t="shared" ref="L294:L304" si="78">J294-K294</f>
        <v>8.8999999999999986</v>
      </c>
      <c r="M294" s="27">
        <f t="shared" ref="M294:M304" si="79">F294*G294*H294*I294*L294</f>
        <v>269.79388372799991</v>
      </c>
      <c r="N294" s="8">
        <v>0.27700000000000002</v>
      </c>
      <c r="O294" s="18">
        <f t="shared" si="77"/>
        <v>74.732905792655984</v>
      </c>
      <c r="P294" s="8">
        <f>28*16</f>
        <v>448</v>
      </c>
      <c r="Q294" s="40">
        <f t="shared" ref="Q294:Q304" si="80">(O294*P294)/1000</f>
        <v>33.480341795109879</v>
      </c>
    </row>
    <row r="295" spans="5:18" ht="14" x14ac:dyDescent="0.25">
      <c r="E295" s="44" t="s">
        <v>17</v>
      </c>
      <c r="F295" s="8">
        <v>0.6</v>
      </c>
      <c r="G295" s="8">
        <v>38.880000000000003</v>
      </c>
      <c r="H295" s="8">
        <v>1.0049999999999999</v>
      </c>
      <c r="I295" s="8">
        <v>1.2929999999999999</v>
      </c>
      <c r="J295" s="71">
        <v>37.1</v>
      </c>
      <c r="K295" s="8">
        <v>27</v>
      </c>
      <c r="L295" s="8">
        <f t="shared" si="78"/>
        <v>10.100000000000001</v>
      </c>
      <c r="M295" s="27">
        <f t="shared" si="79"/>
        <v>306.17058715199994</v>
      </c>
      <c r="N295" s="8">
        <v>0.27700000000000002</v>
      </c>
      <c r="O295" s="18">
        <f t="shared" si="77"/>
        <v>84.809252641103996</v>
      </c>
      <c r="P295" s="8">
        <f>31*16</f>
        <v>496</v>
      </c>
      <c r="Q295" s="40">
        <f t="shared" si="80"/>
        <v>42.06538930998758</v>
      </c>
    </row>
    <row r="296" spans="5:18" ht="14" x14ac:dyDescent="0.25">
      <c r="E296" s="44" t="s">
        <v>18</v>
      </c>
      <c r="F296" s="8">
        <v>0.6</v>
      </c>
      <c r="G296" s="8">
        <v>38.880000000000003</v>
      </c>
      <c r="H296" s="8">
        <v>1.0049999999999999</v>
      </c>
      <c r="I296" s="8">
        <v>1.2929999999999999</v>
      </c>
      <c r="J296" s="71">
        <v>38.9</v>
      </c>
      <c r="K296" s="8">
        <v>27</v>
      </c>
      <c r="L296" s="8">
        <f t="shared" si="78"/>
        <v>11.899999999999999</v>
      </c>
      <c r="M296" s="27">
        <f t="shared" si="79"/>
        <v>360.73564228799984</v>
      </c>
      <c r="N296" s="8">
        <v>0.27700000000000002</v>
      </c>
      <c r="O296" s="18">
        <f t="shared" si="77"/>
        <v>99.923772913775963</v>
      </c>
      <c r="P296" s="8">
        <f>30*16</f>
        <v>480</v>
      </c>
      <c r="Q296" s="40">
        <f t="shared" si="80"/>
        <v>47.96341099861246</v>
      </c>
    </row>
    <row r="297" spans="5:18" ht="14" x14ac:dyDescent="0.25">
      <c r="E297" s="44" t="s">
        <v>12</v>
      </c>
      <c r="F297" s="8">
        <v>0.6</v>
      </c>
      <c r="G297" s="8">
        <v>38.880000000000003</v>
      </c>
      <c r="H297" s="8">
        <v>1.0049999999999999</v>
      </c>
      <c r="I297" s="8">
        <v>1.2929999999999999</v>
      </c>
      <c r="J297" s="71">
        <v>37.799999999999997</v>
      </c>
      <c r="K297" s="8">
        <v>27</v>
      </c>
      <c r="L297" s="8">
        <f t="shared" si="78"/>
        <v>10.799999999999997</v>
      </c>
      <c r="M297" s="27">
        <f t="shared" si="79"/>
        <v>327.39033081599985</v>
      </c>
      <c r="N297" s="8">
        <v>0.27700000000000002</v>
      </c>
      <c r="O297" s="18">
        <f t="shared" si="77"/>
        <v>90.687121636031961</v>
      </c>
      <c r="P297" s="8">
        <f>31*16</f>
        <v>496</v>
      </c>
      <c r="Q297" s="40">
        <f t="shared" si="80"/>
        <v>44.980812331471853</v>
      </c>
    </row>
    <row r="298" spans="5:18" ht="14" x14ac:dyDescent="0.25">
      <c r="E298" s="44" t="s">
        <v>13</v>
      </c>
      <c r="F298" s="8">
        <v>0.6</v>
      </c>
      <c r="G298" s="8">
        <v>38.880000000000003</v>
      </c>
      <c r="H298" s="8">
        <v>1.0049999999999999</v>
      </c>
      <c r="I298" s="8">
        <v>1.2929999999999999</v>
      </c>
      <c r="J298" s="71">
        <v>32.200000000000003</v>
      </c>
      <c r="K298" s="8">
        <v>27</v>
      </c>
      <c r="L298" s="8">
        <f t="shared" si="78"/>
        <v>5.2000000000000028</v>
      </c>
      <c r="M298" s="27">
        <f t="shared" si="79"/>
        <v>157.63238150400005</v>
      </c>
      <c r="N298" s="8">
        <v>0.27700000000000002</v>
      </c>
      <c r="O298" s="18">
        <f t="shared" si="77"/>
        <v>43.664169676608019</v>
      </c>
      <c r="P298" s="8">
        <f>30*16</f>
        <v>480</v>
      </c>
      <c r="Q298" s="40">
        <f t="shared" si="80"/>
        <v>20.958801444771847</v>
      </c>
    </row>
    <row r="299" spans="5:18" ht="14" x14ac:dyDescent="0.25">
      <c r="E299" s="44" t="s">
        <v>24</v>
      </c>
      <c r="F299" s="8">
        <v>0.6</v>
      </c>
      <c r="G299" s="8">
        <v>38.880000000000003</v>
      </c>
      <c r="H299" s="8">
        <v>1.0049999999999999</v>
      </c>
      <c r="I299" s="8">
        <v>1.2929999999999999</v>
      </c>
      <c r="J299" s="41">
        <v>31.9</v>
      </c>
      <c r="K299" s="8">
        <v>27</v>
      </c>
      <c r="L299" s="8">
        <f t="shared" si="78"/>
        <v>4.8999999999999986</v>
      </c>
      <c r="M299" s="27">
        <f t="shared" si="79"/>
        <v>148.53820564799992</v>
      </c>
      <c r="N299" s="8">
        <v>0.27700000000000002</v>
      </c>
      <c r="O299" s="18">
        <f t="shared" si="77"/>
        <v>41.145082964495984</v>
      </c>
      <c r="P299" s="8">
        <f>31*16</f>
        <v>496</v>
      </c>
      <c r="Q299" s="40">
        <f t="shared" si="80"/>
        <v>20.407961150390008</v>
      </c>
    </row>
    <row r="300" spans="5:18" ht="14" x14ac:dyDescent="0.25">
      <c r="E300" s="44" t="s">
        <v>19</v>
      </c>
      <c r="F300" s="8">
        <v>0.6</v>
      </c>
      <c r="G300" s="8">
        <v>38.880000000000003</v>
      </c>
      <c r="H300" s="8">
        <v>1.0049999999999999</v>
      </c>
      <c r="I300" s="8">
        <v>1.2929999999999999</v>
      </c>
      <c r="J300" s="41">
        <v>31.2</v>
      </c>
      <c r="K300" s="8">
        <v>27</v>
      </c>
      <c r="L300" s="8">
        <f t="shared" si="78"/>
        <v>4.1999999999999993</v>
      </c>
      <c r="M300" s="27">
        <f t="shared" si="79"/>
        <v>127.31846198399994</v>
      </c>
      <c r="N300" s="8">
        <v>0.27700000000000002</v>
      </c>
      <c r="O300" s="18">
        <f t="shared" si="77"/>
        <v>35.267213969567983</v>
      </c>
      <c r="P300" s="8">
        <f>31*16</f>
        <v>496</v>
      </c>
      <c r="Q300" s="40">
        <f t="shared" si="80"/>
        <v>17.492538128905718</v>
      </c>
    </row>
    <row r="301" spans="5:18" ht="14" x14ac:dyDescent="0.25">
      <c r="E301" s="44" t="s">
        <v>20</v>
      </c>
      <c r="F301" s="8">
        <v>0.6</v>
      </c>
      <c r="G301" s="8">
        <v>38.880000000000003</v>
      </c>
      <c r="H301" s="8">
        <v>1.0049999999999999</v>
      </c>
      <c r="I301" s="8">
        <v>1.2929999999999999</v>
      </c>
      <c r="J301" s="41">
        <v>32.200000000000003</v>
      </c>
      <c r="K301" s="8">
        <v>27</v>
      </c>
      <c r="L301" s="8">
        <f t="shared" si="78"/>
        <v>5.2000000000000028</v>
      </c>
      <c r="M301" s="27">
        <f t="shared" si="79"/>
        <v>157.63238150400005</v>
      </c>
      <c r="N301" s="8">
        <v>0.27700000000000002</v>
      </c>
      <c r="O301" s="18">
        <f t="shared" si="77"/>
        <v>43.664169676608019</v>
      </c>
      <c r="P301" s="8">
        <f>30*16</f>
        <v>480</v>
      </c>
      <c r="Q301" s="40">
        <f t="shared" si="80"/>
        <v>20.958801444771847</v>
      </c>
    </row>
    <row r="302" spans="5:18" ht="14" x14ac:dyDescent="0.25">
      <c r="E302" s="44" t="s">
        <v>21</v>
      </c>
      <c r="F302" s="8">
        <v>0.6</v>
      </c>
      <c r="G302" s="8">
        <v>38.880000000000003</v>
      </c>
      <c r="H302" s="8">
        <v>1.0049999999999999</v>
      </c>
      <c r="I302" s="8">
        <v>1.2929999999999999</v>
      </c>
      <c r="J302" s="41">
        <v>33.4</v>
      </c>
      <c r="K302" s="8">
        <v>27</v>
      </c>
      <c r="L302" s="8">
        <f t="shared" si="78"/>
        <v>6.3999999999999986</v>
      </c>
      <c r="M302" s="27">
        <f t="shared" si="79"/>
        <v>194.00908492799991</v>
      </c>
      <c r="N302" s="8">
        <v>0.27700000000000002</v>
      </c>
      <c r="O302" s="18">
        <f t="shared" si="77"/>
        <v>53.74051652505598</v>
      </c>
      <c r="P302" s="8">
        <f>31*16</f>
        <v>496</v>
      </c>
      <c r="Q302" s="40">
        <f t="shared" si="80"/>
        <v>26.655296196427766</v>
      </c>
    </row>
    <row r="303" spans="5:18" ht="14" x14ac:dyDescent="0.25">
      <c r="E303" s="44" t="s">
        <v>22</v>
      </c>
      <c r="F303" s="8">
        <v>0.6</v>
      </c>
      <c r="G303" s="8">
        <v>38.880000000000003</v>
      </c>
      <c r="H303" s="8">
        <v>1.0049999999999999</v>
      </c>
      <c r="I303" s="8">
        <v>1.2929999999999999</v>
      </c>
      <c r="J303" s="41">
        <v>33.9</v>
      </c>
      <c r="K303" s="8">
        <v>27</v>
      </c>
      <c r="L303" s="8">
        <f t="shared" si="78"/>
        <v>6.8999999999999986</v>
      </c>
      <c r="M303" s="27">
        <f t="shared" si="79"/>
        <v>209.16604468799991</v>
      </c>
      <c r="N303" s="8">
        <v>0.27700000000000002</v>
      </c>
      <c r="O303" s="18">
        <f t="shared" si="77"/>
        <v>57.938994378575984</v>
      </c>
      <c r="P303" s="8">
        <f>30*16</f>
        <v>480</v>
      </c>
      <c r="Q303" s="40">
        <f t="shared" si="80"/>
        <v>27.810717301716473</v>
      </c>
    </row>
    <row r="304" spans="5:18" ht="14" x14ac:dyDescent="0.25">
      <c r="E304" s="44" t="s">
        <v>23</v>
      </c>
      <c r="F304" s="8">
        <v>0.6</v>
      </c>
      <c r="G304" s="8">
        <v>38.880000000000003</v>
      </c>
      <c r="H304" s="8">
        <v>1.0049999999999999</v>
      </c>
      <c r="I304" s="8">
        <v>1.2929999999999999</v>
      </c>
      <c r="J304" s="41">
        <v>33.200000000000003</v>
      </c>
      <c r="K304" s="8">
        <v>27</v>
      </c>
      <c r="L304" s="8">
        <f t="shared" si="78"/>
        <v>6.2000000000000028</v>
      </c>
      <c r="M304" s="27">
        <f t="shared" si="79"/>
        <v>187.94630102400004</v>
      </c>
      <c r="N304" s="8">
        <v>0.27700000000000002</v>
      </c>
      <c r="O304" s="18">
        <f t="shared" si="77"/>
        <v>52.061125383648012</v>
      </c>
      <c r="P304" s="8">
        <f>31*16</f>
        <v>496</v>
      </c>
      <c r="Q304" s="40">
        <f t="shared" si="80"/>
        <v>25.822318190289415</v>
      </c>
    </row>
    <row r="305" spans="5:18" ht="15" x14ac:dyDescent="0.4">
      <c r="E305" s="305" t="s">
        <v>93</v>
      </c>
      <c r="F305" s="306"/>
      <c r="G305" s="306"/>
      <c r="H305" s="306"/>
      <c r="I305" s="306"/>
      <c r="J305" s="306"/>
      <c r="K305" s="306"/>
      <c r="L305" s="306"/>
      <c r="M305" s="306"/>
      <c r="N305" s="306"/>
      <c r="O305" s="306"/>
      <c r="P305" s="307"/>
      <c r="Q305" s="115">
        <f>SUM(Q293:Q304)</f>
        <v>354.4187064827442</v>
      </c>
      <c r="R305" s="116"/>
    </row>
    <row r="306" spans="5:18" ht="14" x14ac:dyDescent="0.25">
      <c r="E306" s="44" t="s">
        <v>15</v>
      </c>
      <c r="F306" s="8">
        <v>0.6</v>
      </c>
      <c r="G306" s="8">
        <v>38.880000000000003</v>
      </c>
      <c r="H306" s="8">
        <v>1.0049999999999999</v>
      </c>
      <c r="I306" s="8">
        <v>1.2929999999999999</v>
      </c>
      <c r="J306" s="71">
        <v>33.200000000000003</v>
      </c>
      <c r="K306" s="8">
        <v>28</v>
      </c>
      <c r="L306" s="8">
        <f>J306-K306</f>
        <v>5.2000000000000028</v>
      </c>
      <c r="M306" s="27">
        <f>F306*G306*H306*I306*L306</f>
        <v>157.63238150400005</v>
      </c>
      <c r="N306" s="8">
        <v>0.27700000000000002</v>
      </c>
      <c r="O306" s="18">
        <f t="shared" ref="O306:O317" si="81">M306*N306</f>
        <v>43.664169676608019</v>
      </c>
      <c r="P306" s="8">
        <f>31*16</f>
        <v>496</v>
      </c>
      <c r="Q306" s="40">
        <f>(O306*P306)/1000</f>
        <v>21.657428159597576</v>
      </c>
    </row>
    <row r="307" spans="5:18" ht="14" x14ac:dyDescent="0.25">
      <c r="E307" s="44" t="s">
        <v>16</v>
      </c>
      <c r="F307" s="8">
        <v>0.6</v>
      </c>
      <c r="G307" s="8">
        <v>38.880000000000003</v>
      </c>
      <c r="H307" s="8">
        <v>1.0049999999999999</v>
      </c>
      <c r="I307" s="8">
        <v>1.2929999999999999</v>
      </c>
      <c r="J307" s="71">
        <v>35.9</v>
      </c>
      <c r="K307" s="8">
        <v>28</v>
      </c>
      <c r="L307" s="8">
        <f t="shared" ref="L307:L317" si="82">J307-K307</f>
        <v>7.8999999999999986</v>
      </c>
      <c r="M307" s="27">
        <f t="shared" ref="M307:M317" si="83">F307*G307*H307*I307*L307</f>
        <v>239.4799642079999</v>
      </c>
      <c r="N307" s="8">
        <v>0.27700000000000002</v>
      </c>
      <c r="O307" s="18">
        <f t="shared" si="81"/>
        <v>66.335950085615977</v>
      </c>
      <c r="P307" s="8">
        <f>28*16</f>
        <v>448</v>
      </c>
      <c r="Q307" s="40">
        <f t="shared" ref="Q307:Q317" si="84">(O307*P307)/1000</f>
        <v>29.718505638355957</v>
      </c>
    </row>
    <row r="308" spans="5:18" ht="14" x14ac:dyDescent="0.25">
      <c r="E308" s="44" t="s">
        <v>17</v>
      </c>
      <c r="F308" s="8">
        <v>0.6</v>
      </c>
      <c r="G308" s="8">
        <v>38.880000000000003</v>
      </c>
      <c r="H308" s="8">
        <v>1.0049999999999999</v>
      </c>
      <c r="I308" s="8">
        <v>1.2929999999999999</v>
      </c>
      <c r="J308" s="71">
        <v>37.1</v>
      </c>
      <c r="K308" s="8">
        <v>28</v>
      </c>
      <c r="L308" s="8">
        <f t="shared" si="82"/>
        <v>9.1000000000000014</v>
      </c>
      <c r="M308" s="27">
        <f t="shared" si="83"/>
        <v>275.85666763199998</v>
      </c>
      <c r="N308" s="8">
        <v>0.27700000000000002</v>
      </c>
      <c r="O308" s="18">
        <f t="shared" si="81"/>
        <v>76.412296934064003</v>
      </c>
      <c r="P308" s="8">
        <f>31*16</f>
        <v>496</v>
      </c>
      <c r="Q308" s="40">
        <f t="shared" si="84"/>
        <v>37.900499279295744</v>
      </c>
    </row>
    <row r="309" spans="5:18" ht="14" x14ac:dyDescent="0.25">
      <c r="E309" s="44" t="s">
        <v>18</v>
      </c>
      <c r="F309" s="8">
        <v>0.6</v>
      </c>
      <c r="G309" s="8">
        <v>38.880000000000003</v>
      </c>
      <c r="H309" s="8">
        <v>1.0049999999999999</v>
      </c>
      <c r="I309" s="8">
        <v>1.2929999999999999</v>
      </c>
      <c r="J309" s="71">
        <v>38.9</v>
      </c>
      <c r="K309" s="8">
        <v>28</v>
      </c>
      <c r="L309" s="8">
        <f t="shared" si="82"/>
        <v>10.899999999999999</v>
      </c>
      <c r="M309" s="27">
        <f t="shared" si="83"/>
        <v>330.42172276799988</v>
      </c>
      <c r="N309" s="8">
        <v>0.27700000000000002</v>
      </c>
      <c r="O309" s="18">
        <f t="shared" si="81"/>
        <v>91.52681720673597</v>
      </c>
      <c r="P309" s="8">
        <f>30*16</f>
        <v>480</v>
      </c>
      <c r="Q309" s="40">
        <f t="shared" si="84"/>
        <v>43.932872259233264</v>
      </c>
    </row>
    <row r="310" spans="5:18" ht="14" x14ac:dyDescent="0.25">
      <c r="E310" s="44" t="s">
        <v>12</v>
      </c>
      <c r="F310" s="8">
        <v>0.6</v>
      </c>
      <c r="G310" s="8">
        <v>38.880000000000003</v>
      </c>
      <c r="H310" s="8">
        <v>1.0049999999999999</v>
      </c>
      <c r="I310" s="8">
        <v>1.2929999999999999</v>
      </c>
      <c r="J310" s="71">
        <v>37.799999999999997</v>
      </c>
      <c r="K310" s="8">
        <v>28</v>
      </c>
      <c r="L310" s="8">
        <f t="shared" si="82"/>
        <v>9.7999999999999972</v>
      </c>
      <c r="M310" s="27">
        <f t="shared" si="83"/>
        <v>297.07641129599983</v>
      </c>
      <c r="N310" s="8">
        <v>0.27700000000000002</v>
      </c>
      <c r="O310" s="18">
        <f t="shared" si="81"/>
        <v>82.290165928991968</v>
      </c>
      <c r="P310" s="8">
        <f>31*16</f>
        <v>496</v>
      </c>
      <c r="Q310" s="40">
        <f t="shared" si="84"/>
        <v>40.815922300780016</v>
      </c>
    </row>
    <row r="311" spans="5:18" ht="14" x14ac:dyDescent="0.25">
      <c r="E311" s="44" t="s">
        <v>13</v>
      </c>
      <c r="F311" s="8">
        <v>0.6</v>
      </c>
      <c r="G311" s="8">
        <v>38.880000000000003</v>
      </c>
      <c r="H311" s="8">
        <v>1.0049999999999999</v>
      </c>
      <c r="I311" s="8">
        <v>1.2929999999999999</v>
      </c>
      <c r="J311" s="71">
        <v>32.200000000000003</v>
      </c>
      <c r="K311" s="8">
        <v>28</v>
      </c>
      <c r="L311" s="8">
        <f t="shared" si="82"/>
        <v>4.2000000000000028</v>
      </c>
      <c r="M311" s="27">
        <f t="shared" si="83"/>
        <v>127.31846198400005</v>
      </c>
      <c r="N311" s="8">
        <v>0.27700000000000002</v>
      </c>
      <c r="O311" s="18">
        <f t="shared" si="81"/>
        <v>35.267213969568019</v>
      </c>
      <c r="P311" s="8">
        <f>30*16</f>
        <v>480</v>
      </c>
      <c r="Q311" s="40">
        <f t="shared" si="84"/>
        <v>16.928262705392648</v>
      </c>
    </row>
    <row r="312" spans="5:18" ht="14" x14ac:dyDescent="0.25">
      <c r="E312" s="44" t="s">
        <v>24</v>
      </c>
      <c r="F312" s="8">
        <v>0.6</v>
      </c>
      <c r="G312" s="8">
        <v>38.880000000000003</v>
      </c>
      <c r="H312" s="8">
        <v>1.0049999999999999</v>
      </c>
      <c r="I312" s="8">
        <v>1.2929999999999999</v>
      </c>
      <c r="J312" s="41">
        <v>31.9</v>
      </c>
      <c r="K312" s="8">
        <v>28</v>
      </c>
      <c r="L312" s="8">
        <f t="shared" si="82"/>
        <v>3.8999999999999986</v>
      </c>
      <c r="M312" s="27">
        <f t="shared" si="83"/>
        <v>118.22428612799993</v>
      </c>
      <c r="N312" s="8">
        <v>0.27700000000000002</v>
      </c>
      <c r="O312" s="18">
        <f t="shared" si="81"/>
        <v>32.748127257455984</v>
      </c>
      <c r="P312" s="8">
        <f>31*16</f>
        <v>496</v>
      </c>
      <c r="Q312" s="40">
        <f t="shared" si="84"/>
        <v>16.243071119698168</v>
      </c>
    </row>
    <row r="313" spans="5:18" ht="14" x14ac:dyDescent="0.25">
      <c r="E313" s="44" t="s">
        <v>19</v>
      </c>
      <c r="F313" s="8">
        <v>0.6</v>
      </c>
      <c r="G313" s="8">
        <v>38.880000000000003</v>
      </c>
      <c r="H313" s="8">
        <v>1.0049999999999999</v>
      </c>
      <c r="I313" s="8">
        <v>1.2929999999999999</v>
      </c>
      <c r="J313" s="41">
        <v>31.2</v>
      </c>
      <c r="K313" s="8">
        <v>28</v>
      </c>
      <c r="L313" s="8">
        <f t="shared" si="82"/>
        <v>3.1999999999999993</v>
      </c>
      <c r="M313" s="27">
        <f t="shared" si="83"/>
        <v>97.004542463999954</v>
      </c>
      <c r="N313" s="8">
        <v>0.27700000000000002</v>
      </c>
      <c r="O313" s="18">
        <f t="shared" si="81"/>
        <v>26.87025826252799</v>
      </c>
      <c r="P313" s="8">
        <f>31*16</f>
        <v>496</v>
      </c>
      <c r="Q313" s="40">
        <f t="shared" si="84"/>
        <v>13.327648098213883</v>
      </c>
    </row>
    <row r="314" spans="5:18" ht="14" x14ac:dyDescent="0.25">
      <c r="E314" s="44" t="s">
        <v>20</v>
      </c>
      <c r="F314" s="8">
        <v>0.6</v>
      </c>
      <c r="G314" s="8">
        <v>38.880000000000003</v>
      </c>
      <c r="H314" s="8">
        <v>1.0049999999999999</v>
      </c>
      <c r="I314" s="8">
        <v>1.2929999999999999</v>
      </c>
      <c r="J314" s="41">
        <v>32.200000000000003</v>
      </c>
      <c r="K314" s="8">
        <v>28</v>
      </c>
      <c r="L314" s="8">
        <f t="shared" si="82"/>
        <v>4.2000000000000028</v>
      </c>
      <c r="M314" s="27">
        <f t="shared" si="83"/>
        <v>127.31846198400005</v>
      </c>
      <c r="N314" s="8">
        <v>0.27700000000000002</v>
      </c>
      <c r="O314" s="18">
        <f t="shared" si="81"/>
        <v>35.267213969568019</v>
      </c>
      <c r="P314" s="8">
        <f>30*16</f>
        <v>480</v>
      </c>
      <c r="Q314" s="40">
        <f t="shared" si="84"/>
        <v>16.928262705392648</v>
      </c>
    </row>
    <row r="315" spans="5:18" ht="14" x14ac:dyDescent="0.25">
      <c r="E315" s="44" t="s">
        <v>21</v>
      </c>
      <c r="F315" s="8">
        <v>0.6</v>
      </c>
      <c r="G315" s="8">
        <v>38.880000000000003</v>
      </c>
      <c r="H315" s="8">
        <v>1.0049999999999999</v>
      </c>
      <c r="I315" s="8">
        <v>1.2929999999999999</v>
      </c>
      <c r="J315" s="41">
        <v>33.4</v>
      </c>
      <c r="K315" s="8">
        <v>28</v>
      </c>
      <c r="L315" s="8">
        <f t="shared" si="82"/>
        <v>5.3999999999999986</v>
      </c>
      <c r="M315" s="27">
        <f t="shared" si="83"/>
        <v>163.69516540799992</v>
      </c>
      <c r="N315" s="8">
        <v>0.27700000000000002</v>
      </c>
      <c r="O315" s="18">
        <f t="shared" si="81"/>
        <v>45.34356081801598</v>
      </c>
      <c r="P315" s="8">
        <f>31*16</f>
        <v>496</v>
      </c>
      <c r="Q315" s="40">
        <f t="shared" si="84"/>
        <v>22.490406165735926</v>
      </c>
    </row>
    <row r="316" spans="5:18" ht="14" x14ac:dyDescent="0.25">
      <c r="E316" s="44" t="s">
        <v>22</v>
      </c>
      <c r="F316" s="8">
        <v>0.6</v>
      </c>
      <c r="G316" s="8">
        <v>38.880000000000003</v>
      </c>
      <c r="H316" s="8">
        <v>1.0049999999999999</v>
      </c>
      <c r="I316" s="8">
        <v>1.2929999999999999</v>
      </c>
      <c r="J316" s="41">
        <v>33.9</v>
      </c>
      <c r="K316" s="8">
        <v>28</v>
      </c>
      <c r="L316" s="8">
        <f t="shared" si="82"/>
        <v>5.8999999999999986</v>
      </c>
      <c r="M316" s="27">
        <f t="shared" si="83"/>
        <v>178.8521251679999</v>
      </c>
      <c r="N316" s="8">
        <v>0.27700000000000002</v>
      </c>
      <c r="O316" s="18">
        <f t="shared" si="81"/>
        <v>49.542038671535977</v>
      </c>
      <c r="P316" s="8">
        <f>30*16</f>
        <v>480</v>
      </c>
      <c r="Q316" s="40">
        <f t="shared" si="84"/>
        <v>23.780178562337269</v>
      </c>
    </row>
    <row r="317" spans="5:18" ht="14" x14ac:dyDescent="0.25">
      <c r="E317" s="44" t="s">
        <v>23</v>
      </c>
      <c r="F317" s="8">
        <v>0.6</v>
      </c>
      <c r="G317" s="8">
        <v>38.880000000000003</v>
      </c>
      <c r="H317" s="8">
        <v>1.0049999999999999</v>
      </c>
      <c r="I317" s="8">
        <v>1.2929999999999999</v>
      </c>
      <c r="J317" s="41">
        <v>33.200000000000003</v>
      </c>
      <c r="K317" s="8">
        <v>28</v>
      </c>
      <c r="L317" s="8">
        <f t="shared" si="82"/>
        <v>5.2000000000000028</v>
      </c>
      <c r="M317" s="27">
        <f t="shared" si="83"/>
        <v>157.63238150400005</v>
      </c>
      <c r="N317" s="8">
        <v>0.27700000000000002</v>
      </c>
      <c r="O317" s="18">
        <f t="shared" si="81"/>
        <v>43.664169676608019</v>
      </c>
      <c r="P317" s="8">
        <f>31*16</f>
        <v>496</v>
      </c>
      <c r="Q317" s="40">
        <f t="shared" si="84"/>
        <v>21.657428159597576</v>
      </c>
    </row>
    <row r="318" spans="5:18" ht="15.5" thickBot="1" x14ac:dyDescent="0.45">
      <c r="E318" s="433" t="s">
        <v>94</v>
      </c>
      <c r="F318" s="434"/>
      <c r="G318" s="434"/>
      <c r="H318" s="434"/>
      <c r="I318" s="434"/>
      <c r="J318" s="434"/>
      <c r="K318" s="434"/>
      <c r="L318" s="434"/>
      <c r="M318" s="434"/>
      <c r="N318" s="434"/>
      <c r="O318" s="434"/>
      <c r="P318" s="435"/>
      <c r="Q318" s="115">
        <f>SUM(Q306:Q317)</f>
        <v>305.38048515363067</v>
      </c>
      <c r="R318" s="116"/>
    </row>
    <row r="321" spans="5:18" ht="13.5" thickBot="1" x14ac:dyDescent="0.3">
      <c r="Q321" s="384"/>
      <c r="R321" s="384"/>
    </row>
    <row r="322" spans="5:18" x14ac:dyDescent="0.3">
      <c r="E322" s="295" t="s">
        <v>111</v>
      </c>
      <c r="F322" s="296"/>
      <c r="G322" s="296"/>
      <c r="H322" s="296"/>
      <c r="I322" s="296"/>
      <c r="J322" s="296"/>
      <c r="K322" s="296"/>
      <c r="L322" s="296"/>
      <c r="M322" s="296"/>
      <c r="N322" s="316"/>
      <c r="O322" s="297"/>
      <c r="Q322" s="384"/>
      <c r="R322" s="384"/>
    </row>
    <row r="323" spans="5:18" ht="13" customHeight="1" x14ac:dyDescent="0.25">
      <c r="E323" s="2" t="s">
        <v>0</v>
      </c>
      <c r="F323" s="5" t="s">
        <v>104</v>
      </c>
      <c r="G323" s="5" t="s">
        <v>105</v>
      </c>
      <c r="H323" s="5" t="s">
        <v>64</v>
      </c>
      <c r="I323" s="5" t="s">
        <v>106</v>
      </c>
      <c r="J323" s="5" t="s">
        <v>107</v>
      </c>
      <c r="K323" s="5" t="s">
        <v>108</v>
      </c>
      <c r="L323" s="5" t="s">
        <v>110</v>
      </c>
      <c r="M323" s="5" t="s">
        <v>86</v>
      </c>
      <c r="N323" s="101"/>
      <c r="O323" s="87" t="s">
        <v>109</v>
      </c>
      <c r="Q323" s="384"/>
      <c r="R323" s="384"/>
    </row>
    <row r="324" spans="5:18" x14ac:dyDescent="0.25">
      <c r="E324" s="44" t="s">
        <v>15</v>
      </c>
      <c r="F324" s="5">
        <v>4</v>
      </c>
      <c r="G324" s="5">
        <v>75</v>
      </c>
      <c r="H324" s="5">
        <v>1</v>
      </c>
      <c r="I324" s="5">
        <f>F324*G324*H324</f>
        <v>300</v>
      </c>
      <c r="J324" s="5">
        <v>30</v>
      </c>
      <c r="K324" s="8">
        <f>F324*J324</f>
        <v>120</v>
      </c>
      <c r="L324" s="8">
        <f>I324+K324</f>
        <v>420</v>
      </c>
      <c r="M324" s="8">
        <f>31*16</f>
        <v>496</v>
      </c>
      <c r="N324" s="102"/>
      <c r="O324" s="87">
        <f>(L324*M324)/1000</f>
        <v>208.32</v>
      </c>
    </row>
    <row r="325" spans="5:18" x14ac:dyDescent="0.25">
      <c r="E325" s="44" t="s">
        <v>16</v>
      </c>
      <c r="F325" s="5">
        <v>4</v>
      </c>
      <c r="G325" s="5">
        <v>75</v>
      </c>
      <c r="H325" s="5">
        <v>1</v>
      </c>
      <c r="I325" s="5">
        <f t="shared" ref="I325:I335" si="85">F325*G325*H325</f>
        <v>300</v>
      </c>
      <c r="J325" s="5">
        <v>30</v>
      </c>
      <c r="K325" s="8">
        <f t="shared" ref="K325:K335" si="86">F325*J325</f>
        <v>120</v>
      </c>
      <c r="L325" s="8">
        <f t="shared" ref="L325:L335" si="87">I325+K325</f>
        <v>420</v>
      </c>
      <c r="M325" s="8">
        <f>28*16</f>
        <v>448</v>
      </c>
      <c r="N325" s="102"/>
      <c r="O325" s="87">
        <f t="shared" ref="O325:O335" si="88">(L325*M325)/1000</f>
        <v>188.16</v>
      </c>
    </row>
    <row r="326" spans="5:18" x14ac:dyDescent="0.25">
      <c r="E326" s="44" t="s">
        <v>17</v>
      </c>
      <c r="F326" s="5">
        <v>4</v>
      </c>
      <c r="G326" s="5">
        <v>75</v>
      </c>
      <c r="H326" s="5">
        <v>1</v>
      </c>
      <c r="I326" s="5">
        <f t="shared" si="85"/>
        <v>300</v>
      </c>
      <c r="J326" s="5">
        <v>30</v>
      </c>
      <c r="K326" s="8">
        <f t="shared" si="86"/>
        <v>120</v>
      </c>
      <c r="L326" s="8">
        <f t="shared" si="87"/>
        <v>420</v>
      </c>
      <c r="M326" s="8">
        <f>31*16</f>
        <v>496</v>
      </c>
      <c r="N326" s="102"/>
      <c r="O326" s="87">
        <f t="shared" si="88"/>
        <v>208.32</v>
      </c>
    </row>
    <row r="327" spans="5:18" x14ac:dyDescent="0.25">
      <c r="E327" s="44" t="s">
        <v>18</v>
      </c>
      <c r="F327" s="5">
        <v>4</v>
      </c>
      <c r="G327" s="5">
        <v>75</v>
      </c>
      <c r="H327" s="5">
        <v>1</v>
      </c>
      <c r="I327" s="5">
        <f t="shared" si="85"/>
        <v>300</v>
      </c>
      <c r="J327" s="5">
        <v>30</v>
      </c>
      <c r="K327" s="8">
        <f t="shared" si="86"/>
        <v>120</v>
      </c>
      <c r="L327" s="8">
        <f t="shared" si="87"/>
        <v>420</v>
      </c>
      <c r="M327" s="8">
        <f>30*16</f>
        <v>480</v>
      </c>
      <c r="N327" s="102"/>
      <c r="O327" s="87">
        <f t="shared" si="88"/>
        <v>201.6</v>
      </c>
    </row>
    <row r="328" spans="5:18" x14ac:dyDescent="0.25">
      <c r="E328" s="44" t="s">
        <v>12</v>
      </c>
      <c r="F328" s="5">
        <v>4</v>
      </c>
      <c r="G328" s="5">
        <v>75</v>
      </c>
      <c r="H328" s="5">
        <v>1</v>
      </c>
      <c r="I328" s="5">
        <f t="shared" si="85"/>
        <v>300</v>
      </c>
      <c r="J328" s="5">
        <v>30</v>
      </c>
      <c r="K328" s="8">
        <f t="shared" si="86"/>
        <v>120</v>
      </c>
      <c r="L328" s="8">
        <f t="shared" si="87"/>
        <v>420</v>
      </c>
      <c r="M328" s="8">
        <f>31*16</f>
        <v>496</v>
      </c>
      <c r="N328" s="102"/>
      <c r="O328" s="87">
        <f t="shared" si="88"/>
        <v>208.32</v>
      </c>
    </row>
    <row r="329" spans="5:18" x14ac:dyDescent="0.25">
      <c r="E329" s="44" t="s">
        <v>13</v>
      </c>
      <c r="F329" s="5">
        <v>4</v>
      </c>
      <c r="G329" s="5">
        <v>75</v>
      </c>
      <c r="H329" s="5">
        <v>1</v>
      </c>
      <c r="I329" s="5">
        <f t="shared" si="85"/>
        <v>300</v>
      </c>
      <c r="J329" s="5">
        <v>30</v>
      </c>
      <c r="K329" s="8">
        <f t="shared" si="86"/>
        <v>120</v>
      </c>
      <c r="L329" s="8">
        <f t="shared" si="87"/>
        <v>420</v>
      </c>
      <c r="M329" s="8">
        <f>30*16</f>
        <v>480</v>
      </c>
      <c r="N329" s="102"/>
      <c r="O329" s="87">
        <f t="shared" si="88"/>
        <v>201.6</v>
      </c>
    </row>
    <row r="330" spans="5:18" x14ac:dyDescent="0.25">
      <c r="E330" s="44" t="s">
        <v>24</v>
      </c>
      <c r="F330" s="5">
        <v>4</v>
      </c>
      <c r="G330" s="5">
        <v>75</v>
      </c>
      <c r="H330" s="5">
        <v>1</v>
      </c>
      <c r="I330" s="5">
        <f t="shared" si="85"/>
        <v>300</v>
      </c>
      <c r="J330" s="5">
        <v>30</v>
      </c>
      <c r="K330" s="8">
        <f t="shared" si="86"/>
        <v>120</v>
      </c>
      <c r="L330" s="8">
        <f t="shared" si="87"/>
        <v>420</v>
      </c>
      <c r="M330" s="8">
        <f>31*16</f>
        <v>496</v>
      </c>
      <c r="N330" s="102"/>
      <c r="O330" s="87">
        <f t="shared" si="88"/>
        <v>208.32</v>
      </c>
    </row>
    <row r="331" spans="5:18" x14ac:dyDescent="0.25">
      <c r="E331" s="44" t="s">
        <v>19</v>
      </c>
      <c r="F331" s="5">
        <v>4</v>
      </c>
      <c r="G331" s="5">
        <v>75</v>
      </c>
      <c r="H331" s="5">
        <v>1</v>
      </c>
      <c r="I331" s="5">
        <f t="shared" si="85"/>
        <v>300</v>
      </c>
      <c r="J331" s="5">
        <v>30</v>
      </c>
      <c r="K331" s="8">
        <f t="shared" si="86"/>
        <v>120</v>
      </c>
      <c r="L331" s="8">
        <f t="shared" si="87"/>
        <v>420</v>
      </c>
      <c r="M331" s="8">
        <f>31*16</f>
        <v>496</v>
      </c>
      <c r="N331" s="102"/>
      <c r="O331" s="87">
        <f t="shared" si="88"/>
        <v>208.32</v>
      </c>
    </row>
    <row r="332" spans="5:18" x14ac:dyDescent="0.25">
      <c r="E332" s="44" t="s">
        <v>20</v>
      </c>
      <c r="F332" s="5">
        <v>4</v>
      </c>
      <c r="G332" s="5">
        <v>75</v>
      </c>
      <c r="H332" s="5">
        <v>1</v>
      </c>
      <c r="I332" s="5">
        <f t="shared" si="85"/>
        <v>300</v>
      </c>
      <c r="J332" s="5">
        <v>30</v>
      </c>
      <c r="K332" s="8">
        <f t="shared" si="86"/>
        <v>120</v>
      </c>
      <c r="L332" s="8">
        <f t="shared" si="87"/>
        <v>420</v>
      </c>
      <c r="M332" s="8">
        <f>30*16</f>
        <v>480</v>
      </c>
      <c r="N332" s="102"/>
      <c r="O332" s="87">
        <f t="shared" si="88"/>
        <v>201.6</v>
      </c>
    </row>
    <row r="333" spans="5:18" x14ac:dyDescent="0.25">
      <c r="E333" s="44" t="s">
        <v>21</v>
      </c>
      <c r="F333" s="5">
        <v>4</v>
      </c>
      <c r="G333" s="5">
        <v>75</v>
      </c>
      <c r="H333" s="5">
        <v>1</v>
      </c>
      <c r="I333" s="5">
        <f t="shared" si="85"/>
        <v>300</v>
      </c>
      <c r="J333" s="5">
        <v>30</v>
      </c>
      <c r="K333" s="8">
        <f t="shared" si="86"/>
        <v>120</v>
      </c>
      <c r="L333" s="8">
        <f t="shared" si="87"/>
        <v>420</v>
      </c>
      <c r="M333" s="8">
        <f>31*16</f>
        <v>496</v>
      </c>
      <c r="N333" s="102"/>
      <c r="O333" s="87">
        <f t="shared" si="88"/>
        <v>208.32</v>
      </c>
    </row>
    <row r="334" spans="5:18" x14ac:dyDescent="0.25">
      <c r="E334" s="44" t="s">
        <v>22</v>
      </c>
      <c r="F334" s="5">
        <v>4</v>
      </c>
      <c r="G334" s="5">
        <v>75</v>
      </c>
      <c r="H334" s="5">
        <v>1</v>
      </c>
      <c r="I334" s="5">
        <f t="shared" si="85"/>
        <v>300</v>
      </c>
      <c r="J334" s="5">
        <v>30</v>
      </c>
      <c r="K334" s="8">
        <f t="shared" si="86"/>
        <v>120</v>
      </c>
      <c r="L334" s="8">
        <f t="shared" si="87"/>
        <v>420</v>
      </c>
      <c r="M334" s="8">
        <f>30*16</f>
        <v>480</v>
      </c>
      <c r="N334" s="102"/>
      <c r="O334" s="87">
        <f t="shared" si="88"/>
        <v>201.6</v>
      </c>
    </row>
    <row r="335" spans="5:18" x14ac:dyDescent="0.25">
      <c r="E335" s="44" t="s">
        <v>23</v>
      </c>
      <c r="F335" s="5">
        <v>4</v>
      </c>
      <c r="G335" s="5">
        <v>75</v>
      </c>
      <c r="H335" s="5">
        <v>1</v>
      </c>
      <c r="I335" s="5">
        <f t="shared" si="85"/>
        <v>300</v>
      </c>
      <c r="J335" s="5">
        <v>30</v>
      </c>
      <c r="K335" s="8">
        <f t="shared" si="86"/>
        <v>120</v>
      </c>
      <c r="L335" s="8">
        <f t="shared" si="87"/>
        <v>420</v>
      </c>
      <c r="M335" s="8">
        <f>31*16</f>
        <v>496</v>
      </c>
      <c r="N335" s="102"/>
      <c r="O335" s="87">
        <f t="shared" si="88"/>
        <v>208.32</v>
      </c>
    </row>
    <row r="336" spans="5:18" ht="13.5" thickBot="1" x14ac:dyDescent="0.35">
      <c r="E336" s="312" t="s">
        <v>111</v>
      </c>
      <c r="F336" s="313"/>
      <c r="G336" s="313"/>
      <c r="H336" s="313"/>
      <c r="I336" s="313"/>
      <c r="J336" s="313"/>
      <c r="K336" s="313"/>
      <c r="L336" s="313"/>
      <c r="M336" s="313"/>
      <c r="N336" s="103"/>
      <c r="O336" s="113">
        <f>SUM(O324:O335)</f>
        <v>2452.7999999999997</v>
      </c>
    </row>
    <row r="338" spans="5:12" ht="13.5" thickBot="1" x14ac:dyDescent="0.3"/>
    <row r="339" spans="5:12" x14ac:dyDescent="0.3">
      <c r="E339" s="289" t="s">
        <v>118</v>
      </c>
      <c r="F339" s="290"/>
      <c r="G339" s="290"/>
      <c r="H339" s="290"/>
      <c r="I339" s="290"/>
      <c r="J339" s="290"/>
      <c r="K339" s="291"/>
    </row>
    <row r="340" spans="5:12" ht="15.5" x14ac:dyDescent="0.4">
      <c r="E340" s="49" t="s">
        <v>112</v>
      </c>
      <c r="F340" s="18" t="s">
        <v>113</v>
      </c>
      <c r="G340" s="18" t="s">
        <v>114</v>
      </c>
      <c r="H340" s="18" t="s">
        <v>115</v>
      </c>
      <c r="I340" s="18" t="s">
        <v>64</v>
      </c>
      <c r="J340" s="18" t="s">
        <v>116</v>
      </c>
      <c r="K340" s="86" t="s">
        <v>117</v>
      </c>
    </row>
    <row r="341" spans="5:12" x14ac:dyDescent="0.25">
      <c r="E341" s="49">
        <v>3</v>
      </c>
      <c r="F341" s="18">
        <v>60</v>
      </c>
      <c r="G341" s="18">
        <v>1.24</v>
      </c>
      <c r="H341" s="18">
        <v>0.66</v>
      </c>
      <c r="I341" s="18">
        <v>0.8</v>
      </c>
      <c r="J341" s="18">
        <f>6*365</f>
        <v>2190</v>
      </c>
      <c r="K341" s="35">
        <f>(E341*F341*G341*H341*I341*J341)/1000</f>
        <v>258.09062399999999</v>
      </c>
    </row>
    <row r="342" spans="5:12" ht="13.5" thickBot="1" x14ac:dyDescent="0.35">
      <c r="E342" s="327" t="s">
        <v>118</v>
      </c>
      <c r="F342" s="328"/>
      <c r="G342" s="328"/>
      <c r="H342" s="328"/>
      <c r="I342" s="328"/>
      <c r="J342" s="328"/>
      <c r="K342" s="74">
        <f>K341</f>
        <v>258.09062399999999</v>
      </c>
    </row>
    <row r="344" spans="5:12" ht="13.5" thickBot="1" x14ac:dyDescent="0.3"/>
    <row r="345" spans="5:12" x14ac:dyDescent="0.3">
      <c r="E345" s="295" t="s">
        <v>124</v>
      </c>
      <c r="F345" s="296"/>
      <c r="G345" s="296"/>
      <c r="H345" s="297"/>
    </row>
    <row r="346" spans="5:12" x14ac:dyDescent="0.25">
      <c r="E346" s="44" t="s">
        <v>119</v>
      </c>
      <c r="F346" s="8" t="s">
        <v>120</v>
      </c>
      <c r="G346" s="8" t="s">
        <v>121</v>
      </c>
      <c r="H346" s="87" t="s">
        <v>122</v>
      </c>
    </row>
    <row r="347" spans="5:12" x14ac:dyDescent="0.25">
      <c r="E347" s="44">
        <v>36</v>
      </c>
      <c r="F347" s="8">
        <v>5</v>
      </c>
      <c r="G347" s="8">
        <f>F347*365</f>
        <v>1825</v>
      </c>
      <c r="H347" s="85">
        <f>(E347*G347)/1000</f>
        <v>65.7</v>
      </c>
    </row>
    <row r="348" spans="5:12" ht="13.5" thickBot="1" x14ac:dyDescent="0.35">
      <c r="E348" s="312" t="s">
        <v>123</v>
      </c>
      <c r="F348" s="313"/>
      <c r="G348" s="313"/>
      <c r="H348" s="88">
        <f>H347</f>
        <v>65.7</v>
      </c>
    </row>
    <row r="351" spans="5:12" ht="13.5" thickBot="1" x14ac:dyDescent="0.3"/>
    <row r="352" spans="5:12" x14ac:dyDescent="0.25">
      <c r="E352" s="93" t="s">
        <v>125</v>
      </c>
      <c r="F352" s="90" t="s">
        <v>126</v>
      </c>
      <c r="G352" s="90" t="s">
        <v>127</v>
      </c>
      <c r="H352" s="90" t="s">
        <v>87</v>
      </c>
      <c r="I352" s="90" t="s">
        <v>128</v>
      </c>
      <c r="J352" s="90" t="s">
        <v>129</v>
      </c>
      <c r="K352" s="90" t="s">
        <v>130</v>
      </c>
      <c r="L352" s="91" t="s">
        <v>134</v>
      </c>
    </row>
    <row r="353" spans="5:12" x14ac:dyDescent="0.25">
      <c r="E353" s="94">
        <v>22</v>
      </c>
      <c r="F353" s="27">
        <f>R120</f>
        <v>158.81313600000004</v>
      </c>
      <c r="G353" s="27">
        <f>K$222</f>
        <v>267.49251074304004</v>
      </c>
      <c r="H353" s="27">
        <f>R240</f>
        <v>0</v>
      </c>
      <c r="I353" s="8">
        <f>O$336</f>
        <v>2452.7999999999997</v>
      </c>
      <c r="J353" s="27">
        <f>K$342</f>
        <v>258.09062399999999</v>
      </c>
      <c r="K353" s="8">
        <f>H$348</f>
        <v>65.7</v>
      </c>
      <c r="L353" s="51">
        <f>F353+G353+H353+I353+J353+K353</f>
        <v>3202.8962707430396</v>
      </c>
    </row>
    <row r="354" spans="5:12" x14ac:dyDescent="0.25">
      <c r="E354" s="94">
        <v>23</v>
      </c>
      <c r="F354" s="27">
        <f>R134</f>
        <v>130.43073600000002</v>
      </c>
      <c r="G354" s="27">
        <f t="shared" ref="G354:G359" si="89">K$222</f>
        <v>267.49251074304004</v>
      </c>
      <c r="H354" s="27">
        <f>R253</f>
        <v>0</v>
      </c>
      <c r="I354" s="8">
        <f t="shared" ref="I354:I359" si="90">O$336</f>
        <v>2452.7999999999997</v>
      </c>
      <c r="J354" s="27">
        <f t="shared" ref="J354:J359" si="91">K$342</f>
        <v>258.09062399999999</v>
      </c>
      <c r="K354" s="8">
        <f t="shared" ref="K354:K359" si="92">H$348</f>
        <v>65.7</v>
      </c>
      <c r="L354" s="51">
        <f t="shared" ref="L354:L359" si="93">F354+G354+H354+I354+J354+K354</f>
        <v>3174.5138707430397</v>
      </c>
    </row>
    <row r="355" spans="5:12" x14ac:dyDescent="0.25">
      <c r="E355" s="94">
        <v>24</v>
      </c>
      <c r="F355" s="27">
        <f>R148</f>
        <v>102.04833600000003</v>
      </c>
      <c r="G355" s="27">
        <f t="shared" si="89"/>
        <v>267.49251074304004</v>
      </c>
      <c r="H355" s="27">
        <f>R266</f>
        <v>0</v>
      </c>
      <c r="I355" s="8">
        <f t="shared" si="90"/>
        <v>2452.7999999999997</v>
      </c>
      <c r="J355" s="27">
        <f t="shared" si="91"/>
        <v>258.09062399999999</v>
      </c>
      <c r="K355" s="8">
        <f t="shared" si="92"/>
        <v>65.7</v>
      </c>
      <c r="L355" s="51">
        <f t="shared" si="93"/>
        <v>3146.1314707430397</v>
      </c>
    </row>
    <row r="356" spans="5:12" x14ac:dyDescent="0.25">
      <c r="E356" s="94">
        <v>25</v>
      </c>
      <c r="F356" s="27">
        <f>R162</f>
        <v>73.665936000000031</v>
      </c>
      <c r="G356" s="27">
        <f t="shared" si="89"/>
        <v>267.49251074304004</v>
      </c>
      <c r="H356" s="27">
        <f>R279</f>
        <v>0</v>
      </c>
      <c r="I356" s="8">
        <f t="shared" si="90"/>
        <v>2452.7999999999997</v>
      </c>
      <c r="J356" s="27">
        <f t="shared" si="91"/>
        <v>258.09062399999999</v>
      </c>
      <c r="K356" s="8">
        <f t="shared" si="92"/>
        <v>65.7</v>
      </c>
      <c r="L356" s="51">
        <f t="shared" si="93"/>
        <v>3117.7490707430397</v>
      </c>
    </row>
    <row r="357" spans="5:12" x14ac:dyDescent="0.25">
      <c r="E357" s="94">
        <v>26</v>
      </c>
      <c r="F357" s="27">
        <f>R176</f>
        <v>45.283536000000026</v>
      </c>
      <c r="G357" s="27">
        <f t="shared" si="89"/>
        <v>267.49251074304004</v>
      </c>
      <c r="H357" s="27">
        <f>R292</f>
        <v>0</v>
      </c>
      <c r="I357" s="8">
        <f t="shared" si="90"/>
        <v>2452.7999999999997</v>
      </c>
      <c r="J357" s="27">
        <f t="shared" si="91"/>
        <v>258.09062399999999</v>
      </c>
      <c r="K357" s="8">
        <f t="shared" si="92"/>
        <v>65.7</v>
      </c>
      <c r="L357" s="51">
        <f t="shared" si="93"/>
        <v>3089.3666707430398</v>
      </c>
    </row>
    <row r="358" spans="5:12" x14ac:dyDescent="0.25">
      <c r="E358" s="94">
        <v>27</v>
      </c>
      <c r="F358" s="27">
        <f>R190</f>
        <v>16.90113600000004</v>
      </c>
      <c r="G358" s="27">
        <f t="shared" si="89"/>
        <v>267.49251074304004</v>
      </c>
      <c r="H358" s="27">
        <f>R305</f>
        <v>0</v>
      </c>
      <c r="I358" s="8">
        <f t="shared" si="90"/>
        <v>2452.7999999999997</v>
      </c>
      <c r="J358" s="27">
        <f t="shared" si="91"/>
        <v>258.09062399999999</v>
      </c>
      <c r="K358" s="8">
        <f t="shared" si="92"/>
        <v>65.7</v>
      </c>
      <c r="L358" s="51">
        <f t="shared" si="93"/>
        <v>3060.9842707430394</v>
      </c>
    </row>
    <row r="359" spans="5:12" ht="13.5" thickBot="1" x14ac:dyDescent="0.3">
      <c r="E359" s="95">
        <v>28</v>
      </c>
      <c r="F359" s="89">
        <f>R204</f>
        <v>-11.481263999999971</v>
      </c>
      <c r="G359" s="89">
        <f t="shared" si="89"/>
        <v>267.49251074304004</v>
      </c>
      <c r="H359" s="89">
        <f>R318</f>
        <v>0</v>
      </c>
      <c r="I359" s="21">
        <f t="shared" si="90"/>
        <v>2452.7999999999997</v>
      </c>
      <c r="J359" s="89">
        <f t="shared" si="91"/>
        <v>258.09062399999999</v>
      </c>
      <c r="K359" s="21">
        <f t="shared" si="92"/>
        <v>65.7</v>
      </c>
      <c r="L359" s="92">
        <f t="shared" si="93"/>
        <v>3032.6018707430394</v>
      </c>
    </row>
    <row r="360" spans="5:12" x14ac:dyDescent="0.25">
      <c r="E360" s="32"/>
      <c r="F360" s="32"/>
      <c r="G360" s="32"/>
      <c r="H360" s="32"/>
      <c r="I360" s="32"/>
      <c r="J360" s="32"/>
      <c r="K360" s="32"/>
    </row>
    <row r="361" spans="5:12" x14ac:dyDescent="0.25">
      <c r="E361" s="32"/>
      <c r="F361" s="32"/>
      <c r="G361" s="32"/>
      <c r="H361" s="32"/>
      <c r="I361" s="32"/>
      <c r="J361" s="32"/>
      <c r="K361" s="32"/>
    </row>
    <row r="362" spans="5:12" x14ac:dyDescent="0.25">
      <c r="E362" s="32"/>
      <c r="F362" s="32"/>
      <c r="G362" s="32"/>
      <c r="H362" s="32"/>
      <c r="I362" s="32"/>
      <c r="J362" s="32"/>
      <c r="K362" s="32"/>
    </row>
    <row r="363" spans="5:12" x14ac:dyDescent="0.25">
      <c r="E363" s="32"/>
      <c r="F363" s="32"/>
      <c r="G363" s="32"/>
      <c r="H363" s="32"/>
      <c r="I363" s="32"/>
      <c r="J363" s="32"/>
      <c r="K363" s="32"/>
    </row>
    <row r="364" spans="5:12" x14ac:dyDescent="0.25">
      <c r="E364" s="32"/>
      <c r="F364" s="32"/>
      <c r="G364" s="32"/>
      <c r="H364" s="32"/>
      <c r="I364" s="32"/>
      <c r="J364" s="32"/>
      <c r="K364" s="32"/>
    </row>
    <row r="365" spans="5:12" x14ac:dyDescent="0.25">
      <c r="E365" s="32"/>
      <c r="F365" s="32"/>
      <c r="G365" s="32"/>
      <c r="H365" s="32"/>
      <c r="I365" s="32"/>
      <c r="J365" s="32"/>
      <c r="K365" s="32"/>
    </row>
    <row r="366" spans="5:12" x14ac:dyDescent="0.25">
      <c r="E366" s="32"/>
      <c r="F366" s="32"/>
      <c r="G366" s="32"/>
      <c r="H366" s="32"/>
      <c r="I366" s="32"/>
      <c r="J366" s="32"/>
      <c r="K366" s="32"/>
    </row>
    <row r="367" spans="5:12" x14ac:dyDescent="0.25">
      <c r="E367" s="32"/>
      <c r="F367" s="32"/>
      <c r="G367" s="32"/>
      <c r="H367" s="32"/>
      <c r="I367" s="32"/>
      <c r="J367" s="32"/>
      <c r="K367" s="32"/>
    </row>
  </sheetData>
  <mergeCells count="44">
    <mergeCell ref="E87:N87"/>
    <mergeCell ref="E101:N101"/>
    <mergeCell ref="E3:AI3"/>
    <mergeCell ref="E17:N17"/>
    <mergeCell ref="E31:N31"/>
    <mergeCell ref="E45:N45"/>
    <mergeCell ref="E59:N59"/>
    <mergeCell ref="B105:C106"/>
    <mergeCell ref="E105:R105"/>
    <mergeCell ref="E106:R106"/>
    <mergeCell ref="E204:Q204"/>
    <mergeCell ref="E121:R121"/>
    <mergeCell ref="E134:Q134"/>
    <mergeCell ref="E135:R135"/>
    <mergeCell ref="E148:Q148"/>
    <mergeCell ref="E149:R149"/>
    <mergeCell ref="E162:Q162"/>
    <mergeCell ref="E163:R163"/>
    <mergeCell ref="E176:Q176"/>
    <mergeCell ref="E177:R177"/>
    <mergeCell ref="E190:Q190"/>
    <mergeCell ref="E191:R191"/>
    <mergeCell ref="E120:Q120"/>
    <mergeCell ref="E342:J342"/>
    <mergeCell ref="E345:H345"/>
    <mergeCell ref="E348:G348"/>
    <mergeCell ref="Q321:R323"/>
    <mergeCell ref="E322:O322"/>
    <mergeCell ref="AP5:AR5"/>
    <mergeCell ref="AP46:AR46"/>
    <mergeCell ref="AP75:AR75"/>
    <mergeCell ref="E336:M336"/>
    <mergeCell ref="E339:K339"/>
    <mergeCell ref="E305:P305"/>
    <mergeCell ref="E318:P318"/>
    <mergeCell ref="E208:K208"/>
    <mergeCell ref="E222:J222"/>
    <mergeCell ref="E226:Q226"/>
    <mergeCell ref="E240:P240"/>
    <mergeCell ref="E253:P253"/>
    <mergeCell ref="E266:P266"/>
    <mergeCell ref="E279:P279"/>
    <mergeCell ref="E292:P292"/>
    <mergeCell ref="E73:N73"/>
  </mergeCells>
  <pageMargins left="0.7" right="0.7" top="0.75" bottom="0.75" header="0.3" footer="0.3"/>
  <drawing r:id="rId1"/>
</worksheet>
</file>

<file path=docMetadata/LabelInfo.xml><?xml version="1.0" encoding="utf-8"?>
<clbl:labelList xmlns:clbl="http://schemas.microsoft.com/office/2020/mipLabelMetadata">
  <clbl:label id="{a7f2ec83-e677-438d-afb7-4c7c0dbc872b}" enabled="1" method="Standard" siteId="{3bc062e4-ac9d-4c17-b4dd-3aad637ff1a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Hourly Solar Gains</vt:lpstr>
      <vt:lpstr>India Dengue Season ugr&amp; uso_</vt:lpstr>
      <vt:lpstr>India Dengue Season igr</vt:lpstr>
      <vt:lpstr>All Season Dengue Endemic_IN</vt:lpstr>
      <vt:lpstr>All Season Dengue Endemic_TH</vt:lpstr>
      <vt:lpstr>All Season Dengue Endemic_IK</vt:lpstr>
      <vt:lpstr>All Season Dengue Endemic_BD</vt:lpstr>
      <vt:lpstr>All Season Dengue Endemic_VN</vt:lpstr>
      <vt:lpstr>All Season Dengue Endemic_PH</vt:lpstr>
      <vt:lpstr>All Season Dengue Endemic_ID</vt:lpstr>
      <vt:lpstr>All Season Dengue Endemic_MM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Upadhyayula Venkata Krishna Kumar</dc:creator>
  <cp:lastModifiedBy>Upadhyayula Venkata Krishna Kumar</cp:lastModifiedBy>
  <dcterms:created xsi:type="dcterms:W3CDTF">2025-03-05T06:23:03Z</dcterms:created>
  <dcterms:modified xsi:type="dcterms:W3CDTF">2025-08-29T09:06:53Z</dcterms:modified>
</cp:coreProperties>
</file>